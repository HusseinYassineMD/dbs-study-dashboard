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<sst xmlns="http://schemas.openxmlformats.org/spreadsheetml/2006/main" count="825" uniqueCount="636">
  <si>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</si>
  <si>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dropout_date</t>
  </si>
  <si>
    <t>dropout_yr</t>
  </si>
  <si>
    <t>dropout_viist</t>
  </si>
  <si>
    <t>reason_dropout</t>
  </si>
  <si>
    <t>DQ</t>
  </si>
  <si>
    <t>uds_id_200</t>
  </si>
  <si>
    <t xml:space="preserve">Last updated 8/26/26 </t>
  </si>
  <si>
    <t>Not enrolled</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</si>
  <si>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</si>
  <si>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</si>
  <si>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</si>
  <si>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</si>
  <si>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</si>
  <si>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</si>
  <si>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</si>
  <si>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</si>
  <si>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</si>
  <si>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</si>
  <si>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</si>
  <si>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</si>
  <si>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</si>
  <si>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</si>
  <si>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</si>
  <si>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</si>
  <si>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</si>
  <si>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</si>
  <si>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</si>
  <si>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</si>
  <si>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</si>
  <si>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</si>
  <si>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</si>
  <si>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</si>
  <si>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</si>
  <si>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</si>
  <si>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</si>
  <si>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Year</t>
  </si>
  <si>
    <t>Could not complete MRI - Claustrophobia</t>
  </si>
  <si>
    <t>Cannot reach after multiple outreach attempts</t>
  </si>
  <si>
    <t>Enrolled</t>
  </si>
  <si>
    <t>Dropped Out/DQ</t>
  </si>
  <si>
    <t>Completed</t>
  </si>
  <si>
    <t>Remaining</t>
  </si>
  <si>
    <t>% Completed (of Total)</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</si>
  <si>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</si>
  <si>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 Completed (of Active)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</si>
  <si>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</si>
  <si>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</si>
  <si>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</si>
  <si>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Baseline</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</si>
  <si>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</si>
  <si>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</si>
  <si>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</si>
  <si>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</si>
  <si>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2023 start</t>
  </si>
  <si>
    <t>year 1 close march/april 2026</t>
  </si>
  <si>
    <t>Stopped responding. Not able to reach. All forms of contact exhausted.</t>
  </si>
  <si>
    <t>Could not complete MRI scan</t>
  </si>
  <si>
    <t>Baseline MRI not done. Rescheduled April appointment, no more remaining dates</t>
  </si>
  <si>
    <t>year 2 close feb/march 2026</t>
  </si>
  <si>
    <t>Caring for a sick person. Can no longer participate. Requested to be removed.</t>
  </si>
  <si>
    <t>All forms of contact exhausted - not able to reach. Stopped responding.</t>
  </si>
  <si>
    <t>Failed Baseline MRI, could not comfortably fit inside</t>
  </si>
  <si>
    <t>year 3 closes jan/feb? 2027</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</si>
  <si>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</si>
  <si>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</si>
  <si>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</si>
  <si>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year 4 closes jan? 2028</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</si>
  <si>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</si>
  <si>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</si>
  <si>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</si>
  <si>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</si>
  <si>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</si>
  <si>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</si>
  <si>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</si>
  <si>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</si>
  <si>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</si>
  <si>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</si>
  <si>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</si>
  <si>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</si>
  <si>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1 2nd yr jumped to 3rd yr</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</si>
  <si>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</si>
  <si>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</si>
  <si>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</si>
  <si>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</si>
  <si>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</si>
  <si>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</si>
  <si>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</si>
  <si>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</si>
  <si>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</si>
  <si>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</si>
  <si>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</si>
  <si>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</si>
  <si>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</si>
  <si>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</si>
  <si>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</si>
  <si>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</si>
  <si>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</si>
  <si>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</si>
  <si>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</si>
  <si>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</si>
  <si>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</si>
  <si>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</si>
  <si>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</si>
  <si>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</si>
  <si>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</si>
  <si>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</si>
  <si>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</si>
  <si>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</si>
  <si>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</si>
  <si>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</si>
  <si>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</si>
  <si>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</si>
  <si>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</si>
  <si>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</si>
  <si>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</si>
  <si>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</si>
  <si>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</si>
  <si>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</si>
  <si>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</si>
  <si>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</si>
  <si>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</si>
  <si>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</si>
  <si>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</si>
  <si>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</si>
  <si>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</si>
  <si>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</si>
  <si>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</si>
  <si>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</si>
  <si>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</si>
  <si>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</si>
  <si>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</si>
  <si>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</si>
  <si>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</si>
  <si>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</si>
  <si>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</si>
  <si>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</si>
  <si>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</si>
  <si>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</si>
  <si>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</si>
  <si>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</si>
  <si>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</si>
  <si>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</si>
  <si>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</si>
  <si>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</si>
  <si>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</si>
  <si>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</si>
  <si>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</si>
  <si>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</si>
  <si>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</si>
  <si>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</si>
  <si>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</si>
  <si>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</si>
  <si>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</si>
  <si>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</si>
  <si>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</si>
  <si>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</si>
  <si>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</si>
  <si>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</si>
  <si>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</si>
  <si>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</si>
  <si>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</si>
  <si>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</si>
  <si>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</si>
  <si>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</si>
  <si>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</si>
  <si>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</si>
  <si>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</si>
  <si>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</si>
  <si>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</si>
  <si>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</si>
  <si>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</si>
  <si>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</si>
  <si>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</si>
  <si>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</si>
  <si>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</si>
  <si>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</si>
  <si>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</si>
  <si>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</si>
  <si>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</si>
  <si>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</si>
  <si>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</si>
  <si>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</si>
  <si>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</si>
  <si>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</si>
  <si>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</si>
  <si>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</si>
  <si>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</si>
  <si>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</si>
  <si>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</si>
  <si>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</si>
  <si>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</si>
  <si>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</si>
  <si>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</si>
  <si>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</si>
  <si>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</si>
  <si>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</si>
  <si>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</si>
  <si>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</si>
  <si>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</si>
  <si>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</si>
  <si>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</si>
  <si>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</si>
  <si>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</si>
  <si>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</si>
  <si>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</si>
  <si>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</si>
  <si>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</si>
  <si>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</si>
  <si>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</si>
  <si>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</si>
  <si>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</si>
  <si>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</si>
  <si>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</si>
  <si>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</si>
  <si>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</si>
  <si>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</si>
  <si>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</si>
  <si>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</si>
  <si>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</si>
  <si>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</si>
  <si>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</si>
  <si>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</si>
  <si>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</si>
  <si>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</si>
  <si>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</si>
  <si>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</si>
  <si>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</si>
  <si>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</si>
  <si>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</si>
  <si>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</si>
  <si>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</si>
  <si>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</si>
  <si>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</si>
  <si>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</si>
  <si>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</si>
  <si>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</si>
  <si>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</si>
  <si>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</si>
  <si>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</si>
  <si>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</si>
  <si>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</si>
  <si>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</si>
  <si>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</si>
  <si>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</si>
  <si>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</si>
  <si>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</si>
  <si>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</si>
  <si>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</si>
  <si>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</si>
  <si>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</si>
  <si>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</si>
  <si>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</si>
  <si>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</si>
  <si>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</si>
  <si>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</si>
  <si>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</si>
  <si>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</si>
  <si>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</si>
  <si>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</si>
  <si>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</si>
  <si>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</si>
  <si>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</si>
  <si>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</si>
  <si>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</si>
  <si>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</si>
  <si>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</si>
  <si>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</si>
  <si>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</si>
  <si>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</si>
  <si>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</si>
  <si>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</si>
  <si>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</si>
  <si>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</si>
  <si>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</si>
  <si>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</si>
  <si>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</si>
  <si>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</si>
  <si>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</si>
  <si>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</si>
  <si>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</si>
  <si>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</si>
  <si>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</si>
  <si>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</si>
  <si>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</si>
  <si>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</si>
  <si>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</si>
  <si>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</si>
  <si>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</si>
  <si>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</si>
  <si>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</si>
  <si>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</si>
  <si>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</si>
  <si>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</si>
  <si>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</si>
  <si>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</si>
  <si>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</si>
  <si>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</si>
  <si>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</si>
  <si>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</si>
  <si>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</si>
  <si>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</si>
  <si>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</si>
  <si>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</si>
  <si>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</si>
  <si>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</si>
  <si>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</si>
  <si>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</si>
  <si>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</si>
  <si>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</si>
  <si>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</si>
  <si>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</si>
  <si>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</si>
  <si>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</si>
  <si>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</si>
  <si>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</si>
  <si>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</si>
  <si>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</si>
  <si>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</si>
  <si>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</si>
  <si>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</si>
  <si>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</si>
  <si>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</si>
  <si>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</si>
  <si>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</si>
  <si>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</si>
  <si>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</si>
  <si>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</si>
  <si>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</si>
  <si>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</si>
  <si>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</si>
  <si>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</si>
  <si>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</si>
  <si>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</si>
  <si>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</si>
  <si>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</si>
  <si>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</si>
  <si>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</si>
  <si>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</si>
  <si>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</si>
  <si>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</si>
  <si>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</si>
  <si>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</si>
  <si>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</si>
  <si>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</si>
  <si>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</si>
  <si>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</si>
  <si>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</si>
  <si>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</si>
  <si>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</si>
  <si>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</si>
  <si>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</si>
  <si>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</si>
  <si>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</si>
  <si>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</si>
  <si>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</si>
  <si>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</si>
  <si>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</si>
  <si>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</si>
  <si>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</si>
  <si>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</si>
  <si>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</si>
  <si>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</si>
  <si>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</si>
  <si>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</si>
  <si>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</si>
  <si>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</si>
  <si>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</si>
  <si>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</si>
  <si>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</si>
  <si>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</si>
  <si>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</si>
  <si>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</si>
  <si>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</si>
  <si>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</si>
  <si>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</si>
  <si>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</si>
  <si>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</si>
  <si>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</si>
  <si>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</si>
  <si>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</si>
  <si>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</si>
  <si>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</si>
  <si>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</si>
  <si>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</si>
  <si>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</si>
  <si>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</si>
  <si>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</si>
  <si>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</si>
  <si>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</si>
  <si>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</si>
  <si>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</si>
  <si>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</si>
  <si>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</si>
  <si>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</si>
  <si>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</si>
  <si>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</si>
  <si>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</si>
  <si>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</si>
  <si>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</si>
  <si>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</si>
  <si>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</si>
  <si>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</si>
  <si>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</si>
  <si>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</si>
  <si>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</si>
  <si>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</si>
  <si>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</si>
  <si>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</si>
  <si>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</si>
  <si>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</si>
  <si>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</si>
  <si>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</si>
  <si>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</si>
  <si>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</si>
  <si>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</si>
  <si>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</si>
  <si>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</si>
  <si>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</si>
  <si>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</si>
  <si>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</si>
  <si>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</si>
  <si>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</si>
  <si>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</si>
  <si>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</si>
  <si>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</si>
  <si>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</si>
  <si>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</si>
  <si>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</si>
  <si>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</si>
  <si>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</si>
  <si>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</si>
  <si>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</si>
  <si>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</si>
  <si>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</si>
  <si>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</si>
  <si>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</si>
  <si>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</si>
  <si>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</si>
  <si>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</si>
  <si>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</si>
  <si>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</si>
  <si>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</si>
  <si>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</si>
  <si>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</si>
  <si>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</si>
  <si>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</si>
  <si>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</si>
  <si>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</si>
  <si>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</si>
  <si>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</si>
  <si>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</si>
  <si>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</si>
  <si>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</si>
  <si>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</si>
  <si>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</si>
  <si>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</si>
  <si>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</si>
  <si>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</si>
  <si>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</si>
  <si>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</si>
  <si>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</si>
  <si>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</si>
  <si>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</si>
  <si>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</si>
  <si>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</si>
  <si>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</si>
  <si>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</si>
  <si>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</si>
  <si>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</si>
  <si>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</si>
  <si>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</si>
  <si>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</si>
  <si>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</si>
  <si>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</si>
  <si>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</si>
  <si>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</si>
  <si>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</si>
  <si>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</si>
  <si>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</si>
  <si>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</si>
  <si>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</si>
  <si>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</si>
  <si>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</si>
  <si>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</si>
  <si>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</si>
  <si>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</si>
  <si>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</si>
  <si>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</si>
  <si>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</si>
  <si>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</si>
  <si>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</si>
  <si>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</si>
  <si>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</si>
  <si>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</si>
  <si>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</si>
  <si>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</si>
  <si>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</si>
  <si>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</si>
  <si>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</si>
  <si>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</si>
  <si>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</si>
  <si>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</si>
  <si>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</si>
  <si>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</si>
  <si>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</si>
  <si>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</si>
  <si>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</si>
  <si>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</si>
  <si>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</si>
  <si>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</si>
  <si>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</si>
  <si>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</si>
  <si>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</si>
  <si>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</si>
  <si>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Total Actual</t>
  </si>
  <si>
    <t>Expected Total</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</si>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</sst>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scheme val="minor"/>
    </font>
    <font>
      <color theme="1"/>
      <name val="Arial"/>
    </font>
    <font>
      <sz val="11.0"/>
      <color theme="1"/>
      <name val="Arial"/>
    </font>
    <font>
      <b/>
      <color theme="1"/>
      <name val="Arial"/>
      <scheme val="minor"/>
    </font>
    <font>
      <sz val="11.0"/>
      <color theme="1"/>
      <name val="Aptos Narrow"/>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F0000"/>
        <bgColor rgb="FFFF0000"/>
      </patternFill>
    </fill>
    <fill>
      <patternFill patternType="solid">
        <fgColor rgb="FFF3F3F3"/>
        <bgColor rgb="FFF3F3F3"/>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0" fontId="1" numFmtId="0" xfId="0" applyAlignment="1" applyFont="1">
      <alignment horizontal="left" readingOrder="0"/>
    </xf>
    <xf borderId="0" fillId="0" fontId="1" numFmtId="0" xfId="0" applyAlignment="1" applyFont="1">
      <alignment readingOrder="0"/>
    </xf>
    <xf borderId="1" fillId="2" fontId="1" numFmtId="0" xfId="0" applyBorder="1" applyFill="1" applyFont="1"/>
    <xf borderId="0" fillId="2" fontId="2" numFmtId="0" xfId="0" applyAlignment="1" applyFill="1" applyFont="1">
      <alignment vertical="bottom"/>
    </xf>
    <xf borderId="1" fillId="0" fontId="1" numFmtId="0" xfId="0" applyAlignment="1" applyBorder="1" applyFont="1">
      <alignment readingOrder="0"/>
    </xf>
    <xf borderId="0" fillId="2" fontId="3" numFmtId="0" xfId="0" applyAlignment="1" applyFill="1" applyFont="1">
      <alignment vertical="bottom"/>
    </xf>
    <xf borderId="0" fillId="3" fontId="1" numFmtId="0" xfId="0" applyAlignment="1" applyFill="1" applyFont="1">
      <alignment readingOrder="0"/>
    </xf>
    <xf borderId="1" fillId="0" fontId="1" numFmtId="0" xfId="0" applyAlignment="1" applyBorder="1" applyFont="1">
      <alignment horizontal="right" readingOrder="0"/>
    </xf>
    <xf borderId="1" fillId="0" fontId="4" numFmtId="0" xfId="0" applyAlignment="1" applyBorder="1" applyFont="1">
      <alignment horizontal="left" readingOrder="0"/>
    </xf>
    <xf borderId="0" fillId="0" fontId="1" numFmtId="0" xfId="0" applyAlignment="1" applyFont="1">
      <alignment horizontal="right" readingOrder="0"/>
    </xf>
    <xf borderId="0" fillId="0" fontId="1" numFmtId="0" xfId="0" applyAlignment="1" applyFont="1">
      <alignment horizontal="left"/>
    </xf>
    <xf borderId="1" fillId="4" fontId="1" numFmtId="0" xfId="0" applyBorder="1" applyFill="1" applyFont="1"/>
    <xf borderId="0" fillId="0" fontId="5" numFmtId="0" xfId="0" applyAlignment="1" applyFont="1">
      <alignment horizontal="right" vertical="bottom"/>
    </xf>
    <xf borderId="0" fillId="5" fontId="2" numFmtId="0" xfId="0" applyAlignment="1" applyFill="1" applyFont="1">
      <alignment vertical="bottom"/>
    </xf>
    <xf borderId="0" fillId="0" fontId="2" numFmtId="0" xfId="0" applyAlignment="1" applyFont="1">
      <alignment vertical="bottom"/>
    </xf>
    <xf borderId="0" fillId="0" fontId="3" numFmtId="0" xfId="0" applyAlignment="1" applyFont="1">
      <alignment horizontal="right" vertical="bottom"/>
    </xf>
    <xf borderId="0" fillId="4" fontId="1" numFmtId="0" xfId="0" applyAlignment="1" applyFill="1" applyFont="1">
      <alignment horizontal="right" readingOrder="0"/>
    </xf>
    <xf borderId="0" fillId="4" fontId="1" numFmtId="164" xfId="0" applyAlignment="1" applyFill="1" applyFont="1" applyNumberFormat="1">
      <alignment horizontal="right" readingOrder="0"/>
    </xf>
    <xf borderId="0" fillId="4" fontId="1" numFmtId="0" xfId="0" applyAlignment="1" applyFill="1" applyFont="1">
      <alignment horizontal="left" readingOrder="0"/>
    </xf>
    <xf borderId="0" fillId="6" fontId="1" numFmtId="0" xfId="0" applyAlignment="1" applyFill="1" applyFont="1">
      <alignment horizontal="right" readingOrder="0"/>
    </xf>
    <xf borderId="0" fillId="6" fontId="1" numFmtId="164" xfId="0" applyAlignment="1" applyFill="1" applyFont="1" applyNumberFormat="1">
      <alignment horizontal="right" readingOrder="0"/>
    </xf>
    <xf borderId="0" fillId="6" fontId="1" numFmtId="0" xfId="0" applyAlignment="1" applyFill="1" applyFont="1">
      <alignment horizontal="left" readingOrder="0"/>
    </xf>
    <xf borderId="0" fillId="2" fontId="1" numFmtId="0" xfId="0" applyAlignment="1" applyFill="1" applyFont="1">
      <alignment horizontal="right" readingOrder="0"/>
    </xf>
    <xf borderId="0" fillId="2" fontId="1" numFmtId="164" xfId="0" applyAlignment="1" applyFill="1" applyFont="1" applyNumberFormat="1">
      <alignment horizontal="right" readingOrder="0"/>
    </xf>
    <xf borderId="0" fillId="2" fontId="1" numFmtId="0" xfId="0" applyAlignment="1" applyFill="1" applyFont="1">
      <alignment horizontal="left" readingOrder="0"/>
    </xf>
    <xf borderId="0" fillId="0" fontId="2" numFmtId="0" xfId="0" applyAlignment="1" applyFont="1">
      <alignment horizontal="right" vertical="bottom"/>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2"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2"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2" numFmtId="0" xfId="0" applyAlignment="1" applyBorder="1" applyFill="1" applyFont="1">
      <alignment shrinkToFit="0" vertical="center" wrapText="0"/>
    </xf>
    <xf borderId="3" fillId="8" fontId="2" numFmtId="10" xfId="0" applyAlignment="1" applyBorder="1" applyFill="1" applyFont="1" applyNumberFormat="1">
      <alignment shrinkToFit="0" vertical="center" wrapText="0"/>
    </xf>
    <xf borderId="4" fillId="8" fontId="2" numFmtId="10" xfId="0" applyAlignment="1" applyBorder="1" applyFill="1" applyFont="1" applyNumberFormat="1">
      <alignment shrinkToFit="0" vertical="center" wrapText="0"/>
    </xf>
    <xf borderId="5" fillId="9" fontId="2" numFmtId="0" xfId="0" applyAlignment="1" applyBorder="1" applyFill="1" applyFont="1">
      <alignment shrinkToFit="0" vertical="center" wrapText="0"/>
    </xf>
    <xf borderId="6" fillId="9" fontId="2" numFmtId="0" xfId="0" applyAlignment="1" applyBorder="1" applyFill="1" applyFont="1">
      <alignment shrinkToFit="0" vertical="center" wrapText="0"/>
    </xf>
    <xf borderId="6" fillId="9" fontId="2" numFmtId="10" xfId="0" applyAlignment="1" applyBorder="1" applyFill="1" applyFont="1" applyNumberFormat="1">
      <alignment shrinkToFit="0" vertical="center" wrapText="0"/>
    </xf>
    <xf borderId="7" fillId="9" fontId="2" numFmtId="10" xfId="0" applyAlignment="1" applyBorder="1" applyFill="1" applyFont="1" applyNumberFormat="1">
      <alignment shrinkToFit="0" vertical="center" wrapText="0"/>
    </xf>
    <xf borderId="2" fillId="8" fontId="2" numFmtId="0" xfId="0" applyAlignment="1" applyBorder="1" applyFill="1" applyFont="1">
      <alignment shrinkToFit="0" vertical="center" wrapText="0"/>
    </xf>
    <xf borderId="8" fillId="8" fontId="2" numFmtId="0" xfId="0" applyAlignment="1" applyBorder="1" applyFill="1" applyFont="1">
      <alignment shrinkToFit="0" vertical="center" wrapText="0"/>
    </xf>
    <xf borderId="9" fillId="8" fontId="2" numFmtId="0" xfId="0" applyAlignment="1" applyBorder="1" applyFill="1" applyFont="1">
      <alignment shrinkToFit="0" vertical="center" wrapText="0"/>
    </xf>
    <xf borderId="9" fillId="8" fontId="2"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2" numFmtId="10" xfId="0" applyAlignment="1" applyBorder="1" applyFill="1" applyFont="1" applyNumberFormat="1">
      <alignment shrinkToFit="0" vertical="center" wrapText="0"/>
    </xf>
    <xf borderId="10" fillId="8" fontId="2" numFmtId="10" xfId="0" applyAlignment="1" applyBorder="1" applyFill="1" applyFont="1" applyNumberFormat="1">
      <alignment shrinkToFit="0" vertical="center" wrapText="0"/>
    </xf>
    <xf borderId="0" fillId="0" fontId="2" numFmtId="10" xfId="0" applyAlignment="1" applyFont="1" applyNumberFormat="1">
      <alignment vertical="bottom"/>
    </xf>
    <xf borderId="11" fillId="0" fontId="2" numFmtId="0" xfId="0" applyAlignment="1" applyBorder="1" applyFont="1">
      <alignment vertical="bottom"/>
    </xf>
    <xf borderId="0" fillId="10" fontId="8" numFmtId="0" xfId="0" applyAlignment="1" applyFill="1" applyFont="1">
      <alignment readingOrder="0"/>
    </xf>
    <xf borderId="0" fillId="10" fontId="1" numFmtId="0" xfId="0" applyFill="1" applyFont="1"/>
    <xf borderId="0" fillId="10" fontId="9" numFmtId="0" xfId="0" applyFill="1" applyFont="1"/>
    <xf borderId="1" fillId="0" fontId="0" numFmtId="0" xfId="0" applyAlignment="1" applyBorder="1" applyFont="1">
      <alignment readingOrder="0"/>
    </xf>
    <xf borderId="0" fillId="0" fontId="1"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1" numFmtId="0" xfId="0" applyAlignment="1" applyBorder="1" applyFont="1">
      <alignment readingOrder="0"/>
    </xf>
    <xf borderId="1" fillId="0" fontId="10" numFmtId="0" xfId="0" applyAlignment="1" applyBorder="1" applyFont="1">
      <alignment horizontal="left" readingOrder="0"/>
    </xf>
    <xf borderId="1" fillId="0" fontId="1" numFmtId="0" xfId="0" applyAlignment="1" applyBorder="1" applyFont="1">
      <alignment readingOrder="0"/>
    </xf>
    <xf borderId="0" fillId="0" fontId="4"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4" numFmtId="0" xfId="0" applyAlignment="1" applyFont="1">
      <alignment readingOrder="0"/>
    </xf>
    <xf borderId="0" fillId="11" fontId="2" numFmtId="0" xfId="0" applyAlignment="1" applyFill="1" applyFont="1">
      <alignment vertical="bottom"/>
    </xf>
    <xf borderId="0" fillId="2" fontId="4" numFmtId="0" xfId="0" applyAlignment="1" applyFill="1" applyFont="1">
      <alignment horizontal="left" readingOrder="0"/>
    </xf>
    <xf borderId="0" fillId="2" fontId="4" numFmtId="0" xfId="0" applyAlignment="1" applyFill="1" applyFont="1">
      <alignment horizontal="center" readingOrder="0"/>
    </xf>
    <xf borderId="0" fillId="2" fontId="4" numFmtId="0" xfId="0" applyAlignment="1" applyFill="1" applyFont="1">
      <alignment horizontal="right" readingOrder="0"/>
    </xf>
    <xf borderId="0" fillId="2" fontId="1" numFmtId="0" xfId="0" applyFill="1" applyFont="1"/>
    <xf borderId="0" fillId="5" fontId="1" numFmtId="0" xfId="0" applyAlignment="1" applyFill="1" applyFont="1">
      <alignment readingOrder="0"/>
    </xf>
    <xf borderId="0" fillId="5" fontId="1" numFmtId="10" xfId="0" applyAlignment="1" applyFill="1" applyFont="1" applyNumberFormat="1">
      <alignment readingOrder="0"/>
    </xf>
    <xf borderId="0" fillId="5" fontId="1" numFmtId="0" xfId="0" applyFill="1" applyFont="1"/>
    <xf borderId="0" fillId="0" fontId="1" numFmtId="10" xfId="0" applyAlignment="1" applyFont="1" applyNumberFormat="1">
      <alignment readingOrder="0"/>
    </xf>
    <xf borderId="0" fillId="0" fontId="1" numFmtId="0" xfId="0" applyFont="1"/>
    <xf borderId="0" fillId="12" fontId="1" numFmtId="0" xfId="0" applyAlignment="1" applyFill="1" applyFont="1">
      <alignment readingOrder="0"/>
    </xf>
    <xf borderId="0" fillId="12" fontId="8" numFmtId="0" xfId="0" applyAlignment="1" applyFill="1" applyFont="1">
      <alignment readingOrder="0"/>
    </xf>
    <xf borderId="1" fillId="0" fontId="1" numFmtId="0" xfId="0" applyAlignment="1" applyBorder="1" applyFont="1">
      <alignment horizontal="left" readingOrder="0"/>
    </xf>
    <xf borderId="0" fillId="12" fontId="4" numFmtId="167" xfId="0" applyAlignment="1" applyFill="1" applyFont="1" applyNumberFormat="1">
      <alignment readingOrder="0"/>
    </xf>
    <xf borderId="0" fillId="5"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5" fontId="12" numFmtId="0" xfId="0" applyAlignment="1" applyFill="1" applyFont="1">
      <alignment readingOrder="0"/>
    </xf>
    <xf borderId="0" fillId="0" fontId="4" numFmtId="0" xfId="0" applyAlignment="1" applyFont="1">
      <alignment horizontal="center" readingOrder="0"/>
    </xf>
    <xf borderId="0" fillId="0" fontId="1" numFmtId="167" xfId="0" applyAlignment="1" applyFont="1" applyNumberFormat="1">
      <alignment readingOrder="0"/>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1" numFmtId="0" xfId="0" applyFill="1" applyFont="1"/>
    <xf borderId="0" fillId="7" fontId="4"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1"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1" numFmtId="0" xfId="0" applyAlignment="1" applyFill="1" applyFont="1">
      <alignment readingOrder="0" shrinkToFit="0" wrapText="1"/>
    </xf>
    <xf borderId="0" fillId="7" fontId="4"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1" numFmtId="0" xfId="0" applyAlignment="1" applyFill="1" applyFont="1">
      <alignment readingOrder="0" shrinkToFit="0" wrapText="0"/>
    </xf>
    <xf borderId="0" fillId="7" fontId="1" numFmtId="0" xfId="0" applyAlignment="1" applyFill="1" applyFont="1">
      <alignment horizontal="right" readingOrder="0"/>
    </xf>
    <xf borderId="0" fillId="7" fontId="1" numFmtId="3" xfId="0" applyAlignment="1" applyFill="1" applyFont="1" applyNumberFormat="1">
      <alignment readingOrder="0"/>
    </xf>
    <xf borderId="0" fillId="0" fontId="1" numFmtId="0" xfId="0" applyAlignment="1" applyFont="1">
      <alignment readingOrder="0"/>
    </xf>
    <xf borderId="0" fillId="7" fontId="2" numFmtId="0" xfId="0" applyAlignment="1" applyFill="1" applyFont="1">
      <alignment vertical="bottom"/>
    </xf>
    <xf borderId="0" fillId="7" fontId="2" numFmtId="0" xfId="0" applyAlignment="1" applyFill="1" applyFont="1">
      <alignment readingOrder="0" shrinkToFit="0" vertical="bottom" wrapText="0"/>
    </xf>
    <xf borderId="0" fillId="0" fontId="1" numFmtId="0" xfId="0" applyFont="1"/>
    <xf borderId="12" fillId="7" fontId="2" numFmtId="0" xfId="0" applyAlignment="1" applyBorder="1" applyFill="1" applyFont="1">
      <alignment vertical="bottom"/>
    </xf>
    <xf borderId="13" fillId="7" fontId="2" numFmtId="0" xfId="0" applyAlignment="1" applyBorder="1" applyFill="1" applyFont="1">
      <alignment vertical="bottom"/>
    </xf>
    <xf borderId="11" fillId="7" fontId="2" numFmtId="0" xfId="0" applyAlignment="1" applyBorder="1" applyFill="1" applyFont="1">
      <alignment horizontal="right" shrinkToFit="0" vertical="bottom" wrapText="1"/>
    </xf>
    <xf borderId="14" fillId="7" fontId="2" numFmtId="0" xfId="0" applyAlignment="1" applyBorder="1" applyFill="1" applyFont="1">
      <alignment horizontal="right" readingOrder="0" vertical="bottom"/>
    </xf>
    <xf borderId="0" fillId="7" fontId="2" numFmtId="0" xfId="0" applyAlignment="1" applyFill="1" applyFont="1">
      <alignment horizontal="right" vertical="bottom"/>
    </xf>
    <xf borderId="0" fillId="7" fontId="2" numFmtId="0" xfId="0" applyAlignment="1" applyFill="1" applyFont="1">
      <alignment horizontal="right" readingOrder="0" vertical="bottom"/>
    </xf>
    <xf borderId="0" fillId="7" fontId="2" numFmtId="0" xfId="0" applyAlignment="1" applyFill="1" applyFont="1">
      <alignment readingOrder="0" vertical="bottom"/>
    </xf>
    <xf borderId="11" fillId="7" fontId="2" numFmtId="0" xfId="0" applyAlignment="1" applyBorder="1" applyFill="1" applyFont="1">
      <alignment horizontal="right" vertical="bottom"/>
    </xf>
    <xf borderId="0" fillId="7" fontId="8" numFmtId="0" xfId="0" applyAlignment="1" applyFill="1" applyFont="1">
      <alignment horizontal="center" readingOrder="0"/>
    </xf>
    <xf borderId="15" fillId="7" fontId="2" numFmtId="0" xfId="0" applyAlignment="1" applyBorder="1" applyFill="1" applyFont="1">
      <alignment horizontal="right" vertical="bottom"/>
    </xf>
    <xf borderId="16" fillId="7" fontId="2" numFmtId="0" xfId="0" applyAlignment="1" applyBorder="1" applyFill="1" applyFont="1">
      <alignment horizontal="right" readingOrder="0" vertical="bottom"/>
    </xf>
    <xf borderId="1" fillId="7" fontId="1" numFmtId="0" xfId="0" applyAlignment="1" applyBorder="1" applyFill="1" applyFont="1">
      <alignment horizontal="left" readingOrder="0"/>
    </xf>
    <xf borderId="1" fillId="7" fontId="1"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1" numFmtId="0" xfId="0" applyAlignment="1" applyBorder="1" applyFill="1" applyFont="1">
      <alignment readingOrder="0"/>
    </xf>
    <xf borderId="17" fillId="12" fontId="8" numFmtId="0" xfId="0" applyAlignment="1" applyBorder="1" applyFill="1" applyFont="1">
      <alignment readingOrder="0"/>
    </xf>
    <xf borderId="17" fillId="12" fontId="4"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1" numFmtId="0" xfId="0" applyAlignment="1" applyBorder="1" applyFont="1">
      <alignment readingOrder="0"/>
    </xf>
    <xf borderId="14" fillId="13" fontId="9" numFmtId="0" xfId="0" applyAlignment="1" applyBorder="1" applyFill="1" applyFont="1">
      <alignment readingOrder="0"/>
    </xf>
    <xf borderId="11" fillId="0" fontId="1" numFmtId="0" xfId="0" applyBorder="1" applyFont="1"/>
    <xf borderId="14" fillId="0" fontId="9" numFmtId="0" xfId="0" applyBorder="1" applyFont="1"/>
    <xf borderId="11" fillId="0" fontId="1"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4" fontId="1" numFmtId="0" xfId="0" applyAlignment="1" applyBorder="1" applyFill="1" applyFont="1">
      <alignment horizontal="right" readingOrder="0"/>
    </xf>
    <xf borderId="0" fillId="4" fontId="1"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1" numFmtId="0" xfId="0" applyAlignment="1" applyBorder="1" applyFont="1">
      <alignment horizontal="right" readingOrder="0"/>
    </xf>
    <xf borderId="18" fillId="0" fontId="1" numFmtId="0" xfId="0" applyAlignment="1" applyBorder="1" applyFont="1">
      <alignment horizontal="left"/>
    </xf>
    <xf borderId="18" fillId="0" fontId="1"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1" numFmtId="0" xfId="0" applyAlignment="1" applyFill="1" applyFont="1">
      <alignment readingOrder="0"/>
    </xf>
    <xf borderId="0" fillId="14" fontId="8" numFmtId="0" xfId="0" applyAlignment="1" applyFill="1" applyFont="1">
      <alignment readingOrder="0"/>
    </xf>
    <xf borderId="0" fillId="14" fontId="4"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4" fontId="9" numFmtId="0" xfId="0" applyAlignment="1" applyFill="1" applyFont="1">
      <alignment horizontal="right" readingOrder="0"/>
    </xf>
    <xf borderId="0" fillId="15" fontId="8" numFmtId="0" xfId="0" applyAlignment="1" applyFill="1" applyFont="1">
      <alignment horizontal="left" readingOrder="0"/>
    </xf>
    <xf borderId="0" fillId="15" fontId="4" numFmtId="0" xfId="0" applyAlignment="1" applyFill="1" applyFont="1">
      <alignment horizontal="left" readingOrder="0"/>
    </xf>
    <xf borderId="0" fillId="15" fontId="4" numFmtId="0" xfId="0" applyAlignment="1" applyFill="1" applyFont="1">
      <alignment readingOrder="0"/>
    </xf>
    <xf borderId="0" fillId="15" fontId="1" numFmtId="0" xfId="0" applyAlignment="1" applyFill="1" applyFont="1">
      <alignment readingOrder="0"/>
    </xf>
    <xf borderId="0" fillId="15" fontId="9" numFmtId="0" xfId="0" applyAlignment="1" applyFill="1" applyFont="1">
      <alignment readingOrder="0"/>
    </xf>
    <xf borderId="0" fillId="15" fontId="1" numFmtId="0" xfId="0" applyFill="1" applyFont="1"/>
    <xf borderId="0" fillId="15" fontId="9" numFmtId="0" xfId="0" applyFill="1" applyFont="1"/>
    <xf borderId="0" fillId="8" fontId="9" numFmtId="0" xfId="0" applyAlignment="1" applyFill="1" applyFont="1">
      <alignment horizontal="left" readingOrder="0"/>
    </xf>
    <xf borderId="0" fillId="13" fontId="1"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1" numFmtId="0" xfId="0" applyAlignment="1" applyFill="1" applyFont="1">
      <alignment readingOrder="0"/>
    </xf>
    <xf borderId="0" fillId="16" fontId="9" numFmtId="0" xfId="0" applyAlignment="1" applyFill="1" applyFont="1">
      <alignment readingOrder="0"/>
    </xf>
    <xf borderId="0" fillId="17" fontId="1"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698339189"/>
        <c:axId val="1045367253"/>
      </c:barChart>
      <c:catAx>
        <c:axId val="698339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045367253"/>
      </c:catAx>
      <c:valAx>
        <c:axId val="1045367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9833918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341316435"/>
        <c:axId val="603323248"/>
      </c:barChart>
      <c:catAx>
        <c:axId val="1341316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603323248"/>
      </c:catAx>
      <c:valAx>
        <c:axId val="6033232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413164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460220241"/>
        <c:axId val="583983796"/>
      </c:barChart>
      <c:catAx>
        <c:axId val="4602202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3983796"/>
      </c:catAx>
      <c:valAx>
        <c:axId val="5839837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6022024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643051166"/>
        <c:axId val="1693453332"/>
      </c:barChart>
      <c:catAx>
        <c:axId val="16430511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3453332"/>
      </c:catAx>
      <c:valAx>
        <c:axId val="16934533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3051166"/>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2069973340"/>
        <c:axId val="1383383801"/>
      </c:barChart>
      <c:catAx>
        <c:axId val="2069973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3383801"/>
      </c:catAx>
      <c:valAx>
        <c:axId val="13833838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6997334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864765371"/>
        <c:axId val="1979960832"/>
      </c:barChart>
      <c:catAx>
        <c:axId val="1864765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9960832"/>
      </c:catAx>
      <c:valAx>
        <c:axId val="19799608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4765371"/>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65190411"/>
        <c:axId val="2087323239"/>
      </c:barChart>
      <c:catAx>
        <c:axId val="65190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87323239"/>
      </c:catAx>
      <c:valAx>
        <c:axId val="20873232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190411"/>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798900738"/>
        <c:axId val="141025771"/>
      </c:barChart>
      <c:catAx>
        <c:axId val="1798900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025771"/>
      </c:catAx>
      <c:valAx>
        <c:axId val="1410257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8900738"/>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847615716"/>
        <c:axId val="780527130"/>
      </c:barChart>
      <c:catAx>
        <c:axId val="847615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80527130"/>
      </c:catAx>
      <c:valAx>
        <c:axId val="7805271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7615716"/>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895159167"/>
        <c:axId val="1170790805"/>
      </c:barChart>
      <c:catAx>
        <c:axId val="895159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0790805"/>
      </c:catAx>
      <c:valAx>
        <c:axId val="11707908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5159167"/>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579014535"/>
        <c:axId val="1795684117"/>
      </c:barChart>
      <c:catAx>
        <c:axId val="5790145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5684117"/>
      </c:catAx>
      <c:valAx>
        <c:axId val="17956841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79014535"/>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813216636"/>
        <c:axId val="933635483"/>
      </c:barChart>
      <c:catAx>
        <c:axId val="813216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33635483"/>
      </c:catAx>
      <c:valAx>
        <c:axId val="933635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3216636"/>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294844597"/>
        <c:axId val="2106671736"/>
      </c:barChart>
      <c:catAx>
        <c:axId val="29484459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6671736"/>
      </c:catAx>
      <c:valAx>
        <c:axId val="210667173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94844597"/>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409957097"/>
        <c:axId val="1832576764"/>
      </c:barChart>
      <c:catAx>
        <c:axId val="4099570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32576764"/>
      </c:catAx>
      <c:valAx>
        <c:axId val="18325767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09957097"/>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310114775"/>
        <c:axId val="1421888711"/>
      </c:barChart>
      <c:catAx>
        <c:axId val="3101147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1888711"/>
      </c:catAx>
      <c:valAx>
        <c:axId val="14218887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0114775"/>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566047473"/>
        <c:axId val="1697720166"/>
      </c:barChart>
      <c:catAx>
        <c:axId val="1566047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7720166"/>
      </c:catAx>
      <c:valAx>
        <c:axId val="16977201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6047473"/>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628677773"/>
        <c:axId val="2088556928"/>
      </c:barChart>
      <c:catAx>
        <c:axId val="6286777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088556928"/>
      </c:catAx>
      <c:valAx>
        <c:axId val="20885569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28677773"/>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473117325"/>
        <c:axId val="1195837619"/>
      </c:barChart>
      <c:catAx>
        <c:axId val="1473117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5837619"/>
      </c:catAx>
      <c:valAx>
        <c:axId val="1195837619"/>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73117325"/>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972729642"/>
        <c:axId val="534923121"/>
      </c:barChart>
      <c:catAx>
        <c:axId val="972729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34923121"/>
      </c:catAx>
      <c:valAx>
        <c:axId val="5349231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2729642"/>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266347696"/>
        <c:axId val="682073350"/>
      </c:barChart>
      <c:catAx>
        <c:axId val="12663476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82073350"/>
      </c:catAx>
      <c:valAx>
        <c:axId val="682073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66347696"/>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200923530"/>
        <c:axId val="241871450"/>
      </c:lineChart>
      <c:catAx>
        <c:axId val="200923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1871450"/>
      </c:catAx>
      <c:valAx>
        <c:axId val="241871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92353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104" t="s">
        <v>159</v>
      </c>
      <c r="B1" s="105"/>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row>
    <row r="2">
      <c r="A2" s="104" t="s">
        <v>160</v>
      </c>
      <c r="B2" s="107"/>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row>
    <row r="3">
      <c r="A3" s="108" t="s">
        <v>161</v>
      </c>
      <c r="B3" s="109" t="s">
        <v>162</v>
      </c>
      <c r="C3" s="109" t="s">
        <v>163</v>
      </c>
      <c r="D3" s="109" t="s">
        <v>164</v>
      </c>
      <c r="E3" s="109" t="s">
        <v>165</v>
      </c>
      <c r="F3" s="109" t="s">
        <v>166</v>
      </c>
      <c r="G3" s="109" t="s">
        <v>167</v>
      </c>
      <c r="H3" s="109" t="s">
        <v>168</v>
      </c>
      <c r="I3" s="109" t="s">
        <v>169</v>
      </c>
      <c r="J3" s="109" t="s">
        <v>170</v>
      </c>
      <c r="K3" s="109" t="s">
        <v>171</v>
      </c>
      <c r="L3" s="109" t="s">
        <v>172</v>
      </c>
      <c r="M3" s="109" t="s">
        <v>173</v>
      </c>
      <c r="N3" s="109" t="s">
        <v>174</v>
      </c>
      <c r="O3" s="109" t="s">
        <v>175</v>
      </c>
      <c r="P3" s="109" t="s">
        <v>176</v>
      </c>
      <c r="Q3" s="109" t="s">
        <v>177</v>
      </c>
      <c r="R3" s="109" t="s">
        <v>178</v>
      </c>
      <c r="S3" s="109" t="s">
        <v>179</v>
      </c>
      <c r="T3" s="109" t="s">
        <v>180</v>
      </c>
      <c r="U3" s="109" t="s">
        <v>181</v>
      </c>
      <c r="V3" s="109" t="s">
        <v>182</v>
      </c>
      <c r="W3" s="109" t="s">
        <v>183</v>
      </c>
      <c r="X3" s="109" t="s">
        <v>184</v>
      </c>
      <c r="Y3" s="109" t="s">
        <v>185</v>
      </c>
      <c r="Z3" s="110" t="s">
        <v>186</v>
      </c>
      <c r="AA3" s="106"/>
      <c r="AB3" s="106"/>
      <c r="AC3" s="106"/>
      <c r="AD3" s="106"/>
      <c r="AE3" s="106"/>
      <c r="AF3" s="106"/>
      <c r="AG3" s="106"/>
      <c r="AH3" s="106"/>
      <c r="AI3" s="106"/>
    </row>
    <row r="4">
      <c r="A4" s="104" t="s">
        <v>187</v>
      </c>
      <c r="B4" s="111">
        <v>1572.0</v>
      </c>
      <c r="C4" s="104">
        <v>204.0</v>
      </c>
      <c r="D4" s="112">
        <v>60.0</v>
      </c>
      <c r="E4" s="112">
        <v>73.0</v>
      </c>
      <c r="F4" s="111">
        <v>43.0</v>
      </c>
      <c r="G4" s="112">
        <v>76.0</v>
      </c>
      <c r="H4" s="112">
        <v>65.0</v>
      </c>
      <c r="I4" s="112">
        <v>45.0</v>
      </c>
      <c r="J4" s="112">
        <v>98.0</v>
      </c>
      <c r="K4" s="112">
        <v>66.0</v>
      </c>
      <c r="L4" s="112">
        <v>50.0</v>
      </c>
      <c r="M4" s="112">
        <v>54.0</v>
      </c>
      <c r="N4" s="112">
        <v>85.0</v>
      </c>
      <c r="O4" s="112">
        <v>69.0</v>
      </c>
      <c r="P4" s="112">
        <v>63.0</v>
      </c>
      <c r="Q4" s="112">
        <v>71.0</v>
      </c>
      <c r="R4" s="112">
        <v>101.0</v>
      </c>
      <c r="S4" s="112">
        <v>56.0</v>
      </c>
      <c r="T4" s="112">
        <v>26.0</v>
      </c>
      <c r="U4" s="112">
        <v>43.0</v>
      </c>
      <c r="V4" s="112">
        <v>54.0</v>
      </c>
      <c r="W4" s="113">
        <v>55.0</v>
      </c>
      <c r="X4" s="112">
        <v>66.0</v>
      </c>
      <c r="Y4" s="112">
        <v>41.0</v>
      </c>
      <c r="Z4" s="106">
        <f t="shared" ref="Z4:Z8" si="1">B4-SUM(C4:Y4)</f>
        <v>8</v>
      </c>
      <c r="AA4" s="106"/>
      <c r="AB4" s="106"/>
      <c r="AC4" s="106"/>
      <c r="AD4" s="106"/>
      <c r="AE4" s="106"/>
      <c r="AF4" s="106"/>
      <c r="AG4" s="106"/>
      <c r="AH4" s="106"/>
      <c r="AI4" s="106"/>
    </row>
    <row r="5">
      <c r="A5" s="104" t="s">
        <v>188</v>
      </c>
      <c r="B5" s="111">
        <v>80.0</v>
      </c>
      <c r="C5" s="104">
        <v>10.0</v>
      </c>
      <c r="D5" s="112">
        <v>3.0</v>
      </c>
      <c r="E5" s="112">
        <v>7.0</v>
      </c>
      <c r="F5" s="111">
        <v>2.0</v>
      </c>
      <c r="G5" s="112">
        <v>7.0</v>
      </c>
      <c r="H5" s="112">
        <v>0.0</v>
      </c>
      <c r="I5" s="112">
        <v>3.0</v>
      </c>
      <c r="J5" s="112">
        <v>5.0</v>
      </c>
      <c r="K5" s="112">
        <v>5.0</v>
      </c>
      <c r="L5" s="112">
        <v>2.0</v>
      </c>
      <c r="M5" s="112">
        <v>7.0</v>
      </c>
      <c r="N5" s="112">
        <v>5.0</v>
      </c>
      <c r="O5" s="112">
        <v>3.0</v>
      </c>
      <c r="P5" s="112">
        <v>2.0</v>
      </c>
      <c r="Q5" s="112">
        <v>6.0</v>
      </c>
      <c r="R5" s="112">
        <v>2.0</v>
      </c>
      <c r="S5" s="112">
        <v>3.0</v>
      </c>
      <c r="T5" s="112">
        <v>6.0</v>
      </c>
      <c r="U5" s="112">
        <v>0.0</v>
      </c>
      <c r="V5" s="112">
        <v>1.0</v>
      </c>
      <c r="W5" s="113">
        <v>1.0</v>
      </c>
      <c r="X5" s="112">
        <v>0.0</v>
      </c>
      <c r="Y5" s="112">
        <v>0.0</v>
      </c>
      <c r="Z5" s="106">
        <f t="shared" si="1"/>
        <v>0</v>
      </c>
      <c r="AA5" s="106"/>
      <c r="AB5" s="106"/>
      <c r="AC5" s="106"/>
      <c r="AD5" s="106"/>
      <c r="AE5" s="106"/>
      <c r="AF5" s="106"/>
      <c r="AG5" s="106"/>
      <c r="AH5" s="106"/>
      <c r="AI5" s="106"/>
    </row>
    <row r="6">
      <c r="A6" s="104" t="s">
        <v>189</v>
      </c>
      <c r="B6" s="111">
        <v>29.0</v>
      </c>
      <c r="C6" s="104">
        <v>4.0</v>
      </c>
      <c r="D6" s="112">
        <v>0.0</v>
      </c>
      <c r="E6" s="112">
        <v>2.0</v>
      </c>
      <c r="F6" s="111">
        <v>0.0</v>
      </c>
      <c r="G6" s="112">
        <v>1.0</v>
      </c>
      <c r="H6" s="112">
        <v>1.0</v>
      </c>
      <c r="I6" s="112">
        <v>1.0</v>
      </c>
      <c r="J6" s="112">
        <v>1.0</v>
      </c>
      <c r="K6" s="112">
        <v>0.0</v>
      </c>
      <c r="L6" s="112">
        <v>0.0</v>
      </c>
      <c r="M6" s="112">
        <v>1.0</v>
      </c>
      <c r="N6" s="112">
        <v>2.0</v>
      </c>
      <c r="O6" s="112">
        <v>4.0</v>
      </c>
      <c r="P6" s="112">
        <v>1.0</v>
      </c>
      <c r="Q6" s="112">
        <v>2.0</v>
      </c>
      <c r="R6" s="112">
        <v>0.0</v>
      </c>
      <c r="S6" s="112">
        <v>1.0</v>
      </c>
      <c r="T6" s="112">
        <v>2.0</v>
      </c>
      <c r="U6" s="112">
        <v>2.0</v>
      </c>
      <c r="V6" s="112">
        <v>1.0</v>
      </c>
      <c r="W6" s="113">
        <v>0.0</v>
      </c>
      <c r="X6" s="112">
        <v>2.0</v>
      </c>
      <c r="Y6" s="112">
        <v>1.0</v>
      </c>
      <c r="Z6" s="106">
        <f t="shared" si="1"/>
        <v>0</v>
      </c>
      <c r="AA6" s="106"/>
      <c r="AB6" s="106"/>
      <c r="AC6" s="106"/>
      <c r="AD6" s="106"/>
      <c r="AE6" s="106"/>
      <c r="AF6" s="106"/>
      <c r="AG6" s="106"/>
      <c r="AH6" s="106"/>
      <c r="AI6" s="106"/>
    </row>
    <row r="7">
      <c r="A7" s="104" t="s">
        <v>190</v>
      </c>
      <c r="B7" s="111">
        <v>33.0</v>
      </c>
      <c r="C7" s="104">
        <v>15.0</v>
      </c>
      <c r="D7" s="112">
        <v>1.0</v>
      </c>
      <c r="E7" s="112">
        <v>0.0</v>
      </c>
      <c r="F7" s="111">
        <v>4.0</v>
      </c>
      <c r="G7" s="112">
        <v>1.0</v>
      </c>
      <c r="H7" s="112">
        <v>2.0</v>
      </c>
      <c r="I7" s="112">
        <v>2.0</v>
      </c>
      <c r="J7" s="112">
        <v>1.0</v>
      </c>
      <c r="K7" s="112">
        <v>0.0</v>
      </c>
      <c r="L7" s="112">
        <v>0.0</v>
      </c>
      <c r="M7" s="112">
        <v>0.0</v>
      </c>
      <c r="N7" s="112">
        <v>0.0</v>
      </c>
      <c r="O7" s="112">
        <v>0.0</v>
      </c>
      <c r="P7" s="112">
        <v>1.0</v>
      </c>
      <c r="Q7" s="112">
        <v>1.0</v>
      </c>
      <c r="R7" s="112">
        <v>0.0</v>
      </c>
      <c r="S7" s="112">
        <v>0.0</v>
      </c>
      <c r="T7" s="112">
        <v>0.0</v>
      </c>
      <c r="U7" s="112">
        <v>3.0</v>
      </c>
      <c r="V7" s="112">
        <v>2.0</v>
      </c>
      <c r="W7" s="113">
        <v>0.0</v>
      </c>
      <c r="X7" s="112">
        <v>0.0</v>
      </c>
      <c r="Y7" s="112">
        <v>0.0</v>
      </c>
      <c r="Z7" s="106">
        <f t="shared" si="1"/>
        <v>0</v>
      </c>
      <c r="AA7" s="106"/>
      <c r="AB7" s="106"/>
      <c r="AC7" s="106"/>
      <c r="AD7" s="106"/>
      <c r="AE7" s="106"/>
      <c r="AF7" s="106"/>
      <c r="AG7" s="106"/>
      <c r="AH7" s="106"/>
      <c r="AI7" s="106"/>
    </row>
    <row r="8">
      <c r="A8" s="114" t="s">
        <v>191</v>
      </c>
      <c r="B8" s="111">
        <v>21.0</v>
      </c>
      <c r="C8" s="104">
        <v>1.0</v>
      </c>
      <c r="D8" s="112">
        <v>1.0</v>
      </c>
      <c r="E8" s="112">
        <v>1.0</v>
      </c>
      <c r="F8" s="111">
        <v>2.0</v>
      </c>
      <c r="G8" s="112">
        <v>0.0</v>
      </c>
      <c r="H8" s="112">
        <v>1.0</v>
      </c>
      <c r="I8" s="112">
        <v>1.0</v>
      </c>
      <c r="J8" s="112">
        <v>0.0</v>
      </c>
      <c r="K8" s="112">
        <v>1.0</v>
      </c>
      <c r="L8" s="112">
        <v>1.0</v>
      </c>
      <c r="M8" s="112">
        <v>1.0</v>
      </c>
      <c r="N8" s="112">
        <v>2.0</v>
      </c>
      <c r="O8" s="112">
        <v>2.0</v>
      </c>
      <c r="P8" s="112">
        <v>2.0</v>
      </c>
      <c r="Q8" s="112">
        <v>2.0</v>
      </c>
      <c r="R8" s="112">
        <v>0.0</v>
      </c>
      <c r="S8" s="112">
        <v>1.0</v>
      </c>
      <c r="T8" s="112">
        <v>1.0</v>
      </c>
      <c r="U8" s="112">
        <v>0.0</v>
      </c>
      <c r="V8" s="112">
        <v>0.0</v>
      </c>
      <c r="W8" s="113">
        <v>0.0</v>
      </c>
      <c r="X8" s="112">
        <v>0.0</v>
      </c>
      <c r="Y8" s="112">
        <v>0.0</v>
      </c>
      <c r="Z8" s="106">
        <f t="shared" si="1"/>
        <v>1</v>
      </c>
      <c r="AA8" s="106"/>
      <c r="AB8" s="106"/>
      <c r="AC8" s="106"/>
      <c r="AD8" s="106"/>
      <c r="AE8" s="106"/>
      <c r="AF8" s="106"/>
      <c r="AG8" s="106"/>
      <c r="AH8" s="106"/>
      <c r="AI8" s="106"/>
    </row>
    <row r="9">
      <c r="A9" s="107"/>
      <c r="B9" s="107"/>
      <c r="C9" s="107"/>
      <c r="D9" s="107"/>
      <c r="E9" s="106"/>
      <c r="F9" s="107"/>
      <c r="G9" s="106"/>
      <c r="H9" s="106"/>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c r="AH9" s="106"/>
      <c r="AI9" s="106"/>
    </row>
    <row r="10">
      <c r="A10" s="115" t="s">
        <v>192</v>
      </c>
      <c r="B10" s="107"/>
      <c r="C10" s="106"/>
      <c r="D10" s="106"/>
      <c r="E10" s="106"/>
      <c r="F10" s="107"/>
      <c r="G10" s="106"/>
      <c r="H10" s="106"/>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06"/>
      <c r="AG10" s="106"/>
      <c r="AH10" s="106"/>
      <c r="AI10" s="106"/>
    </row>
    <row r="11">
      <c r="A11" s="108" t="s">
        <v>193</v>
      </c>
      <c r="B11" s="109" t="s">
        <v>194</v>
      </c>
      <c r="C11" s="109" t="s">
        <v>195</v>
      </c>
      <c r="D11" s="109" t="s">
        <v>196</v>
      </c>
      <c r="E11" s="109" t="s">
        <v>197</v>
      </c>
      <c r="F11" s="109" t="s">
        <v>198</v>
      </c>
      <c r="G11" s="109" t="s">
        <v>199</v>
      </c>
      <c r="H11" s="109" t="s">
        <v>200</v>
      </c>
      <c r="I11" s="109" t="s">
        <v>201</v>
      </c>
      <c r="J11" s="109" t="s">
        <v>202</v>
      </c>
      <c r="K11" s="109" t="s">
        <v>203</v>
      </c>
      <c r="L11" s="109" t="s">
        <v>204</v>
      </c>
      <c r="M11" s="109" t="s">
        <v>205</v>
      </c>
      <c r="N11" s="109" t="s">
        <v>206</v>
      </c>
      <c r="O11" s="109" t="s">
        <v>207</v>
      </c>
      <c r="P11" s="109" t="s">
        <v>208</v>
      </c>
      <c r="Q11" s="109" t="s">
        <v>209</v>
      </c>
      <c r="R11" s="109" t="s">
        <v>210</v>
      </c>
      <c r="S11" s="109" t="s">
        <v>211</v>
      </c>
      <c r="T11" s="109" t="s">
        <v>212</v>
      </c>
      <c r="U11" s="109" t="s">
        <v>213</v>
      </c>
      <c r="V11" s="109" t="s">
        <v>214</v>
      </c>
      <c r="W11" s="109" t="s">
        <v>215</v>
      </c>
      <c r="X11" s="109" t="s">
        <v>216</v>
      </c>
      <c r="Y11" s="109" t="s">
        <v>217</v>
      </c>
      <c r="Z11" s="110" t="s">
        <v>218</v>
      </c>
      <c r="AA11" s="106"/>
      <c r="AB11" s="106"/>
      <c r="AC11" s="106"/>
      <c r="AD11" s="106"/>
      <c r="AE11" s="106"/>
      <c r="AF11" s="106"/>
      <c r="AG11" s="106"/>
      <c r="AH11" s="106"/>
      <c r="AI11" s="106"/>
    </row>
    <row r="12">
      <c r="A12" s="104" t="s">
        <v>41</v>
      </c>
      <c r="B12" s="111">
        <v>1698.0</v>
      </c>
      <c r="C12" s="104">
        <v>96.0</v>
      </c>
      <c r="D12" s="112">
        <v>62.0</v>
      </c>
      <c r="E12" s="112">
        <v>76.0</v>
      </c>
      <c r="F12" s="111">
        <v>47.0</v>
      </c>
      <c r="G12" s="112">
        <v>54.0</v>
      </c>
      <c r="H12" s="112">
        <v>71.0</v>
      </c>
      <c r="I12" s="112">
        <v>122.0</v>
      </c>
      <c r="J12" s="112">
        <v>89.0</v>
      </c>
      <c r="K12" s="112">
        <v>63.0</v>
      </c>
      <c r="L12" s="112">
        <v>74.0</v>
      </c>
      <c r="M12" s="112">
        <v>106.0</v>
      </c>
      <c r="N12" s="112">
        <v>47.0</v>
      </c>
      <c r="O12" s="112">
        <v>67.0</v>
      </c>
      <c r="P12" s="112">
        <v>91.0</v>
      </c>
      <c r="Q12" s="112">
        <v>76.0</v>
      </c>
      <c r="R12" s="112">
        <v>79.0</v>
      </c>
      <c r="S12" s="112">
        <v>97.0</v>
      </c>
      <c r="T12" s="112">
        <v>70.0</v>
      </c>
      <c r="U12" s="112">
        <v>89.0</v>
      </c>
      <c r="V12" s="112">
        <v>60.0</v>
      </c>
      <c r="W12" s="112">
        <v>36.0</v>
      </c>
      <c r="X12" s="112">
        <v>62.0</v>
      </c>
      <c r="Y12" s="112">
        <v>48.0</v>
      </c>
      <c r="Z12" s="106">
        <f t="shared" ref="Z12:Z14" si="2">B12-SUM(C12:Y12)</f>
        <v>16</v>
      </c>
      <c r="AA12" s="106"/>
      <c r="AB12" s="106"/>
      <c r="AC12" s="106"/>
      <c r="AD12" s="106"/>
      <c r="AE12" s="106"/>
      <c r="AF12" s="106"/>
      <c r="AG12" s="106"/>
      <c r="AH12" s="106"/>
      <c r="AI12" s="106"/>
    </row>
    <row r="13">
      <c r="A13" s="104" t="s">
        <v>219</v>
      </c>
      <c r="B13" s="111">
        <v>37.0</v>
      </c>
      <c r="C13" s="104">
        <v>57.0</v>
      </c>
      <c r="D13" s="112">
        <v>27.0</v>
      </c>
      <c r="E13" s="112">
        <v>14.0</v>
      </c>
      <c r="F13" s="111">
        <v>16.0</v>
      </c>
      <c r="G13" s="112">
        <v>3.0</v>
      </c>
      <c r="H13" s="112">
        <v>5.0</v>
      </c>
      <c r="I13" s="112">
        <v>-30.0</v>
      </c>
      <c r="J13" s="112">
        <v>7.0</v>
      </c>
      <c r="K13" s="112">
        <v>4.0</v>
      </c>
      <c r="L13" s="112">
        <v>0.0</v>
      </c>
      <c r="M13" s="112">
        <v>-38.0</v>
      </c>
      <c r="N13" s="112">
        <v>8.0</v>
      </c>
      <c r="O13" s="112">
        <v>16.0</v>
      </c>
      <c r="P13" s="112">
        <v>4.0</v>
      </c>
      <c r="Q13" s="112">
        <v>16.0</v>
      </c>
      <c r="R13" s="112">
        <v>-12.0</v>
      </c>
      <c r="S13" s="112">
        <v>3.0</v>
      </c>
      <c r="T13" s="112">
        <v>-33.0</v>
      </c>
      <c r="U13" s="112">
        <v>-41.0</v>
      </c>
      <c r="V13" s="112">
        <v>-2.0</v>
      </c>
      <c r="W13" s="112">
        <v>9.0</v>
      </c>
      <c r="X13" s="112">
        <v>14.0</v>
      </c>
      <c r="Y13" s="112">
        <v>-5.0</v>
      </c>
      <c r="Z13" s="106">
        <f t="shared" si="2"/>
        <v>-5</v>
      </c>
      <c r="AA13" s="106"/>
      <c r="AB13" s="106"/>
      <c r="AC13" s="106"/>
      <c r="AD13" s="106"/>
      <c r="AE13" s="106"/>
      <c r="AF13" s="106"/>
      <c r="AG13" s="106"/>
      <c r="AH13" s="106"/>
      <c r="AI13" s="106"/>
    </row>
    <row r="14">
      <c r="A14" s="104" t="s">
        <v>220</v>
      </c>
      <c r="B14" s="111">
        <v>0.0</v>
      </c>
      <c r="C14" s="104">
        <v>81.0</v>
      </c>
      <c r="D14" s="112">
        <v>-24.0</v>
      </c>
      <c r="E14" s="112">
        <v>-7.0</v>
      </c>
      <c r="F14" s="111">
        <v>-12.0</v>
      </c>
      <c r="G14" s="112">
        <v>27.0</v>
      </c>
      <c r="H14" s="112">
        <v>-7.0</v>
      </c>
      <c r="I14" s="112">
        <v>-39.0</v>
      </c>
      <c r="J14" s="112">
        <v>9.0</v>
      </c>
      <c r="K14" s="112">
        <v>6.0</v>
      </c>
      <c r="L14" s="112">
        <v>-22.0</v>
      </c>
      <c r="M14" s="112">
        <v>-5.0</v>
      </c>
      <c r="N14" s="112">
        <v>39.0</v>
      </c>
      <c r="O14" s="112">
        <v>-4.0</v>
      </c>
      <c r="P14" s="112">
        <v>-27.0</v>
      </c>
      <c r="Q14" s="112">
        <v>-10.0</v>
      </c>
      <c r="R14" s="112">
        <v>36.0</v>
      </c>
      <c r="S14" s="112">
        <v>-39.0</v>
      </c>
      <c r="T14" s="112">
        <v>-2.0</v>
      </c>
      <c r="U14" s="112">
        <v>0.0</v>
      </c>
      <c r="V14" s="112">
        <v>0.0</v>
      </c>
      <c r="W14" s="112">
        <v>11.0</v>
      </c>
      <c r="X14" s="112">
        <v>-8.0</v>
      </c>
      <c r="Y14" s="112">
        <v>-1.0</v>
      </c>
      <c r="Z14" s="106">
        <f t="shared" si="2"/>
        <v>-2</v>
      </c>
      <c r="AA14" s="106"/>
      <c r="AB14" s="106"/>
      <c r="AC14" s="106"/>
      <c r="AD14" s="106"/>
      <c r="AE14" s="106"/>
      <c r="AF14" s="106"/>
      <c r="AG14" s="106"/>
      <c r="AH14" s="106"/>
      <c r="AI14" s="106"/>
    </row>
    <row r="15">
      <c r="A15" s="107"/>
      <c r="B15" s="107"/>
      <c r="C15" s="106"/>
      <c r="D15" s="106"/>
      <c r="E15" s="106"/>
      <c r="F15" s="107"/>
      <c r="G15" s="106"/>
      <c r="H15" s="106"/>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c r="AH15" s="106"/>
      <c r="AI15" s="106"/>
    </row>
    <row r="16">
      <c r="A16" s="104" t="s">
        <v>221</v>
      </c>
      <c r="B16" s="107"/>
      <c r="C16" s="106"/>
      <c r="D16" s="106"/>
      <c r="E16" s="106"/>
      <c r="F16" s="107"/>
      <c r="G16" s="106"/>
      <c r="H16" s="106"/>
      <c r="I16" s="106"/>
      <c r="J16" s="106"/>
      <c r="K16" s="106"/>
      <c r="L16" s="106"/>
      <c r="M16" s="106"/>
      <c r="N16" s="106"/>
      <c r="O16" s="106"/>
      <c r="P16" s="106"/>
      <c r="Q16" s="106"/>
      <c r="R16" s="106"/>
      <c r="S16" s="106"/>
      <c r="T16" s="106"/>
      <c r="U16" s="106"/>
      <c r="V16" s="106"/>
      <c r="W16" s="106"/>
      <c r="X16" s="106"/>
      <c r="Y16" s="106"/>
      <c r="Z16" s="106"/>
      <c r="AA16" s="106"/>
      <c r="AB16" s="106"/>
      <c r="AC16" s="106"/>
      <c r="AD16" s="106"/>
      <c r="AE16" s="106"/>
      <c r="AF16" s="106"/>
      <c r="AG16" s="106"/>
      <c r="AH16" s="106"/>
      <c r="AI16" s="106"/>
    </row>
    <row r="17">
      <c r="A17" s="108" t="s">
        <v>222</v>
      </c>
      <c r="B17" s="109" t="s">
        <v>223</v>
      </c>
      <c r="C17" s="109" t="s">
        <v>224</v>
      </c>
      <c r="D17" s="109" t="s">
        <v>225</v>
      </c>
      <c r="E17" s="109" t="s">
        <v>226</v>
      </c>
      <c r="F17" s="109" t="s">
        <v>227</v>
      </c>
      <c r="G17" s="109" t="s">
        <v>228</v>
      </c>
      <c r="H17" s="109" t="s">
        <v>229</v>
      </c>
      <c r="I17" s="109" t="s">
        <v>230</v>
      </c>
      <c r="J17" s="109" t="s">
        <v>231</v>
      </c>
      <c r="K17" s="109" t="s">
        <v>232</v>
      </c>
      <c r="L17" s="109" t="s">
        <v>233</v>
      </c>
      <c r="M17" s="109" t="s">
        <v>234</v>
      </c>
      <c r="N17" s="109" t="s">
        <v>235</v>
      </c>
      <c r="O17" s="109" t="s">
        <v>236</v>
      </c>
      <c r="P17" s="109" t="s">
        <v>237</v>
      </c>
      <c r="Q17" s="109" t="s">
        <v>238</v>
      </c>
      <c r="R17" s="109" t="s">
        <v>239</v>
      </c>
      <c r="S17" s="109" t="s">
        <v>240</v>
      </c>
      <c r="T17" s="109" t="s">
        <v>241</v>
      </c>
      <c r="U17" s="109" t="s">
        <v>242</v>
      </c>
      <c r="V17" s="109" t="s">
        <v>243</v>
      </c>
      <c r="W17" s="109" t="s">
        <v>244</v>
      </c>
      <c r="X17" s="110" t="s">
        <v>245</v>
      </c>
      <c r="Y17" s="110" t="s">
        <v>246</v>
      </c>
      <c r="Z17" s="106"/>
      <c r="AA17" s="106"/>
      <c r="AB17" s="106"/>
      <c r="AC17" s="106"/>
      <c r="AD17" s="106"/>
      <c r="AE17" s="106"/>
      <c r="AF17" s="106"/>
      <c r="AG17" s="106"/>
      <c r="AH17" s="106"/>
      <c r="AI17" s="106"/>
    </row>
    <row r="18">
      <c r="A18" s="112" t="s">
        <v>247</v>
      </c>
      <c r="B18" s="112">
        <v>40.0</v>
      </c>
      <c r="C18" s="112">
        <v>60.0</v>
      </c>
      <c r="D18" s="111">
        <v>92.0</v>
      </c>
      <c r="E18" s="112">
        <v>109.0</v>
      </c>
      <c r="F18" s="111">
        <v>121.0</v>
      </c>
      <c r="G18" s="112">
        <v>136.0</v>
      </c>
      <c r="H18" s="112">
        <v>162.0</v>
      </c>
      <c r="I18" s="112">
        <v>185.0</v>
      </c>
      <c r="J18" s="112">
        <v>198.0</v>
      </c>
      <c r="K18" s="111">
        <v>205.0</v>
      </c>
      <c r="L18" s="111">
        <v>223.0</v>
      </c>
      <c r="M18" s="112">
        <v>230.0</v>
      </c>
      <c r="N18" s="112">
        <v>239.0</v>
      </c>
      <c r="O18" s="112">
        <v>252.0</v>
      </c>
      <c r="P18" s="112">
        <v>263.0</v>
      </c>
      <c r="Q18" s="112">
        <v>274.0</v>
      </c>
      <c r="R18" s="112">
        <v>288.0</v>
      </c>
      <c r="S18" s="112">
        <v>300.0</v>
      </c>
      <c r="T18" s="112">
        <v>309.0</v>
      </c>
      <c r="U18" s="112">
        <v>318.0</v>
      </c>
      <c r="V18" s="112">
        <v>323.0</v>
      </c>
      <c r="W18" s="112">
        <v>336.0</v>
      </c>
      <c r="X18" s="112">
        <v>348.0</v>
      </c>
      <c r="Y18" s="112">
        <v>348.0</v>
      </c>
      <c r="Z18" s="106"/>
      <c r="AA18" s="106"/>
      <c r="AB18" s="106"/>
      <c r="AC18" s="106"/>
      <c r="AD18" s="106"/>
      <c r="AE18" s="106"/>
      <c r="AF18" s="106"/>
      <c r="AG18" s="106"/>
      <c r="AH18" s="106"/>
      <c r="AI18" s="106"/>
    </row>
    <row r="19">
      <c r="A19" s="104" t="s">
        <v>248</v>
      </c>
      <c r="B19" s="104">
        <v>18.0</v>
      </c>
      <c r="C19" s="111">
        <v>28.0</v>
      </c>
      <c r="D19" s="111">
        <v>46.0</v>
      </c>
      <c r="E19" s="112">
        <v>58.0</v>
      </c>
      <c r="F19" s="111">
        <v>66.0</v>
      </c>
      <c r="G19" s="112">
        <v>76.0</v>
      </c>
      <c r="H19" s="112">
        <v>106.0</v>
      </c>
      <c r="I19" s="112">
        <v>127.0</v>
      </c>
      <c r="J19" s="112">
        <v>146.0</v>
      </c>
      <c r="K19" s="112">
        <v>170.0</v>
      </c>
      <c r="L19" s="112">
        <v>188.0</v>
      </c>
      <c r="M19" s="112">
        <v>197.0</v>
      </c>
      <c r="N19" s="112">
        <v>213.0</v>
      </c>
      <c r="O19" s="112">
        <v>236.0</v>
      </c>
      <c r="P19" s="112">
        <v>255.0</v>
      </c>
      <c r="Q19" s="112">
        <v>270.0</v>
      </c>
      <c r="R19" s="112">
        <v>292.0</v>
      </c>
      <c r="S19" s="112">
        <v>314.0</v>
      </c>
      <c r="T19" s="112">
        <v>336.0</v>
      </c>
      <c r="U19" s="112">
        <v>350.0</v>
      </c>
      <c r="V19" s="112">
        <v>355.0</v>
      </c>
      <c r="W19" s="112">
        <v>374.0</v>
      </c>
      <c r="X19" s="112">
        <v>388.0</v>
      </c>
      <c r="Y19" s="112">
        <v>393.0</v>
      </c>
      <c r="Z19" s="106"/>
      <c r="AA19" s="106"/>
      <c r="AB19" s="106"/>
      <c r="AC19" s="106"/>
      <c r="AD19" s="106"/>
      <c r="AE19" s="106"/>
      <c r="AF19" s="106"/>
      <c r="AG19" s="106"/>
      <c r="AH19" s="106"/>
      <c r="AI19" s="106"/>
    </row>
    <row r="20">
      <c r="A20" s="104" t="s">
        <v>249</v>
      </c>
      <c r="B20" s="104">
        <v>17.0</v>
      </c>
      <c r="C20" s="111">
        <v>34.0</v>
      </c>
      <c r="D20" s="111">
        <v>52.0</v>
      </c>
      <c r="E20" s="112">
        <v>58.0</v>
      </c>
      <c r="F20" s="111">
        <v>80.0</v>
      </c>
      <c r="G20" s="112">
        <v>103.0</v>
      </c>
      <c r="H20" s="112">
        <v>146.0</v>
      </c>
      <c r="I20" s="112">
        <v>180.0</v>
      </c>
      <c r="J20" s="112">
        <v>199.0</v>
      </c>
      <c r="K20" s="112">
        <v>221.0</v>
      </c>
      <c r="L20" s="112">
        <v>264.0</v>
      </c>
      <c r="M20" s="112">
        <v>271.0</v>
      </c>
      <c r="N20" s="112">
        <v>290.0</v>
      </c>
      <c r="O20" s="112">
        <v>319.0</v>
      </c>
      <c r="P20" s="112">
        <v>341.0</v>
      </c>
      <c r="Q20" s="112">
        <v>364.0</v>
      </c>
      <c r="R20" s="112">
        <v>405.0</v>
      </c>
      <c r="S20" s="112">
        <v>432.0</v>
      </c>
      <c r="T20" s="112">
        <v>470.0</v>
      </c>
      <c r="U20" s="112">
        <v>485.0</v>
      </c>
      <c r="V20" s="112">
        <v>504.0</v>
      </c>
      <c r="W20" s="112">
        <v>519.0</v>
      </c>
      <c r="X20" s="112">
        <v>535.0</v>
      </c>
      <c r="Y20" s="112">
        <v>539.0</v>
      </c>
      <c r="Z20" s="106"/>
      <c r="AA20" s="106"/>
      <c r="AB20" s="106"/>
      <c r="AC20" s="106"/>
      <c r="AD20" s="106"/>
      <c r="AE20" s="106"/>
      <c r="AF20" s="106"/>
      <c r="AG20" s="106"/>
      <c r="AH20" s="106"/>
      <c r="AI20" s="106"/>
    </row>
    <row r="21">
      <c r="A21" s="104" t="s">
        <v>250</v>
      </c>
      <c r="B21" s="104">
        <v>6.0</v>
      </c>
      <c r="C21" s="111">
        <v>14.0</v>
      </c>
      <c r="D21" s="111">
        <v>20.0</v>
      </c>
      <c r="E21" s="112">
        <v>24.0</v>
      </c>
      <c r="F21" s="111">
        <v>30.0</v>
      </c>
      <c r="G21" s="112">
        <v>46.0</v>
      </c>
      <c r="H21" s="112">
        <v>56.0</v>
      </c>
      <c r="I21" s="112">
        <v>59.0</v>
      </c>
      <c r="J21" s="112">
        <v>60.0</v>
      </c>
      <c r="K21" s="112">
        <v>69.0</v>
      </c>
      <c r="L21" s="112">
        <v>77.0</v>
      </c>
      <c r="M21" s="112">
        <v>86.0</v>
      </c>
      <c r="N21" s="112">
        <v>89.0</v>
      </c>
      <c r="O21" s="112">
        <v>104.0</v>
      </c>
      <c r="P21" s="112">
        <v>116.0</v>
      </c>
      <c r="Q21" s="112">
        <v>130.0</v>
      </c>
      <c r="R21" s="112">
        <v>134.0</v>
      </c>
      <c r="S21" s="112">
        <v>141.0</v>
      </c>
      <c r="T21" s="112">
        <v>148.0</v>
      </c>
      <c r="U21" s="112">
        <v>158.0</v>
      </c>
      <c r="V21" s="112">
        <v>161.0</v>
      </c>
      <c r="W21" s="112">
        <v>162.0</v>
      </c>
      <c r="X21" s="112">
        <v>162.0</v>
      </c>
      <c r="Y21" s="112">
        <v>162.0</v>
      </c>
      <c r="Z21" s="106"/>
      <c r="AA21" s="106"/>
      <c r="AB21" s="106"/>
      <c r="AC21" s="106"/>
      <c r="AD21" s="106"/>
      <c r="AE21" s="106"/>
      <c r="AF21" s="106"/>
      <c r="AG21" s="106"/>
      <c r="AH21" s="106"/>
      <c r="AI21" s="106"/>
    </row>
    <row r="22">
      <c r="A22" s="104" t="s">
        <v>251</v>
      </c>
      <c r="B22" s="104">
        <v>0.0</v>
      </c>
      <c r="C22" s="111">
        <v>0.0</v>
      </c>
      <c r="D22" s="111">
        <v>0.0</v>
      </c>
      <c r="E22" s="112">
        <v>0.0</v>
      </c>
      <c r="F22" s="111">
        <v>2.0</v>
      </c>
      <c r="G22" s="112">
        <v>3.0</v>
      </c>
      <c r="H22" s="112">
        <v>5.0</v>
      </c>
      <c r="I22" s="112">
        <v>5.0</v>
      </c>
      <c r="J22" s="112">
        <v>4.0</v>
      </c>
      <c r="K22" s="112">
        <v>4.0</v>
      </c>
      <c r="L22" s="112">
        <v>4.0</v>
      </c>
      <c r="M22" s="112">
        <v>7.0</v>
      </c>
      <c r="N22" s="112">
        <v>9.0</v>
      </c>
      <c r="O22" s="112">
        <v>9.0</v>
      </c>
      <c r="P22" s="112">
        <v>9.0</v>
      </c>
      <c r="Q22" s="112">
        <v>12.0</v>
      </c>
      <c r="R22" s="112">
        <v>20.0</v>
      </c>
      <c r="S22" s="112">
        <v>19.0</v>
      </c>
      <c r="T22" s="112">
        <v>20.0</v>
      </c>
      <c r="U22" s="112">
        <v>20.0</v>
      </c>
      <c r="V22" s="112">
        <v>20.0</v>
      </c>
      <c r="W22" s="112">
        <v>24.0</v>
      </c>
      <c r="X22" s="112">
        <v>24.0</v>
      </c>
      <c r="Y22" s="112">
        <v>24.0</v>
      </c>
      <c r="Z22" s="106"/>
      <c r="AA22" s="106"/>
      <c r="AB22" s="106"/>
      <c r="AC22" s="106"/>
      <c r="AD22" s="106"/>
      <c r="AE22" s="106"/>
      <c r="AF22" s="106"/>
      <c r="AG22" s="106"/>
      <c r="AH22" s="106"/>
      <c r="AI22" s="106"/>
    </row>
    <row r="23">
      <c r="A23" s="104" t="s">
        <v>252</v>
      </c>
      <c r="B23" s="104">
        <v>6.0</v>
      </c>
      <c r="C23" s="111">
        <v>4.0</v>
      </c>
      <c r="D23" s="111">
        <v>4.0</v>
      </c>
      <c r="E23" s="112">
        <v>4.0</v>
      </c>
      <c r="F23" s="111">
        <v>4.0</v>
      </c>
      <c r="G23" s="112">
        <v>4.0</v>
      </c>
      <c r="H23" s="112">
        <v>4.0</v>
      </c>
      <c r="I23" s="112">
        <v>4.0</v>
      </c>
      <c r="J23" s="112">
        <v>5.0</v>
      </c>
      <c r="K23" s="112">
        <v>5.0</v>
      </c>
      <c r="L23" s="112">
        <v>7.0</v>
      </c>
      <c r="M23" s="112">
        <v>7.0</v>
      </c>
      <c r="N23" s="112">
        <v>7.0</v>
      </c>
      <c r="O23" s="112">
        <v>7.0</v>
      </c>
      <c r="P23" s="112">
        <v>7.0</v>
      </c>
      <c r="Q23" s="112">
        <v>7.0</v>
      </c>
      <c r="R23" s="112">
        <v>7.0</v>
      </c>
      <c r="S23" s="112">
        <v>8.0</v>
      </c>
      <c r="T23" s="112">
        <v>8.0</v>
      </c>
      <c r="U23" s="112">
        <v>9.0</v>
      </c>
      <c r="V23" s="112">
        <v>9.0</v>
      </c>
      <c r="W23" s="112">
        <v>9.0</v>
      </c>
      <c r="X23" s="112">
        <v>9.0</v>
      </c>
      <c r="Y23" s="112">
        <v>9.0</v>
      </c>
      <c r="Z23" s="106"/>
      <c r="AA23" s="106"/>
      <c r="AB23" s="106"/>
      <c r="AC23" s="106"/>
      <c r="AD23" s="106"/>
      <c r="AE23" s="106"/>
      <c r="AF23" s="106"/>
      <c r="AG23" s="106"/>
      <c r="AH23" s="106"/>
      <c r="AI23" s="106"/>
    </row>
    <row r="24">
      <c r="A24" s="116" t="s">
        <v>253</v>
      </c>
      <c r="B24" s="104">
        <v>0.0</v>
      </c>
      <c r="C24" s="112">
        <v>0.0</v>
      </c>
      <c r="D24" s="111">
        <v>3.0</v>
      </c>
      <c r="E24" s="112">
        <v>2.0</v>
      </c>
      <c r="F24" s="111">
        <v>2.0</v>
      </c>
      <c r="G24" s="112">
        <v>2.0</v>
      </c>
      <c r="H24" s="112">
        <v>3.0</v>
      </c>
      <c r="I24" s="112">
        <v>4.0</v>
      </c>
      <c r="J24" s="112">
        <v>4.0</v>
      </c>
      <c r="K24" s="112">
        <v>4.0</v>
      </c>
      <c r="L24" s="112">
        <v>5.0</v>
      </c>
      <c r="M24" s="112">
        <v>5.0</v>
      </c>
      <c r="N24" s="112">
        <v>7.0</v>
      </c>
      <c r="O24" s="112">
        <v>9.0</v>
      </c>
      <c r="P24" s="112">
        <v>7.0</v>
      </c>
      <c r="Q24" s="112">
        <v>8.0</v>
      </c>
      <c r="R24" s="111">
        <v>9.0</v>
      </c>
      <c r="S24" s="112">
        <v>10.0</v>
      </c>
      <c r="T24" s="112">
        <v>10.0</v>
      </c>
      <c r="U24" s="112">
        <v>11.0</v>
      </c>
      <c r="V24" s="112">
        <v>11.0</v>
      </c>
      <c r="W24" s="112">
        <v>12.0</v>
      </c>
      <c r="X24" s="112">
        <v>13.0</v>
      </c>
      <c r="Y24" s="112">
        <v>13.0</v>
      </c>
      <c r="Z24" s="106"/>
      <c r="AA24" s="106"/>
      <c r="AB24" s="106"/>
      <c r="AC24" s="106"/>
      <c r="AD24" s="106"/>
      <c r="AE24" s="106"/>
      <c r="AF24" s="106"/>
      <c r="AG24" s="106"/>
      <c r="AH24" s="106"/>
      <c r="AI24" s="106"/>
    </row>
    <row r="25">
      <c r="A25" s="111" t="s">
        <v>39</v>
      </c>
      <c r="B25" s="111">
        <v>0.0</v>
      </c>
      <c r="C25" s="111">
        <v>9.0</v>
      </c>
      <c r="D25" s="111">
        <v>17.0</v>
      </c>
      <c r="E25" s="112">
        <v>26.0</v>
      </c>
      <c r="F25" s="111">
        <v>30.0</v>
      </c>
      <c r="G25" s="112">
        <v>36.0</v>
      </c>
      <c r="H25" s="112">
        <v>46.0</v>
      </c>
      <c r="I25" s="112">
        <v>53.0</v>
      </c>
      <c r="J25" s="112">
        <v>64.0</v>
      </c>
      <c r="K25" s="112">
        <v>76.0</v>
      </c>
      <c r="L25" s="112">
        <v>92.0</v>
      </c>
      <c r="M25" s="112">
        <v>104.0</v>
      </c>
      <c r="N25" s="112">
        <v>120.0</v>
      </c>
      <c r="O25" s="112">
        <v>129.0</v>
      </c>
      <c r="P25" s="112">
        <v>143.0</v>
      </c>
      <c r="Q25" s="112">
        <v>155.0</v>
      </c>
      <c r="R25" s="112">
        <v>162.0</v>
      </c>
      <c r="S25" s="112">
        <v>163.0</v>
      </c>
      <c r="T25" s="112">
        <v>175.0</v>
      </c>
      <c r="U25" s="112">
        <v>185.0</v>
      </c>
      <c r="V25" s="112">
        <v>189.0</v>
      </c>
      <c r="W25" s="112">
        <v>198.0</v>
      </c>
      <c r="X25" s="112">
        <v>203.0</v>
      </c>
      <c r="Y25" s="112">
        <v>210.0</v>
      </c>
      <c r="Z25" s="106"/>
      <c r="AA25" s="106"/>
      <c r="AB25" s="106"/>
      <c r="AC25" s="106"/>
      <c r="AD25" s="106"/>
      <c r="AE25" s="106"/>
      <c r="AF25" s="106"/>
      <c r="AG25" s="106"/>
      <c r="AH25" s="106"/>
      <c r="AI25" s="106"/>
    </row>
    <row r="26">
      <c r="A26" s="116" t="s">
        <v>254</v>
      </c>
      <c r="B26" s="104">
        <v>12.0</v>
      </c>
      <c r="C26" s="112">
        <v>6.0</v>
      </c>
      <c r="D26" s="111">
        <v>0.0</v>
      </c>
      <c r="E26" s="112">
        <v>0.0</v>
      </c>
      <c r="F26" s="111">
        <v>0.0</v>
      </c>
      <c r="G26" s="112">
        <v>0.0</v>
      </c>
      <c r="H26" s="112">
        <v>0.0</v>
      </c>
      <c r="I26" s="112">
        <v>0.0</v>
      </c>
      <c r="J26" s="112">
        <v>0.0</v>
      </c>
      <c r="K26" s="112">
        <v>0.0</v>
      </c>
      <c r="L26" s="112">
        <v>0.0</v>
      </c>
      <c r="M26" s="112">
        <v>0.0</v>
      </c>
      <c r="N26" s="112">
        <v>0.0</v>
      </c>
      <c r="O26" s="112">
        <v>0.0</v>
      </c>
      <c r="P26" s="112">
        <v>0.0</v>
      </c>
      <c r="Q26" s="112">
        <v>0.0</v>
      </c>
      <c r="R26" s="112">
        <v>0.0</v>
      </c>
      <c r="S26" s="112">
        <v>0.0</v>
      </c>
      <c r="T26" s="112">
        <v>0.0</v>
      </c>
      <c r="U26" s="112">
        <v>0.0</v>
      </c>
      <c r="V26" s="112">
        <v>0.0</v>
      </c>
      <c r="W26" s="112">
        <v>0.0</v>
      </c>
      <c r="X26" s="112">
        <v>0.0</v>
      </c>
      <c r="Y26" s="112">
        <v>0.0</v>
      </c>
      <c r="Z26" s="106"/>
      <c r="AA26" s="106"/>
      <c r="AB26" s="106"/>
      <c r="AC26" s="106"/>
      <c r="AD26" s="106"/>
      <c r="AE26" s="106"/>
      <c r="AF26" s="106"/>
      <c r="AG26" s="106"/>
      <c r="AH26" s="106"/>
      <c r="AI26" s="106"/>
    </row>
    <row r="27">
      <c r="A27" s="117" t="s">
        <v>255</v>
      </c>
      <c r="B27" s="112">
        <v>0.0</v>
      </c>
      <c r="C27" s="112">
        <v>3.0</v>
      </c>
      <c r="D27" s="111">
        <v>0.0</v>
      </c>
      <c r="E27" s="112">
        <v>0.0</v>
      </c>
      <c r="F27" s="111">
        <v>0.0</v>
      </c>
      <c r="G27" s="112">
        <v>0.0</v>
      </c>
      <c r="H27" s="112">
        <v>0.0</v>
      </c>
      <c r="I27" s="112">
        <v>0.0</v>
      </c>
      <c r="J27" s="112">
        <v>0.0</v>
      </c>
      <c r="K27" s="112">
        <v>0.0</v>
      </c>
      <c r="L27" s="112">
        <v>0.0</v>
      </c>
      <c r="M27" s="112">
        <v>0.0</v>
      </c>
      <c r="N27" s="112">
        <v>0.0</v>
      </c>
      <c r="O27" s="112">
        <v>0.0</v>
      </c>
      <c r="P27" s="112">
        <v>0.0</v>
      </c>
      <c r="Q27" s="112">
        <v>0.0</v>
      </c>
      <c r="R27" s="112">
        <v>0.0</v>
      </c>
      <c r="S27" s="112">
        <v>0.0</v>
      </c>
      <c r="T27" s="112">
        <v>0.0</v>
      </c>
      <c r="U27" s="112">
        <v>0.0</v>
      </c>
      <c r="V27" s="112">
        <v>0.0</v>
      </c>
      <c r="W27" s="112">
        <v>0.0</v>
      </c>
      <c r="X27" s="112">
        <v>0.0</v>
      </c>
      <c r="Y27" s="112">
        <v>0.0</v>
      </c>
      <c r="Z27" s="106"/>
      <c r="AA27" s="106"/>
      <c r="AB27" s="106"/>
      <c r="AC27" s="106"/>
      <c r="AD27" s="106"/>
      <c r="AE27" s="106"/>
      <c r="AF27" s="106"/>
      <c r="AG27" s="106"/>
      <c r="AH27" s="106"/>
      <c r="AI27" s="106"/>
    </row>
    <row r="28">
      <c r="A28" s="107"/>
      <c r="B28" s="107"/>
      <c r="C28" s="107"/>
      <c r="D28" s="107"/>
      <c r="E28" s="106"/>
      <c r="F28" s="107"/>
      <c r="G28" s="106"/>
      <c r="H28" s="106"/>
      <c r="I28" s="106"/>
      <c r="J28" s="106"/>
      <c r="K28" s="106"/>
      <c r="L28" s="106"/>
      <c r="M28" s="106"/>
      <c r="N28" s="106"/>
      <c r="O28" s="106"/>
      <c r="P28" s="106"/>
      <c r="Q28" s="106"/>
      <c r="R28" s="106"/>
      <c r="S28" s="106"/>
      <c r="T28" s="106"/>
      <c r="U28" s="106"/>
      <c r="V28" s="106"/>
      <c r="W28" s="106"/>
      <c r="X28" s="106"/>
      <c r="Y28" s="106"/>
      <c r="Z28" s="106"/>
      <c r="AA28" s="106"/>
      <c r="AB28" s="106"/>
      <c r="AC28" s="106"/>
      <c r="AD28" s="106"/>
      <c r="AE28" s="106"/>
      <c r="AF28" s="106"/>
      <c r="AG28" s="106"/>
      <c r="AH28" s="106"/>
      <c r="AI28" s="106"/>
    </row>
    <row r="29">
      <c r="A29" s="107"/>
      <c r="B29" s="107"/>
      <c r="C29" s="107"/>
      <c r="D29" s="107"/>
      <c r="E29" s="106"/>
      <c r="F29" s="107"/>
      <c r="G29" s="106"/>
      <c r="H29" s="106"/>
      <c r="I29" s="106"/>
      <c r="J29" s="106"/>
      <c r="K29" s="106"/>
      <c r="L29" s="106"/>
      <c r="M29" s="106"/>
      <c r="N29" s="106"/>
      <c r="O29" s="106"/>
      <c r="P29" s="106"/>
      <c r="Q29" s="106"/>
      <c r="R29" s="106"/>
      <c r="S29" s="106"/>
      <c r="T29" s="106"/>
      <c r="U29" s="106"/>
      <c r="V29" s="106"/>
      <c r="W29" s="106"/>
      <c r="X29" s="106"/>
      <c r="Y29" s="106"/>
      <c r="Z29" s="106"/>
      <c r="AA29" s="106"/>
      <c r="AB29" s="106"/>
      <c r="AC29" s="106"/>
      <c r="AD29" s="106"/>
      <c r="AE29" s="106"/>
      <c r="AF29" s="106"/>
      <c r="AG29" s="106"/>
      <c r="AH29" s="106"/>
      <c r="AI29" s="106"/>
    </row>
    <row r="30">
      <c r="A30" s="104" t="s">
        <v>256</v>
      </c>
      <c r="B30" s="107"/>
      <c r="C30" s="106"/>
      <c r="D30" s="107"/>
      <c r="E30" s="106"/>
      <c r="F30" s="107"/>
      <c r="G30" s="106"/>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106"/>
      <c r="AH30" s="106"/>
      <c r="AI30" s="106"/>
    </row>
    <row r="31">
      <c r="A31" s="108" t="s">
        <v>257</v>
      </c>
      <c r="B31" s="109" t="s">
        <v>194</v>
      </c>
      <c r="C31" s="118" t="s">
        <v>258</v>
      </c>
      <c r="D31" s="109" t="s">
        <v>259</v>
      </c>
      <c r="E31" s="109" t="s">
        <v>260</v>
      </c>
      <c r="F31" s="109" t="s">
        <v>261</v>
      </c>
      <c r="G31" s="109" t="s">
        <v>262</v>
      </c>
      <c r="H31" s="109" t="s">
        <v>263</v>
      </c>
      <c r="I31" s="109" t="s">
        <v>264</v>
      </c>
      <c r="J31" s="109" t="s">
        <v>265</v>
      </c>
      <c r="K31" s="109" t="s">
        <v>266</v>
      </c>
      <c r="L31" s="109" t="s">
        <v>267</v>
      </c>
      <c r="M31" s="109" t="s">
        <v>268</v>
      </c>
      <c r="N31" s="109" t="s">
        <v>269</v>
      </c>
      <c r="O31" s="106"/>
      <c r="P31" s="106"/>
      <c r="Q31" s="106"/>
      <c r="R31" s="106"/>
      <c r="S31" s="106"/>
      <c r="T31" s="106"/>
      <c r="U31" s="106"/>
      <c r="V31" s="106"/>
      <c r="W31" s="106"/>
      <c r="X31" s="106"/>
      <c r="Y31" s="106"/>
      <c r="Z31" s="106"/>
      <c r="AA31" s="106"/>
      <c r="AB31" s="106"/>
      <c r="AC31" s="106"/>
      <c r="AD31" s="106"/>
      <c r="AE31" s="106"/>
      <c r="AF31" s="106"/>
      <c r="AG31" s="106"/>
      <c r="AH31" s="106"/>
      <c r="AI31" s="106"/>
    </row>
    <row r="32">
      <c r="A32" s="104" t="s">
        <v>270</v>
      </c>
      <c r="B32" s="111">
        <v>4.0</v>
      </c>
      <c r="C32" s="104">
        <v>2.0</v>
      </c>
      <c r="D32" s="111">
        <v>0.0</v>
      </c>
      <c r="E32" s="112">
        <v>0.0</v>
      </c>
      <c r="F32" s="111">
        <v>0.0</v>
      </c>
      <c r="G32" s="112">
        <v>0.0</v>
      </c>
      <c r="H32" s="112">
        <v>0.0</v>
      </c>
      <c r="I32" s="112">
        <v>0.0</v>
      </c>
      <c r="J32" s="112">
        <v>1.0</v>
      </c>
      <c r="K32" s="112">
        <v>1.0</v>
      </c>
      <c r="L32" s="112">
        <v>0.0</v>
      </c>
      <c r="M32" s="112">
        <v>0.0</v>
      </c>
      <c r="N32" s="106">
        <f t="shared" ref="N32:N42" si="3">B32-SUM(C32:M32)</f>
        <v>0</v>
      </c>
      <c r="O32" s="106"/>
      <c r="P32" s="106"/>
      <c r="Q32" s="106"/>
      <c r="R32" s="106"/>
      <c r="S32" s="106"/>
      <c r="T32" s="106"/>
      <c r="U32" s="106"/>
      <c r="V32" s="106"/>
      <c r="W32" s="106"/>
      <c r="X32" s="106"/>
      <c r="Y32" s="106"/>
      <c r="Z32" s="106"/>
      <c r="AA32" s="106"/>
      <c r="AB32" s="106"/>
      <c r="AC32" s="106"/>
      <c r="AD32" s="106"/>
      <c r="AE32" s="106"/>
      <c r="AF32" s="106"/>
      <c r="AG32" s="106"/>
      <c r="AH32" s="106"/>
      <c r="AI32" s="106"/>
    </row>
    <row r="33">
      <c r="A33" s="112" t="s">
        <v>271</v>
      </c>
      <c r="B33" s="111">
        <v>12.0</v>
      </c>
      <c r="C33" s="112">
        <v>0.0</v>
      </c>
      <c r="D33" s="111">
        <v>0.0</v>
      </c>
      <c r="E33" s="112">
        <v>1.0</v>
      </c>
      <c r="F33" s="111">
        <v>1.0</v>
      </c>
      <c r="G33" s="112">
        <v>0.0</v>
      </c>
      <c r="H33" s="112">
        <v>0.0</v>
      </c>
      <c r="I33" s="112">
        <v>3.0</v>
      </c>
      <c r="J33" s="112">
        <v>3.0</v>
      </c>
      <c r="K33" s="112">
        <v>1.0</v>
      </c>
      <c r="L33" s="112">
        <v>2.0</v>
      </c>
      <c r="M33" s="112">
        <v>1.0</v>
      </c>
      <c r="N33" s="106">
        <f t="shared" si="3"/>
        <v>0</v>
      </c>
      <c r="O33" s="106"/>
      <c r="P33" s="106"/>
      <c r="Q33" s="106"/>
      <c r="R33" s="106"/>
      <c r="S33" s="106"/>
      <c r="T33" s="106"/>
      <c r="U33" s="106"/>
      <c r="V33" s="106"/>
      <c r="W33" s="106"/>
      <c r="X33" s="106"/>
      <c r="Y33" s="106"/>
      <c r="Z33" s="106"/>
      <c r="AA33" s="106"/>
      <c r="AB33" s="106"/>
      <c r="AC33" s="106"/>
      <c r="AD33" s="106"/>
      <c r="AE33" s="106"/>
      <c r="AF33" s="106"/>
      <c r="AG33" s="106"/>
      <c r="AH33" s="106"/>
      <c r="AI33" s="106"/>
    </row>
    <row r="34">
      <c r="A34" s="112" t="s">
        <v>272</v>
      </c>
      <c r="B34" s="111">
        <v>45.0</v>
      </c>
      <c r="C34" s="112">
        <v>13.0</v>
      </c>
      <c r="D34" s="111">
        <v>2.0</v>
      </c>
      <c r="E34" s="112">
        <v>14.0</v>
      </c>
      <c r="F34" s="111">
        <v>1.0</v>
      </c>
      <c r="G34" s="112">
        <v>2.0</v>
      </c>
      <c r="H34" s="112">
        <v>2.0</v>
      </c>
      <c r="I34" s="112">
        <v>2.0</v>
      </c>
      <c r="J34" s="112">
        <v>2.0</v>
      </c>
      <c r="K34" s="112">
        <v>1.0</v>
      </c>
      <c r="L34" s="112">
        <v>0.0</v>
      </c>
      <c r="M34" s="112">
        <v>4.0</v>
      </c>
      <c r="N34" s="106">
        <f t="shared" si="3"/>
        <v>2</v>
      </c>
      <c r="O34" s="106"/>
      <c r="P34" s="106"/>
      <c r="Q34" s="106"/>
      <c r="R34" s="106"/>
      <c r="S34" s="106"/>
      <c r="T34" s="106"/>
      <c r="U34" s="106"/>
      <c r="V34" s="106"/>
      <c r="W34" s="106"/>
      <c r="X34" s="106"/>
      <c r="Y34" s="106"/>
      <c r="Z34" s="106"/>
      <c r="AA34" s="106"/>
      <c r="AB34" s="106"/>
      <c r="AC34" s="106"/>
      <c r="AD34" s="106"/>
      <c r="AE34" s="106"/>
      <c r="AF34" s="106"/>
      <c r="AG34" s="106"/>
      <c r="AH34" s="106"/>
      <c r="AI34" s="106"/>
    </row>
    <row r="35">
      <c r="A35" s="112" t="s">
        <v>273</v>
      </c>
      <c r="B35" s="111">
        <v>37.0</v>
      </c>
      <c r="C35" s="112">
        <v>4.0</v>
      </c>
      <c r="D35" s="111">
        <v>2.0</v>
      </c>
      <c r="E35" s="112">
        <v>5.0</v>
      </c>
      <c r="F35" s="111">
        <v>6.0</v>
      </c>
      <c r="G35" s="112">
        <v>2.0</v>
      </c>
      <c r="H35" s="112">
        <v>2.0</v>
      </c>
      <c r="I35" s="112">
        <v>5.0</v>
      </c>
      <c r="J35" s="112">
        <v>4.0</v>
      </c>
      <c r="K35" s="112">
        <v>1.0</v>
      </c>
      <c r="L35" s="112">
        <v>1.0</v>
      </c>
      <c r="M35" s="112">
        <v>5.0</v>
      </c>
      <c r="N35" s="106">
        <f t="shared" si="3"/>
        <v>0</v>
      </c>
      <c r="O35" s="106"/>
      <c r="P35" s="106"/>
      <c r="Q35" s="106"/>
      <c r="R35" s="106"/>
      <c r="S35" s="106"/>
      <c r="T35" s="106"/>
      <c r="U35" s="106"/>
      <c r="V35" s="106"/>
      <c r="W35" s="106"/>
      <c r="X35" s="106"/>
      <c r="Y35" s="106"/>
      <c r="Z35" s="106"/>
      <c r="AA35" s="106"/>
      <c r="AB35" s="106"/>
      <c r="AC35" s="106"/>
      <c r="AD35" s="106"/>
      <c r="AE35" s="106"/>
      <c r="AF35" s="106"/>
      <c r="AG35" s="106"/>
      <c r="AH35" s="106"/>
      <c r="AI35" s="106"/>
    </row>
    <row r="36">
      <c r="A36" s="112" t="s">
        <v>274</v>
      </c>
      <c r="B36" s="111">
        <v>45.0</v>
      </c>
      <c r="C36" s="112">
        <v>10.0</v>
      </c>
      <c r="D36" s="111">
        <v>1.0</v>
      </c>
      <c r="E36" s="112">
        <v>5.0</v>
      </c>
      <c r="F36" s="111">
        <v>1.0</v>
      </c>
      <c r="G36" s="112">
        <v>4.0</v>
      </c>
      <c r="H36" s="112">
        <v>4.0</v>
      </c>
      <c r="I36" s="112">
        <v>6.0</v>
      </c>
      <c r="J36" s="112">
        <v>4.0</v>
      </c>
      <c r="K36" s="112">
        <v>0.0</v>
      </c>
      <c r="L36" s="112">
        <v>2.0</v>
      </c>
      <c r="M36" s="112">
        <v>5.0</v>
      </c>
      <c r="N36" s="106">
        <f t="shared" si="3"/>
        <v>3</v>
      </c>
      <c r="O36" s="106"/>
      <c r="P36" s="106"/>
      <c r="Q36" s="106"/>
      <c r="R36" s="106"/>
      <c r="S36" s="106"/>
      <c r="T36" s="106"/>
      <c r="U36" s="106"/>
      <c r="V36" s="106"/>
      <c r="W36" s="106"/>
      <c r="X36" s="106"/>
      <c r="Y36" s="106"/>
      <c r="Z36" s="106"/>
      <c r="AA36" s="106"/>
      <c r="AB36" s="106"/>
      <c r="AC36" s="106"/>
      <c r="AD36" s="106"/>
      <c r="AE36" s="106"/>
      <c r="AF36" s="106"/>
      <c r="AG36" s="106"/>
      <c r="AH36" s="106"/>
      <c r="AI36" s="106"/>
    </row>
    <row r="37">
      <c r="A37" s="112" t="s">
        <v>275</v>
      </c>
      <c r="B37" s="111">
        <v>49.0</v>
      </c>
      <c r="C37" s="112">
        <v>8.0</v>
      </c>
      <c r="D37" s="111">
        <v>5.0</v>
      </c>
      <c r="E37" s="112">
        <v>7.0</v>
      </c>
      <c r="F37" s="111">
        <v>1.0</v>
      </c>
      <c r="G37" s="112">
        <v>2.0</v>
      </c>
      <c r="H37" s="112">
        <v>5.0</v>
      </c>
      <c r="I37" s="112">
        <v>7.0</v>
      </c>
      <c r="J37" s="112">
        <v>4.0</v>
      </c>
      <c r="K37" s="112">
        <v>5.0</v>
      </c>
      <c r="L37" s="112">
        <v>2.0</v>
      </c>
      <c r="M37" s="112">
        <v>1.0</v>
      </c>
      <c r="N37" s="106">
        <f t="shared" si="3"/>
        <v>2</v>
      </c>
      <c r="O37" s="106"/>
      <c r="P37" s="106"/>
      <c r="Q37" s="106"/>
      <c r="R37" s="106"/>
      <c r="S37" s="106"/>
      <c r="T37" s="106"/>
      <c r="U37" s="106"/>
      <c r="V37" s="106"/>
      <c r="W37" s="106"/>
      <c r="X37" s="106"/>
      <c r="Y37" s="106"/>
      <c r="Z37" s="106"/>
      <c r="AA37" s="106"/>
      <c r="AB37" s="106"/>
      <c r="AC37" s="106"/>
      <c r="AD37" s="106"/>
      <c r="AE37" s="106"/>
      <c r="AF37" s="106"/>
      <c r="AG37" s="106"/>
      <c r="AH37" s="106"/>
      <c r="AI37" s="106"/>
    </row>
    <row r="38">
      <c r="A38" s="112" t="s">
        <v>276</v>
      </c>
      <c r="B38" s="111">
        <v>18.0</v>
      </c>
      <c r="C38" s="112">
        <v>0.0</v>
      </c>
      <c r="D38" s="112">
        <v>6.0</v>
      </c>
      <c r="E38" s="112">
        <v>4.0</v>
      </c>
      <c r="F38" s="111">
        <v>2.0</v>
      </c>
      <c r="G38" s="112">
        <v>3.0</v>
      </c>
      <c r="H38" s="112">
        <v>0.0</v>
      </c>
      <c r="I38" s="112">
        <v>2.0</v>
      </c>
      <c r="J38" s="112">
        <v>0.0</v>
      </c>
      <c r="K38" s="112">
        <v>1.0</v>
      </c>
      <c r="L38" s="112">
        <v>0.0</v>
      </c>
      <c r="M38" s="112">
        <v>0.0</v>
      </c>
      <c r="N38" s="106">
        <f t="shared" si="3"/>
        <v>0</v>
      </c>
      <c r="O38" s="106"/>
      <c r="P38" s="106"/>
      <c r="Q38" s="106"/>
      <c r="R38" s="106"/>
      <c r="S38" s="106"/>
      <c r="T38" s="106"/>
      <c r="U38" s="106"/>
      <c r="V38" s="106"/>
      <c r="W38" s="106"/>
      <c r="X38" s="106"/>
      <c r="Y38" s="106"/>
      <c r="Z38" s="106"/>
      <c r="AA38" s="106"/>
      <c r="AB38" s="106"/>
      <c r="AC38" s="106"/>
      <c r="AD38" s="106"/>
      <c r="AE38" s="106"/>
      <c r="AF38" s="106"/>
      <c r="AG38" s="106"/>
      <c r="AH38" s="106"/>
      <c r="AI38" s="106"/>
    </row>
    <row r="39">
      <c r="A39" s="112" t="s">
        <v>191</v>
      </c>
      <c r="B39" s="111">
        <v>13.0</v>
      </c>
      <c r="C39" s="112">
        <v>3.0</v>
      </c>
      <c r="D39" s="112">
        <v>0.0</v>
      </c>
      <c r="E39" s="112">
        <v>0.0</v>
      </c>
      <c r="F39" s="111">
        <v>2.0</v>
      </c>
      <c r="G39" s="112">
        <v>0.0</v>
      </c>
      <c r="H39" s="112">
        <v>1.0</v>
      </c>
      <c r="I39" s="112">
        <v>0.0</v>
      </c>
      <c r="J39" s="112">
        <v>6.0</v>
      </c>
      <c r="K39" s="112">
        <v>0.0</v>
      </c>
      <c r="L39" s="112">
        <v>0.0</v>
      </c>
      <c r="M39" s="112">
        <v>1.0</v>
      </c>
      <c r="N39" s="106">
        <f t="shared" si="3"/>
        <v>0</v>
      </c>
      <c r="O39" s="106"/>
      <c r="P39" s="106"/>
      <c r="Q39" s="106"/>
      <c r="R39" s="106"/>
      <c r="S39" s="106"/>
      <c r="T39" s="106"/>
      <c r="U39" s="106"/>
      <c r="V39" s="106"/>
      <c r="W39" s="106"/>
      <c r="X39" s="106"/>
      <c r="Y39" s="106"/>
      <c r="Z39" s="106"/>
      <c r="AA39" s="106"/>
      <c r="AB39" s="106"/>
      <c r="AC39" s="106"/>
      <c r="AD39" s="106"/>
      <c r="AE39" s="106"/>
      <c r="AF39" s="106"/>
      <c r="AG39" s="106"/>
      <c r="AH39" s="106"/>
      <c r="AI39" s="106"/>
    </row>
    <row r="40">
      <c r="A40" s="111" t="s">
        <v>277</v>
      </c>
      <c r="B40" s="111">
        <v>4.0</v>
      </c>
      <c r="C40" s="111">
        <v>0.0</v>
      </c>
      <c r="D40" s="112">
        <v>1.0</v>
      </c>
      <c r="E40" s="112">
        <v>0.0</v>
      </c>
      <c r="F40" s="111">
        <v>1.0</v>
      </c>
      <c r="G40" s="112">
        <v>0.0</v>
      </c>
      <c r="H40" s="112">
        <v>0.0</v>
      </c>
      <c r="I40" s="112">
        <v>1.0</v>
      </c>
      <c r="J40" s="112">
        <v>0.0</v>
      </c>
      <c r="K40" s="112">
        <v>0.0</v>
      </c>
      <c r="L40" s="112">
        <v>1.0</v>
      </c>
      <c r="M40" s="112">
        <v>0.0</v>
      </c>
      <c r="N40" s="106">
        <f t="shared" si="3"/>
        <v>0</v>
      </c>
      <c r="O40" s="106"/>
      <c r="P40" s="106"/>
      <c r="Q40" s="106"/>
      <c r="R40" s="106"/>
      <c r="S40" s="106"/>
      <c r="T40" s="106"/>
      <c r="U40" s="106"/>
      <c r="V40" s="106"/>
      <c r="W40" s="106"/>
      <c r="X40" s="106"/>
      <c r="Y40" s="106"/>
      <c r="Z40" s="106"/>
      <c r="AA40" s="106"/>
      <c r="AB40" s="106"/>
      <c r="AC40" s="106"/>
      <c r="AD40" s="106"/>
      <c r="AE40" s="106"/>
      <c r="AF40" s="106"/>
      <c r="AG40" s="106"/>
      <c r="AH40" s="106"/>
      <c r="AI40" s="106"/>
    </row>
    <row r="41">
      <c r="A41" s="111" t="s">
        <v>278</v>
      </c>
      <c r="B41" s="111">
        <v>1.0</v>
      </c>
      <c r="C41" s="111">
        <v>0.0</v>
      </c>
      <c r="D41" s="112">
        <v>1.0</v>
      </c>
      <c r="E41" s="112">
        <v>0.0</v>
      </c>
      <c r="F41" s="111">
        <v>0.0</v>
      </c>
      <c r="G41" s="112">
        <v>0.0</v>
      </c>
      <c r="H41" s="112">
        <v>0.0</v>
      </c>
      <c r="I41" s="112">
        <v>0.0</v>
      </c>
      <c r="J41" s="112">
        <v>0.0</v>
      </c>
      <c r="K41" s="112">
        <v>0.0</v>
      </c>
      <c r="L41" s="112">
        <v>0.0</v>
      </c>
      <c r="M41" s="112">
        <v>0.0</v>
      </c>
      <c r="N41" s="106">
        <f t="shared" si="3"/>
        <v>0</v>
      </c>
      <c r="O41" s="106"/>
      <c r="P41" s="106"/>
      <c r="Q41" s="106"/>
      <c r="R41" s="106"/>
      <c r="S41" s="106"/>
      <c r="T41" s="106"/>
      <c r="U41" s="106"/>
      <c r="V41" s="106"/>
      <c r="W41" s="106"/>
      <c r="X41" s="106"/>
      <c r="Y41" s="106"/>
      <c r="Z41" s="106"/>
      <c r="AA41" s="106"/>
      <c r="AB41" s="106"/>
      <c r="AC41" s="106"/>
      <c r="AD41" s="106"/>
      <c r="AE41" s="106"/>
      <c r="AF41" s="106"/>
      <c r="AG41" s="106"/>
      <c r="AH41" s="106"/>
      <c r="AI41" s="106"/>
    </row>
    <row r="42">
      <c r="A42" s="111" t="s">
        <v>279</v>
      </c>
      <c r="B42" s="111">
        <v>7.0</v>
      </c>
      <c r="C42" s="111">
        <v>0.0</v>
      </c>
      <c r="D42" s="112">
        <v>0.0</v>
      </c>
      <c r="E42" s="112">
        <v>0.0</v>
      </c>
      <c r="F42" s="111">
        <v>0.0</v>
      </c>
      <c r="G42" s="112">
        <v>1.0</v>
      </c>
      <c r="H42" s="112">
        <v>1.0</v>
      </c>
      <c r="I42" s="112">
        <v>1.0</v>
      </c>
      <c r="J42" s="112">
        <v>1.0</v>
      </c>
      <c r="K42" s="112">
        <v>1.0</v>
      </c>
      <c r="L42" s="112">
        <v>0.0</v>
      </c>
      <c r="M42" s="112">
        <v>2.0</v>
      </c>
      <c r="N42" s="106">
        <f t="shared" si="3"/>
        <v>0</v>
      </c>
      <c r="O42" s="106"/>
      <c r="P42" s="106"/>
      <c r="Q42" s="106"/>
      <c r="R42" s="106"/>
      <c r="S42" s="106"/>
      <c r="T42" s="106"/>
      <c r="U42" s="106"/>
      <c r="V42" s="106"/>
      <c r="W42" s="106"/>
      <c r="X42" s="106"/>
      <c r="Y42" s="106"/>
      <c r="Z42" s="106"/>
      <c r="AA42" s="106"/>
      <c r="AB42" s="106"/>
      <c r="AC42" s="106"/>
      <c r="AD42" s="106"/>
      <c r="AE42" s="106"/>
      <c r="AF42" s="106"/>
      <c r="AG42" s="106"/>
      <c r="AH42" s="106"/>
      <c r="AI42" s="106"/>
    </row>
    <row r="43">
      <c r="A43" s="107"/>
      <c r="B43" s="107"/>
      <c r="C43" s="107"/>
      <c r="D43" s="106"/>
      <c r="E43" s="106"/>
      <c r="F43" s="107"/>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row>
    <row r="44">
      <c r="A44" s="112" t="s">
        <v>280</v>
      </c>
      <c r="B44" s="119"/>
      <c r="C44" s="106"/>
      <c r="D44" s="106"/>
      <c r="E44" s="106"/>
      <c r="F44" s="107"/>
      <c r="G44" s="107"/>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row>
    <row r="45">
      <c r="A45" s="118" t="s">
        <v>281</v>
      </c>
      <c r="B45" s="109" t="s">
        <v>194</v>
      </c>
      <c r="C45" s="118" t="s">
        <v>282</v>
      </c>
      <c r="D45" s="109" t="s">
        <v>283</v>
      </c>
      <c r="E45" s="109" t="s">
        <v>284</v>
      </c>
      <c r="F45" s="109" t="s">
        <v>285</v>
      </c>
      <c r="G45" s="109" t="s">
        <v>286</v>
      </c>
      <c r="H45" s="109" t="s">
        <v>287</v>
      </c>
      <c r="I45" s="109" t="s">
        <v>288</v>
      </c>
      <c r="J45" s="109" t="s">
        <v>289</v>
      </c>
      <c r="K45" s="109" t="s">
        <v>290</v>
      </c>
      <c r="L45" s="109" t="s">
        <v>291</v>
      </c>
      <c r="M45" s="109" t="s">
        <v>292</v>
      </c>
      <c r="N45" s="109" t="s">
        <v>293</v>
      </c>
      <c r="O45" s="109" t="s">
        <v>294</v>
      </c>
      <c r="P45" s="109" t="s">
        <v>295</v>
      </c>
      <c r="Q45" s="109" t="s">
        <v>296</v>
      </c>
      <c r="R45" s="109" t="s">
        <v>297</v>
      </c>
      <c r="S45" s="109" t="s">
        <v>298</v>
      </c>
      <c r="T45" s="109" t="s">
        <v>299</v>
      </c>
      <c r="U45" s="109" t="s">
        <v>300</v>
      </c>
      <c r="V45" s="109" t="s">
        <v>301</v>
      </c>
      <c r="W45" s="109" t="s">
        <v>302</v>
      </c>
      <c r="X45" s="109" t="s">
        <v>303</v>
      </c>
      <c r="Y45" s="109" t="s">
        <v>304</v>
      </c>
      <c r="Z45" s="110" t="s">
        <v>305</v>
      </c>
      <c r="AA45" s="106"/>
      <c r="AB45" s="106"/>
      <c r="AC45" s="106"/>
      <c r="AD45" s="106"/>
      <c r="AE45" s="106"/>
      <c r="AF45" s="106"/>
      <c r="AG45" s="106"/>
      <c r="AH45" s="106"/>
      <c r="AI45" s="106"/>
    </row>
    <row r="46">
      <c r="A46" s="112" t="s">
        <v>247</v>
      </c>
      <c r="B46" s="111">
        <v>296.0</v>
      </c>
      <c r="C46" s="112">
        <v>36.0</v>
      </c>
      <c r="D46" s="112">
        <v>18.0</v>
      </c>
      <c r="E46" s="112">
        <v>36.0</v>
      </c>
      <c r="F46" s="111">
        <v>14.0</v>
      </c>
      <c r="G46" s="111">
        <v>12.0</v>
      </c>
      <c r="H46" s="111">
        <v>13.0</v>
      </c>
      <c r="I46" s="111">
        <v>21.0</v>
      </c>
      <c r="J46" s="111">
        <v>17.0</v>
      </c>
      <c r="K46" s="111">
        <v>13.0</v>
      </c>
      <c r="L46" s="111">
        <v>9.0</v>
      </c>
      <c r="M46" s="111">
        <v>14.0</v>
      </c>
      <c r="N46" s="111">
        <v>5.0</v>
      </c>
      <c r="O46" s="111">
        <v>9.0</v>
      </c>
      <c r="P46" s="111">
        <v>10.0</v>
      </c>
      <c r="Q46" s="111">
        <v>6.0</v>
      </c>
      <c r="R46" s="111">
        <v>6.0</v>
      </c>
      <c r="S46" s="111">
        <v>17.0</v>
      </c>
      <c r="T46" s="111">
        <v>6.0</v>
      </c>
      <c r="U46" s="111">
        <v>7.0</v>
      </c>
      <c r="V46" s="111">
        <v>7.0</v>
      </c>
      <c r="W46" s="111">
        <v>4.0</v>
      </c>
      <c r="X46" s="111">
        <v>7.0</v>
      </c>
      <c r="Y46" s="111">
        <v>9.0</v>
      </c>
      <c r="Z46" s="107">
        <f t="shared" ref="Z46:Z48" si="4">B46-SUM(C46:Y46)</f>
        <v>0</v>
      </c>
      <c r="AA46" s="112" t="s">
        <v>306</v>
      </c>
      <c r="AB46" s="106"/>
      <c r="AC46" s="106"/>
      <c r="AD46" s="106"/>
      <c r="AE46" s="106"/>
      <c r="AF46" s="106"/>
      <c r="AG46" s="106"/>
      <c r="AH46" s="106"/>
      <c r="AI46" s="106"/>
    </row>
    <row r="47">
      <c r="A47" s="112" t="s">
        <v>307</v>
      </c>
      <c r="B47" s="111">
        <v>379.0</v>
      </c>
      <c r="C47" s="112">
        <v>21.0</v>
      </c>
      <c r="D47" s="112">
        <v>16.0</v>
      </c>
      <c r="E47" s="112">
        <v>14.0</v>
      </c>
      <c r="F47" s="111">
        <v>13.0</v>
      </c>
      <c r="G47" s="111">
        <v>13.0</v>
      </c>
      <c r="H47" s="111">
        <v>6.0</v>
      </c>
      <c r="I47" s="111">
        <v>19.0</v>
      </c>
      <c r="J47" s="111">
        <v>13.0</v>
      </c>
      <c r="K47" s="111">
        <v>24.0</v>
      </c>
      <c r="L47" s="111">
        <v>19.0</v>
      </c>
      <c r="M47" s="111">
        <v>23.0</v>
      </c>
      <c r="N47" s="111">
        <v>11.0</v>
      </c>
      <c r="O47" s="111">
        <v>23.0</v>
      </c>
      <c r="P47" s="111">
        <v>22.0</v>
      </c>
      <c r="Q47" s="111">
        <v>22.0</v>
      </c>
      <c r="R47" s="111">
        <v>13.0</v>
      </c>
      <c r="S47" s="111">
        <v>30.0</v>
      </c>
      <c r="T47" s="111">
        <v>10.0</v>
      </c>
      <c r="U47" s="111">
        <v>15.0</v>
      </c>
      <c r="V47" s="111">
        <v>12.0</v>
      </c>
      <c r="W47" s="111">
        <v>13.0</v>
      </c>
      <c r="X47" s="111">
        <v>17.0</v>
      </c>
      <c r="Y47" s="111">
        <v>3.0</v>
      </c>
      <c r="Z47" s="107">
        <f t="shared" si="4"/>
        <v>7</v>
      </c>
      <c r="AA47" s="112" t="s">
        <v>308</v>
      </c>
      <c r="AB47" s="106"/>
      <c r="AC47" s="106"/>
      <c r="AD47" s="106"/>
      <c r="AE47" s="106"/>
      <c r="AF47" s="106"/>
      <c r="AG47" s="106"/>
      <c r="AH47" s="106"/>
      <c r="AI47" s="106"/>
    </row>
    <row r="48">
      <c r="A48" s="112" t="s">
        <v>191</v>
      </c>
      <c r="B48" s="111">
        <v>0.0</v>
      </c>
      <c r="C48" s="112">
        <v>0.0</v>
      </c>
      <c r="D48" s="112">
        <v>0.0</v>
      </c>
      <c r="E48" s="112">
        <v>0.0</v>
      </c>
      <c r="F48" s="111">
        <v>0.0</v>
      </c>
      <c r="G48" s="111">
        <v>0.0</v>
      </c>
      <c r="H48" s="111">
        <v>0.0</v>
      </c>
      <c r="I48" s="111">
        <v>0.0</v>
      </c>
      <c r="J48" s="111">
        <v>0.0</v>
      </c>
      <c r="K48" s="111">
        <v>0.0</v>
      </c>
      <c r="L48" s="111">
        <v>0.0</v>
      </c>
      <c r="M48" s="111">
        <v>0.0</v>
      </c>
      <c r="N48" s="111">
        <v>0.0</v>
      </c>
      <c r="O48" s="111">
        <v>0.0</v>
      </c>
      <c r="P48" s="111">
        <v>0.0</v>
      </c>
      <c r="Q48" s="111">
        <v>0.0</v>
      </c>
      <c r="R48" s="111">
        <v>0.0</v>
      </c>
      <c r="S48" s="111">
        <v>0.0</v>
      </c>
      <c r="T48" s="111">
        <v>0.0</v>
      </c>
      <c r="U48" s="111">
        <v>0.0</v>
      </c>
      <c r="V48" s="111">
        <v>0.0</v>
      </c>
      <c r="W48" s="111">
        <v>0.0</v>
      </c>
      <c r="X48" s="111">
        <v>0.0</v>
      </c>
      <c r="Y48" s="111">
        <v>0.0</v>
      </c>
      <c r="Z48" s="107">
        <f t="shared" si="4"/>
        <v>0</v>
      </c>
      <c r="AA48" s="106"/>
      <c r="AB48" s="106"/>
      <c r="AC48" s="106"/>
      <c r="AD48" s="106"/>
      <c r="AE48" s="106"/>
      <c r="AF48" s="106"/>
      <c r="AG48" s="106"/>
      <c r="AH48" s="106"/>
      <c r="AI48" s="106"/>
    </row>
    <row r="49">
      <c r="A49" s="112"/>
      <c r="B49" s="107"/>
      <c r="C49" s="107"/>
      <c r="D49" s="107"/>
      <c r="E49" s="107"/>
      <c r="F49" s="112"/>
      <c r="G49" s="112"/>
      <c r="H49" s="112"/>
      <c r="I49" s="107"/>
      <c r="J49" s="112"/>
      <c r="K49" s="106"/>
      <c r="L49" s="106"/>
      <c r="M49" s="106"/>
      <c r="N49" s="106"/>
      <c r="O49" s="106"/>
      <c r="P49" s="106"/>
      <c r="Q49" s="106"/>
      <c r="R49" s="106"/>
      <c r="S49" s="106"/>
      <c r="T49" s="106"/>
      <c r="U49" s="106"/>
      <c r="V49" s="106"/>
      <c r="W49" s="106"/>
      <c r="X49" s="106"/>
      <c r="Y49" s="106"/>
      <c r="Z49" s="106"/>
      <c r="AA49" s="106"/>
      <c r="AB49" s="106"/>
      <c r="AC49" s="106"/>
      <c r="AD49" s="106"/>
      <c r="AE49" s="106"/>
      <c r="AF49" s="106"/>
      <c r="AG49" s="106"/>
      <c r="AH49" s="106"/>
      <c r="AI49" s="106"/>
    </row>
    <row r="50">
      <c r="A50" s="112" t="s">
        <v>309</v>
      </c>
      <c r="B50" s="111" t="s">
        <v>310</v>
      </c>
      <c r="C50" s="111" t="s">
        <v>311</v>
      </c>
      <c r="D50" s="111" t="s">
        <v>312</v>
      </c>
      <c r="E50" s="111" t="s">
        <v>313</v>
      </c>
      <c r="F50" s="112" t="s">
        <v>314</v>
      </c>
      <c r="G50" s="112" t="s">
        <v>315</v>
      </c>
      <c r="H50" s="112" t="s">
        <v>316</v>
      </c>
      <c r="I50" s="112" t="s">
        <v>317</v>
      </c>
      <c r="J50" s="112"/>
      <c r="K50" s="106"/>
      <c r="L50" s="106"/>
      <c r="M50" s="106"/>
      <c r="N50" s="106"/>
      <c r="O50" s="106"/>
      <c r="P50" s="106"/>
      <c r="Q50" s="106"/>
      <c r="R50" s="106"/>
      <c r="S50" s="106"/>
      <c r="T50" s="106"/>
      <c r="U50" s="106"/>
      <c r="V50" s="106"/>
      <c r="W50" s="106"/>
      <c r="X50" s="106"/>
      <c r="Y50" s="106"/>
      <c r="Z50" s="106"/>
      <c r="AA50" s="106"/>
      <c r="AB50" s="106"/>
      <c r="AC50" s="106"/>
      <c r="AD50" s="106"/>
      <c r="AE50" s="106"/>
      <c r="AF50" s="106"/>
      <c r="AG50" s="106"/>
      <c r="AH50" s="106"/>
      <c r="AI50" s="106"/>
    </row>
    <row r="51">
      <c r="A51" s="112" t="s">
        <v>247</v>
      </c>
      <c r="B51" s="107">
        <f t="shared" ref="B51:B53" si="5">SUM(C46:D46)</f>
        <v>54</v>
      </c>
      <c r="C51" s="107">
        <f t="shared" ref="C51:C53" si="6">SUM(E46:G46)</f>
        <v>62</v>
      </c>
      <c r="D51" s="107">
        <f t="shared" ref="D51:D53" si="7">SUM(H46:J46)</f>
        <v>51</v>
      </c>
      <c r="E51" s="107">
        <f t="shared" ref="E51:E53" si="8">SUM(K46:M46)</f>
        <v>36</v>
      </c>
      <c r="F51" s="107">
        <f t="shared" ref="F51:F53" si="9">SUM(N46:P46)</f>
        <v>24</v>
      </c>
      <c r="G51" s="107">
        <f t="shared" ref="G51:G53" si="10">SUM(Q46:S46)</f>
        <v>29</v>
      </c>
      <c r="H51" s="112">
        <f t="shared" ref="H51:H53" si="11">SUM(T46:V46)</f>
        <v>20</v>
      </c>
      <c r="I51" s="107">
        <f t="shared" ref="I51:I53" si="12">SUM(W46:Y46)</f>
        <v>20</v>
      </c>
      <c r="J51" s="112"/>
      <c r="K51" s="106"/>
      <c r="L51" s="106"/>
      <c r="M51" s="106"/>
      <c r="N51" s="106"/>
      <c r="O51" s="106"/>
      <c r="P51" s="106"/>
      <c r="Q51" s="106"/>
      <c r="R51" s="106"/>
      <c r="S51" s="106"/>
      <c r="T51" s="106"/>
      <c r="U51" s="106"/>
      <c r="V51" s="106"/>
      <c r="W51" s="106"/>
      <c r="X51" s="106"/>
      <c r="Y51" s="106"/>
      <c r="Z51" s="106"/>
      <c r="AA51" s="106"/>
      <c r="AB51" s="106"/>
      <c r="AC51" s="106"/>
      <c r="AD51" s="106"/>
      <c r="AE51" s="106"/>
      <c r="AF51" s="106"/>
      <c r="AG51" s="106"/>
      <c r="AH51" s="106"/>
      <c r="AI51" s="106"/>
    </row>
    <row r="52">
      <c r="A52" s="112" t="s">
        <v>307</v>
      </c>
      <c r="B52" s="107">
        <f t="shared" si="5"/>
        <v>37</v>
      </c>
      <c r="C52" s="107">
        <f t="shared" si="6"/>
        <v>40</v>
      </c>
      <c r="D52" s="107">
        <f t="shared" si="7"/>
        <v>38</v>
      </c>
      <c r="E52" s="107">
        <f t="shared" si="8"/>
        <v>66</v>
      </c>
      <c r="F52" s="107">
        <f t="shared" si="9"/>
        <v>56</v>
      </c>
      <c r="G52" s="107">
        <f t="shared" si="10"/>
        <v>65</v>
      </c>
      <c r="H52" s="112">
        <f t="shared" si="11"/>
        <v>37</v>
      </c>
      <c r="I52" s="107">
        <f t="shared" si="12"/>
        <v>33</v>
      </c>
      <c r="J52" s="112"/>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row>
    <row r="53">
      <c r="A53" s="112" t="s">
        <v>191</v>
      </c>
      <c r="B53" s="107">
        <f t="shared" si="5"/>
        <v>0</v>
      </c>
      <c r="C53" s="107">
        <f t="shared" si="6"/>
        <v>0</v>
      </c>
      <c r="D53" s="107">
        <f t="shared" si="7"/>
        <v>0</v>
      </c>
      <c r="E53" s="107">
        <f t="shared" si="8"/>
        <v>0</v>
      </c>
      <c r="F53" s="107">
        <f t="shared" si="9"/>
        <v>0</v>
      </c>
      <c r="G53" s="107">
        <f t="shared" si="10"/>
        <v>0</v>
      </c>
      <c r="H53" s="112">
        <f t="shared" si="11"/>
        <v>0</v>
      </c>
      <c r="I53" s="107">
        <f t="shared" si="12"/>
        <v>0</v>
      </c>
      <c r="J53" s="112"/>
      <c r="K53" s="106"/>
      <c r="L53" s="106"/>
      <c r="M53" s="106"/>
      <c r="N53" s="106"/>
      <c r="O53" s="106"/>
      <c r="P53" s="106"/>
      <c r="Q53" s="106"/>
      <c r="R53" s="106"/>
      <c r="S53" s="106"/>
      <c r="T53" s="106"/>
      <c r="U53" s="106"/>
      <c r="V53" s="106"/>
      <c r="W53" s="106"/>
      <c r="X53" s="106"/>
      <c r="Y53" s="106"/>
      <c r="Z53" s="106"/>
      <c r="AA53" s="106"/>
      <c r="AB53" s="106"/>
      <c r="AC53" s="106"/>
      <c r="AD53" s="106"/>
      <c r="AE53" s="106"/>
      <c r="AF53" s="106"/>
      <c r="AG53" s="106"/>
      <c r="AH53" s="106"/>
      <c r="AI53" s="106"/>
    </row>
    <row r="54">
      <c r="A54" s="107"/>
      <c r="B54" s="107"/>
      <c r="C54" s="106"/>
      <c r="D54" s="106"/>
      <c r="E54" s="106"/>
      <c r="F54" s="107"/>
      <c r="G54" s="107"/>
      <c r="H54" s="106"/>
      <c r="I54" s="106"/>
      <c r="J54" s="106"/>
      <c r="K54" s="106"/>
      <c r="L54" s="106"/>
      <c r="M54" s="106"/>
      <c r="N54" s="106"/>
      <c r="O54" s="106"/>
      <c r="P54" s="106"/>
      <c r="Q54" s="106"/>
      <c r="R54" s="106"/>
      <c r="S54" s="106"/>
      <c r="T54" s="106"/>
      <c r="U54" s="106"/>
      <c r="V54" s="106"/>
      <c r="W54" s="106"/>
      <c r="X54" s="106"/>
      <c r="Y54" s="106"/>
      <c r="Z54" s="106"/>
      <c r="AA54" s="106"/>
      <c r="AB54" s="106"/>
      <c r="AC54" s="106"/>
      <c r="AD54" s="106"/>
      <c r="AE54" s="106"/>
      <c r="AF54" s="106"/>
      <c r="AG54" s="106"/>
      <c r="AH54" s="106"/>
      <c r="AI54" s="106"/>
    </row>
    <row r="55">
      <c r="A55" s="120" t="s">
        <v>318</v>
      </c>
      <c r="B55" s="107"/>
      <c r="C55" s="106"/>
      <c r="D55" s="106"/>
      <c r="E55" s="106"/>
      <c r="F55" s="107"/>
      <c r="G55" s="112"/>
      <c r="H55" s="106"/>
      <c r="I55" s="10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row>
    <row r="56">
      <c r="A56" s="108" t="s">
        <v>319</v>
      </c>
      <c r="B56" s="108" t="s">
        <v>121</v>
      </c>
      <c r="C56" s="118" t="s">
        <v>320</v>
      </c>
      <c r="D56" s="109" t="s">
        <v>321</v>
      </c>
      <c r="E56" s="109" t="s">
        <v>322</v>
      </c>
      <c r="F56" s="109" t="s">
        <v>323</v>
      </c>
      <c r="G56" s="106"/>
      <c r="H56" s="106"/>
      <c r="I56" s="106"/>
      <c r="J56" s="106"/>
      <c r="K56" s="106"/>
      <c r="L56" s="106"/>
      <c r="M56" s="106"/>
      <c r="N56" s="106"/>
      <c r="O56" s="106"/>
      <c r="P56" s="106"/>
      <c r="Q56" s="106"/>
      <c r="R56" s="106"/>
      <c r="S56" s="106"/>
      <c r="T56" s="106"/>
      <c r="U56" s="106"/>
      <c r="V56" s="106"/>
      <c r="W56" s="106"/>
      <c r="X56" s="106"/>
      <c r="Y56" s="106"/>
      <c r="Z56" s="106"/>
      <c r="AA56" s="106"/>
      <c r="AB56" s="106"/>
      <c r="AC56" s="106"/>
      <c r="AD56" s="106"/>
      <c r="AE56" s="106"/>
      <c r="AF56" s="106"/>
      <c r="AG56" s="106"/>
      <c r="AH56" s="106"/>
      <c r="AI56" s="106"/>
    </row>
    <row r="57">
      <c r="A57" s="112" t="s">
        <v>249</v>
      </c>
      <c r="B57" s="107">
        <f t="shared" ref="B57:B59" si="13">SUM(C57:F57)</f>
        <v>7</v>
      </c>
      <c r="C57" s="112">
        <v>2.0</v>
      </c>
      <c r="D57" s="112">
        <v>1.0</v>
      </c>
      <c r="E57" s="112">
        <v>0.0</v>
      </c>
      <c r="F57" s="111">
        <v>4.0</v>
      </c>
      <c r="G57" s="106"/>
      <c r="H57" s="106"/>
      <c r="I57" s="106"/>
      <c r="J57" s="106"/>
      <c r="K57" s="106"/>
      <c r="L57" s="106"/>
      <c r="M57" s="106"/>
      <c r="N57" s="106"/>
      <c r="O57" s="106"/>
      <c r="P57" s="106"/>
      <c r="Q57" s="106"/>
      <c r="R57" s="106"/>
      <c r="S57" s="106"/>
      <c r="T57" s="106"/>
      <c r="U57" s="106"/>
      <c r="V57" s="106"/>
      <c r="W57" s="106"/>
      <c r="X57" s="106"/>
      <c r="Y57" s="106"/>
      <c r="Z57" s="106"/>
      <c r="AA57" s="106"/>
      <c r="AB57" s="106"/>
      <c r="AC57" s="106"/>
      <c r="AD57" s="106"/>
      <c r="AE57" s="106"/>
      <c r="AF57" s="106"/>
      <c r="AG57" s="106"/>
      <c r="AH57" s="106"/>
      <c r="AI57" s="106"/>
    </row>
    <row r="58">
      <c r="A58" s="112" t="s">
        <v>324</v>
      </c>
      <c r="B58" s="107">
        <f t="shared" si="13"/>
        <v>55</v>
      </c>
      <c r="C58" s="112">
        <v>19.0</v>
      </c>
      <c r="D58" s="112">
        <v>15.0</v>
      </c>
      <c r="E58" s="112">
        <v>13.0</v>
      </c>
      <c r="F58" s="111">
        <v>8.0</v>
      </c>
      <c r="G58" s="107"/>
      <c r="H58" s="111" t="s">
        <v>325</v>
      </c>
      <c r="I58" s="112" t="s">
        <v>326</v>
      </c>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row>
    <row r="59">
      <c r="A59" s="112" t="s">
        <v>327</v>
      </c>
      <c r="B59" s="107">
        <f t="shared" si="13"/>
        <v>2</v>
      </c>
      <c r="C59" s="112">
        <v>0.0</v>
      </c>
      <c r="D59" s="112">
        <v>0.0</v>
      </c>
      <c r="E59" s="112">
        <v>1.0</v>
      </c>
      <c r="F59" s="111">
        <v>1.0</v>
      </c>
      <c r="G59" s="106"/>
      <c r="H59" s="106"/>
      <c r="I59" s="106"/>
      <c r="J59" s="106"/>
      <c r="K59" s="106"/>
      <c r="L59" s="106"/>
      <c r="M59" s="106"/>
      <c r="N59" s="106"/>
      <c r="O59" s="106"/>
      <c r="P59" s="106"/>
      <c r="Q59" s="106"/>
      <c r="R59" s="106"/>
      <c r="S59" s="106"/>
      <c r="T59" s="106"/>
      <c r="U59" s="106"/>
      <c r="V59" s="106"/>
      <c r="W59" s="106"/>
      <c r="X59" s="106"/>
      <c r="Y59" s="106"/>
      <c r="Z59" s="106"/>
      <c r="AA59" s="106"/>
      <c r="AB59" s="106"/>
      <c r="AC59" s="106"/>
      <c r="AD59" s="106"/>
      <c r="AE59" s="106"/>
      <c r="AF59" s="106"/>
      <c r="AG59" s="106"/>
      <c r="AH59" s="106"/>
      <c r="AI59" s="106"/>
    </row>
    <row r="60">
      <c r="A60" s="107"/>
      <c r="B60" s="107"/>
      <c r="C60" s="106"/>
      <c r="D60" s="106"/>
      <c r="E60" s="106"/>
      <c r="F60" s="107"/>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row>
    <row r="61">
      <c r="A61" s="121" t="s">
        <v>328</v>
      </c>
      <c r="B61" s="111" t="s">
        <v>329</v>
      </c>
      <c r="C61" s="107"/>
      <c r="D61" s="107"/>
      <c r="E61" s="106"/>
      <c r="F61" s="107"/>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106"/>
      <c r="AH61" s="106"/>
      <c r="AI61" s="106"/>
    </row>
    <row r="62">
      <c r="A62" s="108" t="s">
        <v>330</v>
      </c>
      <c r="B62" s="108" t="s">
        <v>331</v>
      </c>
      <c r="C62" s="118" t="s">
        <v>332</v>
      </c>
      <c r="D62" s="109" t="s">
        <v>333</v>
      </c>
      <c r="E62" s="109" t="s">
        <v>334</v>
      </c>
      <c r="F62" s="109" t="s">
        <v>335</v>
      </c>
      <c r="G62" s="109" t="s">
        <v>336</v>
      </c>
      <c r="H62" s="109" t="s">
        <v>337</v>
      </c>
      <c r="I62" s="109" t="s">
        <v>338</v>
      </c>
      <c r="J62" s="109" t="s">
        <v>339</v>
      </c>
      <c r="K62" s="109" t="s">
        <v>340</v>
      </c>
      <c r="L62" s="109" t="s">
        <v>341</v>
      </c>
      <c r="M62" s="109" t="s">
        <v>342</v>
      </c>
      <c r="N62" s="109" t="s">
        <v>343</v>
      </c>
      <c r="O62" s="109" t="s">
        <v>344</v>
      </c>
      <c r="P62" s="109" t="s">
        <v>345</v>
      </c>
      <c r="Q62" s="109" t="s">
        <v>346</v>
      </c>
      <c r="R62" s="109" t="s">
        <v>347</v>
      </c>
      <c r="S62" s="109" t="s">
        <v>348</v>
      </c>
      <c r="T62" s="109" t="s">
        <v>349</v>
      </c>
      <c r="U62" s="109" t="s">
        <v>350</v>
      </c>
      <c r="V62" s="109" t="s">
        <v>351</v>
      </c>
      <c r="W62" s="109" t="s">
        <v>352</v>
      </c>
      <c r="X62" s="109" t="s">
        <v>353</v>
      </c>
      <c r="Y62" s="109" t="s">
        <v>354</v>
      </c>
      <c r="Z62" s="122" t="s">
        <v>355</v>
      </c>
      <c r="AA62" s="106"/>
      <c r="AB62" s="106"/>
      <c r="AC62" s="106"/>
      <c r="AD62" s="106"/>
      <c r="AE62" s="106"/>
      <c r="AF62" s="106"/>
      <c r="AG62" s="106"/>
      <c r="AH62" s="106"/>
      <c r="AI62" s="106"/>
    </row>
    <row r="63">
      <c r="A63" s="112" t="s">
        <v>248</v>
      </c>
      <c r="B63" s="111">
        <f t="shared" ref="B63:B69" si="14">SUM(C63:Z63)</f>
        <v>81</v>
      </c>
      <c r="C63" s="112">
        <v>2.0</v>
      </c>
      <c r="D63" s="111">
        <v>1.0</v>
      </c>
      <c r="E63" s="112">
        <v>5.0</v>
      </c>
      <c r="F63" s="111">
        <v>4.0</v>
      </c>
      <c r="G63" s="112">
        <v>2.0</v>
      </c>
      <c r="H63" s="112">
        <v>1.0</v>
      </c>
      <c r="I63" s="112">
        <v>3.0</v>
      </c>
      <c r="J63" s="112">
        <v>2.0</v>
      </c>
      <c r="K63" s="112">
        <v>1.0</v>
      </c>
      <c r="L63" s="112">
        <v>4.0</v>
      </c>
      <c r="M63" s="112">
        <v>5.0</v>
      </c>
      <c r="N63" s="112">
        <v>1.0</v>
      </c>
      <c r="O63" s="112">
        <v>1.0</v>
      </c>
      <c r="P63" s="112">
        <v>4.0</v>
      </c>
      <c r="Q63" s="112">
        <v>9.0</v>
      </c>
      <c r="R63" s="112">
        <v>2.0</v>
      </c>
      <c r="S63" s="112">
        <v>8.0</v>
      </c>
      <c r="T63" s="112">
        <v>3.0</v>
      </c>
      <c r="U63" s="112">
        <v>4.0</v>
      </c>
      <c r="V63" s="112">
        <v>4.0</v>
      </c>
      <c r="W63" s="112">
        <v>3.0</v>
      </c>
      <c r="X63" s="112">
        <v>6.0</v>
      </c>
      <c r="Y63" s="112">
        <v>5.0</v>
      </c>
      <c r="Z63" s="112">
        <v>1.0</v>
      </c>
      <c r="AA63" s="106"/>
      <c r="AB63" s="106"/>
      <c r="AC63" s="106"/>
      <c r="AD63" s="106"/>
      <c r="AE63" s="106"/>
      <c r="AF63" s="106"/>
      <c r="AG63" s="106"/>
      <c r="AH63" s="106"/>
      <c r="AI63" s="106"/>
    </row>
    <row r="64">
      <c r="A64" s="112" t="s">
        <v>356</v>
      </c>
      <c r="B64" s="111">
        <f t="shared" si="14"/>
        <v>16</v>
      </c>
      <c r="C64" s="112">
        <v>2.0</v>
      </c>
      <c r="D64" s="111">
        <v>2.0</v>
      </c>
      <c r="E64" s="112">
        <v>1.0</v>
      </c>
      <c r="F64" s="111">
        <v>0.0</v>
      </c>
      <c r="G64" s="112">
        <v>0.0</v>
      </c>
      <c r="H64" s="112">
        <v>0.0</v>
      </c>
      <c r="I64" s="112">
        <v>2.0</v>
      </c>
      <c r="J64" s="112">
        <v>0.0</v>
      </c>
      <c r="K64" s="112">
        <v>0.0</v>
      </c>
      <c r="L64" s="112">
        <v>0.0</v>
      </c>
      <c r="M64" s="112">
        <v>1.0</v>
      </c>
      <c r="N64" s="112">
        <v>0.0</v>
      </c>
      <c r="O64" s="112">
        <v>0.0</v>
      </c>
      <c r="P64" s="112">
        <v>0.0</v>
      </c>
      <c r="Q64" s="112">
        <v>0.0</v>
      </c>
      <c r="R64" s="112">
        <v>0.0</v>
      </c>
      <c r="S64" s="112">
        <v>2.0</v>
      </c>
      <c r="T64" s="112">
        <v>3.0</v>
      </c>
      <c r="U64" s="112">
        <v>1.0</v>
      </c>
      <c r="V64" s="112">
        <v>2.0</v>
      </c>
      <c r="W64" s="112">
        <v>0.0</v>
      </c>
      <c r="X64" s="112">
        <v>0.0</v>
      </c>
      <c r="Y64" s="112">
        <v>0.0</v>
      </c>
      <c r="Z64" s="112">
        <v>0.0</v>
      </c>
      <c r="AA64" s="106"/>
      <c r="AB64" s="106"/>
      <c r="AC64" s="106"/>
      <c r="AD64" s="106"/>
      <c r="AE64" s="106"/>
      <c r="AF64" s="106"/>
      <c r="AG64" s="106"/>
      <c r="AH64" s="106"/>
      <c r="AI64" s="106"/>
    </row>
    <row r="65">
      <c r="A65" s="112" t="s">
        <v>357</v>
      </c>
      <c r="B65" s="111">
        <f t="shared" si="14"/>
        <v>241</v>
      </c>
      <c r="C65" s="112">
        <v>12.0</v>
      </c>
      <c r="D65" s="111">
        <v>7.0</v>
      </c>
      <c r="E65" s="112">
        <v>9.0</v>
      </c>
      <c r="F65" s="111">
        <v>5.0</v>
      </c>
      <c r="G65" s="111">
        <v>10.0</v>
      </c>
      <c r="H65" s="111">
        <v>5.0</v>
      </c>
      <c r="I65" s="111">
        <v>13.0</v>
      </c>
      <c r="J65" s="111">
        <v>9.0</v>
      </c>
      <c r="K65" s="111">
        <v>15.0</v>
      </c>
      <c r="L65" s="111">
        <v>7.0</v>
      </c>
      <c r="M65" s="111">
        <v>16.0</v>
      </c>
      <c r="N65" s="111">
        <v>14.0</v>
      </c>
      <c r="O65" s="111">
        <v>18.0</v>
      </c>
      <c r="P65" s="111">
        <v>5.0</v>
      </c>
      <c r="Q65" s="111">
        <v>20.0</v>
      </c>
      <c r="R65" s="111">
        <v>9.0</v>
      </c>
      <c r="S65" s="111">
        <v>13.0</v>
      </c>
      <c r="T65" s="111">
        <v>7.0</v>
      </c>
      <c r="U65" s="120">
        <v>10.0</v>
      </c>
      <c r="V65" s="111">
        <v>9.0</v>
      </c>
      <c r="W65" s="112">
        <v>4.0</v>
      </c>
      <c r="X65" s="112">
        <v>11.0</v>
      </c>
      <c r="Y65" s="112">
        <v>10.0</v>
      </c>
      <c r="Z65" s="112">
        <v>3.0</v>
      </c>
      <c r="AA65" s="106"/>
      <c r="AB65" s="106"/>
      <c r="AC65" s="106"/>
      <c r="AD65" s="106"/>
      <c r="AE65" s="106"/>
      <c r="AF65" s="106"/>
      <c r="AG65" s="106"/>
      <c r="AH65" s="106"/>
      <c r="AI65" s="106"/>
    </row>
    <row r="66">
      <c r="A66" s="111" t="s">
        <v>358</v>
      </c>
      <c r="B66" s="111">
        <f t="shared" si="14"/>
        <v>11</v>
      </c>
      <c r="C66" s="111">
        <v>0.0</v>
      </c>
      <c r="D66" s="111">
        <v>1.0</v>
      </c>
      <c r="E66" s="112">
        <v>0.0</v>
      </c>
      <c r="F66" s="111">
        <v>0.0</v>
      </c>
      <c r="G66" s="112">
        <v>0.0</v>
      </c>
      <c r="H66" s="112">
        <v>0.0</v>
      </c>
      <c r="I66" s="111">
        <v>0.0</v>
      </c>
      <c r="J66" s="111">
        <v>1.0</v>
      </c>
      <c r="K66" s="112">
        <v>0.0</v>
      </c>
      <c r="L66" s="112">
        <v>0.0</v>
      </c>
      <c r="M66" s="112">
        <v>2.0</v>
      </c>
      <c r="N66" s="112">
        <v>0.0</v>
      </c>
      <c r="O66" s="112">
        <v>2.0</v>
      </c>
      <c r="P66" s="112">
        <v>1.0</v>
      </c>
      <c r="Q66" s="112">
        <v>1.0</v>
      </c>
      <c r="R66" s="112">
        <v>0.0</v>
      </c>
      <c r="S66" s="112">
        <v>1.0</v>
      </c>
      <c r="T66" s="112">
        <v>1.0</v>
      </c>
      <c r="U66" s="112">
        <v>0.0</v>
      </c>
      <c r="V66" s="112">
        <v>0.0</v>
      </c>
      <c r="W66" s="112">
        <v>0.0</v>
      </c>
      <c r="X66" s="112">
        <v>1.0</v>
      </c>
      <c r="Y66" s="112">
        <v>0.0</v>
      </c>
      <c r="Z66" s="112">
        <v>0.0</v>
      </c>
      <c r="AA66" s="106"/>
      <c r="AB66" s="106"/>
      <c r="AC66" s="106"/>
      <c r="AD66" s="106"/>
      <c r="AE66" s="106"/>
      <c r="AF66" s="106"/>
      <c r="AG66" s="106"/>
      <c r="AH66" s="106"/>
      <c r="AI66" s="106"/>
    </row>
    <row r="67">
      <c r="A67" s="120"/>
      <c r="B67" s="111">
        <f t="shared" si="14"/>
        <v>0</v>
      </c>
      <c r="C67" s="112"/>
      <c r="D67" s="111"/>
      <c r="E67" s="112"/>
      <c r="F67" s="107"/>
      <c r="G67" s="106"/>
      <c r="H67" s="106"/>
      <c r="I67" s="107"/>
      <c r="J67" s="107"/>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row>
    <row r="68">
      <c r="A68" s="120" t="s">
        <v>359</v>
      </c>
      <c r="B68" s="111">
        <f t="shared" si="14"/>
        <v>20</v>
      </c>
      <c r="C68" s="112">
        <v>2.0</v>
      </c>
      <c r="D68" s="111">
        <v>3.0</v>
      </c>
      <c r="E68" s="112">
        <v>0.0</v>
      </c>
      <c r="F68" s="111">
        <v>0.0</v>
      </c>
      <c r="G68" s="112">
        <v>2.0</v>
      </c>
      <c r="H68" s="112">
        <v>2.0</v>
      </c>
      <c r="I68" s="111">
        <v>2.0</v>
      </c>
      <c r="J68" s="111">
        <v>0.0</v>
      </c>
      <c r="K68" s="112">
        <v>0.0</v>
      </c>
      <c r="L68" s="112">
        <v>0.0</v>
      </c>
      <c r="M68" s="112">
        <v>0.0</v>
      </c>
      <c r="N68" s="112">
        <v>1.0</v>
      </c>
      <c r="O68" s="112">
        <v>0.0</v>
      </c>
      <c r="P68" s="112">
        <v>1.0</v>
      </c>
      <c r="Q68" s="112">
        <v>0.0</v>
      </c>
      <c r="R68" s="112">
        <v>2.0</v>
      </c>
      <c r="S68" s="112">
        <v>2.0</v>
      </c>
      <c r="T68" s="112">
        <v>1.0</v>
      </c>
      <c r="U68" s="112">
        <v>0.0</v>
      </c>
      <c r="V68" s="112">
        <v>1.0</v>
      </c>
      <c r="W68" s="112">
        <v>1.0</v>
      </c>
      <c r="X68" s="112">
        <v>0.0</v>
      </c>
      <c r="Y68" s="112">
        <v>0.0</v>
      </c>
      <c r="Z68" s="112">
        <v>0.0</v>
      </c>
      <c r="AA68" s="106"/>
      <c r="AB68" s="106"/>
      <c r="AC68" s="106"/>
      <c r="AD68" s="106"/>
      <c r="AE68" s="106"/>
      <c r="AF68" s="106"/>
      <c r="AG68" s="106"/>
      <c r="AH68" s="106"/>
      <c r="AI68" s="106"/>
    </row>
    <row r="69">
      <c r="A69" s="112" t="s">
        <v>360</v>
      </c>
      <c r="B69" s="111">
        <f t="shared" si="14"/>
        <v>0</v>
      </c>
      <c r="C69" s="112">
        <v>0.0</v>
      </c>
      <c r="D69" s="111">
        <v>0.0</v>
      </c>
      <c r="E69" s="112">
        <v>0.0</v>
      </c>
      <c r="F69" s="111">
        <v>0.0</v>
      </c>
      <c r="G69" s="112">
        <v>0.0</v>
      </c>
      <c r="H69" s="112">
        <v>0.0</v>
      </c>
      <c r="I69" s="111">
        <v>0.0</v>
      </c>
      <c r="J69" s="111">
        <v>0.0</v>
      </c>
      <c r="K69" s="112">
        <v>0.0</v>
      </c>
      <c r="L69" s="112">
        <v>0.0</v>
      </c>
      <c r="M69" s="112">
        <v>0.0</v>
      </c>
      <c r="N69" s="112">
        <v>0.0</v>
      </c>
      <c r="O69" s="112">
        <v>0.0</v>
      </c>
      <c r="P69" s="112">
        <v>0.0</v>
      </c>
      <c r="Q69" s="112">
        <v>0.0</v>
      </c>
      <c r="R69" s="112">
        <v>0.0</v>
      </c>
      <c r="S69" s="112">
        <v>0.0</v>
      </c>
      <c r="T69" s="112">
        <v>0.0</v>
      </c>
      <c r="U69" s="112">
        <v>0.0</v>
      </c>
      <c r="V69" s="112">
        <v>0.0</v>
      </c>
      <c r="W69" s="112">
        <v>0.0</v>
      </c>
      <c r="X69" s="112">
        <v>0.0</v>
      </c>
      <c r="Y69" s="112">
        <v>0.0</v>
      </c>
      <c r="Z69" s="112">
        <v>0.0</v>
      </c>
      <c r="AA69" s="106"/>
      <c r="AB69" s="106"/>
      <c r="AC69" s="106"/>
      <c r="AD69" s="106"/>
      <c r="AE69" s="106"/>
      <c r="AF69" s="106"/>
      <c r="AG69" s="106"/>
      <c r="AH69" s="106"/>
      <c r="AI69" s="106"/>
    </row>
    <row r="70">
      <c r="A70" s="107"/>
      <c r="B70" s="107"/>
      <c r="C70" s="107"/>
      <c r="D70" s="107"/>
      <c r="E70" s="107"/>
      <c r="F70" s="106"/>
      <c r="G70" s="106"/>
      <c r="H70" s="106"/>
      <c r="I70" s="10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row>
    <row r="71">
      <c r="A71" s="111" t="s">
        <v>361</v>
      </c>
      <c r="B71" s="111" t="s">
        <v>362</v>
      </c>
      <c r="C71" s="111" t="s">
        <v>363</v>
      </c>
      <c r="D71" s="111" t="s">
        <v>364</v>
      </c>
      <c r="E71" s="111" t="s">
        <v>365</v>
      </c>
      <c r="F71" s="111" t="s">
        <v>366</v>
      </c>
      <c r="G71" s="111" t="s">
        <v>367</v>
      </c>
      <c r="H71" s="111" t="s">
        <v>368</v>
      </c>
      <c r="I71" s="112" t="s">
        <v>369</v>
      </c>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row>
    <row r="72">
      <c r="A72" s="112" t="s">
        <v>248</v>
      </c>
      <c r="B72" s="107">
        <f t="shared" ref="B72:B75" si="15">SUM(C63:D63)</f>
        <v>3</v>
      </c>
      <c r="C72" s="107">
        <f t="shared" ref="C72:C75" si="16">SUM(E63:G63)</f>
        <v>11</v>
      </c>
      <c r="D72" s="107">
        <f t="shared" ref="D72:D75" si="17">SUM(H63:J63)</f>
        <v>6</v>
      </c>
      <c r="E72" s="107">
        <f t="shared" ref="E72:E75" si="18">SUM(K63:M63)</f>
        <v>10</v>
      </c>
      <c r="F72" s="107">
        <f t="shared" ref="F72:F75" si="19">SUM(N63:P63)</f>
        <v>6</v>
      </c>
      <c r="G72" s="107">
        <f t="shared" ref="G72:G75" si="20">SUM(Q63:S63)</f>
        <v>19</v>
      </c>
      <c r="H72" s="106">
        <f t="shared" ref="H72:H75" si="21">SUM(T63:V63)</f>
        <v>11</v>
      </c>
      <c r="I72" s="106">
        <f t="shared" ref="I72:I75" si="22">sum(W63:Y63)</f>
        <v>14</v>
      </c>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row>
    <row r="73">
      <c r="A73" s="112" t="s">
        <v>356</v>
      </c>
      <c r="B73" s="107">
        <f t="shared" si="15"/>
        <v>4</v>
      </c>
      <c r="C73" s="107">
        <f t="shared" si="16"/>
        <v>1</v>
      </c>
      <c r="D73" s="107">
        <f t="shared" si="17"/>
        <v>2</v>
      </c>
      <c r="E73" s="107">
        <f t="shared" si="18"/>
        <v>1</v>
      </c>
      <c r="F73" s="107">
        <f t="shared" si="19"/>
        <v>0</v>
      </c>
      <c r="G73" s="107">
        <f t="shared" si="20"/>
        <v>2</v>
      </c>
      <c r="H73" s="106">
        <f t="shared" si="21"/>
        <v>6</v>
      </c>
      <c r="I73" s="106">
        <f t="shared" si="22"/>
        <v>0</v>
      </c>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row>
    <row r="74">
      <c r="A74" s="112" t="s">
        <v>357</v>
      </c>
      <c r="B74" s="107">
        <f t="shared" si="15"/>
        <v>19</v>
      </c>
      <c r="C74" s="107">
        <f t="shared" si="16"/>
        <v>24</v>
      </c>
      <c r="D74" s="107">
        <f t="shared" si="17"/>
        <v>27</v>
      </c>
      <c r="E74" s="107">
        <f t="shared" si="18"/>
        <v>38</v>
      </c>
      <c r="F74" s="107">
        <f t="shared" si="19"/>
        <v>37</v>
      </c>
      <c r="G74" s="107">
        <f t="shared" si="20"/>
        <v>42</v>
      </c>
      <c r="H74" s="106">
        <f t="shared" si="21"/>
        <v>26</v>
      </c>
      <c r="I74" s="106">
        <f t="shared" si="22"/>
        <v>25</v>
      </c>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row>
    <row r="75">
      <c r="A75" s="111" t="s">
        <v>358</v>
      </c>
      <c r="B75" s="107">
        <f t="shared" si="15"/>
        <v>1</v>
      </c>
      <c r="C75" s="107">
        <f t="shared" si="16"/>
        <v>0</v>
      </c>
      <c r="D75" s="107">
        <f t="shared" si="17"/>
        <v>1</v>
      </c>
      <c r="E75" s="107">
        <f t="shared" si="18"/>
        <v>2</v>
      </c>
      <c r="F75" s="107">
        <f t="shared" si="19"/>
        <v>3</v>
      </c>
      <c r="G75" s="107">
        <f t="shared" si="20"/>
        <v>2</v>
      </c>
      <c r="H75" s="106">
        <f t="shared" si="21"/>
        <v>1</v>
      </c>
      <c r="I75" s="106">
        <f t="shared" si="22"/>
        <v>1</v>
      </c>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row>
    <row r="76">
      <c r="A76" s="107"/>
      <c r="B76" s="107"/>
      <c r="C76" s="107"/>
      <c r="D76" s="107"/>
      <c r="E76" s="107"/>
      <c r="F76" s="106"/>
      <c r="G76" s="106"/>
      <c r="H76" s="106"/>
      <c r="I76" s="10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row>
    <row r="77">
      <c r="A77" s="107"/>
      <c r="B77" s="111" t="s">
        <v>370</v>
      </c>
      <c r="C77" s="111" t="s">
        <v>371</v>
      </c>
      <c r="D77" s="111" t="s">
        <v>372</v>
      </c>
      <c r="E77" s="111" t="s">
        <v>373</v>
      </c>
      <c r="F77" s="112" t="s">
        <v>374</v>
      </c>
      <c r="G77" s="112" t="s">
        <v>375</v>
      </c>
      <c r="H77" s="112" t="s">
        <v>376</v>
      </c>
      <c r="I77" s="112" t="s">
        <v>377</v>
      </c>
      <c r="J77" s="112" t="s">
        <v>378</v>
      </c>
      <c r="K77" s="112" t="s">
        <v>379</v>
      </c>
      <c r="L77" s="123" t="s">
        <v>380</v>
      </c>
      <c r="M77" s="124" t="s">
        <v>381</v>
      </c>
      <c r="N77" s="112" t="s">
        <v>382</v>
      </c>
      <c r="O77" s="112" t="s">
        <v>383</v>
      </c>
      <c r="P77" s="112" t="s">
        <v>384</v>
      </c>
      <c r="Q77" s="112" t="s">
        <v>385</v>
      </c>
      <c r="R77" s="112" t="s">
        <v>386</v>
      </c>
      <c r="S77" s="124" t="s">
        <v>387</v>
      </c>
      <c r="T77" s="112" t="s">
        <v>388</v>
      </c>
      <c r="U77" s="112" t="s">
        <v>389</v>
      </c>
      <c r="V77" s="112" t="s">
        <v>390</v>
      </c>
      <c r="W77" s="112" t="s">
        <v>391</v>
      </c>
      <c r="X77" s="124" t="s">
        <v>392</v>
      </c>
      <c r="Y77" s="112" t="s">
        <v>393</v>
      </c>
      <c r="Z77" s="112" t="s">
        <v>394</v>
      </c>
      <c r="AA77" s="112" t="s">
        <v>395</v>
      </c>
      <c r="AB77" s="106"/>
      <c r="AC77" s="106"/>
      <c r="AD77" s="106"/>
      <c r="AE77" s="106"/>
      <c r="AF77" s="106"/>
      <c r="AG77" s="106"/>
      <c r="AH77" s="106"/>
      <c r="AI77" s="106"/>
    </row>
    <row r="78">
      <c r="A78" s="112" t="s">
        <v>396</v>
      </c>
      <c r="B78" s="122" t="s">
        <v>397</v>
      </c>
      <c r="C78" s="112" t="s">
        <v>398</v>
      </c>
      <c r="D78" s="112" t="s">
        <v>399</v>
      </c>
      <c r="E78" s="112" t="s">
        <v>400</v>
      </c>
      <c r="F78" s="112" t="s">
        <v>401</v>
      </c>
      <c r="G78" s="111" t="s">
        <v>402</v>
      </c>
      <c r="H78" s="112" t="s">
        <v>403</v>
      </c>
      <c r="I78" s="112" t="s">
        <v>404</v>
      </c>
      <c r="J78" s="112" t="s">
        <v>405</v>
      </c>
      <c r="K78" s="112" t="s">
        <v>406</v>
      </c>
      <c r="L78" s="112" t="s">
        <v>407</v>
      </c>
      <c r="M78" s="112" t="s">
        <v>408</v>
      </c>
      <c r="N78" s="112" t="s">
        <v>409</v>
      </c>
      <c r="O78" s="112" t="s">
        <v>410</v>
      </c>
      <c r="P78" s="112" t="s">
        <v>411</v>
      </c>
      <c r="Q78" s="121" t="s">
        <v>400</v>
      </c>
      <c r="R78" s="112" t="s">
        <v>412</v>
      </c>
      <c r="S78" s="112" t="s">
        <v>402</v>
      </c>
      <c r="T78" s="112" t="s">
        <v>413</v>
      </c>
      <c r="U78" s="112" t="s">
        <v>414</v>
      </c>
      <c r="V78" s="112" t="s">
        <v>415</v>
      </c>
      <c r="W78" s="112" t="s">
        <v>416</v>
      </c>
      <c r="X78" s="112" t="s">
        <v>417</v>
      </c>
      <c r="Y78" s="112" t="s">
        <v>418</v>
      </c>
      <c r="Z78" s="112" t="s">
        <v>419</v>
      </c>
      <c r="AA78" s="112" t="s">
        <v>420</v>
      </c>
      <c r="AB78" s="106"/>
      <c r="AC78" s="106"/>
      <c r="AD78" s="106"/>
      <c r="AE78" s="106"/>
      <c r="AF78" s="106"/>
      <c r="AG78" s="106"/>
      <c r="AH78" s="106"/>
      <c r="AI78" s="106"/>
    </row>
    <row r="79">
      <c r="A79" s="112" t="s">
        <v>421</v>
      </c>
      <c r="B79" s="112">
        <f t="shared" ref="B79:B84" si="23">SUM(C79:AA79)</f>
        <v>80</v>
      </c>
      <c r="C79" s="112">
        <v>2.0</v>
      </c>
      <c r="D79" s="112">
        <v>3.0</v>
      </c>
      <c r="E79" s="112">
        <v>3.0</v>
      </c>
      <c r="F79" s="112">
        <v>2.0</v>
      </c>
      <c r="G79" s="111">
        <v>4.0</v>
      </c>
      <c r="H79" s="112">
        <v>1.0</v>
      </c>
      <c r="I79" s="112">
        <v>3.0</v>
      </c>
      <c r="J79" s="112">
        <v>3.0</v>
      </c>
      <c r="K79" s="112">
        <v>1.0</v>
      </c>
      <c r="L79" s="112">
        <v>4.0</v>
      </c>
      <c r="M79" s="112">
        <v>7.0</v>
      </c>
      <c r="N79" s="112">
        <v>1.0</v>
      </c>
      <c r="O79" s="112">
        <v>4.0</v>
      </c>
      <c r="P79" s="112">
        <v>2.0</v>
      </c>
      <c r="Q79" s="112">
        <v>3.0</v>
      </c>
      <c r="R79" s="112">
        <v>6.0</v>
      </c>
      <c r="S79" s="111">
        <v>3.0</v>
      </c>
      <c r="T79" s="112">
        <v>4.0</v>
      </c>
      <c r="U79" s="112">
        <v>4.0</v>
      </c>
      <c r="V79" s="112">
        <v>6.0</v>
      </c>
      <c r="W79" s="112">
        <v>8.0</v>
      </c>
      <c r="X79" s="112">
        <v>1.0</v>
      </c>
      <c r="Y79" s="112">
        <v>4.0</v>
      </c>
      <c r="Z79" s="112">
        <v>1.0</v>
      </c>
      <c r="AA79" s="112">
        <v>0.0</v>
      </c>
      <c r="AB79" s="106"/>
      <c r="AC79" s="106"/>
      <c r="AD79" s="106"/>
      <c r="AE79" s="106"/>
      <c r="AF79" s="106"/>
      <c r="AG79" s="106"/>
      <c r="AH79" s="106"/>
      <c r="AI79" s="106"/>
    </row>
    <row r="80">
      <c r="A80" s="112" t="s">
        <v>422</v>
      </c>
      <c r="B80" s="112">
        <f t="shared" si="23"/>
        <v>141</v>
      </c>
      <c r="C80" s="112">
        <v>3.0</v>
      </c>
      <c r="D80" s="112">
        <v>2.0</v>
      </c>
      <c r="E80" s="112">
        <v>4.0</v>
      </c>
      <c r="F80" s="112">
        <v>2.0</v>
      </c>
      <c r="G80" s="111">
        <v>1.0</v>
      </c>
      <c r="H80" s="112">
        <v>7.0</v>
      </c>
      <c r="I80" s="112">
        <v>2.0</v>
      </c>
      <c r="J80" s="112">
        <v>9.0</v>
      </c>
      <c r="K80" s="112">
        <v>7.0</v>
      </c>
      <c r="L80" s="111">
        <v>11.0</v>
      </c>
      <c r="M80" s="112">
        <v>10.0</v>
      </c>
      <c r="N80" s="112">
        <v>9.0</v>
      </c>
      <c r="O80" s="112">
        <v>5.0</v>
      </c>
      <c r="P80" s="112">
        <v>14.0</v>
      </c>
      <c r="Q80" s="112">
        <v>4.0</v>
      </c>
      <c r="R80" s="112">
        <v>16.0</v>
      </c>
      <c r="S80" s="112">
        <v>2.0</v>
      </c>
      <c r="T80" s="112">
        <v>6.0</v>
      </c>
      <c r="U80" s="112">
        <v>4.0</v>
      </c>
      <c r="V80" s="112">
        <v>2.0</v>
      </c>
      <c r="W80" s="112">
        <v>1.0</v>
      </c>
      <c r="X80" s="112">
        <v>2.0</v>
      </c>
      <c r="Y80" s="112">
        <v>8.0</v>
      </c>
      <c r="Z80" s="112">
        <v>7.0</v>
      </c>
      <c r="AA80" s="112">
        <v>3.0</v>
      </c>
      <c r="AB80" s="106"/>
      <c r="AC80" s="106"/>
      <c r="AD80" s="106"/>
      <c r="AE80" s="106"/>
      <c r="AF80" s="106"/>
      <c r="AG80" s="106"/>
      <c r="AH80" s="106"/>
      <c r="AI80" s="106"/>
    </row>
    <row r="81">
      <c r="A81" s="112" t="s">
        <v>423</v>
      </c>
      <c r="B81" s="112">
        <f t="shared" si="23"/>
        <v>111</v>
      </c>
      <c r="C81" s="125">
        <v>5.0</v>
      </c>
      <c r="D81" s="125">
        <v>4.0</v>
      </c>
      <c r="E81" s="112">
        <v>6.0</v>
      </c>
      <c r="F81" s="112">
        <v>3.0</v>
      </c>
      <c r="G81" s="111">
        <v>2.0</v>
      </c>
      <c r="H81" s="112">
        <v>4.0</v>
      </c>
      <c r="I81" s="112">
        <v>4.0</v>
      </c>
      <c r="J81" s="112">
        <v>6.0</v>
      </c>
      <c r="K81" s="112">
        <v>2.0</v>
      </c>
      <c r="L81" s="111">
        <v>8.0</v>
      </c>
      <c r="M81" s="112">
        <v>4.0</v>
      </c>
      <c r="N81" s="112">
        <v>4.0</v>
      </c>
      <c r="O81" s="112">
        <v>1.0</v>
      </c>
      <c r="P81" s="112">
        <v>6.0</v>
      </c>
      <c r="Q81" s="112">
        <v>3.0</v>
      </c>
      <c r="R81" s="111">
        <v>16.0</v>
      </c>
      <c r="S81" s="112">
        <v>4.0</v>
      </c>
      <c r="T81" s="112">
        <v>7.0</v>
      </c>
      <c r="U81" s="112">
        <v>5.0</v>
      </c>
      <c r="V81" s="112">
        <v>5.0</v>
      </c>
      <c r="W81" s="112">
        <v>3.0</v>
      </c>
      <c r="X81" s="112">
        <v>2.0</v>
      </c>
      <c r="Y81" s="112">
        <v>5.0</v>
      </c>
      <c r="Z81" s="112">
        <v>1.0</v>
      </c>
      <c r="AA81" s="112">
        <v>1.0</v>
      </c>
      <c r="AB81" s="106"/>
      <c r="AC81" s="106"/>
      <c r="AD81" s="106"/>
      <c r="AE81" s="106"/>
      <c r="AF81" s="106"/>
      <c r="AG81" s="106"/>
      <c r="AH81" s="106"/>
      <c r="AI81" s="106"/>
    </row>
    <row r="82">
      <c r="A82" s="112" t="s">
        <v>424</v>
      </c>
      <c r="B82" s="112">
        <f t="shared" si="23"/>
        <v>110</v>
      </c>
      <c r="C82" s="112">
        <v>0.0</v>
      </c>
      <c r="D82" s="112">
        <v>1.0</v>
      </c>
      <c r="E82" s="112">
        <v>1.0</v>
      </c>
      <c r="F82" s="112">
        <v>1.0</v>
      </c>
      <c r="G82" s="111">
        <v>3.0</v>
      </c>
      <c r="H82" s="112">
        <v>4.0</v>
      </c>
      <c r="I82" s="112">
        <v>1.0</v>
      </c>
      <c r="J82" s="112">
        <v>6.0</v>
      </c>
      <c r="K82" s="112">
        <v>6.0</v>
      </c>
      <c r="L82" s="111">
        <v>7.0</v>
      </c>
      <c r="M82" s="112">
        <v>13.0</v>
      </c>
      <c r="N82" s="112">
        <v>6.0</v>
      </c>
      <c r="O82" s="112">
        <v>8.0</v>
      </c>
      <c r="P82" s="112">
        <v>10.0</v>
      </c>
      <c r="Q82" s="112">
        <v>4.0</v>
      </c>
      <c r="R82" s="111">
        <v>6.0</v>
      </c>
      <c r="S82" s="112">
        <v>1.0</v>
      </c>
      <c r="T82" s="112">
        <v>3.0</v>
      </c>
      <c r="U82" s="112">
        <v>3.0</v>
      </c>
      <c r="V82" s="112">
        <v>3.0</v>
      </c>
      <c r="W82" s="112">
        <v>6.0</v>
      </c>
      <c r="X82" s="112">
        <v>1.0</v>
      </c>
      <c r="Y82" s="112">
        <v>7.0</v>
      </c>
      <c r="Z82" s="112">
        <v>7.0</v>
      </c>
      <c r="AA82" s="112">
        <v>2.0</v>
      </c>
      <c r="AB82" s="106"/>
      <c r="AC82" s="106"/>
      <c r="AD82" s="106"/>
      <c r="AE82" s="106"/>
      <c r="AF82" s="106"/>
      <c r="AG82" s="106"/>
      <c r="AH82" s="106"/>
      <c r="AI82" s="106"/>
    </row>
    <row r="83">
      <c r="A83" s="112" t="s">
        <v>425</v>
      </c>
      <c r="B83" s="112">
        <f t="shared" si="23"/>
        <v>57</v>
      </c>
      <c r="C83" s="112">
        <v>1.0</v>
      </c>
      <c r="D83" s="112">
        <v>1.0</v>
      </c>
      <c r="E83" s="112">
        <v>1.0</v>
      </c>
      <c r="F83" s="112">
        <v>0.0</v>
      </c>
      <c r="G83" s="111">
        <v>1.0</v>
      </c>
      <c r="H83" s="112">
        <v>2.0</v>
      </c>
      <c r="I83" s="112">
        <v>1.0</v>
      </c>
      <c r="J83" s="112">
        <v>3.0</v>
      </c>
      <c r="K83" s="112">
        <v>2.0</v>
      </c>
      <c r="L83" s="111">
        <v>5.0</v>
      </c>
      <c r="M83" s="112">
        <v>5.0</v>
      </c>
      <c r="N83" s="112">
        <v>3.0</v>
      </c>
      <c r="O83" s="112">
        <v>2.0</v>
      </c>
      <c r="P83" s="112">
        <v>6.0</v>
      </c>
      <c r="Q83" s="112">
        <v>2.0</v>
      </c>
      <c r="R83" s="111">
        <v>7.0</v>
      </c>
      <c r="S83" s="112">
        <v>2.0</v>
      </c>
      <c r="T83" s="112">
        <v>3.0</v>
      </c>
      <c r="U83" s="112">
        <v>0.0</v>
      </c>
      <c r="V83" s="112">
        <v>4.0</v>
      </c>
      <c r="W83" s="112">
        <v>2.0</v>
      </c>
      <c r="X83" s="112">
        <v>0.0</v>
      </c>
      <c r="Y83" s="112">
        <v>2.0</v>
      </c>
      <c r="Z83" s="112">
        <v>1.0</v>
      </c>
      <c r="AA83" s="112">
        <v>1.0</v>
      </c>
      <c r="AB83" s="106"/>
      <c r="AC83" s="106"/>
      <c r="AD83" s="106"/>
      <c r="AE83" s="106"/>
      <c r="AF83" s="106"/>
      <c r="AG83" s="106"/>
      <c r="AH83" s="106"/>
      <c r="AI83" s="106"/>
    </row>
    <row r="84">
      <c r="A84" s="112" t="s">
        <v>426</v>
      </c>
      <c r="B84" s="112">
        <f t="shared" si="23"/>
        <v>164</v>
      </c>
      <c r="C84" s="112">
        <v>4.0</v>
      </c>
      <c r="D84" s="112">
        <v>4.0</v>
      </c>
      <c r="E84" s="112">
        <v>6.0</v>
      </c>
      <c r="F84" s="112">
        <v>4.0</v>
      </c>
      <c r="G84" s="111">
        <v>4.0</v>
      </c>
      <c r="H84" s="112">
        <v>6.0</v>
      </c>
      <c r="I84" s="112">
        <v>4.0</v>
      </c>
      <c r="J84" s="112">
        <v>9.0</v>
      </c>
      <c r="K84" s="112">
        <v>6.0</v>
      </c>
      <c r="L84" s="111">
        <v>10.0</v>
      </c>
      <c r="M84" s="112">
        <v>12.0</v>
      </c>
      <c r="N84" s="112">
        <v>7.0</v>
      </c>
      <c r="O84" s="112">
        <v>7.0</v>
      </c>
      <c r="P84" s="112">
        <v>10.0</v>
      </c>
      <c r="Q84" s="112">
        <v>5.0</v>
      </c>
      <c r="R84" s="112">
        <v>15.0</v>
      </c>
      <c r="S84" s="112">
        <v>3.0</v>
      </c>
      <c r="T84" s="112">
        <v>7.0</v>
      </c>
      <c r="U84" s="112">
        <v>8.0</v>
      </c>
      <c r="V84" s="112">
        <v>4.0</v>
      </c>
      <c r="W84" s="112">
        <v>7.0</v>
      </c>
      <c r="X84" s="112">
        <v>3.0</v>
      </c>
      <c r="Y84" s="112">
        <v>10.0</v>
      </c>
      <c r="Z84" s="112">
        <v>7.0</v>
      </c>
      <c r="AA84" s="112">
        <v>2.0</v>
      </c>
      <c r="AB84" s="106"/>
      <c r="AC84" s="106"/>
      <c r="AD84" s="106"/>
      <c r="AE84" s="106"/>
      <c r="AF84" s="106"/>
      <c r="AG84" s="106"/>
      <c r="AH84" s="106"/>
      <c r="AI84" s="106"/>
    </row>
    <row r="85">
      <c r="A85" s="107"/>
      <c r="B85" s="126" t="s">
        <v>427</v>
      </c>
      <c r="C85" s="117"/>
      <c r="D85" s="126"/>
      <c r="E85" s="126"/>
      <c r="F85" s="112"/>
      <c r="G85" s="107"/>
      <c r="H85" s="106"/>
      <c r="I85" s="106"/>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row>
    <row r="86">
      <c r="A86" s="112" t="s">
        <v>428</v>
      </c>
      <c r="B86" s="111" t="s">
        <v>429</v>
      </c>
      <c r="C86" s="111" t="s">
        <v>430</v>
      </c>
      <c r="D86" s="111" t="s">
        <v>431</v>
      </c>
      <c r="E86" s="111" t="s">
        <v>432</v>
      </c>
      <c r="F86" s="111" t="s">
        <v>433</v>
      </c>
      <c r="G86" s="111" t="s">
        <v>434</v>
      </c>
      <c r="H86" s="111" t="s">
        <v>435</v>
      </c>
      <c r="I86" s="112" t="s">
        <v>436</v>
      </c>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row>
    <row r="87">
      <c r="A87" s="112" t="s">
        <v>421</v>
      </c>
      <c r="B87" s="107">
        <f t="shared" ref="B87:B92" si="24">SUM(C79:E79)</f>
        <v>8</v>
      </c>
      <c r="C87" s="107">
        <f t="shared" ref="C87:C92" si="25">SUM(F79:H79)</f>
        <v>7</v>
      </c>
      <c r="D87" s="107">
        <f t="shared" ref="D87:D92" si="26">SUM(I79:K79)</f>
        <v>7</v>
      </c>
      <c r="E87" s="107">
        <f t="shared" ref="E87:E92" si="27">SUM(L79:N79)</f>
        <v>12</v>
      </c>
      <c r="F87" s="107">
        <f t="shared" ref="F87:F92" si="28">SUM(O79:Q79)</f>
        <v>9</v>
      </c>
      <c r="G87" s="107">
        <f t="shared" ref="G87:G92" si="29">SUM(R79:T79)</f>
        <v>13</v>
      </c>
      <c r="H87" s="106">
        <f t="shared" ref="H87:H92" si="30">SUM(U79:W79)</f>
        <v>18</v>
      </c>
      <c r="I87" s="106">
        <f t="shared" ref="I87:I92" si="31">SUM(X79:Z79)</f>
        <v>6</v>
      </c>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row>
    <row r="88">
      <c r="A88" s="112" t="s">
        <v>422</v>
      </c>
      <c r="B88" s="107">
        <f t="shared" si="24"/>
        <v>9</v>
      </c>
      <c r="C88" s="107">
        <f t="shared" si="25"/>
        <v>10</v>
      </c>
      <c r="D88" s="107">
        <f t="shared" si="26"/>
        <v>18</v>
      </c>
      <c r="E88" s="107">
        <f t="shared" si="27"/>
        <v>30</v>
      </c>
      <c r="F88" s="107">
        <f t="shared" si="28"/>
        <v>23</v>
      </c>
      <c r="G88" s="107">
        <f t="shared" si="29"/>
        <v>24</v>
      </c>
      <c r="H88" s="106">
        <f t="shared" si="30"/>
        <v>7</v>
      </c>
      <c r="I88" s="106">
        <f t="shared" si="31"/>
        <v>17</v>
      </c>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row>
    <row r="89">
      <c r="A89" s="112" t="s">
        <v>423</v>
      </c>
      <c r="B89" s="107">
        <f t="shared" si="24"/>
        <v>15</v>
      </c>
      <c r="C89" s="107">
        <f t="shared" si="25"/>
        <v>9</v>
      </c>
      <c r="D89" s="107">
        <f t="shared" si="26"/>
        <v>12</v>
      </c>
      <c r="E89" s="107">
        <f t="shared" si="27"/>
        <v>16</v>
      </c>
      <c r="F89" s="107">
        <f t="shared" si="28"/>
        <v>10</v>
      </c>
      <c r="G89" s="107">
        <f t="shared" si="29"/>
        <v>27</v>
      </c>
      <c r="H89" s="106">
        <f t="shared" si="30"/>
        <v>13</v>
      </c>
      <c r="I89" s="106">
        <f t="shared" si="31"/>
        <v>8</v>
      </c>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row>
    <row r="90">
      <c r="A90" s="112" t="s">
        <v>424</v>
      </c>
      <c r="B90" s="107">
        <f t="shared" si="24"/>
        <v>2</v>
      </c>
      <c r="C90" s="107">
        <f t="shared" si="25"/>
        <v>8</v>
      </c>
      <c r="D90" s="107">
        <f t="shared" si="26"/>
        <v>13</v>
      </c>
      <c r="E90" s="107">
        <f t="shared" si="27"/>
        <v>26</v>
      </c>
      <c r="F90" s="107">
        <f t="shared" si="28"/>
        <v>22</v>
      </c>
      <c r="G90" s="107">
        <f t="shared" si="29"/>
        <v>10</v>
      </c>
      <c r="H90" s="106">
        <f t="shared" si="30"/>
        <v>12</v>
      </c>
      <c r="I90" s="106">
        <f t="shared" si="31"/>
        <v>15</v>
      </c>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row>
    <row r="91">
      <c r="A91" s="112" t="s">
        <v>425</v>
      </c>
      <c r="B91" s="107">
        <f t="shared" si="24"/>
        <v>3</v>
      </c>
      <c r="C91" s="107">
        <f t="shared" si="25"/>
        <v>3</v>
      </c>
      <c r="D91" s="107">
        <f t="shared" si="26"/>
        <v>6</v>
      </c>
      <c r="E91" s="107">
        <f t="shared" si="27"/>
        <v>13</v>
      </c>
      <c r="F91" s="107">
        <f t="shared" si="28"/>
        <v>10</v>
      </c>
      <c r="G91" s="107">
        <f t="shared" si="29"/>
        <v>12</v>
      </c>
      <c r="H91" s="106">
        <f t="shared" si="30"/>
        <v>6</v>
      </c>
      <c r="I91" s="106">
        <f t="shared" si="31"/>
        <v>3</v>
      </c>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row>
    <row r="92">
      <c r="A92" s="112" t="s">
        <v>426</v>
      </c>
      <c r="B92" s="107">
        <f t="shared" si="24"/>
        <v>14</v>
      </c>
      <c r="C92" s="107">
        <f t="shared" si="25"/>
        <v>14</v>
      </c>
      <c r="D92" s="107">
        <f t="shared" si="26"/>
        <v>19</v>
      </c>
      <c r="E92" s="107">
        <f t="shared" si="27"/>
        <v>29</v>
      </c>
      <c r="F92" s="107">
        <f t="shared" si="28"/>
        <v>22</v>
      </c>
      <c r="G92" s="107">
        <f t="shared" si="29"/>
        <v>25</v>
      </c>
      <c r="H92" s="106">
        <f t="shared" si="30"/>
        <v>19</v>
      </c>
      <c r="I92" s="106">
        <f t="shared" si="31"/>
        <v>20</v>
      </c>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row>
    <row r="93">
      <c r="A93" s="111"/>
      <c r="B93" s="111"/>
      <c r="C93" s="107"/>
      <c r="D93" s="111"/>
      <c r="E93" s="107"/>
      <c r="F93" s="107"/>
      <c r="G93" s="107"/>
      <c r="H93" s="112"/>
      <c r="I93" s="112"/>
      <c r="J93" s="106"/>
      <c r="K93" s="112"/>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row>
    <row r="94">
      <c r="A94" s="111" t="s">
        <v>437</v>
      </c>
      <c r="B94" s="111" t="s">
        <v>438</v>
      </c>
      <c r="C94" s="107"/>
      <c r="D94" s="111" t="s">
        <v>439</v>
      </c>
      <c r="E94" s="107"/>
      <c r="F94" s="107"/>
      <c r="G94" s="107"/>
      <c r="H94" s="112" t="s">
        <v>440</v>
      </c>
      <c r="I94" s="112" t="s">
        <v>441</v>
      </c>
      <c r="J94" s="106"/>
      <c r="K94" s="112" t="s">
        <v>442</v>
      </c>
      <c r="L94" s="112" t="s">
        <v>443</v>
      </c>
      <c r="M94" s="112" t="s">
        <v>444</v>
      </c>
      <c r="N94" s="106"/>
      <c r="O94" s="112" t="s">
        <v>445</v>
      </c>
      <c r="P94" s="106"/>
      <c r="Q94" s="112" t="s">
        <v>446</v>
      </c>
      <c r="R94" s="112" t="s">
        <v>447</v>
      </c>
      <c r="S94" s="106"/>
      <c r="T94" s="106"/>
      <c r="U94" s="112"/>
      <c r="V94" s="106"/>
      <c r="W94" s="106"/>
      <c r="X94" s="106"/>
      <c r="Y94" s="106"/>
      <c r="Z94" s="106"/>
      <c r="AA94" s="106"/>
      <c r="AB94" s="106"/>
      <c r="AC94" s="106"/>
      <c r="AD94" s="106"/>
      <c r="AE94" s="106"/>
      <c r="AF94" s="106"/>
      <c r="AG94" s="106"/>
      <c r="AH94" s="106"/>
      <c r="AI94" s="106"/>
    </row>
    <row r="95">
      <c r="A95" s="112" t="s">
        <v>448</v>
      </c>
      <c r="B95" s="122" t="s">
        <v>449</v>
      </c>
      <c r="C95" s="122" t="s">
        <v>450</v>
      </c>
      <c r="D95" s="122" t="s">
        <v>451</v>
      </c>
      <c r="E95" s="108" t="s">
        <v>452</v>
      </c>
      <c r="F95" s="122" t="s">
        <v>453</v>
      </c>
      <c r="G95" s="122" t="s">
        <v>454</v>
      </c>
      <c r="H95" s="122" t="s">
        <v>404</v>
      </c>
      <c r="I95" s="122" t="s">
        <v>415</v>
      </c>
      <c r="J95" s="122" t="s">
        <v>455</v>
      </c>
      <c r="K95" s="122" t="s">
        <v>456</v>
      </c>
      <c r="L95" s="122" t="s">
        <v>457</v>
      </c>
      <c r="M95" s="122" t="s">
        <v>458</v>
      </c>
      <c r="N95" s="122" t="s">
        <v>459</v>
      </c>
      <c r="O95" s="122" t="s">
        <v>460</v>
      </c>
      <c r="P95" s="122" t="s">
        <v>461</v>
      </c>
      <c r="Q95" s="122" t="s">
        <v>462</v>
      </c>
      <c r="R95" s="122" t="s">
        <v>463</v>
      </c>
      <c r="S95" s="122" t="s">
        <v>464</v>
      </c>
      <c r="T95" s="122" t="s">
        <v>465</v>
      </c>
      <c r="U95" s="122" t="s">
        <v>466</v>
      </c>
      <c r="V95" s="122" t="s">
        <v>467</v>
      </c>
      <c r="W95" s="122" t="s">
        <v>417</v>
      </c>
      <c r="X95" s="122" t="s">
        <v>468</v>
      </c>
      <c r="Y95" s="122" t="s">
        <v>469</v>
      </c>
      <c r="Z95" s="122" t="s">
        <v>470</v>
      </c>
      <c r="AA95" s="122" t="s">
        <v>399</v>
      </c>
      <c r="AB95" s="122" t="s">
        <v>471</v>
      </c>
      <c r="AC95" s="106"/>
      <c r="AD95" s="106"/>
      <c r="AE95" s="106"/>
      <c r="AF95" s="106"/>
      <c r="AG95" s="106"/>
      <c r="AH95" s="106"/>
      <c r="AI95" s="106"/>
    </row>
    <row r="96">
      <c r="A96" s="112" t="s">
        <v>421</v>
      </c>
      <c r="B96" s="112">
        <f t="shared" ref="B96:B102" si="32">SUM(C96:AB96)</f>
        <v>73</v>
      </c>
      <c r="C96" s="112">
        <v>1.0</v>
      </c>
      <c r="D96" s="112">
        <v>5.0</v>
      </c>
      <c r="E96" s="111">
        <v>2.0</v>
      </c>
      <c r="F96" s="112">
        <v>5.0</v>
      </c>
      <c r="G96" s="124">
        <v>1.0</v>
      </c>
      <c r="H96" s="112">
        <v>3.0</v>
      </c>
      <c r="I96" s="112">
        <v>1.0</v>
      </c>
      <c r="J96" s="112">
        <v>1.0</v>
      </c>
      <c r="K96" s="112">
        <v>1.0</v>
      </c>
      <c r="L96" s="112">
        <v>4.0</v>
      </c>
      <c r="M96" s="112">
        <v>5.0</v>
      </c>
      <c r="N96" s="112">
        <v>5.0</v>
      </c>
      <c r="O96" s="112">
        <v>0.0</v>
      </c>
      <c r="P96" s="112">
        <v>3.0</v>
      </c>
      <c r="Q96" s="112">
        <v>4.0</v>
      </c>
      <c r="R96" s="112">
        <v>2.0</v>
      </c>
      <c r="S96" s="112">
        <v>5.0</v>
      </c>
      <c r="T96" s="112">
        <v>2.0</v>
      </c>
      <c r="U96" s="112">
        <v>5.0</v>
      </c>
      <c r="V96" s="112">
        <v>7.0</v>
      </c>
      <c r="W96" s="112">
        <v>4.0</v>
      </c>
      <c r="X96" s="112">
        <v>2.0</v>
      </c>
      <c r="Y96" s="112">
        <v>3.0</v>
      </c>
      <c r="Z96" s="112">
        <v>0.0</v>
      </c>
      <c r="AA96" s="112">
        <v>2.0</v>
      </c>
      <c r="AB96" s="112">
        <v>0.0</v>
      </c>
      <c r="AC96" s="106"/>
      <c r="AD96" s="106"/>
      <c r="AE96" s="106"/>
      <c r="AF96" s="106"/>
      <c r="AG96" s="106"/>
      <c r="AH96" s="106"/>
      <c r="AI96" s="106"/>
    </row>
    <row r="97">
      <c r="A97" s="112" t="s">
        <v>422</v>
      </c>
      <c r="B97" s="112">
        <f t="shared" si="32"/>
        <v>127</v>
      </c>
      <c r="C97" s="112">
        <v>0.0</v>
      </c>
      <c r="D97" s="112">
        <v>4.0</v>
      </c>
      <c r="E97" s="111">
        <v>5.0</v>
      </c>
      <c r="F97" s="112">
        <v>3.0</v>
      </c>
      <c r="G97" s="112">
        <v>5.0</v>
      </c>
      <c r="H97" s="112">
        <v>2.0</v>
      </c>
      <c r="I97" s="112">
        <v>7.0</v>
      </c>
      <c r="J97" s="112">
        <v>5.0</v>
      </c>
      <c r="K97" s="112">
        <v>10.0</v>
      </c>
      <c r="L97" s="112">
        <v>5.0</v>
      </c>
      <c r="M97" s="112">
        <v>6.0</v>
      </c>
      <c r="N97" s="112">
        <v>9.0</v>
      </c>
      <c r="O97" s="112">
        <v>12.0</v>
      </c>
      <c r="P97" s="112">
        <v>7.0</v>
      </c>
      <c r="Q97" s="112">
        <v>7.0</v>
      </c>
      <c r="R97" s="112">
        <v>9.0</v>
      </c>
      <c r="S97" s="112">
        <v>2.0</v>
      </c>
      <c r="T97" s="112">
        <v>1.0</v>
      </c>
      <c r="U97" s="112">
        <v>5.0</v>
      </c>
      <c r="V97" s="112">
        <v>3.0</v>
      </c>
      <c r="W97" s="112">
        <v>0.0</v>
      </c>
      <c r="X97" s="112">
        <v>9.0</v>
      </c>
      <c r="Y97" s="112">
        <v>0.0</v>
      </c>
      <c r="Z97" s="112">
        <v>7.0</v>
      </c>
      <c r="AA97" s="112">
        <v>3.0</v>
      </c>
      <c r="AB97" s="112">
        <v>1.0</v>
      </c>
      <c r="AC97" s="106"/>
      <c r="AD97" s="106"/>
      <c r="AE97" s="106"/>
      <c r="AF97" s="106"/>
      <c r="AG97" s="106"/>
      <c r="AH97" s="106"/>
      <c r="AI97" s="106"/>
    </row>
    <row r="98">
      <c r="A98" s="120" t="s">
        <v>423</v>
      </c>
      <c r="B98" s="112">
        <f t="shared" si="32"/>
        <v>59</v>
      </c>
      <c r="C98" s="112">
        <v>1.0</v>
      </c>
      <c r="D98" s="112">
        <v>7.0</v>
      </c>
      <c r="E98" s="111">
        <v>3.0</v>
      </c>
      <c r="F98" s="120">
        <v>3.0</v>
      </c>
      <c r="G98" s="112">
        <v>2.0</v>
      </c>
      <c r="H98" s="112">
        <v>2.0</v>
      </c>
      <c r="I98" s="112">
        <v>4.0</v>
      </c>
      <c r="J98" s="112">
        <v>1.0</v>
      </c>
      <c r="K98" s="112">
        <v>1.0</v>
      </c>
      <c r="L98" s="112">
        <v>2.0</v>
      </c>
      <c r="M98" s="112">
        <v>0.0</v>
      </c>
      <c r="N98" s="112">
        <v>1.0</v>
      </c>
      <c r="O98" s="112">
        <v>1.0</v>
      </c>
      <c r="P98" s="112">
        <v>0.0</v>
      </c>
      <c r="Q98" s="112">
        <v>1.0</v>
      </c>
      <c r="R98" s="112">
        <v>7.0</v>
      </c>
      <c r="S98" s="112">
        <v>5.0</v>
      </c>
      <c r="T98" s="112">
        <v>1.0</v>
      </c>
      <c r="U98" s="112">
        <v>6.0</v>
      </c>
      <c r="V98" s="112">
        <v>4.0</v>
      </c>
      <c r="W98" s="112">
        <v>2.0</v>
      </c>
      <c r="X98" s="112">
        <v>3.0</v>
      </c>
      <c r="Y98" s="112">
        <v>1.0</v>
      </c>
      <c r="Z98" s="112">
        <v>0.0</v>
      </c>
      <c r="AA98" s="112">
        <v>0.0</v>
      </c>
      <c r="AB98" s="112">
        <v>1.0</v>
      </c>
      <c r="AC98" s="106"/>
      <c r="AD98" s="106"/>
      <c r="AE98" s="106"/>
      <c r="AF98" s="106"/>
      <c r="AG98" s="106"/>
      <c r="AH98" s="106"/>
      <c r="AI98" s="106"/>
    </row>
    <row r="99">
      <c r="A99" s="111" t="s">
        <v>472</v>
      </c>
      <c r="B99" s="112">
        <f t="shared" si="32"/>
        <v>44</v>
      </c>
      <c r="C99" s="111">
        <v>0.0</v>
      </c>
      <c r="D99" s="111">
        <v>2.0</v>
      </c>
      <c r="E99" s="111">
        <v>2.0</v>
      </c>
      <c r="F99" s="112">
        <v>1.0</v>
      </c>
      <c r="G99" s="112">
        <v>1.0</v>
      </c>
      <c r="H99" s="112">
        <v>2.0</v>
      </c>
      <c r="I99" s="112">
        <v>0.0</v>
      </c>
      <c r="J99" s="112">
        <v>1.0</v>
      </c>
      <c r="K99" s="112">
        <v>5.0</v>
      </c>
      <c r="L99" s="112">
        <v>2.0</v>
      </c>
      <c r="M99" s="112">
        <v>3.0</v>
      </c>
      <c r="N99" s="112">
        <v>2.0</v>
      </c>
      <c r="O99" s="112">
        <v>2.0</v>
      </c>
      <c r="P99" s="112">
        <v>7.0</v>
      </c>
      <c r="Q99" s="112">
        <v>4.0</v>
      </c>
      <c r="R99" s="112">
        <v>1.0</v>
      </c>
      <c r="S99" s="112">
        <v>2.0</v>
      </c>
      <c r="T99" s="112">
        <v>0.0</v>
      </c>
      <c r="U99" s="112">
        <v>2.0</v>
      </c>
      <c r="V99" s="112">
        <v>0.0</v>
      </c>
      <c r="W99" s="112">
        <v>0.0</v>
      </c>
      <c r="X99" s="112">
        <v>4.0</v>
      </c>
      <c r="Y99" s="112">
        <v>0.0</v>
      </c>
      <c r="Z99" s="112">
        <v>1.0</v>
      </c>
      <c r="AA99" s="112">
        <v>0.0</v>
      </c>
      <c r="AB99" s="112">
        <v>0.0</v>
      </c>
      <c r="AC99" s="106"/>
      <c r="AD99" s="106"/>
      <c r="AE99" s="106"/>
      <c r="AF99" s="106"/>
      <c r="AG99" s="106"/>
      <c r="AH99" s="106"/>
      <c r="AI99" s="106"/>
    </row>
    <row r="100">
      <c r="A100" s="120" t="s">
        <v>424</v>
      </c>
      <c r="B100" s="112">
        <f t="shared" si="32"/>
        <v>97</v>
      </c>
      <c r="C100" s="112">
        <v>0.0</v>
      </c>
      <c r="D100" s="112">
        <v>0.0</v>
      </c>
      <c r="E100" s="112">
        <v>2.0</v>
      </c>
      <c r="F100" s="112">
        <v>4.0</v>
      </c>
      <c r="G100" s="112">
        <v>3.0</v>
      </c>
      <c r="H100" s="112">
        <v>1.0</v>
      </c>
      <c r="I100" s="112">
        <v>4.0</v>
      </c>
      <c r="J100" s="112">
        <v>4.0</v>
      </c>
      <c r="K100" s="112">
        <v>5.0</v>
      </c>
      <c r="L100" s="112">
        <v>5.0</v>
      </c>
      <c r="M100" s="112">
        <v>8.0</v>
      </c>
      <c r="N100" s="112">
        <v>11.0</v>
      </c>
      <c r="O100" s="112">
        <v>9.0</v>
      </c>
      <c r="P100" s="112">
        <v>3.0</v>
      </c>
      <c r="Q100" s="112">
        <v>6.0</v>
      </c>
      <c r="R100" s="112">
        <v>3.0</v>
      </c>
      <c r="S100" s="112">
        <v>0.0</v>
      </c>
      <c r="T100" s="112">
        <v>2.0</v>
      </c>
      <c r="U100" s="112">
        <v>2.0</v>
      </c>
      <c r="V100" s="112">
        <v>6.0</v>
      </c>
      <c r="W100" s="112">
        <v>2.0</v>
      </c>
      <c r="X100" s="112">
        <v>4.0</v>
      </c>
      <c r="Y100" s="112">
        <v>2.0</v>
      </c>
      <c r="Z100" s="112">
        <v>6.0</v>
      </c>
      <c r="AA100" s="112">
        <v>5.0</v>
      </c>
      <c r="AB100" s="112">
        <v>0.0</v>
      </c>
      <c r="AC100" s="106"/>
      <c r="AD100" s="106"/>
      <c r="AE100" s="106"/>
      <c r="AF100" s="106"/>
      <c r="AG100" s="106"/>
      <c r="AH100" s="106"/>
      <c r="AI100" s="106"/>
    </row>
    <row r="101">
      <c r="A101" s="112" t="s">
        <v>425</v>
      </c>
      <c r="B101" s="112">
        <f t="shared" si="32"/>
        <v>52</v>
      </c>
      <c r="C101" s="112">
        <v>0.0</v>
      </c>
      <c r="D101" s="112">
        <v>2.0</v>
      </c>
      <c r="E101" s="112">
        <v>1.0</v>
      </c>
      <c r="F101" s="112">
        <v>1.0</v>
      </c>
      <c r="G101" s="112">
        <v>2.0</v>
      </c>
      <c r="H101" s="112">
        <v>0.0</v>
      </c>
      <c r="I101" s="112">
        <v>2.0</v>
      </c>
      <c r="J101" s="112">
        <v>3.0</v>
      </c>
      <c r="K101" s="112">
        <v>3.0</v>
      </c>
      <c r="L101" s="112">
        <v>3.0</v>
      </c>
      <c r="M101" s="112">
        <v>4.0</v>
      </c>
      <c r="N101" s="112">
        <v>3.0</v>
      </c>
      <c r="O101" s="112">
        <v>5.0</v>
      </c>
      <c r="P101" s="112">
        <v>2.0</v>
      </c>
      <c r="Q101" s="112">
        <v>5.0</v>
      </c>
      <c r="R101" s="112">
        <v>2.0</v>
      </c>
      <c r="S101" s="112">
        <v>3.0</v>
      </c>
      <c r="T101" s="112">
        <v>0.0</v>
      </c>
      <c r="U101" s="112">
        <v>2.0</v>
      </c>
      <c r="V101" s="112">
        <v>5.0</v>
      </c>
      <c r="W101" s="112">
        <v>0.0</v>
      </c>
      <c r="X101" s="112">
        <v>3.0</v>
      </c>
      <c r="Y101" s="112">
        <v>0.0</v>
      </c>
      <c r="Z101" s="112">
        <v>0.0</v>
      </c>
      <c r="AA101" s="112">
        <v>1.0</v>
      </c>
      <c r="AB101" s="112">
        <v>0.0</v>
      </c>
      <c r="AC101" s="106"/>
      <c r="AD101" s="106"/>
      <c r="AE101" s="106"/>
      <c r="AF101" s="106"/>
      <c r="AG101" s="106"/>
      <c r="AH101" s="106"/>
      <c r="AI101" s="106"/>
    </row>
    <row r="102">
      <c r="A102" s="112" t="s">
        <v>426</v>
      </c>
      <c r="B102" s="112">
        <f t="shared" si="32"/>
        <v>148</v>
      </c>
      <c r="C102" s="112">
        <v>1.0</v>
      </c>
      <c r="D102" s="112">
        <v>7.0</v>
      </c>
      <c r="E102" s="112">
        <v>6.0</v>
      </c>
      <c r="F102" s="112">
        <v>7.0</v>
      </c>
      <c r="G102" s="112">
        <v>4.0</v>
      </c>
      <c r="H102" s="112">
        <v>5.0</v>
      </c>
      <c r="I102" s="112">
        <v>6.0</v>
      </c>
      <c r="J102" s="112">
        <v>3.0</v>
      </c>
      <c r="K102" s="112">
        <v>8.0</v>
      </c>
      <c r="L102" s="112">
        <v>6.0</v>
      </c>
      <c r="M102" s="112">
        <v>7.0</v>
      </c>
      <c r="N102" s="112">
        <v>11.0</v>
      </c>
      <c r="O102" s="112">
        <v>7.0</v>
      </c>
      <c r="P102" s="112">
        <v>8.0</v>
      </c>
      <c r="Q102" s="112">
        <v>6.0</v>
      </c>
      <c r="R102" s="112">
        <v>9.0</v>
      </c>
      <c r="S102" s="112">
        <v>4.0</v>
      </c>
      <c r="T102" s="112">
        <v>3.0</v>
      </c>
      <c r="U102" s="112">
        <v>8.0</v>
      </c>
      <c r="V102" s="112">
        <v>5.0</v>
      </c>
      <c r="W102" s="112">
        <v>4.0</v>
      </c>
      <c r="X102" s="112">
        <v>8.0</v>
      </c>
      <c r="Y102" s="112">
        <v>3.0</v>
      </c>
      <c r="Z102" s="112">
        <v>7.0</v>
      </c>
      <c r="AA102" s="112">
        <v>4.0</v>
      </c>
      <c r="AB102" s="112">
        <v>1.0</v>
      </c>
      <c r="AC102" s="106"/>
      <c r="AD102" s="106"/>
      <c r="AE102" s="106"/>
      <c r="AF102" s="106"/>
      <c r="AG102" s="106"/>
      <c r="AH102" s="106"/>
      <c r="AI102" s="106"/>
    </row>
    <row r="103">
      <c r="A103" s="111"/>
      <c r="B103" s="111"/>
      <c r="C103" s="107"/>
      <c r="D103" s="111"/>
      <c r="E103" s="107"/>
      <c r="F103" s="106"/>
      <c r="G103" s="112"/>
      <c r="H103" s="106"/>
      <c r="I103" s="10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row>
    <row r="104">
      <c r="A104" s="112" t="s">
        <v>473</v>
      </c>
      <c r="B104" s="122"/>
      <c r="C104" s="122"/>
      <c r="D104" s="122"/>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row>
    <row r="105">
      <c r="A105" s="111" t="s">
        <v>474</v>
      </c>
      <c r="B105" s="111" t="s">
        <v>475</v>
      </c>
      <c r="C105" s="111">
        <v>1139.0</v>
      </c>
      <c r="D105" s="111">
        <v>1515.0</v>
      </c>
      <c r="E105" s="111">
        <v>1554.0</v>
      </c>
      <c r="F105" s="111">
        <v>928.0</v>
      </c>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row>
    <row r="106">
      <c r="A106" s="127" t="s">
        <v>476</v>
      </c>
      <c r="B106" s="111" t="s">
        <v>477</v>
      </c>
      <c r="C106" s="111" t="s">
        <v>478</v>
      </c>
      <c r="D106" s="111" t="s">
        <v>479</v>
      </c>
      <c r="E106" s="117" t="s">
        <v>480</v>
      </c>
      <c r="F106" s="117" t="s">
        <v>480</v>
      </c>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row>
    <row r="107">
      <c r="A107" s="111" t="s">
        <v>481</v>
      </c>
      <c r="B107" s="111">
        <v>268.0</v>
      </c>
      <c r="C107" s="111">
        <v>108.0</v>
      </c>
      <c r="D107" s="111">
        <v>808.0</v>
      </c>
      <c r="E107" s="111">
        <v>1092.0</v>
      </c>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row>
    <row r="108">
      <c r="A108" s="127" t="s">
        <v>476</v>
      </c>
      <c r="B108" s="111" t="s">
        <v>482</v>
      </c>
      <c r="C108" s="111" t="s">
        <v>482</v>
      </c>
      <c r="D108" s="111" t="s">
        <v>482</v>
      </c>
      <c r="E108" s="111" t="s">
        <v>483</v>
      </c>
      <c r="F108" s="107"/>
      <c r="G108" s="107"/>
      <c r="H108" s="107"/>
      <c r="I108" s="107"/>
      <c r="J108" s="107"/>
      <c r="K108" s="107"/>
      <c r="L108" s="107"/>
      <c r="M108" s="107"/>
      <c r="N108" s="107"/>
      <c r="O108" s="107"/>
      <c r="P108" s="107"/>
      <c r="Q108" s="107"/>
      <c r="R108" s="107"/>
      <c r="S108" s="107"/>
      <c r="T108" s="107"/>
      <c r="U108" s="111" t="s">
        <v>484</v>
      </c>
      <c r="V108" s="107"/>
      <c r="W108" s="107"/>
      <c r="X108" s="107"/>
      <c r="Y108" s="107"/>
      <c r="Z108" s="107"/>
      <c r="AA108" s="107"/>
      <c r="AB108" s="107"/>
      <c r="AC108" s="107"/>
      <c r="AD108" s="107"/>
      <c r="AE108" s="107"/>
      <c r="AF108" s="107"/>
      <c r="AG108" s="107"/>
      <c r="AH108" s="107"/>
      <c r="AI108" s="107"/>
    </row>
    <row r="109">
      <c r="A109" s="107"/>
      <c r="B109" s="107"/>
      <c r="C109" s="107"/>
      <c r="D109" s="107"/>
      <c r="E109" s="107"/>
      <c r="F109" s="107"/>
      <c r="G109" s="107"/>
      <c r="H109" s="107"/>
      <c r="I109" s="107"/>
      <c r="J109" s="107"/>
      <c r="K109" s="107"/>
      <c r="L109" s="107"/>
      <c r="M109" s="107"/>
      <c r="N109" s="107"/>
      <c r="O109" s="107"/>
      <c r="P109" s="107"/>
      <c r="Q109" s="107"/>
      <c r="R109" s="107"/>
      <c r="S109" s="107"/>
      <c r="T109" s="107"/>
      <c r="U109" s="111" t="s">
        <v>485</v>
      </c>
      <c r="V109" s="111" t="s">
        <v>486</v>
      </c>
      <c r="W109" s="111" t="s">
        <v>487</v>
      </c>
      <c r="X109" s="111" t="s">
        <v>488</v>
      </c>
      <c r="Y109" s="107"/>
      <c r="Z109" s="107"/>
      <c r="AA109" s="107"/>
      <c r="AB109" s="107"/>
      <c r="AC109" s="107"/>
      <c r="AD109" s="107"/>
      <c r="AE109" s="107"/>
      <c r="AF109" s="107"/>
      <c r="AG109" s="107"/>
      <c r="AH109" s="107"/>
      <c r="AI109" s="107"/>
    </row>
    <row r="110">
      <c r="A110" s="111" t="s">
        <v>489</v>
      </c>
      <c r="B110" s="107"/>
      <c r="C110" s="107"/>
      <c r="D110" s="107"/>
      <c r="E110" s="107"/>
      <c r="F110" s="107"/>
      <c r="G110" s="107"/>
      <c r="H110" s="107"/>
      <c r="I110" s="107"/>
      <c r="J110" s="107"/>
      <c r="K110" s="107"/>
      <c r="L110" s="107"/>
      <c r="M110" s="107"/>
      <c r="N110" s="107"/>
      <c r="O110" s="111" t="s">
        <v>490</v>
      </c>
      <c r="P110" s="107"/>
      <c r="Q110" s="111" t="s">
        <v>491</v>
      </c>
      <c r="R110" s="111" t="s">
        <v>492</v>
      </c>
      <c r="S110" s="107"/>
      <c r="T110" s="107"/>
      <c r="U110" s="111"/>
      <c r="V110" s="111" t="s">
        <v>493</v>
      </c>
      <c r="W110" s="107"/>
      <c r="X110" s="111" t="s">
        <v>494</v>
      </c>
      <c r="Y110" s="128" t="s">
        <v>495</v>
      </c>
      <c r="Z110" s="111" t="s">
        <v>496</v>
      </c>
      <c r="AA110" s="111" t="s">
        <v>497</v>
      </c>
      <c r="AB110" s="111" t="s">
        <v>498</v>
      </c>
      <c r="AC110" s="107"/>
      <c r="AD110" s="107"/>
      <c r="AE110" s="107"/>
      <c r="AF110" s="107"/>
      <c r="AG110" s="107"/>
      <c r="AH110" s="107"/>
      <c r="AI110" s="107"/>
    </row>
    <row r="111">
      <c r="A111" s="112" t="s">
        <v>499</v>
      </c>
      <c r="B111" s="122" t="s">
        <v>500</v>
      </c>
      <c r="C111" s="122" t="s">
        <v>450</v>
      </c>
      <c r="D111" s="122" t="s">
        <v>451</v>
      </c>
      <c r="E111" s="108" t="s">
        <v>452</v>
      </c>
      <c r="F111" s="122" t="s">
        <v>453</v>
      </c>
      <c r="G111" s="122" t="s">
        <v>454</v>
      </c>
      <c r="H111" s="122" t="s">
        <v>404</v>
      </c>
      <c r="I111" s="122" t="s">
        <v>415</v>
      </c>
      <c r="J111" s="122" t="s">
        <v>455</v>
      </c>
      <c r="K111" s="122" t="s">
        <v>456</v>
      </c>
      <c r="L111" s="122" t="s">
        <v>457</v>
      </c>
      <c r="M111" s="122" t="s">
        <v>458</v>
      </c>
      <c r="N111" s="122" t="s">
        <v>459</v>
      </c>
      <c r="O111" s="122" t="s">
        <v>460</v>
      </c>
      <c r="P111" s="122" t="s">
        <v>461</v>
      </c>
      <c r="Q111" s="122" t="s">
        <v>501</v>
      </c>
      <c r="R111" s="122" t="s">
        <v>502</v>
      </c>
      <c r="S111" s="122" t="s">
        <v>464</v>
      </c>
      <c r="T111" s="122" t="s">
        <v>465</v>
      </c>
      <c r="U111" s="122" t="s">
        <v>466</v>
      </c>
      <c r="V111" s="122" t="s">
        <v>416</v>
      </c>
      <c r="W111" s="122" t="s">
        <v>417</v>
      </c>
      <c r="X111" s="108" t="s">
        <v>457</v>
      </c>
      <c r="Y111" s="108" t="s">
        <v>503</v>
      </c>
      <c r="Z111" s="108" t="s">
        <v>398</v>
      </c>
      <c r="AA111" s="108" t="s">
        <v>450</v>
      </c>
      <c r="AB111" s="108" t="s">
        <v>471</v>
      </c>
      <c r="AC111" s="111" t="s">
        <v>504</v>
      </c>
      <c r="AD111" s="107"/>
      <c r="AE111" s="107"/>
      <c r="AF111" s="107"/>
      <c r="AG111" s="107"/>
      <c r="AH111" s="107"/>
      <c r="AI111" s="107"/>
    </row>
    <row r="112">
      <c r="A112" s="112" t="s">
        <v>421</v>
      </c>
      <c r="B112" s="112">
        <f t="shared" ref="B112:B118" si="33">SUM(C112:AB112)</f>
        <v>68</v>
      </c>
      <c r="C112" s="112">
        <v>1.0</v>
      </c>
      <c r="D112" s="112">
        <v>5.0</v>
      </c>
      <c r="E112" s="111">
        <v>2.0</v>
      </c>
      <c r="F112" s="112">
        <v>5.0</v>
      </c>
      <c r="G112" s="124">
        <v>1.0</v>
      </c>
      <c r="H112" s="112">
        <v>3.0</v>
      </c>
      <c r="I112" s="112">
        <v>1.0</v>
      </c>
      <c r="J112" s="112">
        <v>1.0</v>
      </c>
      <c r="K112" s="112">
        <v>1.0</v>
      </c>
      <c r="L112" s="112">
        <v>4.0</v>
      </c>
      <c r="M112" s="112">
        <v>5.0</v>
      </c>
      <c r="N112" s="112">
        <v>5.0</v>
      </c>
      <c r="O112" s="112">
        <v>0.0</v>
      </c>
      <c r="P112" s="112">
        <v>3.0</v>
      </c>
      <c r="Q112" s="112">
        <v>3.0</v>
      </c>
      <c r="R112" s="112">
        <v>2.0</v>
      </c>
      <c r="S112" s="112">
        <v>5.0</v>
      </c>
      <c r="T112" s="112">
        <v>2.0</v>
      </c>
      <c r="U112" s="112">
        <v>5.0</v>
      </c>
      <c r="V112" s="112">
        <v>6.0</v>
      </c>
      <c r="W112" s="112">
        <v>4.0</v>
      </c>
      <c r="X112" s="111">
        <v>2.0</v>
      </c>
      <c r="Y112" s="111">
        <v>2.0</v>
      </c>
      <c r="Z112" s="111">
        <v>0.0</v>
      </c>
      <c r="AA112" s="111">
        <v>0.0</v>
      </c>
      <c r="AB112" s="111">
        <v>0.0</v>
      </c>
      <c r="AC112" s="107"/>
      <c r="AD112" s="107"/>
      <c r="AE112" s="107"/>
      <c r="AF112" s="107"/>
      <c r="AG112" s="107"/>
      <c r="AH112" s="107"/>
      <c r="AI112" s="107"/>
    </row>
    <row r="113">
      <c r="A113" s="112" t="s">
        <v>422</v>
      </c>
      <c r="B113" s="112">
        <f t="shared" si="33"/>
        <v>119</v>
      </c>
      <c r="C113" s="112">
        <v>0.0</v>
      </c>
      <c r="D113" s="112">
        <v>4.0</v>
      </c>
      <c r="E113" s="111">
        <v>5.0</v>
      </c>
      <c r="F113" s="112">
        <v>3.0</v>
      </c>
      <c r="G113" s="112">
        <v>5.0</v>
      </c>
      <c r="H113" s="112">
        <v>2.0</v>
      </c>
      <c r="I113" s="112">
        <v>7.0</v>
      </c>
      <c r="J113" s="112">
        <v>5.0</v>
      </c>
      <c r="K113" s="112">
        <v>10.0</v>
      </c>
      <c r="L113" s="112">
        <v>5.0</v>
      </c>
      <c r="M113" s="112">
        <v>6.0</v>
      </c>
      <c r="N113" s="112">
        <v>9.0</v>
      </c>
      <c r="O113" s="112">
        <v>12.0</v>
      </c>
      <c r="P113" s="112">
        <v>7.0</v>
      </c>
      <c r="Q113" s="112">
        <v>6.0</v>
      </c>
      <c r="R113" s="112">
        <v>8.0</v>
      </c>
      <c r="S113" s="112">
        <v>2.0</v>
      </c>
      <c r="T113" s="112">
        <v>1.0</v>
      </c>
      <c r="U113" s="112">
        <v>5.0</v>
      </c>
      <c r="V113" s="112">
        <v>3.0</v>
      </c>
      <c r="W113" s="112">
        <v>0.0</v>
      </c>
      <c r="X113" s="111">
        <v>7.0</v>
      </c>
      <c r="Y113" s="111">
        <v>0.0</v>
      </c>
      <c r="Z113" s="111">
        <v>5.0</v>
      </c>
      <c r="AA113" s="111">
        <v>1.0</v>
      </c>
      <c r="AB113" s="111">
        <v>1.0</v>
      </c>
      <c r="AC113" s="107"/>
      <c r="AD113" s="107"/>
      <c r="AE113" s="107"/>
      <c r="AF113" s="107"/>
      <c r="AG113" s="107"/>
      <c r="AH113" s="107"/>
      <c r="AI113" s="107"/>
    </row>
    <row r="114">
      <c r="A114" s="120" t="s">
        <v>423</v>
      </c>
      <c r="B114" s="112">
        <f t="shared" si="33"/>
        <v>59</v>
      </c>
      <c r="C114" s="112">
        <v>1.0</v>
      </c>
      <c r="D114" s="112">
        <v>7.0</v>
      </c>
      <c r="E114" s="111">
        <v>3.0</v>
      </c>
      <c r="F114" s="120">
        <v>3.0</v>
      </c>
      <c r="G114" s="112">
        <v>2.0</v>
      </c>
      <c r="H114" s="112">
        <v>2.0</v>
      </c>
      <c r="I114" s="112">
        <v>4.0</v>
      </c>
      <c r="J114" s="112">
        <v>1.0</v>
      </c>
      <c r="K114" s="112">
        <v>1.0</v>
      </c>
      <c r="L114" s="112">
        <v>2.0</v>
      </c>
      <c r="M114" s="112">
        <v>0.0</v>
      </c>
      <c r="N114" s="112">
        <v>1.0</v>
      </c>
      <c r="O114" s="112">
        <v>1.0</v>
      </c>
      <c r="P114" s="112">
        <v>0.0</v>
      </c>
      <c r="Q114" s="112">
        <v>1.0</v>
      </c>
      <c r="R114" s="112">
        <v>7.0</v>
      </c>
      <c r="S114" s="112">
        <v>5.0</v>
      </c>
      <c r="T114" s="112">
        <v>1.0</v>
      </c>
      <c r="U114" s="112">
        <v>6.0</v>
      </c>
      <c r="V114" s="112">
        <v>5.0</v>
      </c>
      <c r="W114" s="112">
        <v>2.0</v>
      </c>
      <c r="X114" s="111">
        <v>3.0</v>
      </c>
      <c r="Y114" s="111">
        <v>0.0</v>
      </c>
      <c r="Z114" s="111">
        <v>0.0</v>
      </c>
      <c r="AA114" s="111">
        <v>0.0</v>
      </c>
      <c r="AB114" s="111">
        <v>1.0</v>
      </c>
      <c r="AC114" s="107"/>
      <c r="AD114" s="107"/>
      <c r="AE114" s="107"/>
      <c r="AF114" s="107"/>
      <c r="AG114" s="107"/>
      <c r="AH114" s="107"/>
      <c r="AI114" s="107"/>
    </row>
    <row r="115">
      <c r="A115" s="111" t="s">
        <v>472</v>
      </c>
      <c r="B115" s="112">
        <f t="shared" si="33"/>
        <v>41</v>
      </c>
      <c r="C115" s="111">
        <v>0.0</v>
      </c>
      <c r="D115" s="111">
        <v>2.0</v>
      </c>
      <c r="E115" s="111">
        <v>2.0</v>
      </c>
      <c r="F115" s="112">
        <v>1.0</v>
      </c>
      <c r="G115" s="112">
        <v>1.0</v>
      </c>
      <c r="H115" s="112">
        <v>2.0</v>
      </c>
      <c r="I115" s="112">
        <v>0.0</v>
      </c>
      <c r="J115" s="112">
        <v>1.0</v>
      </c>
      <c r="K115" s="112">
        <v>5.0</v>
      </c>
      <c r="L115" s="112">
        <v>2.0</v>
      </c>
      <c r="M115" s="112">
        <v>3.0</v>
      </c>
      <c r="N115" s="112">
        <v>2.0</v>
      </c>
      <c r="O115" s="112">
        <v>2.0</v>
      </c>
      <c r="P115" s="112">
        <v>7.0</v>
      </c>
      <c r="Q115" s="112">
        <v>3.0</v>
      </c>
      <c r="R115" s="112">
        <v>1.0</v>
      </c>
      <c r="S115" s="112">
        <v>2.0</v>
      </c>
      <c r="T115" s="112">
        <v>0.0</v>
      </c>
      <c r="U115" s="112">
        <v>1.0</v>
      </c>
      <c r="V115" s="112">
        <v>0.0</v>
      </c>
      <c r="W115" s="112">
        <v>0.0</v>
      </c>
      <c r="X115" s="111">
        <v>4.0</v>
      </c>
      <c r="Y115" s="111">
        <v>0.0</v>
      </c>
      <c r="Z115" s="111">
        <v>0.0</v>
      </c>
      <c r="AA115" s="111">
        <v>0.0</v>
      </c>
      <c r="AB115" s="111">
        <v>0.0</v>
      </c>
      <c r="AC115" s="107"/>
      <c r="AD115" s="107"/>
      <c r="AE115" s="107"/>
      <c r="AF115" s="107"/>
      <c r="AG115" s="107"/>
      <c r="AH115" s="107"/>
      <c r="AI115" s="107"/>
    </row>
    <row r="116">
      <c r="A116" s="120" t="s">
        <v>424</v>
      </c>
      <c r="B116" s="112">
        <f t="shared" si="33"/>
        <v>87</v>
      </c>
      <c r="C116" s="112">
        <v>0.0</v>
      </c>
      <c r="D116" s="112">
        <v>0.0</v>
      </c>
      <c r="E116" s="112">
        <v>2.0</v>
      </c>
      <c r="F116" s="112">
        <v>4.0</v>
      </c>
      <c r="G116" s="112">
        <v>3.0</v>
      </c>
      <c r="H116" s="112">
        <v>1.0</v>
      </c>
      <c r="I116" s="112">
        <v>4.0</v>
      </c>
      <c r="J116" s="112">
        <v>4.0</v>
      </c>
      <c r="K116" s="112">
        <v>5.0</v>
      </c>
      <c r="L116" s="112">
        <v>5.0</v>
      </c>
      <c r="M116" s="112">
        <v>8.0</v>
      </c>
      <c r="N116" s="112">
        <v>11.0</v>
      </c>
      <c r="O116" s="112">
        <v>9.0</v>
      </c>
      <c r="P116" s="112">
        <v>3.0</v>
      </c>
      <c r="Q116" s="112">
        <v>5.0</v>
      </c>
      <c r="R116" s="112">
        <v>2.0</v>
      </c>
      <c r="S116" s="112">
        <v>0.0</v>
      </c>
      <c r="T116" s="112">
        <v>2.0</v>
      </c>
      <c r="U116" s="112">
        <v>3.0</v>
      </c>
      <c r="V116" s="112">
        <v>4.0</v>
      </c>
      <c r="W116" s="112">
        <v>2.0</v>
      </c>
      <c r="X116" s="111">
        <v>2.0</v>
      </c>
      <c r="Y116" s="111">
        <v>2.0</v>
      </c>
      <c r="Z116" s="111">
        <v>5.0</v>
      </c>
      <c r="AA116" s="111">
        <v>1.0</v>
      </c>
      <c r="AB116" s="111">
        <v>0.0</v>
      </c>
      <c r="AC116" s="107"/>
      <c r="AD116" s="107"/>
      <c r="AE116" s="107"/>
      <c r="AF116" s="107"/>
      <c r="AG116" s="107"/>
      <c r="AH116" s="107"/>
      <c r="AI116" s="107"/>
    </row>
    <row r="117">
      <c r="A117" s="112" t="s">
        <v>425</v>
      </c>
      <c r="B117" s="112">
        <f t="shared" si="33"/>
        <v>46</v>
      </c>
      <c r="C117" s="112">
        <v>0.0</v>
      </c>
      <c r="D117" s="112">
        <v>2.0</v>
      </c>
      <c r="E117" s="112">
        <v>1.0</v>
      </c>
      <c r="F117" s="112">
        <v>1.0</v>
      </c>
      <c r="G117" s="112">
        <v>2.0</v>
      </c>
      <c r="H117" s="112">
        <v>0.0</v>
      </c>
      <c r="I117" s="112">
        <v>2.0</v>
      </c>
      <c r="J117" s="112">
        <v>3.0</v>
      </c>
      <c r="K117" s="112">
        <v>3.0</v>
      </c>
      <c r="L117" s="112">
        <v>3.0</v>
      </c>
      <c r="M117" s="112">
        <v>4.0</v>
      </c>
      <c r="N117" s="112">
        <v>3.0</v>
      </c>
      <c r="O117" s="112">
        <v>5.0</v>
      </c>
      <c r="P117" s="112">
        <v>2.0</v>
      </c>
      <c r="Q117" s="112">
        <v>4.0</v>
      </c>
      <c r="R117" s="112">
        <v>2.0</v>
      </c>
      <c r="S117" s="112">
        <v>3.0</v>
      </c>
      <c r="T117" s="112">
        <v>0.0</v>
      </c>
      <c r="U117" s="112">
        <v>1.0</v>
      </c>
      <c r="V117" s="112">
        <v>4.0</v>
      </c>
      <c r="W117" s="112">
        <v>0.0</v>
      </c>
      <c r="X117" s="111">
        <v>1.0</v>
      </c>
      <c r="Y117" s="111">
        <v>0.0</v>
      </c>
      <c r="Z117" s="111">
        <v>0.0</v>
      </c>
      <c r="AA117" s="111">
        <v>0.0</v>
      </c>
      <c r="AB117" s="111">
        <v>0.0</v>
      </c>
      <c r="AC117" s="107"/>
      <c r="AD117" s="107"/>
      <c r="AE117" s="107"/>
      <c r="AF117" s="107"/>
      <c r="AG117" s="107"/>
      <c r="AH117" s="107"/>
      <c r="AI117" s="107"/>
    </row>
    <row r="118">
      <c r="A118" s="112" t="s">
        <v>426</v>
      </c>
      <c r="B118" s="112">
        <f t="shared" si="33"/>
        <v>141</v>
      </c>
      <c r="C118" s="112">
        <v>1.0</v>
      </c>
      <c r="D118" s="112">
        <v>7.0</v>
      </c>
      <c r="E118" s="112">
        <v>6.0</v>
      </c>
      <c r="F118" s="112">
        <v>7.0</v>
      </c>
      <c r="G118" s="112">
        <v>4.0</v>
      </c>
      <c r="H118" s="112">
        <v>5.0</v>
      </c>
      <c r="I118" s="112">
        <v>6.0</v>
      </c>
      <c r="J118" s="112">
        <v>3.0</v>
      </c>
      <c r="K118" s="112">
        <v>8.0</v>
      </c>
      <c r="L118" s="112">
        <v>6.0</v>
      </c>
      <c r="M118" s="112">
        <v>7.0</v>
      </c>
      <c r="N118" s="112">
        <v>11.0</v>
      </c>
      <c r="O118" s="112">
        <v>7.0</v>
      </c>
      <c r="P118" s="112">
        <v>8.0</v>
      </c>
      <c r="Q118" s="112">
        <v>5.0</v>
      </c>
      <c r="R118" s="112">
        <v>8.0</v>
      </c>
      <c r="S118" s="112">
        <v>4.0</v>
      </c>
      <c r="T118" s="112">
        <v>3.0</v>
      </c>
      <c r="U118" s="112">
        <v>9.0</v>
      </c>
      <c r="V118" s="112">
        <v>5.0</v>
      </c>
      <c r="W118" s="112">
        <v>4.0</v>
      </c>
      <c r="X118" s="111">
        <v>8.0</v>
      </c>
      <c r="Y118" s="111">
        <v>2.0</v>
      </c>
      <c r="Z118" s="111">
        <v>5.0</v>
      </c>
      <c r="AA118" s="111">
        <v>1.0</v>
      </c>
      <c r="AB118" s="111">
        <v>1.0</v>
      </c>
      <c r="AC118" s="107"/>
      <c r="AD118" s="107"/>
      <c r="AE118" s="107"/>
      <c r="AF118" s="107"/>
      <c r="AG118" s="107"/>
      <c r="AH118" s="107"/>
      <c r="AI118" s="107"/>
    </row>
    <row r="119">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row>
    <row r="120">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row>
    <row r="121">
      <c r="A121" s="112" t="s">
        <v>505</v>
      </c>
      <c r="B121" s="111" t="s">
        <v>506</v>
      </c>
      <c r="C121" s="111" t="s">
        <v>507</v>
      </c>
      <c r="D121" s="111" t="s">
        <v>508</v>
      </c>
      <c r="E121" s="111" t="s">
        <v>509</v>
      </c>
      <c r="F121" s="111" t="s">
        <v>510</v>
      </c>
      <c r="G121" s="111" t="s">
        <v>511</v>
      </c>
      <c r="H121" s="111" t="s">
        <v>512</v>
      </c>
      <c r="I121" s="111" t="s">
        <v>513</v>
      </c>
      <c r="J121" s="111" t="s">
        <v>514</v>
      </c>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row>
    <row r="122">
      <c r="A122" s="112" t="s">
        <v>421</v>
      </c>
      <c r="B122" s="111">
        <f t="shared" ref="B122:B128" si="34">SUM(C96:D96)</f>
        <v>6</v>
      </c>
      <c r="C122" s="107">
        <f t="shared" ref="C122:C128" si="35">SUM(E96:G96)</f>
        <v>8</v>
      </c>
      <c r="D122" s="111">
        <f t="shared" ref="D122:D128" si="36">SUM(H96:J96)</f>
        <v>5</v>
      </c>
      <c r="E122" s="107">
        <f t="shared" ref="E122:E128" si="37">SUM(K96:M96)</f>
        <v>10</v>
      </c>
      <c r="F122" s="107">
        <f t="shared" ref="F122:F128" si="38">SUM(N96:P96)</f>
        <v>8</v>
      </c>
      <c r="G122" s="107">
        <f t="shared" ref="G122:G128" si="39">SUM(Q96:S96)</f>
        <v>11</v>
      </c>
      <c r="H122" s="106">
        <f t="shared" ref="H122:H128" si="40">SUM(T96:V96)</f>
        <v>14</v>
      </c>
      <c r="I122" s="106">
        <f t="shared" ref="I122:I128" si="41">SUM(W96:Y96)</f>
        <v>9</v>
      </c>
      <c r="J122" s="106">
        <f t="shared" ref="J122:J128" si="42">SUM(Z96:AB96)</f>
        <v>2</v>
      </c>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row>
    <row r="123">
      <c r="A123" s="112" t="s">
        <v>422</v>
      </c>
      <c r="B123" s="111">
        <f t="shared" si="34"/>
        <v>4</v>
      </c>
      <c r="C123" s="107">
        <f t="shared" si="35"/>
        <v>13</v>
      </c>
      <c r="D123" s="111">
        <f t="shared" si="36"/>
        <v>14</v>
      </c>
      <c r="E123" s="107">
        <f t="shared" si="37"/>
        <v>21</v>
      </c>
      <c r="F123" s="107">
        <f t="shared" si="38"/>
        <v>28</v>
      </c>
      <c r="G123" s="107">
        <f t="shared" si="39"/>
        <v>18</v>
      </c>
      <c r="H123" s="106">
        <f t="shared" si="40"/>
        <v>9</v>
      </c>
      <c r="I123" s="106">
        <f t="shared" si="41"/>
        <v>9</v>
      </c>
      <c r="J123" s="106">
        <f t="shared" si="42"/>
        <v>11</v>
      </c>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row>
    <row r="124">
      <c r="A124" s="112" t="s">
        <v>423</v>
      </c>
      <c r="B124" s="111">
        <f t="shared" si="34"/>
        <v>8</v>
      </c>
      <c r="C124" s="107">
        <f t="shared" si="35"/>
        <v>8</v>
      </c>
      <c r="D124" s="111">
        <f t="shared" si="36"/>
        <v>7</v>
      </c>
      <c r="E124" s="107">
        <f t="shared" si="37"/>
        <v>3</v>
      </c>
      <c r="F124" s="107">
        <f t="shared" si="38"/>
        <v>2</v>
      </c>
      <c r="G124" s="107">
        <f t="shared" si="39"/>
        <v>13</v>
      </c>
      <c r="H124" s="106">
        <f t="shared" si="40"/>
        <v>11</v>
      </c>
      <c r="I124" s="106">
        <f t="shared" si="41"/>
        <v>6</v>
      </c>
      <c r="J124" s="106">
        <f t="shared" si="42"/>
        <v>1</v>
      </c>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row>
    <row r="125">
      <c r="A125" s="111" t="s">
        <v>472</v>
      </c>
      <c r="B125" s="111">
        <f t="shared" si="34"/>
        <v>2</v>
      </c>
      <c r="C125" s="107">
        <f t="shared" si="35"/>
        <v>4</v>
      </c>
      <c r="D125" s="111">
        <f t="shared" si="36"/>
        <v>3</v>
      </c>
      <c r="E125" s="107">
        <f t="shared" si="37"/>
        <v>10</v>
      </c>
      <c r="F125" s="107">
        <f t="shared" si="38"/>
        <v>11</v>
      </c>
      <c r="G125" s="107">
        <f t="shared" si="39"/>
        <v>7</v>
      </c>
      <c r="H125" s="106">
        <f t="shared" si="40"/>
        <v>2</v>
      </c>
      <c r="I125" s="106">
        <f t="shared" si="41"/>
        <v>4</v>
      </c>
      <c r="J125" s="106">
        <f t="shared" si="42"/>
        <v>1</v>
      </c>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row>
    <row r="126">
      <c r="A126" s="120" t="s">
        <v>424</v>
      </c>
      <c r="B126" s="111">
        <f t="shared" si="34"/>
        <v>0</v>
      </c>
      <c r="C126" s="107">
        <f t="shared" si="35"/>
        <v>9</v>
      </c>
      <c r="D126" s="111">
        <f t="shared" si="36"/>
        <v>9</v>
      </c>
      <c r="E126" s="107">
        <f t="shared" si="37"/>
        <v>18</v>
      </c>
      <c r="F126" s="107">
        <f t="shared" si="38"/>
        <v>23</v>
      </c>
      <c r="G126" s="107">
        <f t="shared" si="39"/>
        <v>9</v>
      </c>
      <c r="H126" s="106">
        <f t="shared" si="40"/>
        <v>10</v>
      </c>
      <c r="I126" s="106">
        <f t="shared" si="41"/>
        <v>8</v>
      </c>
      <c r="J126" s="106">
        <f t="shared" si="42"/>
        <v>11</v>
      </c>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row>
    <row r="127">
      <c r="A127" s="112" t="s">
        <v>425</v>
      </c>
      <c r="B127" s="111">
        <f t="shared" si="34"/>
        <v>2</v>
      </c>
      <c r="C127" s="107">
        <f t="shared" si="35"/>
        <v>4</v>
      </c>
      <c r="D127" s="111">
        <f t="shared" si="36"/>
        <v>5</v>
      </c>
      <c r="E127" s="107">
        <f t="shared" si="37"/>
        <v>10</v>
      </c>
      <c r="F127" s="107">
        <f t="shared" si="38"/>
        <v>10</v>
      </c>
      <c r="G127" s="107">
        <f t="shared" si="39"/>
        <v>10</v>
      </c>
      <c r="H127" s="106">
        <f t="shared" si="40"/>
        <v>7</v>
      </c>
      <c r="I127" s="106">
        <f t="shared" si="41"/>
        <v>3</v>
      </c>
      <c r="J127" s="106">
        <f t="shared" si="42"/>
        <v>1</v>
      </c>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row>
    <row r="128">
      <c r="A128" s="112" t="s">
        <v>426</v>
      </c>
      <c r="B128" s="111">
        <f t="shared" si="34"/>
        <v>8</v>
      </c>
      <c r="C128" s="107">
        <f t="shared" si="35"/>
        <v>17</v>
      </c>
      <c r="D128" s="111">
        <f t="shared" si="36"/>
        <v>14</v>
      </c>
      <c r="E128" s="107">
        <f t="shared" si="37"/>
        <v>21</v>
      </c>
      <c r="F128" s="107">
        <f t="shared" si="38"/>
        <v>26</v>
      </c>
      <c r="G128" s="107">
        <f t="shared" si="39"/>
        <v>19</v>
      </c>
      <c r="H128" s="106">
        <f t="shared" si="40"/>
        <v>16</v>
      </c>
      <c r="I128" s="106">
        <f t="shared" si="41"/>
        <v>15</v>
      </c>
      <c r="J128" s="106">
        <f t="shared" si="42"/>
        <v>12</v>
      </c>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row>
    <row r="129">
      <c r="A129" s="130"/>
      <c r="B129" s="130"/>
      <c r="C129" s="130"/>
      <c r="D129" s="131"/>
      <c r="E129" s="107"/>
      <c r="F129" s="107"/>
      <c r="G129" s="106"/>
      <c r="H129" s="106"/>
      <c r="I129" s="10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row>
    <row r="130">
      <c r="A130" s="133" t="s">
        <v>271</v>
      </c>
      <c r="B130" s="134"/>
      <c r="C130" s="130" t="s">
        <v>517</v>
      </c>
      <c r="D130" s="131" t="s">
        <v>518</v>
      </c>
      <c r="E130" s="107"/>
      <c r="F130" s="107"/>
      <c r="G130" s="106"/>
      <c r="H130" s="106"/>
      <c r="I130" s="10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row>
    <row r="131">
      <c r="A131" s="135">
        <v>50.0</v>
      </c>
      <c r="B131" s="136">
        <v>20.0</v>
      </c>
      <c r="C131" s="137">
        <v>3.0</v>
      </c>
      <c r="D131" s="138">
        <v>3.0</v>
      </c>
      <c r="E131" s="111"/>
      <c r="F131" s="124"/>
      <c r="G131" s="106"/>
      <c r="H131" s="106"/>
      <c r="I131" s="10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row>
    <row r="132">
      <c r="A132" s="135">
        <v>51.0</v>
      </c>
      <c r="B132" s="136">
        <v>13.0</v>
      </c>
      <c r="C132" s="137">
        <v>4.0</v>
      </c>
      <c r="D132" s="139">
        <v>0.0</v>
      </c>
      <c r="E132" s="111"/>
      <c r="F132" s="112"/>
      <c r="G132" s="106"/>
      <c r="H132" s="106"/>
      <c r="I132" s="10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row>
    <row r="133">
      <c r="A133" s="140">
        <v>52.0</v>
      </c>
      <c r="B133" s="136">
        <v>13.0</v>
      </c>
      <c r="C133" s="137">
        <v>5.0</v>
      </c>
      <c r="D133" s="138">
        <v>2.0</v>
      </c>
      <c r="E133" s="112"/>
      <c r="F133" s="107"/>
      <c r="G133" s="107"/>
      <c r="H133" s="107"/>
      <c r="I133" s="107"/>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row>
    <row r="134">
      <c r="A134" s="140">
        <v>53.0</v>
      </c>
      <c r="B134" s="136">
        <v>17.0</v>
      </c>
      <c r="C134" s="137">
        <v>6.0</v>
      </c>
      <c r="D134" s="138">
        <v>6.0</v>
      </c>
      <c r="E134" s="112"/>
      <c r="F134" s="107"/>
      <c r="G134" s="107"/>
      <c r="H134" s="107"/>
      <c r="I134" s="107"/>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row>
    <row r="135">
      <c r="A135" s="140">
        <v>54.0</v>
      </c>
      <c r="B135" s="136">
        <v>16.0</v>
      </c>
      <c r="C135" s="137">
        <v>7.0</v>
      </c>
      <c r="D135" s="138">
        <v>2.0</v>
      </c>
      <c r="E135" s="112"/>
      <c r="F135" s="107"/>
      <c r="G135" s="107"/>
      <c r="H135" s="107"/>
      <c r="I135" s="107"/>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row>
    <row r="136">
      <c r="A136" s="140">
        <v>55.0</v>
      </c>
      <c r="B136" s="136">
        <v>7.0</v>
      </c>
      <c r="C136" s="137">
        <v>8.0</v>
      </c>
      <c r="D136" s="138">
        <v>6.0</v>
      </c>
      <c r="E136" s="112"/>
      <c r="F136" s="107"/>
      <c r="G136" s="107"/>
      <c r="H136" s="107"/>
      <c r="I136" s="107"/>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row>
    <row r="137">
      <c r="A137" s="140">
        <v>56.0</v>
      </c>
      <c r="B137" s="136">
        <v>19.0</v>
      </c>
      <c r="C137" s="137">
        <v>9.0</v>
      </c>
      <c r="D137" s="138">
        <v>9.0</v>
      </c>
      <c r="E137" s="107"/>
      <c r="F137" s="107"/>
      <c r="G137" s="107"/>
      <c r="H137" s="107"/>
      <c r="I137" s="107"/>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row>
    <row r="138">
      <c r="A138" s="140">
        <v>57.0</v>
      </c>
      <c r="B138" s="136">
        <v>15.0</v>
      </c>
      <c r="C138" s="137">
        <v>10.0</v>
      </c>
      <c r="D138" s="138">
        <v>5.0</v>
      </c>
      <c r="E138" s="108"/>
      <c r="F138" s="107"/>
      <c r="G138" s="107"/>
      <c r="H138" s="107"/>
      <c r="I138" s="107"/>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row>
    <row r="139">
      <c r="A139" s="140">
        <v>58.0</v>
      </c>
      <c r="B139" s="136">
        <v>10.0</v>
      </c>
      <c r="C139" s="137">
        <v>11.0</v>
      </c>
      <c r="D139" s="138">
        <v>7.0</v>
      </c>
      <c r="E139" s="111"/>
      <c r="F139" s="107"/>
      <c r="G139" s="107"/>
      <c r="H139" s="107"/>
      <c r="I139" s="107"/>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row>
    <row r="140">
      <c r="A140" s="140">
        <v>59.0</v>
      </c>
      <c r="B140" s="136">
        <v>13.0</v>
      </c>
      <c r="C140" s="137">
        <v>12.0</v>
      </c>
      <c r="D140" s="138">
        <v>36.0</v>
      </c>
      <c r="E140" s="107"/>
      <c r="F140" s="107"/>
      <c r="G140" s="107"/>
      <c r="H140" s="107"/>
      <c r="I140" s="107"/>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row>
    <row r="141">
      <c r="A141" s="140">
        <v>60.0</v>
      </c>
      <c r="B141" s="136">
        <v>17.0</v>
      </c>
      <c r="C141" s="137" t="s">
        <v>519</v>
      </c>
      <c r="D141" s="138">
        <v>12.0</v>
      </c>
      <c r="E141" s="108"/>
      <c r="F141" s="141"/>
      <c r="G141" s="141"/>
      <c r="H141" s="106"/>
      <c r="I141" s="10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row>
    <row r="142">
      <c r="A142" s="140">
        <v>61.0</v>
      </c>
      <c r="B142" s="136">
        <v>13.0</v>
      </c>
      <c r="C142" s="137" t="s">
        <v>520</v>
      </c>
      <c r="D142" s="138">
        <v>34.0</v>
      </c>
      <c r="E142" s="108"/>
      <c r="F142" s="141"/>
      <c r="G142" s="141"/>
      <c r="H142" s="106"/>
      <c r="I142" s="10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row>
    <row r="143">
      <c r="A143" s="140">
        <v>62.0</v>
      </c>
      <c r="B143" s="136">
        <v>9.0</v>
      </c>
      <c r="C143" s="137" t="s">
        <v>521</v>
      </c>
      <c r="D143" s="138">
        <v>15.0</v>
      </c>
      <c r="E143" s="108"/>
      <c r="F143" s="141"/>
      <c r="G143" s="141"/>
      <c r="H143" s="106"/>
      <c r="I143" s="10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row>
    <row r="144">
      <c r="A144" s="140">
        <v>63.0</v>
      </c>
      <c r="B144" s="136">
        <v>6.0</v>
      </c>
      <c r="C144" s="137" t="s">
        <v>522</v>
      </c>
      <c r="D144" s="138">
        <v>43.0</v>
      </c>
      <c r="E144" s="108"/>
      <c r="F144" s="141"/>
      <c r="G144" s="141"/>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row>
    <row r="145">
      <c r="A145" s="142">
        <v>64.0</v>
      </c>
      <c r="B145" s="143">
        <v>11.0</v>
      </c>
      <c r="C145" s="137" t="s">
        <v>523</v>
      </c>
      <c r="D145" s="138">
        <v>10.0</v>
      </c>
      <c r="E145" s="108"/>
      <c r="F145" s="141"/>
      <c r="G145" s="141"/>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row>
    <row r="146">
      <c r="A146" s="137">
        <v>65.0</v>
      </c>
      <c r="B146" s="139">
        <v>1.0</v>
      </c>
      <c r="C146" s="137" t="s">
        <v>524</v>
      </c>
      <c r="D146" s="138">
        <v>10.0</v>
      </c>
      <c r="E146" s="108"/>
      <c r="F146" s="141"/>
      <c r="G146" s="141"/>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row>
    <row r="147">
      <c r="A147" s="111"/>
      <c r="B147" s="107"/>
      <c r="C147" s="108"/>
      <c r="D147" s="122"/>
      <c r="E147" s="108"/>
      <c r="F147" s="141"/>
      <c r="G147" s="141"/>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row>
    <row r="148">
      <c r="A148" s="107"/>
      <c r="B148" s="122" t="s">
        <v>123</v>
      </c>
      <c r="C148" s="108" t="s">
        <v>461</v>
      </c>
      <c r="D148" s="122" t="s">
        <v>525</v>
      </c>
      <c r="E148" s="108" t="s">
        <v>526</v>
      </c>
      <c r="F148" s="141" t="s">
        <v>527</v>
      </c>
      <c r="G148" s="141" t="s">
        <v>528</v>
      </c>
      <c r="H148" s="122" t="s">
        <v>529</v>
      </c>
      <c r="I148" s="122" t="s">
        <v>530</v>
      </c>
      <c r="J148" s="122" t="s">
        <v>531</v>
      </c>
      <c r="K148" s="122" t="s">
        <v>532</v>
      </c>
      <c r="L148" s="122" t="s">
        <v>533</v>
      </c>
      <c r="M148" s="122" t="s">
        <v>534</v>
      </c>
      <c r="N148" s="122" t="s">
        <v>535</v>
      </c>
      <c r="O148" s="122" t="s">
        <v>536</v>
      </c>
      <c r="P148" s="122" t="s">
        <v>537</v>
      </c>
      <c r="Q148" s="122" t="s">
        <v>538</v>
      </c>
      <c r="R148" s="122" t="s">
        <v>539</v>
      </c>
      <c r="S148" s="122" t="s">
        <v>540</v>
      </c>
      <c r="T148" s="122" t="s">
        <v>541</v>
      </c>
      <c r="U148" s="122" t="s">
        <v>542</v>
      </c>
      <c r="V148" s="122" t="s">
        <v>543</v>
      </c>
      <c r="W148" s="122" t="s">
        <v>544</v>
      </c>
      <c r="X148" s="122" t="s">
        <v>545</v>
      </c>
      <c r="Y148" s="122" t="s">
        <v>546</v>
      </c>
      <c r="Z148" s="122" t="s">
        <v>547</v>
      </c>
      <c r="AA148" s="122" t="s">
        <v>548</v>
      </c>
      <c r="AB148" s="122" t="s">
        <v>501</v>
      </c>
      <c r="AC148" s="111" t="s">
        <v>549</v>
      </c>
      <c r="AD148" s="107"/>
      <c r="AE148" s="107"/>
      <c r="AF148" s="107"/>
      <c r="AG148" s="107"/>
      <c r="AH148" s="107"/>
      <c r="AI148" s="107"/>
    </row>
    <row r="149">
      <c r="A149" s="112" t="s">
        <v>550</v>
      </c>
      <c r="B149" s="144">
        <f t="shared" ref="B149:B152" si="43">SUM(C149:AA149)</f>
        <v>214</v>
      </c>
      <c r="C149" s="145">
        <v>0.0</v>
      </c>
      <c r="D149" s="145">
        <v>4.0</v>
      </c>
      <c r="E149" s="145">
        <v>13.0</v>
      </c>
      <c r="F149" s="146">
        <v>10.0</v>
      </c>
      <c r="G149" s="146">
        <v>7.0</v>
      </c>
      <c r="H149" s="147">
        <v>11.0</v>
      </c>
      <c r="I149" s="147">
        <v>1.0</v>
      </c>
      <c r="J149" s="147">
        <v>15.0</v>
      </c>
      <c r="K149" s="147">
        <v>12.0</v>
      </c>
      <c r="L149" s="147">
        <v>17.0</v>
      </c>
      <c r="M149" s="147">
        <v>12.0</v>
      </c>
      <c r="N149" s="147">
        <v>14.0</v>
      </c>
      <c r="O149" s="147">
        <v>9.0</v>
      </c>
      <c r="P149" s="147">
        <v>14.0</v>
      </c>
      <c r="Q149" s="147">
        <v>13.0</v>
      </c>
      <c r="R149" s="147">
        <v>4.0</v>
      </c>
      <c r="S149" s="147">
        <v>5.0</v>
      </c>
      <c r="T149" s="147">
        <v>10.0</v>
      </c>
      <c r="U149" s="147">
        <v>8.0</v>
      </c>
      <c r="V149" s="147">
        <v>6.0</v>
      </c>
      <c r="W149" s="147">
        <v>10.0</v>
      </c>
      <c r="X149" s="147">
        <v>3.0</v>
      </c>
      <c r="Y149" s="147">
        <v>8.0</v>
      </c>
      <c r="Z149" s="147">
        <v>5.0</v>
      </c>
      <c r="AA149" s="147">
        <v>3.0</v>
      </c>
      <c r="AB149" s="147">
        <v>0.0</v>
      </c>
      <c r="AC149" s="106"/>
      <c r="AD149" s="106"/>
      <c r="AE149" s="106"/>
      <c r="AF149" s="106"/>
      <c r="AG149" s="106"/>
      <c r="AH149" s="106"/>
      <c r="AI149" s="106"/>
    </row>
    <row r="150">
      <c r="A150" s="112" t="s">
        <v>551</v>
      </c>
      <c r="B150" s="144">
        <f t="shared" si="43"/>
        <v>215</v>
      </c>
      <c r="C150" s="145">
        <v>10.0</v>
      </c>
      <c r="D150" s="145">
        <v>4.0</v>
      </c>
      <c r="E150" s="147">
        <v>8.0</v>
      </c>
      <c r="F150" s="146">
        <v>6.0</v>
      </c>
      <c r="G150" s="146">
        <v>7.0</v>
      </c>
      <c r="H150" s="147">
        <v>11.0</v>
      </c>
      <c r="I150" s="147">
        <v>5.0</v>
      </c>
      <c r="J150" s="147">
        <v>13.0</v>
      </c>
      <c r="K150" s="147">
        <v>12.0</v>
      </c>
      <c r="L150" s="147">
        <v>15.0</v>
      </c>
      <c r="M150" s="147">
        <v>13.0</v>
      </c>
      <c r="N150" s="147">
        <v>15.0</v>
      </c>
      <c r="O150" s="147">
        <v>8.0</v>
      </c>
      <c r="P150" s="147">
        <v>15.0</v>
      </c>
      <c r="Q150" s="147">
        <v>12.0</v>
      </c>
      <c r="R150" s="147">
        <v>5.0</v>
      </c>
      <c r="S150" s="147">
        <v>5.0</v>
      </c>
      <c r="T150" s="147">
        <v>9.0</v>
      </c>
      <c r="U150" s="147">
        <v>9.0</v>
      </c>
      <c r="V150" s="147">
        <v>6.0</v>
      </c>
      <c r="W150" s="147">
        <v>10.0</v>
      </c>
      <c r="X150" s="147">
        <v>3.0</v>
      </c>
      <c r="Y150" s="147">
        <v>8.0</v>
      </c>
      <c r="Z150" s="147">
        <v>4.0</v>
      </c>
      <c r="AA150" s="147">
        <v>2.0</v>
      </c>
      <c r="AB150" s="147">
        <v>0.0</v>
      </c>
      <c r="AC150" s="107"/>
      <c r="AD150" s="107"/>
      <c r="AE150" s="107"/>
      <c r="AF150" s="107"/>
      <c r="AG150" s="107"/>
      <c r="AH150" s="107"/>
      <c r="AI150" s="107"/>
    </row>
    <row r="151">
      <c r="A151" s="112" t="s">
        <v>552</v>
      </c>
      <c r="B151" s="144">
        <f t="shared" si="43"/>
        <v>209</v>
      </c>
      <c r="C151" s="145">
        <v>0.0</v>
      </c>
      <c r="D151" s="145">
        <v>0.0</v>
      </c>
      <c r="E151" s="145">
        <v>15.0</v>
      </c>
      <c r="F151" s="146">
        <v>12.0</v>
      </c>
      <c r="G151" s="146">
        <v>7.0</v>
      </c>
      <c r="H151" s="147">
        <v>11.0</v>
      </c>
      <c r="I151" s="147">
        <v>5.0</v>
      </c>
      <c r="J151" s="147">
        <v>13.0</v>
      </c>
      <c r="K151" s="147">
        <v>11.0</v>
      </c>
      <c r="L151" s="147">
        <v>13.0</v>
      </c>
      <c r="M151" s="147">
        <v>14.0</v>
      </c>
      <c r="N151" s="147">
        <v>14.0</v>
      </c>
      <c r="O151" s="147">
        <v>8.0</v>
      </c>
      <c r="P151" s="147">
        <v>13.0</v>
      </c>
      <c r="Q151" s="147">
        <v>12.0</v>
      </c>
      <c r="R151" s="147">
        <v>8.0</v>
      </c>
      <c r="S151" s="147">
        <v>1.0</v>
      </c>
      <c r="T151" s="147">
        <v>10.0</v>
      </c>
      <c r="U151" s="147">
        <v>10.0</v>
      </c>
      <c r="V151" s="147">
        <v>5.0</v>
      </c>
      <c r="W151" s="147">
        <v>11.0</v>
      </c>
      <c r="X151" s="147">
        <v>1.0</v>
      </c>
      <c r="Y151" s="147">
        <v>8.0</v>
      </c>
      <c r="Z151" s="147">
        <v>3.0</v>
      </c>
      <c r="AA151" s="147">
        <v>4.0</v>
      </c>
      <c r="AB151" s="147">
        <v>0.0</v>
      </c>
      <c r="AC151" s="106"/>
      <c r="AD151" s="106"/>
      <c r="AE151" s="106"/>
      <c r="AF151" s="106"/>
      <c r="AG151" s="106"/>
      <c r="AH151" s="106"/>
      <c r="AI151" s="106"/>
    </row>
    <row r="152">
      <c r="A152" s="112" t="s">
        <v>553</v>
      </c>
      <c r="B152" s="144">
        <f t="shared" si="43"/>
        <v>37</v>
      </c>
      <c r="C152" s="145">
        <v>0.0</v>
      </c>
      <c r="D152" s="145">
        <v>0.0</v>
      </c>
      <c r="E152" s="145">
        <v>2.0</v>
      </c>
      <c r="F152" s="146">
        <v>2.0</v>
      </c>
      <c r="G152" s="147">
        <v>2.0</v>
      </c>
      <c r="H152" s="147">
        <v>3.0</v>
      </c>
      <c r="I152" s="147">
        <v>3.0</v>
      </c>
      <c r="J152" s="147">
        <v>3.0</v>
      </c>
      <c r="K152" s="147">
        <v>2.0</v>
      </c>
      <c r="L152" s="147">
        <v>2.0</v>
      </c>
      <c r="M152" s="147">
        <v>2.0</v>
      </c>
      <c r="N152" s="147">
        <v>1.0</v>
      </c>
      <c r="O152" s="147">
        <v>1.0</v>
      </c>
      <c r="P152" s="147">
        <v>5.0</v>
      </c>
      <c r="Q152" s="147">
        <v>3.0</v>
      </c>
      <c r="R152" s="147">
        <v>1.0</v>
      </c>
      <c r="S152" s="147">
        <v>0.0</v>
      </c>
      <c r="T152" s="147">
        <v>3.0</v>
      </c>
      <c r="U152" s="147">
        <v>0.0</v>
      </c>
      <c r="V152" s="147">
        <v>2.0</v>
      </c>
      <c r="W152" s="147">
        <v>0.0</v>
      </c>
      <c r="X152" s="147">
        <v>0.0</v>
      </c>
      <c r="Y152" s="147">
        <v>0.0</v>
      </c>
      <c r="Z152" s="147">
        <v>0.0</v>
      </c>
      <c r="AA152" s="147">
        <v>0.0</v>
      </c>
      <c r="AB152" s="147">
        <v>0.0</v>
      </c>
      <c r="AC152" s="106"/>
      <c r="AD152" s="106"/>
      <c r="AE152" s="106"/>
      <c r="AF152" s="106"/>
      <c r="AG152" s="106"/>
      <c r="AH152" s="106"/>
      <c r="AI152" s="106"/>
    </row>
    <row r="153">
      <c r="A153" s="112" t="s">
        <v>554</v>
      </c>
      <c r="B153" s="144">
        <f>SUM(C153:AB153)</f>
        <v>193</v>
      </c>
      <c r="C153" s="145">
        <v>0.0</v>
      </c>
      <c r="D153" s="145">
        <v>0.0</v>
      </c>
      <c r="E153" s="145">
        <v>0.0</v>
      </c>
      <c r="F153" s="146">
        <v>2.0</v>
      </c>
      <c r="G153" s="146">
        <v>14.0</v>
      </c>
      <c r="H153" s="147">
        <v>7.0</v>
      </c>
      <c r="I153" s="147">
        <v>12.0</v>
      </c>
      <c r="J153" s="147">
        <v>8.0</v>
      </c>
      <c r="K153" s="147">
        <v>3.0</v>
      </c>
      <c r="L153" s="147">
        <v>7.0</v>
      </c>
      <c r="M153" s="147">
        <v>14.0</v>
      </c>
      <c r="N153" s="147">
        <v>11.0</v>
      </c>
      <c r="O153" s="147">
        <v>10.0</v>
      </c>
      <c r="P153" s="147">
        <v>10.0</v>
      </c>
      <c r="Q153" s="147">
        <v>12.0</v>
      </c>
      <c r="R153" s="147">
        <v>1.0</v>
      </c>
      <c r="S153" s="147">
        <v>4.0</v>
      </c>
      <c r="T153" s="147">
        <v>12.0</v>
      </c>
      <c r="U153" s="147">
        <v>4.0</v>
      </c>
      <c r="V153" s="147">
        <v>12.0</v>
      </c>
      <c r="W153" s="147">
        <v>8.0</v>
      </c>
      <c r="X153" s="147">
        <v>6.0</v>
      </c>
      <c r="Y153" s="147">
        <v>8.0</v>
      </c>
      <c r="Z153" s="147">
        <v>9.0</v>
      </c>
      <c r="AA153" s="147">
        <v>10.0</v>
      </c>
      <c r="AB153" s="147">
        <v>9.0</v>
      </c>
      <c r="AC153" s="106"/>
      <c r="AD153" s="106"/>
      <c r="AE153" s="106"/>
      <c r="AF153" s="106"/>
      <c r="AG153" s="106"/>
      <c r="AH153" s="106"/>
      <c r="AI153" s="106"/>
    </row>
    <row r="154">
      <c r="E154" s="99"/>
      <c r="F154" s="99"/>
      <c r="G154" s="99"/>
      <c r="H154" s="148"/>
      <c r="I154" s="99"/>
      <c r="J154" s="148"/>
      <c r="K154" s="148"/>
      <c r="L154" s="148"/>
      <c r="M154" s="148"/>
      <c r="N154" s="148" t="s">
        <v>555</v>
      </c>
      <c r="O154" s="99"/>
      <c r="P154" s="148"/>
      <c r="Q154" s="99"/>
      <c r="R154" s="148"/>
      <c r="S154" s="148"/>
      <c r="T154" s="99"/>
      <c r="U154" s="99"/>
      <c r="V154" s="148"/>
      <c r="W154" s="148" t="s">
        <v>556</v>
      </c>
      <c r="X154" s="148" t="s">
        <v>556</v>
      </c>
      <c r="Y154" s="148" t="s">
        <v>556</v>
      </c>
      <c r="Z154" s="148" t="s">
        <v>556</v>
      </c>
      <c r="AA154" s="99"/>
      <c r="AB154" s="148" t="s">
        <v>557</v>
      </c>
      <c r="AC154" s="99"/>
      <c r="AD154" s="99"/>
      <c r="AE154" s="99"/>
      <c r="AF154" s="99"/>
      <c r="AG154" s="99"/>
      <c r="AH154" s="99"/>
      <c r="AI154" s="99"/>
    </row>
    <row r="155">
      <c r="G155" s="99"/>
      <c r="H155" s="148"/>
      <c r="I155" s="99"/>
      <c r="J155" s="148"/>
      <c r="K155" s="148"/>
      <c r="L155" s="148"/>
      <c r="N155" s="99"/>
      <c r="O155" s="99"/>
      <c r="P155" s="99"/>
      <c r="Q155" s="99"/>
      <c r="R155" s="99"/>
      <c r="S155" s="99"/>
      <c r="T155" s="99"/>
      <c r="U155" s="99"/>
      <c r="V155" s="99"/>
      <c r="W155" s="149" t="s">
        <v>558</v>
      </c>
      <c r="X155" s="149" t="s">
        <v>559</v>
      </c>
      <c r="Y155" s="149" t="s">
        <v>560</v>
      </c>
      <c r="Z155" s="149" t="s">
        <v>561</v>
      </c>
      <c r="AA155" s="99"/>
      <c r="AB155" s="149" t="s">
        <v>562</v>
      </c>
      <c r="AC155" s="149" t="s">
        <v>563</v>
      </c>
      <c r="AD155" s="99"/>
      <c r="AE155" s="99"/>
      <c r="AF155" s="99"/>
      <c r="AG155" s="99"/>
      <c r="AH155" s="99"/>
      <c r="AI155" s="99"/>
    </row>
    <row r="156">
      <c r="A156" s="17" t="s">
        <v>564</v>
      </c>
      <c r="B156" s="19">
        <f>SUM(C156:AC156)</f>
        <v>13</v>
      </c>
      <c r="G156" s="99"/>
      <c r="H156" s="148"/>
      <c r="I156" s="99"/>
      <c r="J156" s="148"/>
      <c r="K156" s="148"/>
      <c r="L156" s="148"/>
      <c r="N156" s="99"/>
      <c r="O156" s="99"/>
      <c r="P156" s="99"/>
      <c r="Q156" s="99"/>
      <c r="R156" s="99"/>
      <c r="S156" s="99"/>
      <c r="T156" s="99"/>
      <c r="U156" s="99"/>
      <c r="V156" s="99"/>
      <c r="W156" s="148">
        <v>1.0</v>
      </c>
      <c r="X156" s="148">
        <v>1.0</v>
      </c>
      <c r="Y156" s="148">
        <v>3.0</v>
      </c>
      <c r="Z156" s="148">
        <v>1.0</v>
      </c>
      <c r="AA156" s="99"/>
      <c r="AB156" s="148">
        <v>3.0</v>
      </c>
      <c r="AC156" s="148">
        <v>4.0</v>
      </c>
      <c r="AD156" s="99"/>
      <c r="AE156" s="99"/>
      <c r="AF156" s="99"/>
      <c r="AG156" s="99"/>
      <c r="AH156" s="99"/>
      <c r="AI156" s="99"/>
    </row>
    <row r="157">
      <c r="G157" s="99"/>
      <c r="H157" s="148"/>
      <c r="I157" s="99"/>
      <c r="J157" s="148"/>
      <c r="K157" s="148"/>
      <c r="L157" s="148"/>
      <c r="N157" s="99"/>
      <c r="O157" s="99"/>
      <c r="P157" s="99"/>
      <c r="Q157" s="99"/>
      <c r="R157" s="99"/>
      <c r="S157" s="99"/>
      <c r="T157" s="99"/>
      <c r="U157" s="99"/>
      <c r="V157" s="99"/>
      <c r="W157" s="99"/>
      <c r="X157" s="99"/>
      <c r="Y157" s="99"/>
      <c r="Z157" s="99"/>
      <c r="AA157" s="99"/>
      <c r="AB157" s="99"/>
      <c r="AC157" s="99"/>
      <c r="AD157" s="99"/>
      <c r="AE157" s="99"/>
      <c r="AF157" s="99"/>
      <c r="AG157" s="99"/>
      <c r="AH157" s="99"/>
      <c r="AI157" s="99"/>
    </row>
    <row r="158">
      <c r="A158" s="150" t="s">
        <v>122</v>
      </c>
      <c r="B158" s="151" t="s">
        <v>123</v>
      </c>
      <c r="C158" s="152" t="s">
        <v>124</v>
      </c>
      <c r="D158" s="152" t="s">
        <v>125</v>
      </c>
      <c r="E158" s="152" t="s">
        <v>126</v>
      </c>
      <c r="F158" s="152" t="s">
        <v>127</v>
      </c>
      <c r="G158" s="152" t="s">
        <v>128</v>
      </c>
      <c r="H158" s="151" t="s">
        <v>129</v>
      </c>
      <c r="I158" s="151" t="s">
        <v>130</v>
      </c>
      <c r="J158" s="151" t="s">
        <v>131</v>
      </c>
      <c r="K158" s="151" t="s">
        <v>132</v>
      </c>
      <c r="L158" s="151" t="s">
        <v>133</v>
      </c>
      <c r="M158" s="151" t="s">
        <v>134</v>
      </c>
      <c r="N158" s="151" t="s">
        <v>135</v>
      </c>
      <c r="O158" s="151" t="s">
        <v>136</v>
      </c>
      <c r="P158" s="151" t="s">
        <v>137</v>
      </c>
      <c r="Q158" s="151" t="s">
        <v>138</v>
      </c>
      <c r="R158" s="151" t="s">
        <v>139</v>
      </c>
      <c r="S158" s="151" t="s">
        <v>140</v>
      </c>
      <c r="T158" s="151" t="s">
        <v>141</v>
      </c>
      <c r="U158" s="151" t="s">
        <v>142</v>
      </c>
      <c r="V158" s="151" t="s">
        <v>143</v>
      </c>
      <c r="W158" s="151" t="s">
        <v>144</v>
      </c>
      <c r="X158" s="151" t="s">
        <v>145</v>
      </c>
      <c r="Y158" s="153" t="s">
        <v>146</v>
      </c>
      <c r="Z158" s="154"/>
      <c r="AA158" s="154"/>
      <c r="AB158" s="154"/>
      <c r="AC158" s="154"/>
      <c r="AD158" s="154"/>
      <c r="AE158" s="154"/>
      <c r="AF158" s="154"/>
      <c r="AG158" s="154"/>
      <c r="AH158" s="154"/>
      <c r="AI158" s="154"/>
    </row>
    <row r="159">
      <c r="A159" s="155" t="s">
        <v>147</v>
      </c>
      <c r="B159" s="95">
        <f t="shared" ref="B159:B160" si="44">SUM(C159:Y159)</f>
        <v>171</v>
      </c>
      <c r="C159" s="88">
        <v>7.0</v>
      </c>
      <c r="D159" s="88">
        <v>15.0</v>
      </c>
      <c r="E159" s="88">
        <v>6.0</v>
      </c>
      <c r="F159" s="88">
        <v>9.0</v>
      </c>
      <c r="G159" s="88">
        <v>3.0</v>
      </c>
      <c r="H159" s="97">
        <v>12.0</v>
      </c>
      <c r="I159" s="97">
        <v>9.0</v>
      </c>
      <c r="J159" s="97">
        <v>9.0</v>
      </c>
      <c r="K159" s="97">
        <v>14.0</v>
      </c>
      <c r="L159" s="97">
        <v>9.0</v>
      </c>
      <c r="M159" s="97">
        <v>6.0</v>
      </c>
      <c r="N159" s="97">
        <v>9.0</v>
      </c>
      <c r="O159" s="97">
        <v>9.0</v>
      </c>
      <c r="P159" s="97">
        <v>6.0</v>
      </c>
      <c r="Q159" s="97">
        <v>10.0</v>
      </c>
      <c r="R159" s="97">
        <v>7.0</v>
      </c>
      <c r="S159" s="97">
        <v>8.0</v>
      </c>
      <c r="T159" s="98">
        <v>3.0</v>
      </c>
      <c r="U159" s="98">
        <v>8.0</v>
      </c>
      <c r="V159" s="98">
        <v>3.0</v>
      </c>
      <c r="W159" s="100">
        <v>4.0</v>
      </c>
      <c r="X159" s="101">
        <v>4.0</v>
      </c>
      <c r="Y159" s="156">
        <v>1.0</v>
      </c>
      <c r="Z159" s="99"/>
      <c r="AA159" s="99"/>
      <c r="AB159" s="99"/>
      <c r="AC159" s="99"/>
      <c r="AD159" s="99"/>
      <c r="AE159" s="99"/>
      <c r="AF159" s="99"/>
      <c r="AG159" s="99"/>
      <c r="AH159" s="99"/>
      <c r="AI159" s="99"/>
    </row>
    <row r="160">
      <c r="A160" s="155" t="s">
        <v>148</v>
      </c>
      <c r="B160" s="95">
        <f t="shared" si="44"/>
        <v>171</v>
      </c>
      <c r="C160" s="88">
        <v>7.0</v>
      </c>
      <c r="D160" s="88">
        <v>15.0</v>
      </c>
      <c r="E160" s="88">
        <v>6.0</v>
      </c>
      <c r="F160" s="88">
        <v>9.0</v>
      </c>
      <c r="G160" s="88">
        <v>3.0</v>
      </c>
      <c r="H160" s="97">
        <v>12.0</v>
      </c>
      <c r="I160" s="97">
        <v>9.0</v>
      </c>
      <c r="J160" s="97">
        <v>9.0</v>
      </c>
      <c r="K160" s="97">
        <v>14.0</v>
      </c>
      <c r="L160" s="97">
        <v>11.0</v>
      </c>
      <c r="M160" s="97">
        <v>6.0</v>
      </c>
      <c r="N160" s="97">
        <v>10.0</v>
      </c>
      <c r="O160" s="97">
        <v>9.0</v>
      </c>
      <c r="P160" s="97">
        <v>6.0</v>
      </c>
      <c r="Q160" s="97">
        <v>7.0</v>
      </c>
      <c r="R160" s="97">
        <v>7.0</v>
      </c>
      <c r="S160" s="97">
        <v>9.0</v>
      </c>
      <c r="T160" s="98">
        <v>2.0</v>
      </c>
      <c r="U160" s="98">
        <v>8.0</v>
      </c>
      <c r="V160" s="98">
        <v>3.0</v>
      </c>
      <c r="W160" s="100">
        <v>4.0</v>
      </c>
      <c r="X160" s="100">
        <v>4.0</v>
      </c>
      <c r="Y160" s="156">
        <v>1.0</v>
      </c>
      <c r="Z160" s="99"/>
      <c r="AA160" s="99"/>
      <c r="AB160" s="99"/>
      <c r="AC160" s="99"/>
      <c r="AD160" s="99"/>
      <c r="AE160" s="99"/>
      <c r="AF160" s="99"/>
      <c r="AG160" s="99"/>
      <c r="AH160" s="99"/>
      <c r="AI160" s="99"/>
    </row>
    <row r="161">
      <c r="A161" s="157"/>
      <c r="B161" s="92">
        <f t="shared" ref="B161:Y161" si="45">B159+B160</f>
        <v>342</v>
      </c>
      <c r="C161" s="92">
        <f t="shared" si="45"/>
        <v>14</v>
      </c>
      <c r="D161" s="92">
        <f t="shared" si="45"/>
        <v>30</v>
      </c>
      <c r="E161" s="92">
        <f t="shared" si="45"/>
        <v>12</v>
      </c>
      <c r="F161" s="92">
        <f t="shared" si="45"/>
        <v>18</v>
      </c>
      <c r="G161" s="92">
        <f t="shared" si="45"/>
        <v>6</v>
      </c>
      <c r="H161" s="92">
        <f t="shared" si="45"/>
        <v>24</v>
      </c>
      <c r="I161" s="92">
        <f t="shared" si="45"/>
        <v>18</v>
      </c>
      <c r="J161" s="92">
        <f t="shared" si="45"/>
        <v>18</v>
      </c>
      <c r="K161" s="92">
        <f t="shared" si="45"/>
        <v>28</v>
      </c>
      <c r="L161" s="92">
        <f t="shared" si="45"/>
        <v>20</v>
      </c>
      <c r="M161" s="92">
        <f t="shared" si="45"/>
        <v>12</v>
      </c>
      <c r="N161" s="92">
        <f t="shared" si="45"/>
        <v>19</v>
      </c>
      <c r="O161" s="92">
        <f t="shared" si="45"/>
        <v>18</v>
      </c>
      <c r="P161" s="92">
        <f t="shared" si="45"/>
        <v>12</v>
      </c>
      <c r="Q161" s="92">
        <f t="shared" si="45"/>
        <v>17</v>
      </c>
      <c r="R161" s="92">
        <f t="shared" si="45"/>
        <v>14</v>
      </c>
      <c r="S161" s="92">
        <f t="shared" si="45"/>
        <v>17</v>
      </c>
      <c r="T161" s="92">
        <f t="shared" si="45"/>
        <v>5</v>
      </c>
      <c r="U161" s="92">
        <f t="shared" si="45"/>
        <v>16</v>
      </c>
      <c r="V161" s="99">
        <f t="shared" si="45"/>
        <v>6</v>
      </c>
      <c r="W161" s="99">
        <f t="shared" si="45"/>
        <v>8</v>
      </c>
      <c r="X161" s="99">
        <f t="shared" si="45"/>
        <v>8</v>
      </c>
      <c r="Y161" s="158">
        <f t="shared" si="45"/>
        <v>2</v>
      </c>
      <c r="Z161" s="99"/>
      <c r="AA161" s="99"/>
      <c r="AB161" s="99"/>
      <c r="AC161" s="99"/>
      <c r="AD161" s="99"/>
      <c r="AE161" s="99"/>
      <c r="AF161" s="99"/>
      <c r="AG161" s="99"/>
      <c r="AH161" s="99"/>
      <c r="AI161" s="99"/>
    </row>
    <row r="162">
      <c r="A162" s="157"/>
      <c r="G162" s="148"/>
      <c r="H162" s="148"/>
      <c r="I162" s="99"/>
      <c r="J162" s="148"/>
      <c r="K162" s="148"/>
      <c r="L162" s="148"/>
      <c r="M162" s="148"/>
      <c r="N162" s="99"/>
      <c r="O162" s="148"/>
      <c r="P162" s="148"/>
      <c r="Q162" s="148"/>
      <c r="R162" s="99"/>
      <c r="S162" s="148"/>
      <c r="T162" s="148" t="s">
        <v>565</v>
      </c>
      <c r="U162" s="99"/>
      <c r="V162" s="99"/>
      <c r="W162" s="99"/>
      <c r="X162" s="99"/>
      <c r="Y162" s="158"/>
      <c r="Z162" s="99"/>
      <c r="AA162" s="99"/>
      <c r="AB162" s="99"/>
      <c r="AC162" s="99"/>
      <c r="AD162" s="99"/>
      <c r="AE162" s="99"/>
      <c r="AF162" s="99"/>
      <c r="AG162" s="99"/>
      <c r="AH162" s="99"/>
      <c r="AI162" s="99"/>
    </row>
    <row r="163">
      <c r="A163" s="159"/>
      <c r="B163" s="1"/>
      <c r="C163" s="160" t="s">
        <v>566</v>
      </c>
      <c r="D163" s="160"/>
      <c r="G163" s="148"/>
      <c r="H163" s="149"/>
      <c r="I163" s="149" t="s">
        <v>567</v>
      </c>
      <c r="J163" s="148"/>
      <c r="K163" s="149"/>
      <c r="L163" s="149" t="s">
        <v>568</v>
      </c>
      <c r="M163" s="148"/>
      <c r="N163" s="99"/>
      <c r="O163" s="148"/>
      <c r="P163" s="161" t="s">
        <v>569</v>
      </c>
      <c r="Q163" s="99"/>
      <c r="R163" s="99"/>
      <c r="S163" s="149" t="s">
        <v>570</v>
      </c>
      <c r="T163" s="149" t="s">
        <v>571</v>
      </c>
      <c r="U163" s="149" t="s">
        <v>572</v>
      </c>
      <c r="V163" s="149" t="s">
        <v>573</v>
      </c>
      <c r="W163" s="161" t="s">
        <v>574</v>
      </c>
      <c r="X163" s="99"/>
      <c r="Y163" s="162" t="s">
        <v>575</v>
      </c>
      <c r="Z163" s="99"/>
      <c r="AA163" s="99"/>
      <c r="AB163" s="99"/>
      <c r="AC163" s="99"/>
      <c r="AD163" s="99"/>
      <c r="AE163" s="99"/>
      <c r="AF163" s="99"/>
      <c r="AG163" s="99"/>
      <c r="AH163" s="99"/>
      <c r="AI163" s="99"/>
    </row>
    <row r="164">
      <c r="A164" s="163" t="s">
        <v>564</v>
      </c>
      <c r="B164" s="164">
        <f>SUM(C164:Z164)</f>
        <v>15</v>
      </c>
      <c r="C164" s="1">
        <v>2.0</v>
      </c>
      <c r="D164" s="1"/>
      <c r="E164" s="11"/>
      <c r="F164" s="11"/>
      <c r="G164" s="165"/>
      <c r="H164" s="165"/>
      <c r="I164" s="165">
        <v>1.0</v>
      </c>
      <c r="J164" s="165"/>
      <c r="K164" s="165"/>
      <c r="L164" s="165">
        <v>1.0</v>
      </c>
      <c r="M164" s="165"/>
      <c r="N164" s="166"/>
      <c r="O164" s="165"/>
      <c r="P164" s="165">
        <v>1.0</v>
      </c>
      <c r="Q164" s="166"/>
      <c r="R164" s="166"/>
      <c r="S164" s="165">
        <v>1.0</v>
      </c>
      <c r="T164" s="165">
        <v>1.0</v>
      </c>
      <c r="U164" s="165">
        <v>1.0</v>
      </c>
      <c r="V164" s="165">
        <v>1.0</v>
      </c>
      <c r="W164" s="165">
        <v>5.0</v>
      </c>
      <c r="X164" s="166"/>
      <c r="Y164" s="167">
        <v>1.0</v>
      </c>
      <c r="Z164" s="166"/>
      <c r="AA164" s="166"/>
      <c r="AB164" s="166"/>
      <c r="AC164" s="166"/>
      <c r="AD164" s="166"/>
      <c r="AE164" s="166"/>
      <c r="AF164" s="166"/>
      <c r="AG164" s="166"/>
      <c r="AH164" s="166"/>
      <c r="AI164" s="166"/>
    </row>
    <row r="165">
      <c r="A165" s="168"/>
      <c r="B165" s="169"/>
      <c r="C165" s="170"/>
      <c r="D165" s="170"/>
      <c r="E165" s="169"/>
      <c r="F165" s="169"/>
      <c r="G165" s="171"/>
      <c r="H165" s="171"/>
      <c r="I165" s="171"/>
      <c r="J165" s="171"/>
      <c r="K165" s="171"/>
      <c r="L165" s="171"/>
      <c r="M165" s="171"/>
      <c r="N165" s="172"/>
      <c r="O165" s="171"/>
      <c r="P165" s="171"/>
      <c r="Q165" s="172"/>
      <c r="R165" s="172"/>
      <c r="S165" s="171"/>
      <c r="T165" s="171"/>
      <c r="U165" s="171"/>
      <c r="V165" s="171"/>
      <c r="W165" s="171"/>
      <c r="X165" s="172"/>
      <c r="Y165" s="173"/>
      <c r="Z165" s="166"/>
      <c r="AA165" s="166"/>
      <c r="AB165" s="166"/>
      <c r="AC165" s="166"/>
      <c r="AD165" s="166"/>
      <c r="AE165" s="166"/>
      <c r="AF165" s="166"/>
      <c r="AG165" s="166"/>
      <c r="AH165" s="166"/>
      <c r="AI165" s="166"/>
    </row>
    <row r="166">
      <c r="A166" s="174" t="s">
        <v>576</v>
      </c>
      <c r="B166" s="175" t="s">
        <v>123</v>
      </c>
      <c r="C166" s="176" t="s">
        <v>577</v>
      </c>
      <c r="D166" s="176" t="s">
        <v>578</v>
      </c>
      <c r="E166" s="176" t="s">
        <v>138</v>
      </c>
      <c r="F166" s="176" t="s">
        <v>139</v>
      </c>
      <c r="G166" s="176" t="s">
        <v>140</v>
      </c>
      <c r="H166" s="175" t="s">
        <v>141</v>
      </c>
      <c r="I166" s="175" t="s">
        <v>142</v>
      </c>
      <c r="J166" s="175" t="s">
        <v>143</v>
      </c>
      <c r="K166" s="175" t="s">
        <v>144</v>
      </c>
      <c r="L166" s="175" t="s">
        <v>145</v>
      </c>
      <c r="M166" s="175" t="s">
        <v>146</v>
      </c>
      <c r="N166" s="175" t="s">
        <v>579</v>
      </c>
      <c r="O166" s="175" t="s">
        <v>580</v>
      </c>
      <c r="P166" s="175" t="s">
        <v>581</v>
      </c>
      <c r="Q166" s="175" t="s">
        <v>582</v>
      </c>
      <c r="R166" s="175" t="s">
        <v>583</v>
      </c>
      <c r="S166" s="177" t="s">
        <v>584</v>
      </c>
      <c r="T166" s="177" t="s">
        <v>585</v>
      </c>
      <c r="U166" s="178"/>
      <c r="V166" s="178"/>
      <c r="W166" s="178"/>
      <c r="X166" s="178"/>
      <c r="Y166" s="178"/>
      <c r="Z166" s="178"/>
      <c r="AA166" s="178"/>
      <c r="AB166" s="178"/>
      <c r="AC166" s="178"/>
      <c r="AD166" s="178"/>
      <c r="AE166" s="178"/>
      <c r="AF166" s="178"/>
      <c r="AG166" s="178"/>
      <c r="AH166" s="178"/>
      <c r="AI166" s="178"/>
    </row>
    <row r="167">
      <c r="A167" s="2" t="s">
        <v>586</v>
      </c>
      <c r="B167" s="95">
        <f t="shared" ref="B167:B170" si="46">SUM(C167:R167)</f>
        <v>119</v>
      </c>
      <c r="C167" s="88">
        <v>3.0</v>
      </c>
      <c r="D167" s="88">
        <v>9.0</v>
      </c>
      <c r="E167" s="88">
        <v>5.0</v>
      </c>
      <c r="F167" s="88">
        <v>9.0</v>
      </c>
      <c r="G167" s="88">
        <v>1.0</v>
      </c>
      <c r="H167" s="98">
        <v>7.0</v>
      </c>
      <c r="I167" s="98">
        <v>13.0</v>
      </c>
      <c r="J167" s="98">
        <v>9.0</v>
      </c>
      <c r="K167" s="100">
        <v>12.0</v>
      </c>
      <c r="L167" s="100">
        <v>12.0</v>
      </c>
      <c r="M167" s="98">
        <v>4.0</v>
      </c>
      <c r="N167" s="100">
        <v>7.0</v>
      </c>
      <c r="O167" s="98">
        <v>13.0</v>
      </c>
      <c r="P167" s="98">
        <v>9.0</v>
      </c>
      <c r="Q167" s="100">
        <v>1.0</v>
      </c>
      <c r="R167" s="148">
        <v>5.0</v>
      </c>
      <c r="S167" s="179">
        <v>8.0</v>
      </c>
      <c r="T167" s="180">
        <v>2.0</v>
      </c>
      <c r="U167" s="99"/>
      <c r="V167" s="99"/>
      <c r="W167" s="99"/>
      <c r="X167" s="99"/>
      <c r="Y167" s="99"/>
      <c r="Z167" s="99"/>
      <c r="AA167" s="99"/>
      <c r="AB167" s="99"/>
      <c r="AC167" s="99"/>
      <c r="AD167" s="99"/>
      <c r="AE167" s="99"/>
      <c r="AF167" s="99"/>
      <c r="AG167" s="99"/>
      <c r="AH167" s="99"/>
      <c r="AI167" s="99"/>
    </row>
    <row r="168">
      <c r="A168" s="2" t="s">
        <v>587</v>
      </c>
      <c r="B168" s="95">
        <f t="shared" si="46"/>
        <v>122</v>
      </c>
      <c r="C168" s="88">
        <v>6.0</v>
      </c>
      <c r="D168" s="88">
        <v>9.0</v>
      </c>
      <c r="E168" s="88">
        <v>3.0</v>
      </c>
      <c r="F168" s="88">
        <v>12.0</v>
      </c>
      <c r="G168" s="88">
        <v>2.0</v>
      </c>
      <c r="H168" s="98">
        <v>9.0</v>
      </c>
      <c r="I168" s="98">
        <v>6.0</v>
      </c>
      <c r="J168" s="98">
        <v>7.0</v>
      </c>
      <c r="K168" s="98">
        <v>13.0</v>
      </c>
      <c r="L168" s="100">
        <v>12.0</v>
      </c>
      <c r="M168" s="98">
        <v>5.0</v>
      </c>
      <c r="N168" s="100">
        <v>9.0</v>
      </c>
      <c r="O168" s="98">
        <v>13.0</v>
      </c>
      <c r="P168" s="98">
        <v>9.0</v>
      </c>
      <c r="Q168" s="100">
        <v>2.0</v>
      </c>
      <c r="R168" s="148">
        <v>5.0</v>
      </c>
      <c r="S168" s="179">
        <v>8.0</v>
      </c>
      <c r="T168" s="180">
        <v>2.0</v>
      </c>
      <c r="U168" s="99"/>
      <c r="V168" s="99"/>
      <c r="W168" s="99"/>
      <c r="X168" s="99"/>
      <c r="Y168" s="99"/>
      <c r="Z168" s="99"/>
      <c r="AA168" s="99"/>
      <c r="AB168" s="99"/>
      <c r="AC168" s="99"/>
      <c r="AD168" s="99"/>
      <c r="AE168" s="99"/>
      <c r="AF168" s="99"/>
      <c r="AG168" s="99"/>
      <c r="AH168" s="99"/>
      <c r="AI168" s="99"/>
    </row>
    <row r="169">
      <c r="A169" s="2" t="s">
        <v>148</v>
      </c>
      <c r="B169" s="95">
        <f t="shared" si="46"/>
        <v>121</v>
      </c>
      <c r="C169" s="88">
        <v>6.0</v>
      </c>
      <c r="D169" s="88">
        <v>9.0</v>
      </c>
      <c r="E169" s="88">
        <v>3.0</v>
      </c>
      <c r="F169" s="88">
        <v>12.0</v>
      </c>
      <c r="G169" s="88">
        <v>3.0</v>
      </c>
      <c r="H169" s="98">
        <v>8.0</v>
      </c>
      <c r="I169" s="98">
        <v>8.0</v>
      </c>
      <c r="J169" s="98">
        <v>7.0</v>
      </c>
      <c r="K169" s="98">
        <v>12.0</v>
      </c>
      <c r="L169" s="100">
        <v>9.0</v>
      </c>
      <c r="M169" s="98">
        <v>7.0</v>
      </c>
      <c r="N169" s="100">
        <v>12.0</v>
      </c>
      <c r="O169" s="98">
        <v>12.0</v>
      </c>
      <c r="P169" s="98">
        <v>5.0</v>
      </c>
      <c r="Q169" s="100">
        <v>1.0</v>
      </c>
      <c r="R169" s="148">
        <v>7.0</v>
      </c>
      <c r="S169" s="179">
        <v>10.0</v>
      </c>
      <c r="T169" s="180">
        <v>1.0</v>
      </c>
      <c r="U169" s="99"/>
      <c r="V169" s="99"/>
      <c r="W169" s="99"/>
      <c r="X169" s="99"/>
      <c r="Y169" s="99"/>
      <c r="Z169" s="99"/>
      <c r="AA169" s="99"/>
      <c r="AB169" s="99"/>
      <c r="AC169" s="99"/>
      <c r="AD169" s="99"/>
      <c r="AE169" s="99"/>
      <c r="AF169" s="99"/>
      <c r="AG169" s="99"/>
      <c r="AH169" s="99"/>
      <c r="AI169" s="99"/>
    </row>
    <row r="170">
      <c r="A170" s="2" t="s">
        <v>147</v>
      </c>
      <c r="B170" s="95">
        <f t="shared" si="46"/>
        <v>122</v>
      </c>
      <c r="C170" s="88">
        <v>6.0</v>
      </c>
      <c r="D170" s="88">
        <v>9.0</v>
      </c>
      <c r="E170" s="88">
        <v>3.0</v>
      </c>
      <c r="F170" s="88">
        <v>12.0</v>
      </c>
      <c r="G170" s="88">
        <v>2.0</v>
      </c>
      <c r="H170" s="98">
        <v>9.0</v>
      </c>
      <c r="I170" s="98">
        <v>8.0</v>
      </c>
      <c r="J170" s="98">
        <v>7.0</v>
      </c>
      <c r="K170" s="98">
        <v>13.0</v>
      </c>
      <c r="L170" s="100">
        <v>8.0</v>
      </c>
      <c r="M170" s="98">
        <v>7.0</v>
      </c>
      <c r="N170" s="100">
        <v>12.0</v>
      </c>
      <c r="O170" s="98">
        <v>12.0</v>
      </c>
      <c r="P170" s="98">
        <v>5.0</v>
      </c>
      <c r="Q170" s="100">
        <v>2.0</v>
      </c>
      <c r="R170" s="148">
        <v>7.0</v>
      </c>
      <c r="S170" s="179">
        <v>9.0</v>
      </c>
      <c r="T170" s="180">
        <v>1.0</v>
      </c>
      <c r="U170" s="99"/>
      <c r="V170" s="99"/>
      <c r="W170" s="99"/>
      <c r="X170" s="99"/>
      <c r="Y170" s="99"/>
      <c r="Z170" s="99"/>
      <c r="AA170" s="99"/>
      <c r="AB170" s="99"/>
      <c r="AC170" s="99"/>
      <c r="AD170" s="99"/>
      <c r="AE170" s="99"/>
      <c r="AF170" s="99"/>
      <c r="AG170" s="99"/>
      <c r="AH170" s="99"/>
      <c r="AI170" s="99"/>
    </row>
    <row r="171">
      <c r="K171" s="2" t="s">
        <v>588</v>
      </c>
      <c r="N171" s="2"/>
      <c r="P171" s="2"/>
      <c r="Q171" s="181"/>
      <c r="R171" s="2" t="s">
        <v>589</v>
      </c>
    </row>
    <row r="172">
      <c r="A172" s="2" t="s">
        <v>590</v>
      </c>
      <c r="B172" s="2">
        <f t="shared" ref="B172:T172" si="47">B170+B169+B168+B167</f>
        <v>484</v>
      </c>
      <c r="C172" s="2">
        <f t="shared" si="47"/>
        <v>21</v>
      </c>
      <c r="D172" s="2">
        <f t="shared" si="47"/>
        <v>36</v>
      </c>
      <c r="E172" s="2">
        <f t="shared" si="47"/>
        <v>14</v>
      </c>
      <c r="F172" s="2">
        <f t="shared" si="47"/>
        <v>45</v>
      </c>
      <c r="G172" s="2">
        <f t="shared" si="47"/>
        <v>8</v>
      </c>
      <c r="H172" s="2">
        <f t="shared" si="47"/>
        <v>33</v>
      </c>
      <c r="I172" s="2">
        <f t="shared" si="47"/>
        <v>35</v>
      </c>
      <c r="J172" s="2">
        <f t="shared" si="47"/>
        <v>30</v>
      </c>
      <c r="K172" s="2">
        <f t="shared" si="47"/>
        <v>50</v>
      </c>
      <c r="L172" s="2">
        <f t="shared" si="47"/>
        <v>41</v>
      </c>
      <c r="M172" s="2">
        <f t="shared" si="47"/>
        <v>23</v>
      </c>
      <c r="N172" s="148">
        <f t="shared" si="47"/>
        <v>40</v>
      </c>
      <c r="O172" s="99">
        <f t="shared" si="47"/>
        <v>50</v>
      </c>
      <c r="P172" s="182">
        <f t="shared" si="47"/>
        <v>28</v>
      </c>
      <c r="Q172" s="182">
        <f t="shared" si="47"/>
        <v>6</v>
      </c>
      <c r="R172" s="99">
        <f t="shared" si="47"/>
        <v>24</v>
      </c>
      <c r="S172" s="183">
        <f t="shared" si="47"/>
        <v>35</v>
      </c>
      <c r="T172" s="183">
        <f t="shared" si="47"/>
        <v>6</v>
      </c>
      <c r="U172" s="99"/>
      <c r="V172" s="99"/>
      <c r="W172" s="99"/>
      <c r="X172" s="99"/>
      <c r="Y172" s="99"/>
      <c r="Z172" s="99"/>
      <c r="AA172" s="99"/>
      <c r="AB172" s="99"/>
      <c r="AC172" s="99"/>
      <c r="AD172" s="99"/>
      <c r="AE172" s="99"/>
      <c r="AF172" s="99"/>
      <c r="AG172" s="99"/>
      <c r="AH172" s="99"/>
      <c r="AI172" s="99"/>
    </row>
    <row r="173">
      <c r="A173" s="2" t="s">
        <v>591</v>
      </c>
      <c r="C173" s="2"/>
      <c r="D173" s="2"/>
      <c r="E173" s="2"/>
      <c r="F173" s="2"/>
      <c r="G173" s="148" t="s">
        <v>565</v>
      </c>
      <c r="H173" s="148"/>
      <c r="I173" s="99"/>
      <c r="J173" s="148"/>
      <c r="K173" s="148"/>
      <c r="L173" s="148"/>
      <c r="M173" s="148"/>
      <c r="N173" s="148" t="s">
        <v>592</v>
      </c>
      <c r="O173" s="148" t="s">
        <v>593</v>
      </c>
      <c r="P173" s="148"/>
      <c r="Q173" s="148" t="s">
        <v>594</v>
      </c>
      <c r="R173" s="99"/>
      <c r="S173" s="99"/>
      <c r="T173" s="99"/>
      <c r="U173" s="99"/>
      <c r="V173" s="99"/>
      <c r="W173" s="99"/>
      <c r="X173" s="99"/>
      <c r="Y173" s="99"/>
      <c r="Z173" s="99"/>
      <c r="AA173" s="99"/>
      <c r="AB173" s="99"/>
      <c r="AC173" s="99"/>
      <c r="AD173" s="99"/>
      <c r="AE173" s="99"/>
      <c r="AF173" s="99"/>
      <c r="AG173" s="99"/>
      <c r="AH173" s="99"/>
      <c r="AI173" s="99"/>
    </row>
    <row r="174">
      <c r="A174" s="184"/>
      <c r="B174" s="1"/>
      <c r="C174" s="160" t="s">
        <v>595</v>
      </c>
      <c r="D174" s="160"/>
      <c r="E174" s="160" t="s">
        <v>596</v>
      </c>
      <c r="F174" s="2"/>
      <c r="G174" s="2"/>
      <c r="H174" s="2"/>
      <c r="I174" s="160" t="s">
        <v>597</v>
      </c>
      <c r="J174" s="149" t="s">
        <v>598</v>
      </c>
      <c r="K174" s="149" t="s">
        <v>599</v>
      </c>
      <c r="M174" s="148"/>
      <c r="N174" s="185" t="s">
        <v>600</v>
      </c>
      <c r="O174" s="149" t="s">
        <v>601</v>
      </c>
      <c r="P174" s="99"/>
      <c r="Q174" s="99"/>
      <c r="R174" s="99"/>
      <c r="S174" s="99"/>
      <c r="T174" s="99"/>
      <c r="U174" s="99"/>
      <c r="V174" s="99"/>
      <c r="W174" s="99"/>
      <c r="X174" s="99"/>
      <c r="Y174" s="99"/>
      <c r="Z174" s="99"/>
      <c r="AA174" s="99"/>
      <c r="AB174" s="99"/>
      <c r="AC174" s="99"/>
      <c r="AD174" s="99"/>
      <c r="AE174" s="99"/>
      <c r="AF174" s="99"/>
      <c r="AG174" s="99"/>
      <c r="AH174" s="99"/>
      <c r="AI174" s="99"/>
    </row>
    <row r="175">
      <c r="A175" s="186" t="s">
        <v>564</v>
      </c>
      <c r="B175" s="19">
        <f>SUM(C175:Z175)</f>
        <v>15</v>
      </c>
      <c r="C175" s="2">
        <v>2.0</v>
      </c>
      <c r="D175" s="2"/>
      <c r="E175" s="2">
        <v>1.0</v>
      </c>
      <c r="F175" s="2"/>
      <c r="G175" s="2"/>
      <c r="H175" s="2"/>
      <c r="I175" s="2">
        <v>3.0</v>
      </c>
      <c r="J175" s="148">
        <v>3.0</v>
      </c>
      <c r="K175" s="148">
        <v>3.0</v>
      </c>
      <c r="M175" s="148"/>
      <c r="N175" s="148">
        <v>1.0</v>
      </c>
      <c r="O175" s="148">
        <v>2.0</v>
      </c>
      <c r="P175" s="99"/>
      <c r="Q175" s="99"/>
      <c r="R175" s="99"/>
      <c r="S175" s="99"/>
      <c r="T175" s="99"/>
      <c r="U175" s="99"/>
      <c r="V175" s="99"/>
      <c r="W175" s="99"/>
      <c r="X175" s="99"/>
      <c r="Y175" s="99"/>
      <c r="Z175" s="99"/>
      <c r="AA175" s="99"/>
      <c r="AB175" s="99"/>
      <c r="AC175" s="99"/>
      <c r="AD175" s="99"/>
      <c r="AE175" s="99"/>
      <c r="AF175" s="99"/>
      <c r="AG175" s="99"/>
      <c r="AH175" s="99"/>
      <c r="AI175" s="99"/>
    </row>
    <row r="176">
      <c r="A176" s="184"/>
      <c r="B176" s="1"/>
      <c r="C176" s="2"/>
      <c r="D176" s="2"/>
      <c r="E176" s="2"/>
      <c r="F176" s="2"/>
      <c r="G176" s="2"/>
      <c r="H176" s="2"/>
      <c r="I176" s="2"/>
      <c r="J176" s="148"/>
      <c r="K176" s="148"/>
      <c r="M176" s="148"/>
      <c r="N176" s="148"/>
      <c r="O176" s="99"/>
      <c r="P176" s="99"/>
      <c r="Q176" s="99"/>
      <c r="R176" s="99"/>
      <c r="S176" s="99"/>
      <c r="T176" s="99"/>
      <c r="U176" s="99"/>
      <c r="V176" s="99"/>
      <c r="W176" s="99"/>
      <c r="X176" s="99"/>
      <c r="Y176" s="99"/>
      <c r="Z176" s="99"/>
      <c r="AA176" s="99"/>
      <c r="AB176" s="99"/>
      <c r="AC176" s="99"/>
      <c r="AD176" s="99"/>
      <c r="AE176" s="99"/>
      <c r="AF176" s="99"/>
      <c r="AG176" s="99"/>
      <c r="AH176" s="99"/>
      <c r="AI176" s="99"/>
    </row>
    <row r="177">
      <c r="A177" s="187" t="s">
        <v>602</v>
      </c>
      <c r="B177" s="188" t="s">
        <v>123</v>
      </c>
      <c r="C177" s="189" t="s">
        <v>580</v>
      </c>
      <c r="D177" s="189" t="s">
        <v>581</v>
      </c>
      <c r="E177" s="189" t="s">
        <v>582</v>
      </c>
      <c r="F177" s="189" t="s">
        <v>603</v>
      </c>
      <c r="G177" s="190" t="s">
        <v>584</v>
      </c>
      <c r="H177" s="190" t="s">
        <v>585</v>
      </c>
      <c r="I177" s="190"/>
      <c r="J177" s="191"/>
      <c r="K177" s="191"/>
      <c r="L177" s="192"/>
      <c r="M177" s="191"/>
      <c r="N177" s="191"/>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row>
    <row r="178">
      <c r="A178" s="194" t="s">
        <v>587</v>
      </c>
      <c r="B178" s="95">
        <f t="shared" ref="B178:B180" si="48">SUM(C178:F178)</f>
        <v>28</v>
      </c>
      <c r="C178" s="195">
        <v>5.0</v>
      </c>
      <c r="D178" s="195">
        <v>9.0</v>
      </c>
      <c r="E178" s="195">
        <v>4.0</v>
      </c>
      <c r="F178" s="2">
        <v>10.0</v>
      </c>
      <c r="G178" s="196">
        <v>2.0</v>
      </c>
      <c r="H178" s="197">
        <v>0.0</v>
      </c>
      <c r="I178" s="2"/>
      <c r="J178" s="148"/>
      <c r="K178" s="148"/>
      <c r="M178" s="148"/>
      <c r="N178" s="148"/>
      <c r="O178" s="99"/>
      <c r="P178" s="99"/>
      <c r="Q178" s="99"/>
      <c r="R178" s="99"/>
      <c r="S178" s="99"/>
      <c r="T178" s="99"/>
      <c r="U178" s="99"/>
      <c r="V178" s="99"/>
      <c r="W178" s="99"/>
      <c r="X178" s="99"/>
      <c r="Y178" s="99"/>
      <c r="Z178" s="99"/>
      <c r="AA178" s="99"/>
      <c r="AB178" s="99"/>
      <c r="AC178" s="99"/>
      <c r="AD178" s="99"/>
      <c r="AE178" s="99"/>
      <c r="AF178" s="99"/>
      <c r="AG178" s="99"/>
      <c r="AH178" s="99"/>
      <c r="AI178" s="99"/>
    </row>
    <row r="179">
      <c r="A179" s="194" t="s">
        <v>148</v>
      </c>
      <c r="B179" s="95">
        <f t="shared" si="48"/>
        <v>28</v>
      </c>
      <c r="C179" s="195">
        <v>5.0</v>
      </c>
      <c r="D179" s="195">
        <v>9.0</v>
      </c>
      <c r="E179" s="195">
        <v>4.0</v>
      </c>
      <c r="F179" s="2">
        <v>10.0</v>
      </c>
      <c r="G179" s="196">
        <v>2.0</v>
      </c>
      <c r="H179" s="197">
        <v>0.0</v>
      </c>
      <c r="I179" s="2"/>
      <c r="J179" s="148"/>
      <c r="K179" s="148"/>
      <c r="M179" s="148"/>
      <c r="N179" s="148"/>
      <c r="O179" s="99"/>
      <c r="P179" s="99"/>
      <c r="Q179" s="99"/>
      <c r="R179" s="99"/>
      <c r="S179" s="99"/>
      <c r="T179" s="99"/>
      <c r="U179" s="99"/>
      <c r="V179" s="99"/>
      <c r="W179" s="99"/>
      <c r="X179" s="99"/>
      <c r="Y179" s="99"/>
      <c r="Z179" s="99"/>
      <c r="AA179" s="99"/>
      <c r="AB179" s="99"/>
      <c r="AC179" s="99"/>
      <c r="AD179" s="99"/>
      <c r="AE179" s="99"/>
      <c r="AF179" s="99"/>
      <c r="AG179" s="99"/>
      <c r="AH179" s="99"/>
      <c r="AI179" s="99"/>
    </row>
    <row r="180">
      <c r="A180" s="194" t="s">
        <v>604</v>
      </c>
      <c r="B180" s="95">
        <f t="shared" si="48"/>
        <v>28</v>
      </c>
      <c r="C180" s="195">
        <v>5.0</v>
      </c>
      <c r="D180" s="195">
        <v>9.0</v>
      </c>
      <c r="E180" s="195">
        <v>5.0</v>
      </c>
      <c r="F180" s="2">
        <v>9.0</v>
      </c>
      <c r="G180" s="196">
        <v>2.0</v>
      </c>
      <c r="H180" s="197">
        <v>0.0</v>
      </c>
      <c r="I180" s="2"/>
      <c r="J180" s="148"/>
      <c r="K180" s="148"/>
      <c r="M180" s="148"/>
      <c r="N180" s="148"/>
      <c r="O180" s="99"/>
      <c r="P180" s="99"/>
      <c r="Q180" s="99"/>
      <c r="R180" s="99"/>
      <c r="S180" s="99"/>
      <c r="T180" s="99"/>
      <c r="U180" s="99"/>
      <c r="V180" s="99"/>
      <c r="W180" s="99"/>
      <c r="X180" s="99"/>
      <c r="Y180" s="99"/>
      <c r="Z180" s="99"/>
      <c r="AA180" s="99"/>
      <c r="AB180" s="99"/>
      <c r="AC180" s="99"/>
      <c r="AD180" s="99"/>
      <c r="AE180" s="99"/>
      <c r="AF180" s="99"/>
      <c r="AG180" s="99"/>
      <c r="AH180" s="99"/>
      <c r="AI180" s="99"/>
    </row>
    <row r="181">
      <c r="A181" s="184"/>
      <c r="B181" s="1"/>
      <c r="C181" s="2"/>
      <c r="D181" s="2"/>
      <c r="E181" s="2"/>
      <c r="F181" s="2"/>
      <c r="G181" s="2"/>
      <c r="H181" s="2"/>
      <c r="I181" s="2"/>
      <c r="J181" s="148"/>
      <c r="K181" s="148"/>
      <c r="M181" s="148"/>
      <c r="N181" s="148"/>
      <c r="O181" s="99"/>
      <c r="P181" s="99"/>
      <c r="Q181" s="99"/>
      <c r="R181" s="99"/>
      <c r="S181" s="99"/>
      <c r="T181" s="99"/>
      <c r="U181" s="99"/>
      <c r="V181" s="99"/>
      <c r="W181" s="99"/>
      <c r="X181" s="99"/>
      <c r="Y181" s="99"/>
      <c r="Z181" s="99"/>
      <c r="AA181" s="99"/>
      <c r="AB181" s="99"/>
      <c r="AC181" s="99"/>
      <c r="AD181" s="99"/>
      <c r="AE181" s="99"/>
      <c r="AF181" s="99"/>
      <c r="AG181" s="99"/>
      <c r="AH181" s="99"/>
      <c r="AI181" s="99"/>
    </row>
    <row r="182">
      <c r="A182" s="184"/>
      <c r="B182" s="10">
        <f t="shared" ref="B182:H182" si="49">B178+B179+B180</f>
        <v>84</v>
      </c>
      <c r="C182" s="2">
        <f t="shared" si="49"/>
        <v>15</v>
      </c>
      <c r="D182" s="2">
        <f t="shared" si="49"/>
        <v>27</v>
      </c>
      <c r="E182" s="2">
        <f t="shared" si="49"/>
        <v>13</v>
      </c>
      <c r="F182" s="2">
        <f t="shared" si="49"/>
        <v>29</v>
      </c>
      <c r="G182" s="2">
        <f t="shared" si="49"/>
        <v>6</v>
      </c>
      <c r="H182" s="2">
        <f t="shared" si="49"/>
        <v>0</v>
      </c>
      <c r="I182" s="2"/>
      <c r="J182" s="148"/>
      <c r="K182" s="148"/>
      <c r="M182" s="148"/>
      <c r="N182" s="148"/>
      <c r="O182" s="99"/>
      <c r="P182" s="99"/>
      <c r="Q182" s="99"/>
      <c r="R182" s="99"/>
      <c r="S182" s="99"/>
      <c r="T182" s="99"/>
      <c r="U182" s="99"/>
      <c r="V182" s="99"/>
      <c r="W182" s="99"/>
      <c r="X182" s="99"/>
      <c r="Y182" s="99"/>
      <c r="Z182" s="99"/>
      <c r="AA182" s="99"/>
      <c r="AB182" s="99"/>
      <c r="AC182" s="99"/>
      <c r="AD182" s="99"/>
      <c r="AE182" s="99"/>
      <c r="AF182" s="99"/>
      <c r="AG182" s="99"/>
      <c r="AH182" s="99"/>
      <c r="AI182" s="99"/>
    </row>
    <row r="183">
      <c r="A183" s="184"/>
      <c r="B183" s="1"/>
      <c r="C183" s="2"/>
      <c r="D183" s="2"/>
      <c r="E183" s="2"/>
      <c r="F183" s="2"/>
      <c r="G183" s="2"/>
      <c r="H183" s="2"/>
      <c r="I183" s="2"/>
      <c r="J183" s="148"/>
      <c r="K183" s="148"/>
      <c r="M183" s="148"/>
      <c r="N183" s="148"/>
      <c r="O183" s="99"/>
      <c r="P183" s="99"/>
      <c r="Q183" s="99"/>
      <c r="R183" s="99"/>
      <c r="S183" s="99"/>
      <c r="T183" s="99"/>
      <c r="U183" s="99"/>
      <c r="V183" s="99"/>
      <c r="W183" s="99"/>
      <c r="X183" s="99"/>
      <c r="Y183" s="99"/>
      <c r="Z183" s="99"/>
      <c r="AA183" s="99"/>
      <c r="AB183" s="99"/>
      <c r="AC183" s="99"/>
      <c r="AD183" s="99"/>
      <c r="AE183" s="99"/>
      <c r="AF183" s="99"/>
      <c r="AG183" s="99"/>
      <c r="AH183" s="99"/>
      <c r="AI183" s="99"/>
    </row>
    <row r="184">
      <c r="A184" s="184"/>
      <c r="B184" s="1"/>
      <c r="C184" s="2"/>
      <c r="D184" s="2"/>
      <c r="E184" s="2"/>
      <c r="F184" s="2"/>
      <c r="G184" s="2"/>
      <c r="H184" s="2"/>
      <c r="I184" s="2"/>
      <c r="J184" s="148"/>
      <c r="K184" s="148"/>
      <c r="M184" s="148"/>
      <c r="N184" s="148"/>
      <c r="O184" s="99"/>
      <c r="P184" s="99"/>
      <c r="Q184" s="99"/>
      <c r="R184" s="99"/>
      <c r="S184" s="99"/>
      <c r="T184" s="99"/>
      <c r="U184" s="99"/>
      <c r="V184" s="99"/>
      <c r="W184" s="99"/>
      <c r="X184" s="99"/>
      <c r="Y184" s="99"/>
      <c r="Z184" s="99"/>
      <c r="AA184" s="99"/>
      <c r="AB184" s="99"/>
      <c r="AC184" s="99"/>
      <c r="AD184" s="99"/>
      <c r="AE184" s="99"/>
      <c r="AF184" s="99"/>
      <c r="AG184" s="99"/>
      <c r="AH184" s="99"/>
      <c r="AI184" s="99"/>
    </row>
    <row r="185">
      <c r="A185" s="186" t="s">
        <v>564</v>
      </c>
      <c r="B185" s="19"/>
      <c r="C185" s="2"/>
      <c r="D185" s="2"/>
      <c r="E185" s="2"/>
      <c r="F185" s="2"/>
      <c r="G185" s="2"/>
      <c r="H185" s="2"/>
      <c r="I185" s="2"/>
      <c r="J185" s="148"/>
      <c r="K185" s="148"/>
      <c r="M185" s="148"/>
      <c r="N185" s="148"/>
      <c r="O185" s="99"/>
      <c r="P185" s="99"/>
      <c r="Q185" s="99"/>
      <c r="R185" s="99"/>
      <c r="S185" s="99"/>
      <c r="T185" s="99"/>
      <c r="U185" s="99"/>
      <c r="V185" s="99"/>
      <c r="W185" s="99"/>
      <c r="X185" s="99"/>
      <c r="Y185" s="99"/>
      <c r="Z185" s="99"/>
      <c r="AA185" s="99"/>
      <c r="AB185" s="99"/>
      <c r="AC185" s="99"/>
      <c r="AD185" s="99"/>
      <c r="AE185" s="99"/>
      <c r="AF185" s="99"/>
      <c r="AG185" s="99"/>
      <c r="AH185" s="99"/>
      <c r="AI185" s="99"/>
    </row>
    <row r="186">
      <c r="A186" s="184"/>
      <c r="B186" s="1"/>
      <c r="C186" s="2"/>
      <c r="D186" s="2"/>
      <c r="E186" s="2"/>
      <c r="F186" s="2"/>
      <c r="G186" s="2"/>
      <c r="H186" s="2"/>
      <c r="I186" s="2"/>
      <c r="J186" s="148"/>
      <c r="K186" s="148"/>
      <c r="M186" s="148"/>
      <c r="N186" s="148"/>
      <c r="O186" s="99"/>
      <c r="P186" s="99"/>
      <c r="Q186" s="99"/>
      <c r="R186" s="99"/>
      <c r="S186" s="99"/>
      <c r="T186" s="99"/>
      <c r="U186" s="99"/>
      <c r="V186" s="99"/>
      <c r="W186" s="99"/>
      <c r="X186" s="99"/>
      <c r="Y186" s="99"/>
      <c r="Z186" s="99"/>
      <c r="AA186" s="99"/>
      <c r="AB186" s="99"/>
      <c r="AC186" s="99"/>
      <c r="AD186" s="99"/>
      <c r="AE186" s="99"/>
      <c r="AF186" s="99"/>
      <c r="AG186" s="99"/>
      <c r="AH186" s="99"/>
      <c r="AI186" s="99"/>
    </row>
    <row r="187">
      <c r="A187" s="198" t="s">
        <v>605</v>
      </c>
      <c r="B187" s="2" t="s">
        <v>506</v>
      </c>
      <c r="C187" s="2" t="s">
        <v>606</v>
      </c>
      <c r="D187" s="2" t="s">
        <v>607</v>
      </c>
      <c r="E187" s="2" t="s">
        <v>608</v>
      </c>
      <c r="F187" s="2" t="s">
        <v>609</v>
      </c>
      <c r="G187" s="2" t="s">
        <v>610</v>
      </c>
      <c r="H187" s="2" t="s">
        <v>611</v>
      </c>
      <c r="I187" s="2" t="s">
        <v>612</v>
      </c>
      <c r="J187" s="148" t="s">
        <v>613</v>
      </c>
      <c r="K187" s="148" t="s">
        <v>614</v>
      </c>
      <c r="M187" s="148"/>
      <c r="N187" s="99"/>
      <c r="O187" s="99"/>
      <c r="P187" s="99"/>
      <c r="Q187" s="99"/>
      <c r="R187" s="99"/>
      <c r="S187" s="99"/>
      <c r="T187" s="99"/>
      <c r="U187" s="99"/>
      <c r="V187" s="99"/>
      <c r="W187" s="99"/>
      <c r="X187" s="99"/>
      <c r="Y187" s="99"/>
      <c r="Z187" s="99"/>
      <c r="AA187" s="99"/>
      <c r="AB187" s="99"/>
      <c r="AC187" s="99"/>
      <c r="AD187" s="99"/>
      <c r="AE187" s="99"/>
      <c r="AF187" s="99"/>
      <c r="AG187" s="99"/>
      <c r="AH187" s="99"/>
      <c r="AI187" s="99"/>
    </row>
    <row r="188">
      <c r="A188" s="148" t="s">
        <v>550</v>
      </c>
      <c r="B188" s="92">
        <f t="shared" ref="B188:B192" si="50">SUM(C149)</f>
        <v>0</v>
      </c>
      <c r="C188" s="92">
        <f t="shared" ref="C188:C192" si="51">SUM(D149:F149)</f>
        <v>27</v>
      </c>
      <c r="D188" s="92">
        <f t="shared" ref="D188:D192" si="52">SUM(G149:I149)</f>
        <v>19</v>
      </c>
      <c r="E188" s="99">
        <f t="shared" ref="E188:E192" si="53">SUM(J149:L149)</f>
        <v>44</v>
      </c>
      <c r="F188" s="99">
        <f t="shared" ref="F188:F192" si="54">SUM(M149:O149)</f>
        <v>35</v>
      </c>
      <c r="G188" s="99">
        <f>SUM(P149:R149)+SUM(C159:D159)</f>
        <v>53</v>
      </c>
      <c r="H188" s="99">
        <f>SUM(S149:U149)+SUM(E159:G159)</f>
        <v>41</v>
      </c>
      <c r="I188" s="99">
        <f>SUM(V149:X149)+SUM(H159:J159)</f>
        <v>49</v>
      </c>
      <c r="J188" s="99">
        <f t="shared" ref="J188:J189" si="55">SUM(Y149:AA149)+SUM(K159:M159)</f>
        <v>45</v>
      </c>
      <c r="K188" s="99">
        <f>SUM(N159:P159)+SUM(C170:D170)</f>
        <v>39</v>
      </c>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row>
    <row r="189">
      <c r="A189" s="148" t="s">
        <v>551</v>
      </c>
      <c r="B189" s="92">
        <f t="shared" si="50"/>
        <v>10</v>
      </c>
      <c r="C189" s="92">
        <f t="shared" si="51"/>
        <v>18</v>
      </c>
      <c r="D189" s="92">
        <f t="shared" si="52"/>
        <v>23</v>
      </c>
      <c r="E189" s="99">
        <f t="shared" si="53"/>
        <v>40</v>
      </c>
      <c r="F189" s="99">
        <f t="shared" si="54"/>
        <v>36</v>
      </c>
      <c r="G189" s="99">
        <f>SUM(P150:R150)</f>
        <v>32</v>
      </c>
      <c r="H189" s="99">
        <f>SUM(S150:U150)</f>
        <v>23</v>
      </c>
      <c r="I189" s="99">
        <f>SUM(V150:X150)</f>
        <v>19</v>
      </c>
      <c r="J189" s="99">
        <f t="shared" si="55"/>
        <v>45</v>
      </c>
      <c r="K189" s="99">
        <f>SUM(C168:D168)</f>
        <v>15</v>
      </c>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row>
    <row r="190">
      <c r="A190" s="148" t="s">
        <v>552</v>
      </c>
      <c r="B190" s="92">
        <f t="shared" si="50"/>
        <v>0</v>
      </c>
      <c r="C190" s="92">
        <f t="shared" si="51"/>
        <v>27</v>
      </c>
      <c r="D190" s="92">
        <f t="shared" si="52"/>
        <v>23</v>
      </c>
      <c r="E190" s="99">
        <f t="shared" si="53"/>
        <v>37</v>
      </c>
      <c r="F190" s="99">
        <f t="shared" si="54"/>
        <v>36</v>
      </c>
      <c r="G190" s="99">
        <f>SUM(P151:R151)+SUM(C160:D160)</f>
        <v>55</v>
      </c>
      <c r="H190" s="99">
        <f>SUM(S151:U151)+SUM(E160:G160)</f>
        <v>39</v>
      </c>
      <c r="I190" s="99">
        <f>SUM(V151:X151)+SUM(H160:J160)</f>
        <v>47</v>
      </c>
      <c r="J190" s="99">
        <f>SUM(Y151:AA151)+SUM(J167:L167)</f>
        <v>48</v>
      </c>
      <c r="K190" s="99">
        <f>SUM(N160:P160)+SUM(C169:D169)</f>
        <v>40</v>
      </c>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row>
    <row r="191">
      <c r="A191" s="148" t="s">
        <v>553</v>
      </c>
      <c r="B191" s="92">
        <f t="shared" si="50"/>
        <v>0</v>
      </c>
      <c r="C191" s="92">
        <f t="shared" si="51"/>
        <v>4</v>
      </c>
      <c r="D191" s="92">
        <f t="shared" si="52"/>
        <v>8</v>
      </c>
      <c r="E191" s="99">
        <f t="shared" si="53"/>
        <v>7</v>
      </c>
      <c r="F191" s="99">
        <f t="shared" si="54"/>
        <v>4</v>
      </c>
      <c r="G191" s="99">
        <f>SUM(P152:R152)+SUM(B172:C172)</f>
        <v>514</v>
      </c>
      <c r="H191" s="99">
        <f t="shared" ref="H191:H192" si="56">SUM(S152:U152)</f>
        <v>3</v>
      </c>
      <c r="I191" s="99">
        <f t="shared" ref="I191:I192" si="57">SUM(V152:X152)</f>
        <v>2</v>
      </c>
      <c r="J191" s="99">
        <f>SUM(Y152:AA152)+SUM(J172:L172)</f>
        <v>121</v>
      </c>
      <c r="K191" s="148">
        <v>0.0</v>
      </c>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row>
    <row r="192">
      <c r="A192" s="148" t="s">
        <v>554</v>
      </c>
      <c r="B192" s="92">
        <f t="shared" si="50"/>
        <v>0</v>
      </c>
      <c r="C192" s="92">
        <f t="shared" si="51"/>
        <v>2</v>
      </c>
      <c r="D192" s="92">
        <f t="shared" si="52"/>
        <v>33</v>
      </c>
      <c r="E192" s="99">
        <f t="shared" si="53"/>
        <v>18</v>
      </c>
      <c r="F192" s="99">
        <f t="shared" si="54"/>
        <v>35</v>
      </c>
      <c r="G192" s="99">
        <f>SUM(P153:R153)</f>
        <v>23</v>
      </c>
      <c r="H192" s="99">
        <f t="shared" si="56"/>
        <v>20</v>
      </c>
      <c r="I192" s="99">
        <f t="shared" si="57"/>
        <v>26</v>
      </c>
      <c r="J192" s="99">
        <f>SUM(Y153:AA153)+SUM(J187:L187)</f>
        <v>27</v>
      </c>
      <c r="K192" s="99">
        <f>SUM(AB153)+SUM(C167:D167)</f>
        <v>21</v>
      </c>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row>
    <row r="193">
      <c r="E193" s="99"/>
      <c r="F193" s="99"/>
      <c r="G193" s="99"/>
      <c r="H193" s="99"/>
      <c r="I193" s="9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row>
    <row r="194">
      <c r="E194" s="99"/>
      <c r="F194" s="99"/>
      <c r="G194" s="99"/>
      <c r="H194" s="99"/>
      <c r="I194" s="9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row>
    <row r="195">
      <c r="A195" s="199" t="s">
        <v>615</v>
      </c>
      <c r="E195" s="99"/>
      <c r="F195" s="99"/>
      <c r="G195" s="99"/>
      <c r="H195" s="99"/>
      <c r="I195" s="9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row>
    <row r="196">
      <c r="A196" s="2" t="s">
        <v>616</v>
      </c>
      <c r="B196" s="2">
        <v>1.0</v>
      </c>
      <c r="E196" s="99"/>
      <c r="F196" s="99"/>
      <c r="G196" s="99"/>
      <c r="H196" s="99"/>
      <c r="I196" s="9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row>
    <row r="197">
      <c r="A197" s="2" t="s">
        <v>617</v>
      </c>
      <c r="B197" s="2">
        <v>7.0</v>
      </c>
      <c r="E197" s="99"/>
      <c r="F197" s="99"/>
      <c r="G197" s="99"/>
      <c r="H197" s="99"/>
      <c r="I197" s="9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row>
    <row r="198">
      <c r="A198" s="2" t="s">
        <v>618</v>
      </c>
      <c r="B198" s="2">
        <v>1.0</v>
      </c>
      <c r="E198" s="99"/>
      <c r="F198" s="99"/>
      <c r="G198" s="99"/>
      <c r="H198" s="99"/>
      <c r="I198" s="9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row>
    <row r="199">
      <c r="A199" s="2" t="s">
        <v>619</v>
      </c>
      <c r="B199" s="2">
        <v>142.0</v>
      </c>
      <c r="E199" s="99"/>
      <c r="F199" s="99"/>
      <c r="G199" s="99"/>
      <c r="H199" s="99"/>
      <c r="I199" s="9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row>
    <row r="200">
      <c r="A200" s="2" t="s">
        <v>620</v>
      </c>
      <c r="B200" s="2">
        <v>44.0</v>
      </c>
      <c r="E200" s="99"/>
      <c r="F200" s="99"/>
      <c r="G200" s="99"/>
      <c r="H200" s="99"/>
      <c r="I200" s="9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row>
    <row r="201">
      <c r="A201" s="2" t="s">
        <v>621</v>
      </c>
      <c r="B201" s="2">
        <v>5.0</v>
      </c>
      <c r="E201" s="99"/>
      <c r="F201" s="99"/>
      <c r="G201" s="99"/>
      <c r="H201" s="99"/>
      <c r="I201" s="9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row>
    <row r="202">
      <c r="E202" s="99"/>
      <c r="F202" s="99"/>
      <c r="G202" s="99"/>
      <c r="H202" s="99"/>
      <c r="I202" s="9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row>
    <row r="203">
      <c r="E203" s="99"/>
      <c r="F203" s="99"/>
      <c r="G203" s="99"/>
      <c r="H203" s="99"/>
      <c r="I203" s="9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row>
    <row r="204">
      <c r="E204" s="99"/>
      <c r="F204" s="99"/>
      <c r="G204" s="99"/>
      <c r="H204" s="99"/>
      <c r="I204" s="9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row>
    <row r="205">
      <c r="A205" s="200" t="s">
        <v>622</v>
      </c>
      <c r="B205" s="148" t="s">
        <v>623</v>
      </c>
      <c r="C205" s="148"/>
      <c r="E205" s="99"/>
      <c r="F205" s="99"/>
      <c r="G205" s="99"/>
      <c r="H205" s="99"/>
      <c r="I205" s="9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row>
    <row r="206">
      <c r="A206" s="201" t="s">
        <v>624</v>
      </c>
      <c r="B206" s="202">
        <v>1.0</v>
      </c>
      <c r="C206" s="201"/>
      <c r="E206" s="99"/>
      <c r="F206" s="99"/>
      <c r="G206" s="99"/>
      <c r="H206" s="99"/>
      <c r="I206" s="9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row>
    <row r="207">
      <c r="A207" s="148" t="s">
        <v>421</v>
      </c>
      <c r="B207" s="2">
        <v>1.0</v>
      </c>
      <c r="E207" s="99"/>
      <c r="F207" s="99"/>
      <c r="G207" s="99"/>
      <c r="H207" s="99"/>
      <c r="I207" s="9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row>
    <row r="208">
      <c r="A208" s="148" t="s">
        <v>422</v>
      </c>
      <c r="B208" s="148">
        <v>0.0</v>
      </c>
      <c r="E208" s="99"/>
      <c r="F208" s="99"/>
      <c r="G208" s="99"/>
      <c r="H208" s="99"/>
      <c r="I208" s="9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row>
    <row r="209">
      <c r="A209" s="148" t="s">
        <v>625</v>
      </c>
      <c r="B209" s="148">
        <v>2.0</v>
      </c>
      <c r="E209" s="99"/>
      <c r="F209" s="99"/>
      <c r="G209" s="99"/>
      <c r="H209" s="99"/>
      <c r="I209" s="9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row>
    <row r="210">
      <c r="A210" s="148" t="s">
        <v>626</v>
      </c>
      <c r="B210" s="148">
        <v>3.0</v>
      </c>
      <c r="E210" s="99"/>
      <c r="F210" s="99"/>
      <c r="G210" s="99"/>
      <c r="H210" s="99"/>
      <c r="I210" s="9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row>
    <row r="211">
      <c r="A211" s="148" t="s">
        <v>425</v>
      </c>
      <c r="B211" s="148">
        <v>0.0</v>
      </c>
      <c r="E211" s="99"/>
      <c r="F211" s="99"/>
      <c r="G211" s="99"/>
      <c r="H211" s="99"/>
      <c r="I211" s="9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row>
    <row r="212">
      <c r="A212" s="148" t="s">
        <v>426</v>
      </c>
      <c r="B212" s="148">
        <v>1.0</v>
      </c>
      <c r="E212" s="99"/>
      <c r="F212" s="99"/>
      <c r="G212" s="99"/>
      <c r="H212" s="99"/>
      <c r="I212" s="9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row>
    <row r="213">
      <c r="B213" s="203"/>
      <c r="E213" s="99"/>
      <c r="F213" s="99"/>
      <c r="G213" s="99"/>
      <c r="H213" s="99"/>
      <c r="I213" s="9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row>
    <row r="214">
      <c r="E214" s="99"/>
      <c r="F214" s="99"/>
      <c r="G214" s="99"/>
      <c r="H214" s="99"/>
      <c r="I214" s="9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row>
    <row r="215">
      <c r="A215" s="200" t="s">
        <v>627</v>
      </c>
      <c r="B215" s="148" t="s">
        <v>628</v>
      </c>
      <c r="C215" s="148"/>
      <c r="D215" s="148"/>
      <c r="E215" s="99"/>
      <c r="F215" s="99"/>
      <c r="G215" s="99"/>
      <c r="H215" s="99"/>
      <c r="I215" s="9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row>
    <row r="216">
      <c r="A216" s="93" t="s">
        <v>629</v>
      </c>
      <c r="B216" s="204"/>
      <c r="C216" s="204"/>
      <c r="D216" s="204"/>
      <c r="E216" s="99"/>
      <c r="F216" s="99"/>
      <c r="G216" s="99"/>
      <c r="H216" s="99"/>
      <c r="I216" s="9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row>
    <row r="217">
      <c r="A217" s="148" t="s">
        <v>421</v>
      </c>
      <c r="B217" s="2">
        <v>0.0</v>
      </c>
      <c r="E217" s="99"/>
      <c r="F217" s="99"/>
      <c r="G217" s="99"/>
      <c r="H217" s="99"/>
      <c r="I217" s="9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row>
    <row r="218">
      <c r="A218" s="148" t="s">
        <v>422</v>
      </c>
      <c r="B218" s="2">
        <v>2.0</v>
      </c>
      <c r="C218" s="148"/>
      <c r="D218" s="148"/>
      <c r="E218" s="99"/>
      <c r="F218" s="99"/>
      <c r="G218" s="99"/>
      <c r="H218" s="99"/>
      <c r="I218" s="9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row>
    <row r="219">
      <c r="A219" s="205" t="s">
        <v>630</v>
      </c>
      <c r="B219" s="2">
        <v>0.0</v>
      </c>
      <c r="C219" s="148"/>
      <c r="D219" s="148"/>
      <c r="E219" s="99"/>
      <c r="F219" s="99"/>
      <c r="G219" s="99"/>
      <c r="H219" s="99"/>
      <c r="I219" s="9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row>
    <row r="220">
      <c r="A220" s="148" t="s">
        <v>631</v>
      </c>
      <c r="B220" s="2">
        <v>0.0</v>
      </c>
      <c r="D220" s="148"/>
      <c r="E220" s="99"/>
      <c r="F220" s="99"/>
      <c r="G220" s="99"/>
      <c r="H220" s="99"/>
      <c r="I220" s="9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row>
    <row r="221">
      <c r="A221" s="148" t="s">
        <v>632</v>
      </c>
      <c r="B221" s="2">
        <v>2.0</v>
      </c>
      <c r="D221" s="148"/>
      <c r="E221" s="99"/>
      <c r="F221" s="99"/>
      <c r="G221" s="99"/>
      <c r="H221" s="99"/>
      <c r="I221" s="9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row>
    <row r="222">
      <c r="A222" s="148" t="s">
        <v>425</v>
      </c>
      <c r="B222" s="2">
        <v>0.0</v>
      </c>
      <c r="D222" s="148"/>
      <c r="E222" s="99"/>
      <c r="F222" s="99"/>
      <c r="G222" s="99"/>
      <c r="H222" s="99"/>
      <c r="I222" s="9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row>
    <row r="223">
      <c r="A223" s="148" t="s">
        <v>426</v>
      </c>
      <c r="B223" s="2">
        <v>2.0</v>
      </c>
      <c r="D223" s="148"/>
      <c r="E223" s="99"/>
      <c r="F223" s="99"/>
      <c r="G223" s="99"/>
      <c r="H223" s="99"/>
      <c r="I223" s="9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row>
    <row r="224">
      <c r="A224" s="2" t="s">
        <v>633</v>
      </c>
      <c r="B224" s="2" t="s">
        <v>634</v>
      </c>
      <c r="E224" s="99"/>
      <c r="F224" s="99"/>
      <c r="G224" s="99"/>
      <c r="H224" s="99"/>
      <c r="I224" s="9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row>
    <row r="225">
      <c r="A225" s="99"/>
      <c r="B225" s="99"/>
      <c r="C225" s="99"/>
      <c r="D225" s="99"/>
      <c r="E225" s="99"/>
      <c r="F225" s="99"/>
      <c r="G225" s="99"/>
      <c r="H225" s="99"/>
      <c r="I225" s="9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row>
    <row r="226">
      <c r="A226" s="99"/>
      <c r="B226" s="99"/>
      <c r="C226" s="99"/>
      <c r="D226" s="99"/>
      <c r="E226" s="99"/>
      <c r="F226" s="99"/>
      <c r="G226" s="99"/>
      <c r="H226" s="99"/>
      <c r="I226" s="9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row>
    <row r="227">
      <c r="A227" s="199" t="s">
        <v>635</v>
      </c>
      <c r="C227" s="99"/>
      <c r="D227" s="99"/>
      <c r="E227" s="99"/>
      <c r="F227" s="99"/>
      <c r="G227" s="99"/>
      <c r="H227" s="99"/>
      <c r="I227" s="9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row>
    <row r="228">
      <c r="A228" s="2" t="s">
        <v>616</v>
      </c>
      <c r="B228" s="2">
        <v>1.0</v>
      </c>
      <c r="C228" s="99"/>
      <c r="D228" s="99"/>
      <c r="E228" s="99"/>
      <c r="F228" s="99"/>
      <c r="G228" s="99"/>
      <c r="H228" s="99"/>
      <c r="I228" s="9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row>
    <row r="229">
      <c r="A229" s="2" t="s">
        <v>617</v>
      </c>
      <c r="B229" s="2">
        <v>7.0</v>
      </c>
      <c r="C229" s="99"/>
      <c r="D229" s="99"/>
      <c r="E229" s="99"/>
      <c r="F229" s="99"/>
      <c r="G229" s="99"/>
      <c r="H229" s="99"/>
      <c r="I229" s="9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row>
    <row r="230">
      <c r="A230" s="2" t="s">
        <v>618</v>
      </c>
      <c r="B230" s="2">
        <v>1.0</v>
      </c>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row>
    <row r="231">
      <c r="A231" s="2" t="s">
        <v>619</v>
      </c>
      <c r="B231" s="2">
        <v>133.0</v>
      </c>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row>
    <row r="232">
      <c r="A232" s="2" t="s">
        <v>620</v>
      </c>
      <c r="B232" s="2">
        <v>40.0</v>
      </c>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row>
    <row r="233">
      <c r="A233" s="2" t="s">
        <v>621</v>
      </c>
      <c r="B233" s="2">
        <v>5.0</v>
      </c>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row>
    <row r="234">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row>
    <row r="235">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row>
    <row r="236">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row>
    <row r="237">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row>
    <row r="238">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row>
    <row r="239">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row>
    <row r="240">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row>
    <row r="24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row>
    <row r="242">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row>
    <row r="243">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row>
    <row r="244">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row>
    <row r="245">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row>
    <row r="246">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row>
    <row r="247">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row>
    <row r="248">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row>
    <row r="249">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row>
    <row r="250">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row>
    <row r="25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row>
    <row r="252">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row>
    <row r="253">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row>
    <row r="254">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row>
    <row r="255">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row>
    <row r="256">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row>
    <row r="257">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row>
    <row r="258">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row>
    <row r="259">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row>
    <row r="260">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row>
    <row r="26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row>
    <row r="262">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row>
    <row r="263">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row>
    <row r="264">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row>
    <row r="265">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row>
    <row r="266">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row>
    <row r="267">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row>
    <row r="268">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row>
    <row r="269">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row>
    <row r="270">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row>
    <row r="27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row>
    <row r="272">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row>
    <row r="273">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row>
    <row r="274">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row>
    <row r="275">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row>
    <row r="276">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row>
    <row r="277">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row>
    <row r="278">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row>
    <row r="279">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row>
    <row r="280">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row>
    <row r="28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row>
    <row r="282">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row>
    <row r="283">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row>
    <row r="284">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row>
    <row r="285">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row>
    <row r="286">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row>
    <row r="287">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row>
    <row r="288">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row>
    <row r="289">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row>
    <row r="290">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row>
    <row r="29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row>
    <row r="292">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row>
    <row r="293">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row>
    <row r="294">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row>
    <row r="295">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row>
    <row r="296">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row>
    <row r="297">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row>
    <row r="298">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row>
    <row r="299">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row>
    <row r="300">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row>
    <row r="30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row>
    <row r="302">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row>
    <row r="303">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row>
    <row r="304">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row>
    <row r="305">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row>
    <row r="306">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row>
    <row r="307">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row>
    <row r="308">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row>
    <row r="309">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row>
    <row r="310">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row>
    <row r="31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row>
    <row r="312">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row>
    <row r="313">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row>
    <row r="314">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row>
    <row r="315">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row>
    <row r="316">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row>
    <row r="317">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row>
    <row r="318">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row>
    <row r="319">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row>
    <row r="320">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row>
    <row r="32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row>
    <row r="322">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row>
    <row r="323">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row>
    <row r="324">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row>
    <row r="325">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row>
    <row r="326">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row>
    <row r="327">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row>
    <row r="328">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row>
    <row r="329">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row>
    <row r="330">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row>
    <row r="33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row>
    <row r="332">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row>
    <row r="333">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row>
    <row r="334">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row>
    <row r="335">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row>
    <row r="336">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row>
    <row r="337">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row>
    <row r="338">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row>
    <row r="339">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row>
    <row r="340">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row>
    <row r="34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row>
    <row r="342">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row>
    <row r="343">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row>
    <row r="344">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row>
    <row r="345">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row>
    <row r="346">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row>
    <row r="347">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row>
    <row r="348">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row>
    <row r="349">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row>
    <row r="350">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row>
    <row r="35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row>
    <row r="352">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row>
    <row r="353">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row>
    <row r="354">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row>
    <row r="355">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row>
    <row r="356">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row>
    <row r="357">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row>
    <row r="358">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row>
    <row r="359">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row>
    <row r="360">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row>
    <row r="36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row>
    <row r="362">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row>
    <row r="363">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row>
    <row r="364">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row>
    <row r="365">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row>
    <row r="366">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row>
    <row r="367">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row>
    <row r="368">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row>
    <row r="369">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row>
    <row r="370">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row>
    <row r="37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row>
    <row r="372">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row>
    <row r="373">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row>
    <row r="374">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row>
    <row r="375">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row>
    <row r="376">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row>
    <row r="377">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row>
    <row r="378">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row>
    <row r="379">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row>
    <row r="380">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row>
    <row r="38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row>
    <row r="382">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row>
    <row r="383">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row>
    <row r="384">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row>
    <row r="385">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row>
    <row r="386">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row>
    <row r="387">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row>
    <row r="388">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row>
    <row r="389">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row>
    <row r="390">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row>
    <row r="39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row>
    <row r="392">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row>
    <row r="393">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row>
    <row r="394">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row>
    <row r="395">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row>
    <row r="396">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row>
    <row r="397">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row>
    <row r="398">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row>
    <row r="399">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row>
    <row r="400">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row>
    <row r="40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row>
    <row r="402">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row>
    <row r="403">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row>
    <row r="404">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row>
    <row r="405">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row>
    <row r="406">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row>
    <row r="407">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row>
    <row r="408">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row>
    <row r="409">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row>
    <row r="410">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row>
    <row r="41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row>
    <row r="412">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row>
    <row r="413">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row>
    <row r="414">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row>
    <row r="415">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row>
    <row r="416">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row>
    <row r="417">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row>
    <row r="418">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row>
    <row r="419">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row>
    <row r="420">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row>
    <row r="42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row>
    <row r="422">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row>
    <row r="423">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row>
    <row r="424">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row>
    <row r="425">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row>
    <row r="426">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row>
    <row r="427">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row>
    <row r="428">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row>
    <row r="429">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row>
    <row r="430">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row>
    <row r="43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row>
    <row r="432">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row>
    <row r="433">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row>
    <row r="434">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row>
    <row r="435">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row>
    <row r="436">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row>
    <row r="437">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row>
    <row r="438">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row>
    <row r="439">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row>
    <row r="440">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row>
    <row r="44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row>
    <row r="442">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row>
    <row r="443">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row>
    <row r="444">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row>
    <row r="445">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row>
    <row r="446">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row>
    <row r="447">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row>
    <row r="448">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row>
    <row r="449">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row>
    <row r="450">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row>
    <row r="45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row>
    <row r="452">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row>
    <row r="453">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row>
    <row r="454">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row>
    <row r="455">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row>
    <row r="456">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row>
    <row r="457">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row>
    <row r="458">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row>
    <row r="459">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row>
    <row r="460">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row>
    <row r="46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row>
    <row r="462">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row>
    <row r="463">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row>
    <row r="464">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row>
    <row r="465">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row>
    <row r="466">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row>
    <row r="467">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row>
    <row r="468">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row>
    <row r="469">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row>
    <row r="470">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row>
    <row r="47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row>
    <row r="472">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row>
    <row r="473">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row>
    <row r="474">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row>
    <row r="475">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row>
    <row r="476">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row>
    <row r="477">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row>
    <row r="478">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row>
    <row r="479">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row>
    <row r="480">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row>
    <row r="48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row>
    <row r="482">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row>
    <row r="483">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row>
    <row r="484">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row>
    <row r="485">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row>
    <row r="486">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row>
    <row r="487">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row>
    <row r="488">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row>
    <row r="489">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row>
    <row r="490">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row>
    <row r="49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row>
    <row r="492">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row>
    <row r="493">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row>
    <row r="494">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row>
    <row r="495">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row>
    <row r="496">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row>
    <row r="497">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row>
    <row r="498">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row>
    <row r="499">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row>
    <row r="500">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row>
    <row r="50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row>
    <row r="502">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row>
    <row r="503">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row>
    <row r="504">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row>
    <row r="505">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row>
    <row r="506">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row>
    <row r="507">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row>
    <row r="508">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row>
    <row r="509">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row>
    <row r="510">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row>
    <row r="51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row>
    <row r="512">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row>
    <row r="513">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row>
    <row r="514">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row>
    <row r="515">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row>
    <row r="516">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row>
    <row r="517">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row>
    <row r="518">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row>
    <row r="519">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row>
    <row r="520">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row>
    <row r="52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row>
    <row r="522">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row>
    <row r="523">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row>
    <row r="524">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row>
    <row r="525">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row>
    <row r="526">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row>
    <row r="527">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row>
    <row r="528">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row>
    <row r="529">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row>
    <row r="530">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row>
    <row r="53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row>
    <row r="532">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row>
    <row r="533">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row>
    <row r="534">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row>
    <row r="535">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row>
    <row r="536">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row>
    <row r="537">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row>
    <row r="538">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row>
    <row r="539">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row>
    <row r="540">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row>
    <row r="54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row>
    <row r="542">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row>
    <row r="543">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row>
    <row r="544">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row>
    <row r="545">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row>
    <row r="546">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row>
    <row r="547">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row>
    <row r="548">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row>
    <row r="549">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row>
    <row r="550">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row>
    <row r="55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row>
    <row r="552">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row>
    <row r="553">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row>
    <row r="554">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row>
    <row r="555">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row>
    <row r="556">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row>
    <row r="557">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row>
    <row r="558">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row>
    <row r="559">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row>
    <row r="560">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row>
    <row r="56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row>
    <row r="562">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row>
    <row r="563">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row>
    <row r="564">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row>
    <row r="565">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row>
    <row r="566">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row>
    <row r="567">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row>
    <row r="568">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row>
    <row r="569">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row>
    <row r="570">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row>
    <row r="57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row>
    <row r="572">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row>
    <row r="573">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row>
    <row r="574">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row>
    <row r="575">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row>
    <row r="576">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row>
    <row r="577">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row>
    <row r="578">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row>
    <row r="579">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row>
    <row r="580">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row>
    <row r="58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row>
    <row r="582">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row>
    <row r="583">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row>
    <row r="584">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row>
    <row r="585">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row>
    <row r="586">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row>
    <row r="587">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row>
    <row r="588">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row>
    <row r="589">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row>
    <row r="590">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row>
    <row r="59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row>
    <row r="592">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row>
    <row r="593">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row>
    <row r="594">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row>
    <row r="595">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row>
    <row r="596">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row>
    <row r="597">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row>
    <row r="598">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row>
    <row r="599">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row>
    <row r="600">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row>
    <row r="60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row>
    <row r="602">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row>
    <row r="603">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row>
    <row r="604">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row>
    <row r="605">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row>
    <row r="606">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row>
    <row r="607">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row>
    <row r="608">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row>
    <row r="609">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row>
    <row r="610">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row>
    <row r="61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row>
    <row r="612">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row>
    <row r="613">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row>
    <row r="614">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row>
    <row r="615">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row>
    <row r="616">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row>
    <row r="617">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row>
    <row r="618">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row>
    <row r="619">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row>
    <row r="620">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row>
    <row r="62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row>
    <row r="622">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row>
    <row r="623">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row>
    <row r="624">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row>
    <row r="625">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row>
    <row r="626">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row>
    <row r="627">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row>
    <row r="628">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row>
    <row r="629">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row>
    <row r="630">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row>
    <row r="63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row>
    <row r="632">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row>
    <row r="633">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row>
    <row r="634">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row>
    <row r="635">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row>
    <row r="636">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row>
    <row r="637">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row>
    <row r="638">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row>
    <row r="639">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row>
    <row r="640">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row>
    <row r="64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row>
    <row r="642">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row>
    <row r="643">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row>
    <row r="644">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row>
    <row r="645">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row>
    <row r="646">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row>
    <row r="647">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row>
    <row r="648">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row>
    <row r="649">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row>
    <row r="650">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row>
    <row r="65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row>
    <row r="652">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row>
    <row r="653">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row>
    <row r="654">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row>
    <row r="655">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row>
    <row r="656">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row>
    <row r="657">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row>
    <row r="658">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row>
    <row r="659">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row>
    <row r="660">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row>
    <row r="66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row>
    <row r="662">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row>
    <row r="663">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row>
    <row r="664">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row>
    <row r="665">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row>
    <row r="666">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row>
    <row r="667">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row>
    <row r="668">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row>
    <row r="669">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row>
    <row r="670">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row>
    <row r="67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row>
    <row r="672">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row>
    <row r="673">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row>
    <row r="674">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row>
    <row r="675">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row>
    <row r="676">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row>
    <row r="677">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row>
    <row r="678">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row>
    <row r="679">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row>
    <row r="680">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row>
    <row r="68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row>
    <row r="682">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row>
    <row r="683">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row>
    <row r="684">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row>
    <row r="685">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row>
    <row r="686">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row>
    <row r="687">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row>
    <row r="688">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row>
    <row r="689">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row>
    <row r="690">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row>
    <row r="69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row>
    <row r="692">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row>
    <row r="693">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row>
    <row r="694">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row>
    <row r="695">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row>
    <row r="696">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row>
    <row r="697">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row>
    <row r="698">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row>
    <row r="699">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row>
    <row r="700">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row>
    <row r="70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row>
    <row r="702">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row>
    <row r="703">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row>
    <row r="704">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row>
    <row r="705">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row>
    <row r="706">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row>
    <row r="707">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row>
    <row r="708">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row>
    <row r="709">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row>
    <row r="710">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row>
    <row r="71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row>
    <row r="712">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row>
    <row r="713">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row>
    <row r="714">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row>
    <row r="715">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row>
    <row r="716">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row>
    <row r="717">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row>
    <row r="718">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row>
    <row r="719">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row>
    <row r="720">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row>
    <row r="72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row>
    <row r="722">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row>
    <row r="723">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row>
    <row r="724">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row>
    <row r="725">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row>
    <row r="726">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row>
    <row r="727">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row>
    <row r="728">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row>
    <row r="729">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row>
    <row r="730">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row>
    <row r="73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row>
    <row r="732">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row>
    <row r="733">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row>
    <row r="734">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row>
    <row r="735">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row>
    <row r="736">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row>
    <row r="737">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row>
    <row r="738">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row>
    <row r="739">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row>
    <row r="740">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row>
    <row r="74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row>
    <row r="742">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row>
    <row r="743">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row>
    <row r="744">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row>
    <row r="745">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row>
    <row r="746">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row>
    <row r="747">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row>
    <row r="748">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row>
    <row r="749">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row>
    <row r="750">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row>
    <row r="75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row>
    <row r="752">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row>
    <row r="753">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row>
    <row r="754">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row>
    <row r="755">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row>
    <row r="756">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row>
    <row r="757">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row>
    <row r="758">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row>
    <row r="759">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row>
    <row r="760">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row>
    <row r="76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row>
    <row r="762">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row>
    <row r="763">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row>
    <row r="764">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row>
    <row r="765">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row>
    <row r="766">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row>
    <row r="767">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row>
    <row r="768">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row>
    <row r="769">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row>
    <row r="770">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row>
    <row r="77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row>
    <row r="772">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row>
    <row r="773">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row>
    <row r="774">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row>
    <row r="775">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row>
    <row r="776">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row>
    <row r="777">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row>
    <row r="778">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row>
    <row r="779">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row>
    <row r="780">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row>
    <row r="78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row>
    <row r="782">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row>
    <row r="783">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row>
    <row r="784">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row>
    <row r="785">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row>
    <row r="786">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row>
    <row r="787">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row>
    <row r="788">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row>
    <row r="789">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row>
    <row r="790">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row>
    <row r="79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row>
    <row r="792">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row>
    <row r="793">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row>
    <row r="794">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row>
    <row r="795">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row>
    <row r="796">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row>
    <row r="797">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row>
    <row r="798">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row>
    <row r="799">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row>
    <row r="800">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row>
    <row r="80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row>
    <row r="802">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row>
    <row r="803">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row>
    <row r="804">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row>
    <row r="805">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row>
    <row r="806">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row>
    <row r="807">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row>
    <row r="808">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row>
    <row r="809">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row>
    <row r="810">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row>
    <row r="81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row>
    <row r="812">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row>
    <row r="813">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row>
    <row r="814">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row>
    <row r="815">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row>
    <row r="816">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row>
    <row r="817">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row>
    <row r="818">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row>
    <row r="819">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row>
    <row r="820">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row>
    <row r="82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row>
    <row r="822">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row>
    <row r="823">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row>
    <row r="824">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row>
    <row r="825">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row>
    <row r="826">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row>
    <row r="827">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row>
    <row r="828">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row>
    <row r="829">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row>
    <row r="830">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row>
    <row r="83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row>
    <row r="832">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row>
    <row r="833">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row>
    <row r="834">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row>
    <row r="835">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row>
    <row r="836">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row>
    <row r="837">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row>
    <row r="838">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row>
    <row r="839">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row>
    <row r="840">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row>
    <row r="84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row>
    <row r="842">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row>
    <row r="843">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row>
    <row r="844">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row>
    <row r="845">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row>
    <row r="846">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row>
    <row r="847">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row>
    <row r="848">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row>
    <row r="849">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row>
    <row r="850">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row>
    <row r="85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row>
    <row r="852">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row>
    <row r="853">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row>
    <row r="854">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row>
    <row r="855">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row>
    <row r="856">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row>
    <row r="857">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row>
    <row r="858">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row>
    <row r="859">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row>
    <row r="860">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row>
    <row r="86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row>
    <row r="862">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row>
    <row r="863">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row>
    <row r="864">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row>
    <row r="865">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row>
    <row r="866">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row>
    <row r="867">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row>
    <row r="868">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row>
    <row r="869">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row>
    <row r="870">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row>
    <row r="87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row>
    <row r="872">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row>
    <row r="873">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row>
    <row r="874">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row>
    <row r="875">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row>
    <row r="876">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row>
    <row r="877">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row>
    <row r="878">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row>
    <row r="879">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row>
    <row r="880">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row>
    <row r="88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row>
    <row r="882">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row>
    <row r="883">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row>
    <row r="884">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row>
    <row r="885">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row>
    <row r="886">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row>
    <row r="887">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row>
    <row r="888">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row>
    <row r="889">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row>
    <row r="890">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row>
    <row r="89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row>
    <row r="892">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row>
    <row r="893">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row>
    <row r="894">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row>
    <row r="895">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row>
    <row r="896">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row>
    <row r="897">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row>
    <row r="898">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row>
    <row r="899">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row>
    <row r="900">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row>
    <row r="90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row>
    <row r="902">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row>
    <row r="903">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row>
    <row r="904">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row>
    <row r="905">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row>
    <row r="906">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row>
    <row r="907">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row>
    <row r="908">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row>
    <row r="909">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row>
    <row r="910">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row>
    <row r="91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row>
    <row r="912">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row>
    <row r="913">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row>
    <row r="914">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row>
    <row r="915">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row>
    <row r="916">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row>
    <row r="917">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row>
    <row r="918">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row>
    <row r="919">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row>
    <row r="920">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row>
    <row r="92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row>
    <row r="922">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row>
    <row r="923">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row>
    <row r="924">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row>
    <row r="925">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row>
    <row r="926">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row>
    <row r="927">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row>
    <row r="928">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row>
    <row r="929">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row>
    <row r="930">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row>
    <row r="93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row>
    <row r="932">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row>
    <row r="933">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row>
    <row r="934">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row>
    <row r="935">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row>
    <row r="936">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row>
    <row r="937">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row>
    <row r="938">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row>
    <row r="939">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row>
    <row r="940">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row>
    <row r="94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row>
    <row r="942">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row>
    <row r="943">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row>
    <row r="944">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row>
    <row r="945">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row>
    <row r="946">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row>
    <row r="947">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row>
    <row r="948">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row>
    <row r="949">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row>
    <row r="950">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row>
    <row r="95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row>
    <row r="952">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row>
    <row r="953">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row>
    <row r="954">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row>
    <row r="955">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row>
    <row r="956">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row>
    <row r="957">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row>
    <row r="958">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row>
    <row r="959">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row>
    <row r="960">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row>
    <row r="96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row>
    <row r="962">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row>
    <row r="963">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row>
    <row r="964">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row>
    <row r="965">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row>
    <row r="966">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row>
    <row r="967">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row>
    <row r="968">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row>
    <row r="969">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row>
    <row r="970">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row>
    <row r="97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row>
    <row r="972">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row>
    <row r="973">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row>
    <row r="974">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row>
    <row r="975">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row>
    <row r="976">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row>
    <row r="977">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row>
    <row r="978">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row>
    <row r="979">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row>
    <row r="980">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row>
    <row r="98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row>
    <row r="982">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row>
    <row r="983">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row>
    <row r="984">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row>
    <row r="985">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row>
    <row r="986">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row>
    <row r="987">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row>
    <row r="988">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row>
    <row r="989">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row>
    <row r="990">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row>
    <row r="99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row>
    <row r="992">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row>
    <row r="993">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row>
    <row r="994">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row>
    <row r="995">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row>
    <row r="996">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row>
    <row r="997">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row>
    <row r="998">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row>
    <row r="999">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row>
    <row r="1000">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row>
    <row r="1001">
      <c r="A1001" s="99"/>
      <c r="B1001" s="99"/>
      <c r="C1001" s="99"/>
      <c r="D1001" s="99"/>
      <c r="E1001" s="99"/>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c r="AC1001" s="99"/>
      <c r="AD1001" s="99"/>
      <c r="AE1001" s="99"/>
      <c r="AF1001" s="99"/>
      <c r="AG1001" s="99"/>
      <c r="AH1001" s="99"/>
      <c r="AI1001" s="99"/>
    </row>
    <row r="1002">
      <c r="A1002" s="99"/>
      <c r="B1002" s="99"/>
      <c r="C1002" s="99"/>
      <c r="D1002" s="99"/>
      <c r="E1002" s="99"/>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c r="AC1002" s="99"/>
      <c r="AD1002" s="99"/>
      <c r="AE1002" s="99"/>
      <c r="AF1002" s="99"/>
      <c r="AG1002" s="99"/>
      <c r="AH1002" s="99"/>
      <c r="AI1002" s="99"/>
    </row>
    <row r="1003">
      <c r="A1003" s="99"/>
      <c r="B1003" s="99"/>
      <c r="C1003" s="99"/>
      <c r="D1003" s="99"/>
      <c r="E1003" s="99"/>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c r="AC1003" s="99"/>
      <c r="AD1003" s="99"/>
      <c r="AE1003" s="99"/>
      <c r="AF1003" s="99"/>
      <c r="AG1003" s="99"/>
      <c r="AH1003" s="99"/>
      <c r="AI1003" s="99"/>
    </row>
    <row r="1004">
      <c r="A1004" s="99"/>
      <c r="B1004" s="99"/>
      <c r="C1004" s="99"/>
      <c r="D1004" s="99"/>
      <c r="E1004" s="99"/>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c r="AC1004" s="99"/>
      <c r="AD1004" s="99"/>
      <c r="AE1004" s="99"/>
      <c r="AF1004" s="99"/>
      <c r="AG1004" s="99"/>
      <c r="AH1004" s="99"/>
      <c r="AI1004" s="99"/>
    </row>
    <row r="1005">
      <c r="A1005" s="99"/>
      <c r="B1005" s="99"/>
      <c r="C1005" s="99"/>
      <c r="D1005" s="99"/>
      <c r="E1005" s="99"/>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c r="AC1005" s="99"/>
      <c r="AD1005" s="99"/>
      <c r="AE1005" s="99"/>
      <c r="AF1005" s="99"/>
      <c r="AG1005" s="99"/>
      <c r="AH1005" s="99"/>
      <c r="AI1005" s="99"/>
    </row>
    <row r="1006">
      <c r="A1006" s="99"/>
      <c r="B1006" s="99"/>
      <c r="C1006" s="99"/>
      <c r="D1006" s="99"/>
      <c r="E1006" s="99"/>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c r="AC1006" s="99"/>
      <c r="AD1006" s="99"/>
      <c r="AE1006" s="99"/>
      <c r="AF1006" s="99"/>
      <c r="AG1006" s="99"/>
      <c r="AH1006" s="99"/>
      <c r="AI1006" s="99"/>
    </row>
    <row r="1007">
      <c r="A1007" s="99"/>
      <c r="B1007" s="99"/>
      <c r="C1007" s="99"/>
      <c r="D1007" s="99"/>
      <c r="E1007" s="99"/>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c r="AC1007" s="99"/>
      <c r="AD1007" s="99"/>
      <c r="AE1007" s="99"/>
      <c r="AF1007" s="99"/>
      <c r="AG1007" s="99"/>
      <c r="AH1007" s="99"/>
      <c r="AI1007" s="99"/>
    </row>
    <row r="1008">
      <c r="A1008" s="99"/>
      <c r="B1008" s="99"/>
      <c r="C1008" s="99"/>
      <c r="D1008" s="99"/>
      <c r="E1008" s="99"/>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c r="AC1008" s="99"/>
      <c r="AD1008" s="99"/>
      <c r="AE1008" s="99"/>
      <c r="AF1008" s="99"/>
      <c r="AG1008" s="99"/>
      <c r="AH1008" s="99"/>
      <c r="AI1008" s="99"/>
    </row>
    <row r="1009">
      <c r="A1009" s="99"/>
      <c r="B1009" s="99"/>
      <c r="C1009" s="99"/>
      <c r="D1009" s="99"/>
      <c r="E1009" s="99"/>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c r="AC1009" s="99"/>
      <c r="AD1009" s="99"/>
      <c r="AE1009" s="99"/>
      <c r="AF1009" s="99"/>
      <c r="AG1009" s="99"/>
      <c r="AH1009" s="99"/>
      <c r="AI1009" s="99"/>
    </row>
    <row r="1010">
      <c r="A1010" s="99"/>
      <c r="B1010" s="99"/>
      <c r="C1010" s="99"/>
      <c r="D1010" s="99"/>
      <c r="E1010" s="99"/>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c r="AC1010" s="99"/>
      <c r="AD1010" s="99"/>
      <c r="AE1010" s="99"/>
      <c r="AF1010" s="99"/>
      <c r="AG1010" s="99"/>
      <c r="AH1010" s="99"/>
      <c r="AI1010" s="99"/>
    </row>
    <row r="1011">
      <c r="A1011" s="99"/>
      <c r="B1011" s="99"/>
      <c r="C1011" s="99"/>
      <c r="D1011" s="99"/>
      <c r="E1011" s="99"/>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c r="AC1011" s="99"/>
      <c r="AD1011" s="99"/>
      <c r="AE1011" s="99"/>
      <c r="AF1011" s="99"/>
      <c r="AG1011" s="99"/>
      <c r="AH1011" s="99"/>
      <c r="AI1011" s="99"/>
    </row>
    <row r="1012">
      <c r="A1012" s="99"/>
      <c r="B1012" s="99"/>
      <c r="C1012" s="99"/>
      <c r="D1012" s="99"/>
      <c r="E1012" s="99"/>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c r="AC1012" s="99"/>
      <c r="AD1012" s="99"/>
      <c r="AE1012" s="99"/>
      <c r="AF1012" s="99"/>
      <c r="AG1012" s="99"/>
      <c r="AH1012" s="99"/>
      <c r="AI1012" s="99"/>
    </row>
    <row r="1013">
      <c r="A1013" s="99"/>
      <c r="B1013" s="99"/>
      <c r="C1013" s="99"/>
      <c r="D1013" s="99"/>
      <c r="E1013" s="99"/>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c r="AC1013" s="99"/>
      <c r="AD1013" s="99"/>
      <c r="AE1013" s="99"/>
      <c r="AF1013" s="99"/>
      <c r="AG1013" s="99"/>
      <c r="AH1013" s="99"/>
      <c r="AI1013" s="99"/>
    </row>
    <row r="1014">
      <c r="A1014" s="99"/>
      <c r="B1014" s="99"/>
      <c r="C1014" s="99"/>
      <c r="D1014" s="99"/>
      <c r="E1014" s="99"/>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c r="AC1014" s="99"/>
      <c r="AD1014" s="99"/>
      <c r="AE1014" s="99"/>
      <c r="AF1014" s="99"/>
      <c r="AG1014" s="99"/>
      <c r="AH1014" s="99"/>
      <c r="AI1014" s="99"/>
    </row>
    <row r="1015">
      <c r="A1015" s="99"/>
      <c r="B1015" s="99"/>
      <c r="C1015" s="99"/>
      <c r="D1015" s="99"/>
      <c r="E1015" s="99"/>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c r="AC1015" s="99"/>
      <c r="AD1015" s="99"/>
      <c r="AE1015" s="99"/>
      <c r="AF1015" s="99"/>
      <c r="AG1015" s="99"/>
      <c r="AH1015" s="99"/>
      <c r="AI1015" s="99"/>
    </row>
    <row r="1016">
      <c r="A1016" s="99"/>
      <c r="B1016" s="99"/>
      <c r="C1016" s="99"/>
      <c r="D1016" s="99"/>
      <c r="E1016" s="99"/>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c r="AC1016" s="99"/>
      <c r="AD1016" s="99"/>
      <c r="AE1016" s="99"/>
      <c r="AF1016" s="99"/>
      <c r="AG1016" s="99"/>
      <c r="AH1016" s="99"/>
      <c r="AI1016" s="99"/>
    </row>
    <row r="1017">
      <c r="A1017" s="99"/>
      <c r="B1017" s="99"/>
      <c r="C1017" s="99"/>
      <c r="D1017" s="99"/>
      <c r="E1017" s="99"/>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c r="AC1017" s="99"/>
      <c r="AD1017" s="99"/>
      <c r="AE1017" s="99"/>
      <c r="AF1017" s="99"/>
      <c r="AG1017" s="99"/>
      <c r="AH1017" s="99"/>
      <c r="AI1017" s="99"/>
    </row>
    <row r="1018">
      <c r="A1018" s="99"/>
      <c r="B1018" s="99"/>
      <c r="C1018" s="99"/>
      <c r="D1018" s="99"/>
      <c r="E1018" s="99"/>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c r="AC1018" s="99"/>
      <c r="AD1018" s="99"/>
      <c r="AE1018" s="99"/>
      <c r="AF1018" s="99"/>
      <c r="AG1018" s="99"/>
      <c r="AH1018" s="99"/>
      <c r="AI1018" s="99"/>
    </row>
    <row r="1019">
      <c r="A1019" s="99"/>
      <c r="B1019" s="99"/>
      <c r="C1019" s="99"/>
      <c r="D1019" s="99"/>
      <c r="E1019" s="99"/>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c r="AC1019" s="99"/>
      <c r="AD1019" s="99"/>
      <c r="AE1019" s="99"/>
      <c r="AF1019" s="99"/>
      <c r="AG1019" s="99"/>
      <c r="AH1019" s="99"/>
      <c r="AI1019" s="99"/>
    </row>
    <row r="1020">
      <c r="A1020" s="99"/>
      <c r="B1020" s="99"/>
      <c r="C1020" s="99"/>
      <c r="D1020" s="99"/>
      <c r="E1020" s="99"/>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c r="AC1020" s="99"/>
      <c r="AD1020" s="99"/>
      <c r="AE1020" s="99"/>
      <c r="AF1020" s="99"/>
      <c r="AG1020" s="99"/>
      <c r="AH1020" s="99"/>
      <c r="AI1020" s="99"/>
    </row>
    <row r="1021">
      <c r="A1021" s="99"/>
      <c r="B1021" s="99"/>
      <c r="C1021" s="99"/>
      <c r="D1021" s="99"/>
      <c r="E1021" s="99"/>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c r="AC1021" s="99"/>
      <c r="AD1021" s="99"/>
      <c r="AE1021" s="99"/>
      <c r="AF1021" s="99"/>
      <c r="AG1021" s="99"/>
      <c r="AH1021" s="99"/>
      <c r="AI1021" s="99"/>
    </row>
    <row r="1022">
      <c r="A1022" s="99"/>
      <c r="B1022" s="99"/>
      <c r="C1022" s="99"/>
      <c r="D1022" s="99"/>
      <c r="E1022" s="99"/>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c r="AC1022" s="99"/>
      <c r="AD1022" s="99"/>
      <c r="AE1022" s="99"/>
      <c r="AF1022" s="99"/>
      <c r="AG1022" s="99"/>
      <c r="AH1022" s="99"/>
      <c r="AI1022" s="99"/>
    </row>
    <row r="1023">
      <c r="A1023" s="99"/>
      <c r="B1023" s="99"/>
      <c r="C1023" s="99"/>
      <c r="D1023" s="99"/>
      <c r="E1023" s="99"/>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c r="AC1023" s="99"/>
      <c r="AD1023" s="99"/>
      <c r="AE1023" s="99"/>
      <c r="AF1023" s="99"/>
      <c r="AG1023" s="99"/>
      <c r="AH1023" s="99"/>
      <c r="AI1023" s="99"/>
    </row>
    <row r="1024">
      <c r="A1024" s="99"/>
      <c r="B1024" s="99"/>
      <c r="C1024" s="99"/>
      <c r="D1024" s="99"/>
      <c r="E1024" s="99"/>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c r="AC1024" s="99"/>
      <c r="AD1024" s="99"/>
      <c r="AE1024" s="99"/>
      <c r="AF1024" s="99"/>
      <c r="AG1024" s="99"/>
      <c r="AH1024" s="99"/>
      <c r="AI1024" s="99"/>
    </row>
    <row r="1025">
      <c r="A1025" s="99"/>
      <c r="B1025" s="99"/>
      <c r="C1025" s="99"/>
      <c r="D1025" s="99"/>
      <c r="E1025" s="99"/>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c r="AC1025" s="99"/>
      <c r="AD1025" s="99"/>
      <c r="AE1025" s="99"/>
      <c r="AF1025" s="99"/>
      <c r="AG1025" s="99"/>
      <c r="AH1025" s="99"/>
      <c r="AI1025" s="99"/>
    </row>
    <row r="1026">
      <c r="A1026" s="99"/>
      <c r="B1026" s="99"/>
      <c r="C1026" s="99"/>
      <c r="D1026" s="99"/>
      <c r="E1026" s="99"/>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c r="AC1026" s="99"/>
      <c r="AD1026" s="99"/>
      <c r="AE1026" s="99"/>
      <c r="AF1026" s="99"/>
      <c r="AG1026" s="99"/>
      <c r="AH1026" s="99"/>
      <c r="AI1026" s="99"/>
    </row>
    <row r="1027">
      <c r="A1027" s="99"/>
      <c r="B1027" s="99"/>
      <c r="C1027" s="99"/>
      <c r="D1027" s="99"/>
      <c r="E1027" s="99"/>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c r="AC1027" s="99"/>
      <c r="AD1027" s="99"/>
      <c r="AE1027" s="99"/>
      <c r="AF1027" s="99"/>
      <c r="AG1027" s="99"/>
      <c r="AH1027" s="99"/>
      <c r="AI1027" s="99"/>
    </row>
    <row r="1028">
      <c r="A1028" s="99"/>
      <c r="B1028" s="99"/>
      <c r="C1028" s="99"/>
      <c r="D1028" s="99"/>
      <c r="E1028" s="99"/>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c r="AC1028" s="99"/>
      <c r="AD1028" s="99"/>
      <c r="AE1028" s="99"/>
      <c r="AF1028" s="99"/>
      <c r="AG1028" s="99"/>
      <c r="AH1028" s="99"/>
      <c r="AI1028" s="99"/>
    </row>
    <row r="1029">
      <c r="A1029" s="99"/>
      <c r="B1029" s="99"/>
      <c r="C1029" s="99"/>
      <c r="D1029" s="99"/>
      <c r="E1029" s="99"/>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c r="AC1029" s="99"/>
      <c r="AD1029" s="99"/>
      <c r="AE1029" s="99"/>
      <c r="AF1029" s="99"/>
      <c r="AG1029" s="99"/>
      <c r="AH1029" s="99"/>
      <c r="AI1029" s="99"/>
    </row>
    <row r="1030">
      <c r="A1030" s="99"/>
      <c r="B1030" s="99"/>
      <c r="C1030" s="99"/>
      <c r="D1030" s="99"/>
      <c r="E1030" s="99"/>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c r="AC1030" s="99"/>
      <c r="AD1030" s="99"/>
      <c r="AE1030" s="99"/>
      <c r="AF1030" s="99"/>
      <c r="AG1030" s="99"/>
      <c r="AH1030" s="99"/>
      <c r="AI1030" s="99"/>
    </row>
    <row r="1031">
      <c r="A1031" s="99"/>
      <c r="B1031" s="99"/>
      <c r="C1031" s="99"/>
      <c r="D1031" s="99"/>
      <c r="E1031" s="99"/>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c r="AC1031" s="99"/>
      <c r="AD1031" s="99"/>
      <c r="AE1031" s="99"/>
      <c r="AF1031" s="99"/>
      <c r="AG1031" s="99"/>
      <c r="AH1031" s="99"/>
      <c r="AI1031" s="99"/>
    </row>
    <row r="1032">
      <c r="A1032" s="99"/>
      <c r="B1032" s="99"/>
      <c r="C1032" s="99"/>
      <c r="D1032" s="99"/>
      <c r="E1032" s="99"/>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c r="AC1032" s="99"/>
      <c r="AD1032" s="99"/>
      <c r="AE1032" s="99"/>
      <c r="AF1032" s="99"/>
      <c r="AG1032" s="99"/>
      <c r="AH1032" s="99"/>
      <c r="AI1032" s="99"/>
    </row>
    <row r="1033">
      <c r="A1033" s="99"/>
      <c r="B1033" s="99"/>
      <c r="C1033" s="99"/>
      <c r="D1033" s="99"/>
      <c r="E1033" s="99"/>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c r="AC1033" s="99"/>
      <c r="AD1033" s="99"/>
      <c r="AE1033" s="99"/>
      <c r="AF1033" s="99"/>
      <c r="AG1033" s="99"/>
      <c r="AH1033" s="99"/>
      <c r="AI1033" s="99"/>
    </row>
    <row r="1034">
      <c r="A1034" s="99"/>
      <c r="B1034" s="99"/>
      <c r="C1034" s="99"/>
      <c r="D1034" s="99"/>
      <c r="E1034" s="99"/>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c r="AC1034" s="99"/>
      <c r="AD1034" s="99"/>
      <c r="AE1034" s="99"/>
      <c r="AF1034" s="99"/>
      <c r="AG1034" s="99"/>
      <c r="AH1034" s="99"/>
      <c r="AI1034" s="99"/>
    </row>
    <row r="1035">
      <c r="A1035" s="99"/>
      <c r="B1035" s="99"/>
      <c r="C1035" s="99"/>
      <c r="D1035" s="99"/>
      <c r="E1035" s="99"/>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c r="AC1035" s="99"/>
      <c r="AD1035" s="99"/>
      <c r="AE1035" s="99"/>
      <c r="AF1035" s="99"/>
      <c r="AG1035" s="99"/>
      <c r="AH1035" s="99"/>
      <c r="AI1035" s="99"/>
    </row>
    <row r="1036">
      <c r="A1036" s="99"/>
      <c r="B1036" s="99"/>
      <c r="C1036" s="99"/>
      <c r="D1036" s="99"/>
      <c r="E1036" s="99"/>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c r="AC1036" s="99"/>
      <c r="AD1036" s="99"/>
      <c r="AE1036" s="99"/>
      <c r="AF1036" s="99"/>
      <c r="AG1036" s="99"/>
      <c r="AH1036" s="99"/>
      <c r="AI1036" s="99"/>
    </row>
    <row r="1037">
      <c r="A1037" s="99"/>
      <c r="B1037" s="99"/>
      <c r="C1037" s="99"/>
      <c r="D1037" s="99"/>
      <c r="E1037" s="99"/>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c r="AC1037" s="99"/>
      <c r="AD1037" s="99"/>
      <c r="AE1037" s="99"/>
      <c r="AF1037" s="99"/>
      <c r="AG1037" s="99"/>
      <c r="AH1037" s="99"/>
      <c r="AI1037" s="99"/>
    </row>
    <row r="1038">
      <c r="A1038" s="99"/>
      <c r="B1038" s="99"/>
      <c r="C1038" s="99"/>
      <c r="D1038" s="99"/>
      <c r="E1038" s="99"/>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c r="AC1038" s="99"/>
      <c r="AD1038" s="99"/>
      <c r="AE1038" s="99"/>
      <c r="AF1038" s="99"/>
      <c r="AG1038" s="99"/>
      <c r="AH1038" s="99"/>
      <c r="AI1038" s="99"/>
    </row>
    <row r="1039">
      <c r="A1039" s="99"/>
      <c r="B1039" s="99"/>
      <c r="C1039" s="99"/>
      <c r="D1039" s="99"/>
      <c r="E1039" s="99"/>
      <c r="F1039" s="99"/>
      <c r="G1039" s="99"/>
      <c r="H1039" s="99"/>
      <c r="I1039" s="99"/>
      <c r="J1039" s="99"/>
      <c r="K1039" s="99"/>
      <c r="L1039" s="99"/>
      <c r="M1039" s="99"/>
      <c r="N1039" s="99"/>
      <c r="O1039" s="99"/>
      <c r="P1039" s="99"/>
      <c r="Q1039" s="99"/>
      <c r="R1039" s="99"/>
      <c r="S1039" s="99"/>
      <c r="T1039" s="99"/>
      <c r="U1039" s="99"/>
      <c r="V1039" s="99"/>
      <c r="W1039" s="99"/>
      <c r="X1039" s="99"/>
      <c r="Y1039" s="99"/>
      <c r="Z1039" s="99"/>
      <c r="AA1039" s="99"/>
      <c r="AB1039" s="99"/>
      <c r="AC1039" s="99"/>
      <c r="AD1039" s="99"/>
      <c r="AE1039" s="99"/>
      <c r="AF1039" s="99"/>
      <c r="AG1039" s="99"/>
      <c r="AH1039" s="99"/>
      <c r="AI1039" s="99"/>
    </row>
    <row r="1040">
      <c r="A1040" s="99"/>
      <c r="B1040" s="99"/>
      <c r="C1040" s="99"/>
      <c r="D1040" s="99"/>
      <c r="E1040" s="99"/>
      <c r="F1040" s="99"/>
      <c r="G1040" s="99"/>
      <c r="H1040" s="99"/>
      <c r="I1040" s="99"/>
      <c r="J1040" s="99"/>
      <c r="K1040" s="99"/>
      <c r="L1040" s="99"/>
      <c r="M1040" s="99"/>
      <c r="N1040" s="99"/>
      <c r="O1040" s="99"/>
      <c r="P1040" s="99"/>
      <c r="Q1040" s="99"/>
      <c r="R1040" s="99"/>
      <c r="S1040" s="99"/>
      <c r="T1040" s="99"/>
      <c r="U1040" s="99"/>
      <c r="V1040" s="99"/>
      <c r="W1040" s="99"/>
      <c r="X1040" s="99"/>
      <c r="Y1040" s="99"/>
      <c r="Z1040" s="99"/>
      <c r="AA1040" s="99"/>
      <c r="AB1040" s="99"/>
      <c r="AC1040" s="99"/>
      <c r="AD1040" s="99"/>
      <c r="AE1040" s="99"/>
      <c r="AF1040" s="99"/>
      <c r="AG1040" s="99"/>
      <c r="AH1040" s="99"/>
      <c r="AI1040" s="99"/>
    </row>
    <row r="1041">
      <c r="A1041" s="99"/>
      <c r="B1041" s="99"/>
      <c r="C1041" s="99"/>
      <c r="D1041" s="99"/>
      <c r="E1041" s="99"/>
      <c r="F1041" s="99"/>
      <c r="G1041" s="99"/>
      <c r="H1041" s="99"/>
      <c r="I1041" s="99"/>
      <c r="J1041" s="99"/>
      <c r="K1041" s="99"/>
      <c r="L1041" s="99"/>
      <c r="M1041" s="99"/>
      <c r="N1041" s="99"/>
      <c r="O1041" s="99"/>
      <c r="P1041" s="99"/>
      <c r="Q1041" s="99"/>
      <c r="R1041" s="99"/>
      <c r="S1041" s="99"/>
      <c r="T1041" s="99"/>
      <c r="U1041" s="99"/>
      <c r="V1041" s="99"/>
      <c r="W1041" s="99"/>
      <c r="X1041" s="99"/>
      <c r="Y1041" s="99"/>
      <c r="Z1041" s="99"/>
      <c r="AA1041" s="99"/>
      <c r="AB1041" s="99"/>
      <c r="AC1041" s="99"/>
      <c r="AD1041" s="99"/>
      <c r="AE1041" s="99"/>
      <c r="AF1041" s="99"/>
      <c r="AG1041" s="99"/>
      <c r="AH1041" s="99"/>
      <c r="AI1041" s="99"/>
    </row>
    <row r="1042">
      <c r="A1042" s="99"/>
      <c r="B1042" s="99"/>
      <c r="C1042" s="99"/>
      <c r="D1042" s="99"/>
      <c r="E1042" s="99"/>
      <c r="F1042" s="99"/>
      <c r="G1042" s="99"/>
      <c r="H1042" s="99"/>
      <c r="I1042" s="99"/>
      <c r="J1042" s="99"/>
      <c r="K1042" s="99"/>
      <c r="L1042" s="99"/>
      <c r="M1042" s="99"/>
      <c r="N1042" s="99"/>
      <c r="O1042" s="99"/>
      <c r="P1042" s="99"/>
      <c r="Q1042" s="99"/>
      <c r="R1042" s="99"/>
      <c r="S1042" s="99"/>
      <c r="T1042" s="99"/>
      <c r="U1042" s="99"/>
      <c r="V1042" s="99"/>
      <c r="W1042" s="99"/>
      <c r="X1042" s="99"/>
      <c r="Y1042" s="99"/>
      <c r="Z1042" s="99"/>
      <c r="AA1042" s="99"/>
      <c r="AB1042" s="99"/>
      <c r="AC1042" s="99"/>
      <c r="AD1042" s="99"/>
      <c r="AE1042" s="99"/>
      <c r="AF1042" s="99"/>
      <c r="AG1042" s="99"/>
      <c r="AH1042" s="99"/>
      <c r="AI1042" s="99"/>
    </row>
    <row r="1043">
      <c r="A1043" s="99"/>
      <c r="B1043" s="99"/>
      <c r="C1043" s="99"/>
      <c r="D1043" s="99"/>
      <c r="E1043" s="99"/>
      <c r="F1043" s="99"/>
      <c r="G1043" s="99"/>
      <c r="H1043" s="99"/>
      <c r="I1043" s="99"/>
      <c r="J1043" s="99"/>
      <c r="K1043" s="99"/>
      <c r="L1043" s="99"/>
      <c r="M1043" s="99"/>
      <c r="N1043" s="99"/>
      <c r="O1043" s="99"/>
      <c r="P1043" s="99"/>
      <c r="Q1043" s="99"/>
      <c r="R1043" s="99"/>
      <c r="S1043" s="99"/>
      <c r="T1043" s="99"/>
      <c r="U1043" s="99"/>
      <c r="V1043" s="99"/>
      <c r="W1043" s="99"/>
      <c r="X1043" s="99"/>
      <c r="Y1043" s="99"/>
      <c r="Z1043" s="99"/>
      <c r="AA1043" s="99"/>
      <c r="AB1043" s="99"/>
      <c r="AC1043" s="99"/>
      <c r="AD1043" s="99"/>
      <c r="AE1043" s="99"/>
      <c r="AF1043" s="99"/>
      <c r="AG1043" s="99"/>
      <c r="AH1043" s="99"/>
      <c r="AI1043" s="99"/>
    </row>
    <row r="1044">
      <c r="A1044" s="99"/>
      <c r="B1044" s="99"/>
      <c r="C1044" s="99"/>
      <c r="D1044" s="99"/>
      <c r="E1044" s="99"/>
      <c r="F1044" s="99"/>
      <c r="G1044" s="99"/>
      <c r="H1044" s="99"/>
      <c r="I1044" s="99"/>
      <c r="J1044" s="99"/>
      <c r="K1044" s="99"/>
      <c r="L1044" s="99"/>
      <c r="M1044" s="99"/>
      <c r="N1044" s="99"/>
      <c r="O1044" s="99"/>
      <c r="P1044" s="99"/>
      <c r="Q1044" s="99"/>
      <c r="R1044" s="99"/>
      <c r="S1044" s="99"/>
      <c r="T1044" s="99"/>
      <c r="U1044" s="99"/>
      <c r="V1044" s="99"/>
      <c r="W1044" s="99"/>
      <c r="X1044" s="99"/>
      <c r="Y1044" s="99"/>
      <c r="Z1044" s="99"/>
      <c r="AA1044" s="99"/>
      <c r="AB1044" s="99"/>
      <c r="AC1044" s="99"/>
      <c r="AD1044" s="99"/>
      <c r="AE1044" s="99"/>
      <c r="AF1044" s="99"/>
      <c r="AG1044" s="99"/>
      <c r="AH1044" s="99"/>
      <c r="AI1044" s="99"/>
    </row>
    <row r="1045">
      <c r="A1045" s="99"/>
      <c r="B1045" s="99"/>
      <c r="C1045" s="99"/>
      <c r="D1045" s="99"/>
      <c r="E1045" s="99"/>
      <c r="F1045" s="99"/>
      <c r="G1045" s="99"/>
      <c r="H1045" s="99"/>
      <c r="I1045" s="99"/>
      <c r="J1045" s="99"/>
      <c r="K1045" s="99"/>
      <c r="L1045" s="99"/>
      <c r="M1045" s="99"/>
      <c r="N1045" s="99"/>
      <c r="O1045" s="99"/>
      <c r="P1045" s="99"/>
      <c r="Q1045" s="99"/>
      <c r="R1045" s="99"/>
      <c r="S1045" s="99"/>
      <c r="T1045" s="99"/>
      <c r="U1045" s="99"/>
      <c r="V1045" s="99"/>
      <c r="W1045" s="99"/>
      <c r="X1045" s="99"/>
      <c r="Y1045" s="99"/>
      <c r="Z1045" s="99"/>
      <c r="AA1045" s="99"/>
      <c r="AB1045" s="99"/>
      <c r="AC1045" s="99"/>
      <c r="AD1045" s="99"/>
      <c r="AE1045" s="99"/>
      <c r="AF1045" s="99"/>
      <c r="AG1045" s="99"/>
      <c r="AH1045" s="99"/>
      <c r="AI1045" s="99"/>
    </row>
    <row r="1046">
      <c r="A1046" s="99"/>
      <c r="B1046" s="99"/>
      <c r="C1046" s="99"/>
      <c r="D1046" s="99"/>
      <c r="E1046" s="99"/>
      <c r="F1046" s="99"/>
      <c r="G1046" s="99"/>
      <c r="H1046" s="99"/>
      <c r="I1046" s="99"/>
      <c r="J1046" s="99"/>
      <c r="K1046" s="99"/>
      <c r="L1046" s="99"/>
      <c r="M1046" s="99"/>
      <c r="N1046" s="99"/>
      <c r="O1046" s="99"/>
      <c r="P1046" s="99"/>
      <c r="Q1046" s="99"/>
      <c r="R1046" s="99"/>
      <c r="S1046" s="99"/>
      <c r="T1046" s="99"/>
      <c r="U1046" s="99"/>
      <c r="V1046" s="99"/>
      <c r="W1046" s="99"/>
      <c r="X1046" s="99"/>
      <c r="Y1046" s="99"/>
      <c r="Z1046" s="99"/>
      <c r="AA1046" s="99"/>
      <c r="AB1046" s="99"/>
      <c r="AC1046" s="99"/>
      <c r="AD1046" s="99"/>
      <c r="AE1046" s="99"/>
      <c r="AF1046" s="99"/>
      <c r="AG1046" s="99"/>
      <c r="AH1046" s="99"/>
      <c r="AI1046" s="99"/>
    </row>
    <row r="1047">
      <c r="A1047" s="99"/>
      <c r="B1047" s="99"/>
      <c r="C1047" s="99"/>
      <c r="D1047" s="99"/>
      <c r="E1047" s="99"/>
      <c r="F1047" s="99"/>
      <c r="G1047" s="99"/>
      <c r="H1047" s="99"/>
      <c r="I1047" s="99"/>
      <c r="J1047" s="99"/>
      <c r="K1047" s="99"/>
      <c r="L1047" s="99"/>
      <c r="M1047" s="99"/>
      <c r="N1047" s="99"/>
      <c r="O1047" s="99"/>
      <c r="P1047" s="99"/>
      <c r="Q1047" s="99"/>
      <c r="R1047" s="99"/>
      <c r="S1047" s="99"/>
      <c r="T1047" s="99"/>
      <c r="U1047" s="99"/>
      <c r="V1047" s="99"/>
      <c r="W1047" s="99"/>
      <c r="X1047" s="99"/>
      <c r="Y1047" s="99"/>
      <c r="Z1047" s="99"/>
      <c r="AA1047" s="99"/>
      <c r="AB1047" s="99"/>
      <c r="AC1047" s="99"/>
      <c r="AD1047" s="99"/>
      <c r="AE1047" s="99"/>
      <c r="AF1047" s="99"/>
      <c r="AG1047" s="99"/>
      <c r="AH1047" s="99"/>
      <c r="AI1047" s="99"/>
    </row>
    <row r="1048">
      <c r="A1048" s="99"/>
      <c r="B1048" s="99"/>
      <c r="C1048" s="99"/>
      <c r="D1048" s="99"/>
      <c r="E1048" s="99"/>
      <c r="F1048" s="99"/>
      <c r="G1048" s="99"/>
      <c r="H1048" s="99"/>
      <c r="I1048" s="99"/>
      <c r="J1048" s="99"/>
      <c r="K1048" s="99"/>
      <c r="L1048" s="99"/>
      <c r="M1048" s="99"/>
      <c r="N1048" s="99"/>
      <c r="O1048" s="99"/>
      <c r="P1048" s="99"/>
      <c r="Q1048" s="99"/>
      <c r="R1048" s="99"/>
      <c r="S1048" s="99"/>
      <c r="T1048" s="99"/>
      <c r="U1048" s="99"/>
      <c r="V1048" s="99"/>
      <c r="W1048" s="99"/>
      <c r="X1048" s="99"/>
      <c r="Y1048" s="99"/>
      <c r="Z1048" s="99"/>
      <c r="AA1048" s="99"/>
      <c r="AB1048" s="99"/>
      <c r="AC1048" s="99"/>
      <c r="AD1048" s="99"/>
      <c r="AE1048" s="99"/>
      <c r="AF1048" s="99"/>
      <c r="AG1048" s="99"/>
      <c r="AH1048" s="99"/>
      <c r="AI1048" s="99"/>
    </row>
    <row r="1049">
      <c r="A1049" s="99"/>
      <c r="B1049" s="99"/>
      <c r="C1049" s="99"/>
      <c r="D1049" s="99"/>
      <c r="E1049" s="99"/>
      <c r="F1049" s="99"/>
      <c r="G1049" s="99"/>
      <c r="H1049" s="99"/>
      <c r="I1049" s="99"/>
      <c r="J1049" s="99"/>
      <c r="K1049" s="99"/>
      <c r="L1049" s="99"/>
      <c r="M1049" s="99"/>
      <c r="N1049" s="99"/>
      <c r="O1049" s="99"/>
      <c r="P1049" s="99"/>
      <c r="Q1049" s="99"/>
      <c r="R1049" s="99"/>
      <c r="S1049" s="99"/>
      <c r="T1049" s="99"/>
      <c r="U1049" s="99"/>
      <c r="V1049" s="99"/>
      <c r="W1049" s="99"/>
      <c r="X1049" s="99"/>
      <c r="Y1049" s="99"/>
      <c r="Z1049" s="99"/>
      <c r="AA1049" s="99"/>
      <c r="AB1049" s="99"/>
      <c r="AC1049" s="99"/>
      <c r="AD1049" s="99"/>
      <c r="AE1049" s="99"/>
      <c r="AF1049" s="99"/>
      <c r="AG1049" s="99"/>
      <c r="AH1049" s="99"/>
      <c r="AI1049" s="99"/>
    </row>
    <row r="1050">
      <c r="A1050" s="99"/>
      <c r="B1050" s="99"/>
      <c r="C1050" s="99"/>
      <c r="D1050" s="99"/>
      <c r="E1050" s="99"/>
      <c r="F1050" s="99"/>
      <c r="G1050" s="99"/>
      <c r="H1050" s="99"/>
      <c r="I1050" s="99"/>
      <c r="J1050" s="99"/>
      <c r="K1050" s="99"/>
      <c r="L1050" s="99"/>
      <c r="M1050" s="99"/>
      <c r="N1050" s="99"/>
      <c r="O1050" s="99"/>
      <c r="P1050" s="99"/>
      <c r="Q1050" s="99"/>
      <c r="R1050" s="99"/>
      <c r="S1050" s="99"/>
      <c r="T1050" s="99"/>
      <c r="U1050" s="99"/>
      <c r="V1050" s="99"/>
      <c r="W1050" s="99"/>
      <c r="X1050" s="99"/>
      <c r="Y1050" s="99"/>
      <c r="Z1050" s="99"/>
      <c r="AA1050" s="99"/>
      <c r="AB1050" s="99"/>
      <c r="AC1050" s="99"/>
      <c r="AD1050" s="99"/>
      <c r="AE1050" s="99"/>
      <c r="AF1050" s="99"/>
      <c r="AG1050" s="99"/>
      <c r="AH1050" s="99"/>
      <c r="AI1050" s="99"/>
    </row>
    <row r="1051">
      <c r="A1051" s="99"/>
      <c r="B1051" s="99"/>
      <c r="C1051" s="99"/>
      <c r="D1051" s="99"/>
      <c r="E1051" s="99"/>
      <c r="F1051" s="99"/>
      <c r="G1051" s="99"/>
      <c r="H1051" s="99"/>
      <c r="I1051" s="99"/>
      <c r="J1051" s="99"/>
      <c r="K1051" s="99"/>
      <c r="L1051" s="99"/>
      <c r="M1051" s="99"/>
      <c r="N1051" s="99"/>
      <c r="O1051" s="99"/>
      <c r="P1051" s="99"/>
      <c r="Q1051" s="99"/>
      <c r="R1051" s="99"/>
      <c r="S1051" s="99"/>
      <c r="T1051" s="99"/>
      <c r="U1051" s="99"/>
      <c r="V1051" s="99"/>
      <c r="W1051" s="99"/>
      <c r="X1051" s="99"/>
      <c r="Y1051" s="99"/>
      <c r="Z1051" s="99"/>
      <c r="AA1051" s="99"/>
      <c r="AB1051" s="99"/>
      <c r="AC1051" s="99"/>
      <c r="AD1051" s="99"/>
      <c r="AE1051" s="99"/>
      <c r="AF1051" s="99"/>
      <c r="AG1051" s="99"/>
      <c r="AH1051" s="99"/>
      <c r="AI1051" s="99"/>
    </row>
    <row r="1052">
      <c r="A1052" s="99"/>
      <c r="B1052" s="99"/>
      <c r="C1052" s="99"/>
      <c r="D1052" s="99"/>
      <c r="E1052" s="99"/>
      <c r="F1052" s="99"/>
      <c r="G1052" s="99"/>
      <c r="H1052" s="99"/>
      <c r="I1052" s="99"/>
      <c r="J1052" s="99"/>
      <c r="K1052" s="99"/>
      <c r="L1052" s="99"/>
      <c r="M1052" s="99"/>
      <c r="N1052" s="99"/>
      <c r="O1052" s="99"/>
      <c r="P1052" s="99"/>
      <c r="Q1052" s="99"/>
      <c r="R1052" s="99"/>
      <c r="S1052" s="99"/>
      <c r="T1052" s="99"/>
      <c r="U1052" s="99"/>
      <c r="V1052" s="99"/>
      <c r="W1052" s="99"/>
      <c r="X1052" s="99"/>
      <c r="Y1052" s="99"/>
      <c r="Z1052" s="99"/>
      <c r="AA1052" s="99"/>
      <c r="AB1052" s="99"/>
      <c r="AC1052" s="99"/>
      <c r="AD1052" s="99"/>
      <c r="AE1052" s="99"/>
      <c r="AF1052" s="99"/>
      <c r="AG1052" s="99"/>
      <c r="AH1052" s="99"/>
      <c r="AI1052" s="99"/>
    </row>
    <row r="1053">
      <c r="A1053" s="99"/>
      <c r="B1053" s="99"/>
      <c r="C1053" s="99"/>
      <c r="D1053" s="99"/>
      <c r="E1053" s="99"/>
      <c r="F1053" s="99"/>
      <c r="G1053" s="99"/>
      <c r="H1053" s="99"/>
      <c r="I1053" s="99"/>
      <c r="J1053" s="99"/>
      <c r="K1053" s="99"/>
      <c r="L1053" s="99"/>
      <c r="M1053" s="99"/>
      <c r="N1053" s="99"/>
      <c r="O1053" s="99"/>
      <c r="P1053" s="99"/>
      <c r="Q1053" s="99"/>
      <c r="R1053" s="99"/>
      <c r="S1053" s="99"/>
      <c r="T1053" s="99"/>
      <c r="U1053" s="99"/>
      <c r="V1053" s="99"/>
      <c r="W1053" s="99"/>
      <c r="X1053" s="99"/>
      <c r="Y1053" s="99"/>
      <c r="Z1053" s="99"/>
      <c r="AA1053" s="99"/>
      <c r="AB1053" s="99"/>
      <c r="AC1053" s="99"/>
      <c r="AD1053" s="99"/>
      <c r="AE1053" s="99"/>
      <c r="AF1053" s="99"/>
      <c r="AG1053" s="99"/>
      <c r="AH1053" s="99"/>
      <c r="AI1053" s="99"/>
    </row>
    <row r="1054">
      <c r="A1054" s="99"/>
      <c r="B1054" s="99"/>
      <c r="C1054" s="99"/>
      <c r="D1054" s="99"/>
      <c r="E1054" s="99"/>
      <c r="F1054" s="99"/>
      <c r="G1054" s="99"/>
      <c r="H1054" s="99"/>
      <c r="I1054" s="99"/>
      <c r="J1054" s="99"/>
      <c r="K1054" s="99"/>
      <c r="L1054" s="99"/>
      <c r="M1054" s="99"/>
      <c r="N1054" s="99"/>
      <c r="O1054" s="99"/>
      <c r="P1054" s="99"/>
      <c r="Q1054" s="99"/>
      <c r="R1054" s="99"/>
      <c r="S1054" s="99"/>
      <c r="T1054" s="99"/>
      <c r="U1054" s="99"/>
      <c r="V1054" s="99"/>
      <c r="W1054" s="99"/>
      <c r="X1054" s="99"/>
      <c r="Y1054" s="99"/>
      <c r="Z1054" s="99"/>
      <c r="AA1054" s="99"/>
      <c r="AB1054" s="99"/>
      <c r="AC1054" s="99"/>
      <c r="AD1054" s="99"/>
      <c r="AE1054" s="99"/>
      <c r="AF1054" s="99"/>
      <c r="AG1054" s="99"/>
      <c r="AH1054" s="99"/>
      <c r="AI1054" s="99"/>
    </row>
    <row r="1055">
      <c r="A1055" s="99"/>
      <c r="B1055" s="99"/>
      <c r="C1055" s="99"/>
      <c r="D1055" s="99"/>
      <c r="E1055" s="99"/>
      <c r="F1055" s="99"/>
      <c r="G1055" s="99"/>
      <c r="H1055" s="99"/>
      <c r="I1055" s="99"/>
      <c r="J1055" s="99"/>
      <c r="K1055" s="99"/>
      <c r="L1055" s="99"/>
      <c r="M1055" s="99"/>
      <c r="N1055" s="99"/>
      <c r="O1055" s="99"/>
      <c r="P1055" s="99"/>
      <c r="Q1055" s="99"/>
      <c r="R1055" s="99"/>
      <c r="S1055" s="99"/>
      <c r="T1055" s="99"/>
      <c r="U1055" s="99"/>
      <c r="V1055" s="99"/>
      <c r="W1055" s="99"/>
      <c r="X1055" s="99"/>
      <c r="Y1055" s="99"/>
      <c r="Z1055" s="99"/>
      <c r="AA1055" s="99"/>
      <c r="AB1055" s="99"/>
      <c r="AC1055" s="99"/>
      <c r="AD1055" s="99"/>
      <c r="AE1055" s="99"/>
      <c r="AF1055" s="99"/>
      <c r="AG1055" s="99"/>
      <c r="AH1055" s="99"/>
      <c r="AI1055" s="99"/>
    </row>
    <row r="1056">
      <c r="A1056" s="99"/>
      <c r="B1056" s="99"/>
      <c r="C1056" s="99"/>
      <c r="D1056" s="99"/>
      <c r="E1056" s="99"/>
      <c r="F1056" s="99"/>
      <c r="G1056" s="99"/>
      <c r="H1056" s="99"/>
      <c r="I1056" s="99"/>
      <c r="J1056" s="99"/>
      <c r="K1056" s="99"/>
      <c r="L1056" s="99"/>
      <c r="M1056" s="99"/>
      <c r="N1056" s="99"/>
      <c r="O1056" s="99"/>
      <c r="P1056" s="99"/>
      <c r="Q1056" s="99"/>
      <c r="R1056" s="99"/>
      <c r="S1056" s="99"/>
      <c r="T1056" s="99"/>
      <c r="U1056" s="99"/>
      <c r="V1056" s="99"/>
      <c r="W1056" s="99"/>
      <c r="X1056" s="99"/>
      <c r="Y1056" s="99"/>
      <c r="Z1056" s="99"/>
      <c r="AA1056" s="99"/>
      <c r="AB1056" s="99"/>
      <c r="AC1056" s="99"/>
      <c r="AD1056" s="99"/>
      <c r="AE1056" s="99"/>
      <c r="AF1056" s="99"/>
      <c r="AG1056" s="99"/>
      <c r="AH1056" s="99"/>
      <c r="AI1056" s="99"/>
    </row>
    <row r="1057">
      <c r="A1057" s="99"/>
      <c r="B1057" s="99"/>
      <c r="C1057" s="99"/>
      <c r="D1057" s="99"/>
      <c r="E1057" s="99"/>
      <c r="F1057" s="99"/>
      <c r="G1057" s="99"/>
      <c r="H1057" s="99"/>
      <c r="I1057" s="99"/>
      <c r="J1057" s="99"/>
      <c r="K1057" s="99"/>
      <c r="L1057" s="99"/>
      <c r="M1057" s="99"/>
      <c r="N1057" s="99"/>
      <c r="O1057" s="99"/>
      <c r="P1057" s="99"/>
      <c r="Q1057" s="99"/>
      <c r="R1057" s="99"/>
      <c r="S1057" s="99"/>
      <c r="T1057" s="99"/>
      <c r="U1057" s="99"/>
      <c r="V1057" s="99"/>
      <c r="W1057" s="99"/>
      <c r="X1057" s="99"/>
      <c r="Y1057" s="99"/>
      <c r="Z1057" s="99"/>
      <c r="AA1057" s="99"/>
      <c r="AB1057" s="99"/>
      <c r="AC1057" s="99"/>
      <c r="AD1057" s="99"/>
      <c r="AE1057" s="99"/>
      <c r="AF1057" s="99"/>
      <c r="AG1057" s="99"/>
      <c r="AH1057" s="99"/>
      <c r="AI1057" s="99"/>
    </row>
    <row r="1058">
      <c r="A1058" s="99"/>
      <c r="B1058" s="99"/>
      <c r="C1058" s="99"/>
      <c r="D1058" s="99"/>
      <c r="E1058" s="99"/>
      <c r="F1058" s="99"/>
      <c r="G1058" s="99"/>
      <c r="H1058" s="99"/>
      <c r="I1058" s="99"/>
      <c r="J1058" s="99"/>
      <c r="K1058" s="99"/>
      <c r="L1058" s="99"/>
      <c r="M1058" s="99"/>
      <c r="N1058" s="99"/>
      <c r="O1058" s="99"/>
      <c r="P1058" s="99"/>
      <c r="Q1058" s="99"/>
      <c r="R1058" s="99"/>
      <c r="S1058" s="99"/>
      <c r="T1058" s="99"/>
      <c r="U1058" s="99"/>
      <c r="V1058" s="99"/>
      <c r="W1058" s="99"/>
      <c r="X1058" s="99"/>
      <c r="Y1058" s="99"/>
      <c r="Z1058" s="99"/>
      <c r="AA1058" s="99"/>
      <c r="AB1058" s="99"/>
      <c r="AC1058" s="99"/>
      <c r="AD1058" s="99"/>
      <c r="AE1058" s="99"/>
      <c r="AF1058" s="99"/>
      <c r="AG1058" s="99"/>
      <c r="AH1058" s="99"/>
      <c r="AI1058" s="99"/>
    </row>
    <row r="1059">
      <c r="A1059" s="99"/>
      <c r="B1059" s="99"/>
      <c r="C1059" s="99"/>
      <c r="D1059" s="99"/>
      <c r="E1059" s="99"/>
      <c r="F1059" s="99"/>
      <c r="G1059" s="99"/>
      <c r="H1059" s="99"/>
      <c r="I1059" s="99"/>
      <c r="J1059" s="99"/>
      <c r="K1059" s="99"/>
      <c r="L1059" s="99"/>
      <c r="M1059" s="99"/>
      <c r="N1059" s="99"/>
      <c r="O1059" s="99"/>
      <c r="P1059" s="99"/>
      <c r="Q1059" s="99"/>
      <c r="R1059" s="99"/>
      <c r="S1059" s="99"/>
      <c r="T1059" s="99"/>
      <c r="U1059" s="99"/>
      <c r="V1059" s="99"/>
      <c r="W1059" s="99"/>
      <c r="X1059" s="99"/>
      <c r="Y1059" s="99"/>
      <c r="Z1059" s="99"/>
      <c r="AA1059" s="99"/>
      <c r="AB1059" s="99"/>
      <c r="AC1059" s="99"/>
      <c r="AD1059" s="99"/>
      <c r="AE1059" s="99"/>
      <c r="AF1059" s="99"/>
      <c r="AG1059" s="99"/>
      <c r="AH1059" s="99"/>
      <c r="AI1059" s="99"/>
    </row>
    <row r="1060">
      <c r="A1060" s="99"/>
      <c r="B1060" s="99"/>
      <c r="C1060" s="99"/>
      <c r="D1060" s="99"/>
      <c r="E1060" s="99"/>
      <c r="F1060" s="99"/>
      <c r="G1060" s="99"/>
      <c r="H1060" s="99"/>
      <c r="I1060" s="99"/>
      <c r="J1060" s="99"/>
      <c r="K1060" s="99"/>
      <c r="L1060" s="99"/>
      <c r="M1060" s="99"/>
      <c r="N1060" s="99"/>
      <c r="O1060" s="99"/>
      <c r="P1060" s="99"/>
      <c r="Q1060" s="99"/>
      <c r="R1060" s="99"/>
      <c r="S1060" s="99"/>
      <c r="T1060" s="99"/>
      <c r="U1060" s="99"/>
      <c r="V1060" s="99"/>
      <c r="W1060" s="99"/>
      <c r="X1060" s="99"/>
      <c r="Y1060" s="99"/>
      <c r="Z1060" s="99"/>
      <c r="AA1060" s="99"/>
      <c r="AB1060" s="99"/>
      <c r="AC1060" s="99"/>
      <c r="AD1060" s="99"/>
      <c r="AE1060" s="99"/>
      <c r="AF1060" s="99"/>
      <c r="AG1060" s="99"/>
      <c r="AH1060" s="99"/>
      <c r="AI1060" s="99"/>
    </row>
    <row r="1061">
      <c r="A1061" s="99"/>
      <c r="B1061" s="99"/>
      <c r="C1061" s="99"/>
      <c r="D1061" s="99"/>
      <c r="E1061" s="99"/>
      <c r="F1061" s="99"/>
      <c r="G1061" s="99"/>
      <c r="H1061" s="99"/>
      <c r="I1061" s="99"/>
      <c r="J1061" s="99"/>
      <c r="K1061" s="99"/>
      <c r="L1061" s="99"/>
      <c r="M1061" s="99"/>
      <c r="N1061" s="99"/>
      <c r="O1061" s="99"/>
      <c r="P1061" s="99"/>
      <c r="Q1061" s="99"/>
      <c r="R1061" s="99"/>
      <c r="S1061" s="99"/>
      <c r="T1061" s="99"/>
      <c r="U1061" s="99"/>
      <c r="V1061" s="99"/>
      <c r="W1061" s="99"/>
      <c r="X1061" s="99"/>
      <c r="Y1061" s="99"/>
      <c r="Z1061" s="99"/>
      <c r="AA1061" s="99"/>
      <c r="AB1061" s="99"/>
      <c r="AC1061" s="99"/>
      <c r="AD1061" s="99"/>
      <c r="AE1061" s="99"/>
      <c r="AF1061" s="99"/>
      <c r="AG1061" s="99"/>
      <c r="AH1061" s="99"/>
      <c r="AI1061" s="99"/>
    </row>
    <row r="1062">
      <c r="A1062" s="99"/>
      <c r="B1062" s="99"/>
      <c r="C1062" s="99"/>
      <c r="D1062" s="99"/>
      <c r="E1062" s="99"/>
      <c r="F1062" s="99"/>
      <c r="G1062" s="99"/>
      <c r="H1062" s="99"/>
      <c r="I1062" s="99"/>
      <c r="J1062" s="99"/>
      <c r="K1062" s="99"/>
      <c r="L1062" s="99"/>
      <c r="M1062" s="99"/>
      <c r="N1062" s="99"/>
      <c r="O1062" s="99"/>
      <c r="P1062" s="99"/>
      <c r="Q1062" s="99"/>
      <c r="R1062" s="99"/>
      <c r="S1062" s="99"/>
      <c r="T1062" s="99"/>
      <c r="U1062" s="99"/>
      <c r="V1062" s="99"/>
      <c r="W1062" s="99"/>
      <c r="X1062" s="99"/>
      <c r="Y1062" s="99"/>
      <c r="Z1062" s="99"/>
      <c r="AA1062" s="99"/>
      <c r="AB1062" s="99"/>
      <c r="AC1062" s="99"/>
      <c r="AD1062" s="99"/>
      <c r="AE1062" s="99"/>
      <c r="AF1062" s="99"/>
      <c r="AG1062" s="99"/>
      <c r="AH1062" s="99"/>
      <c r="AI1062" s="99"/>
    </row>
    <row r="1063">
      <c r="A1063" s="99"/>
      <c r="B1063" s="99"/>
      <c r="C1063" s="99"/>
      <c r="D1063" s="99"/>
      <c r="E1063" s="99"/>
      <c r="F1063" s="99"/>
      <c r="G1063" s="99"/>
      <c r="H1063" s="99"/>
      <c r="I1063" s="99"/>
      <c r="J1063" s="99"/>
      <c r="K1063" s="99"/>
      <c r="L1063" s="99"/>
      <c r="M1063" s="99"/>
      <c r="N1063" s="99"/>
      <c r="O1063" s="99"/>
      <c r="P1063" s="99"/>
      <c r="Q1063" s="99"/>
      <c r="R1063" s="99"/>
      <c r="S1063" s="99"/>
      <c r="T1063" s="99"/>
      <c r="U1063" s="99"/>
      <c r="V1063" s="99"/>
      <c r="W1063" s="99"/>
      <c r="X1063" s="99"/>
      <c r="Y1063" s="99"/>
      <c r="Z1063" s="99"/>
      <c r="AA1063" s="99"/>
      <c r="AB1063" s="99"/>
      <c r="AC1063" s="99"/>
      <c r="AD1063" s="99"/>
      <c r="AE1063" s="99"/>
      <c r="AF1063" s="99"/>
      <c r="AG1063" s="99"/>
      <c r="AH1063" s="99"/>
      <c r="AI1063" s="99"/>
    </row>
    <row r="1064">
      <c r="A1064" s="99"/>
      <c r="B1064" s="99"/>
      <c r="C1064" s="99"/>
      <c r="D1064" s="99"/>
      <c r="E1064" s="99"/>
      <c r="F1064" s="99"/>
      <c r="G1064" s="99"/>
      <c r="H1064" s="99"/>
      <c r="I1064" s="99"/>
      <c r="J1064" s="99"/>
      <c r="K1064" s="99"/>
      <c r="L1064" s="99"/>
      <c r="M1064" s="99"/>
      <c r="N1064" s="99"/>
      <c r="O1064" s="99"/>
      <c r="P1064" s="99"/>
      <c r="Q1064" s="99"/>
      <c r="R1064" s="99"/>
      <c r="S1064" s="99"/>
      <c r="T1064" s="99"/>
      <c r="U1064" s="99"/>
      <c r="V1064" s="99"/>
      <c r="W1064" s="99"/>
      <c r="X1064" s="99"/>
      <c r="Y1064" s="99"/>
      <c r="Z1064" s="99"/>
      <c r="AA1064" s="99"/>
      <c r="AB1064" s="99"/>
      <c r="AC1064" s="99"/>
      <c r="AD1064" s="99"/>
      <c r="AE1064" s="99"/>
      <c r="AF1064" s="99"/>
      <c r="AG1064" s="99"/>
      <c r="AH1064" s="99"/>
      <c r="AI1064" s="99"/>
    </row>
    <row r="1065">
      <c r="A1065" s="99"/>
      <c r="B1065" s="99"/>
      <c r="C1065" s="99"/>
      <c r="D1065" s="99"/>
      <c r="E1065" s="99"/>
      <c r="F1065" s="99"/>
      <c r="G1065" s="99"/>
      <c r="H1065" s="99"/>
      <c r="I1065" s="99"/>
      <c r="J1065" s="99"/>
      <c r="K1065" s="99"/>
      <c r="L1065" s="99"/>
      <c r="M1065" s="99"/>
      <c r="N1065" s="99"/>
      <c r="O1065" s="99"/>
      <c r="P1065" s="99"/>
      <c r="Q1065" s="99"/>
      <c r="R1065" s="99"/>
      <c r="S1065" s="99"/>
      <c r="T1065" s="99"/>
      <c r="U1065" s="99"/>
      <c r="V1065" s="99"/>
      <c r="W1065" s="99"/>
      <c r="X1065" s="99"/>
      <c r="Y1065" s="99"/>
      <c r="Z1065" s="99"/>
      <c r="AA1065" s="99"/>
      <c r="AB1065" s="99"/>
      <c r="AC1065" s="99"/>
      <c r="AD1065" s="99"/>
      <c r="AE1065" s="99"/>
      <c r="AF1065" s="99"/>
      <c r="AG1065" s="99"/>
      <c r="AH1065" s="99"/>
      <c r="AI1065" s="99"/>
    </row>
    <row r="1066">
      <c r="A1066" s="99"/>
      <c r="B1066" s="99"/>
      <c r="C1066" s="99"/>
      <c r="D1066" s="99"/>
      <c r="E1066" s="99"/>
      <c r="F1066" s="99"/>
      <c r="G1066" s="99"/>
      <c r="H1066" s="99"/>
      <c r="I1066" s="99"/>
      <c r="J1066" s="99"/>
      <c r="K1066" s="99"/>
      <c r="L1066" s="99"/>
      <c r="M1066" s="99"/>
      <c r="N1066" s="99"/>
      <c r="O1066" s="99"/>
      <c r="P1066" s="99"/>
      <c r="Q1066" s="99"/>
      <c r="R1066" s="99"/>
      <c r="S1066" s="99"/>
      <c r="T1066" s="99"/>
      <c r="U1066" s="99"/>
      <c r="V1066" s="99"/>
      <c r="W1066" s="99"/>
      <c r="X1066" s="99"/>
      <c r="Y1066" s="99"/>
      <c r="Z1066" s="99"/>
      <c r="AA1066" s="99"/>
      <c r="AB1066" s="99"/>
      <c r="AC1066" s="99"/>
      <c r="AD1066" s="99"/>
      <c r="AE1066" s="99"/>
      <c r="AF1066" s="99"/>
      <c r="AG1066" s="99"/>
      <c r="AH1066" s="99"/>
      <c r="AI1066" s="99"/>
    </row>
    <row r="1067">
      <c r="A1067" s="99"/>
      <c r="B1067" s="99"/>
      <c r="C1067" s="99"/>
      <c r="D1067" s="99"/>
      <c r="E1067" s="99"/>
      <c r="F1067" s="99"/>
      <c r="G1067" s="99"/>
      <c r="H1067" s="99"/>
      <c r="I1067" s="99"/>
      <c r="J1067" s="99"/>
      <c r="K1067" s="99"/>
      <c r="L1067" s="99"/>
      <c r="M1067" s="99"/>
      <c r="N1067" s="99"/>
      <c r="O1067" s="99"/>
      <c r="P1067" s="99"/>
      <c r="Q1067" s="99"/>
      <c r="R1067" s="99"/>
      <c r="S1067" s="99"/>
      <c r="T1067" s="99"/>
      <c r="U1067" s="99"/>
      <c r="V1067" s="99"/>
      <c r="W1067" s="99"/>
      <c r="X1067" s="99"/>
      <c r="Y1067" s="99"/>
      <c r="Z1067" s="99"/>
      <c r="AA1067" s="99"/>
      <c r="AB1067" s="99"/>
      <c r="AC1067" s="99"/>
      <c r="AD1067" s="99"/>
      <c r="AE1067" s="99"/>
      <c r="AF1067" s="99"/>
      <c r="AG1067" s="99"/>
      <c r="AH1067" s="99"/>
      <c r="AI1067" s="99"/>
    </row>
    <row r="1068">
      <c r="A1068" s="99"/>
      <c r="B1068" s="99"/>
      <c r="C1068" s="99"/>
      <c r="D1068" s="99"/>
      <c r="E1068" s="99"/>
      <c r="F1068" s="99"/>
      <c r="G1068" s="99"/>
      <c r="H1068" s="99"/>
      <c r="I1068" s="99"/>
      <c r="J1068" s="99"/>
      <c r="K1068" s="99"/>
      <c r="L1068" s="99"/>
      <c r="M1068" s="99"/>
      <c r="N1068" s="99"/>
      <c r="O1068" s="99"/>
      <c r="P1068" s="99"/>
      <c r="Q1068" s="99"/>
      <c r="R1068" s="99"/>
      <c r="S1068" s="99"/>
      <c r="T1068" s="99"/>
      <c r="U1068" s="99"/>
      <c r="V1068" s="99"/>
      <c r="W1068" s="99"/>
      <c r="X1068" s="99"/>
      <c r="Y1068" s="99"/>
      <c r="Z1068" s="99"/>
      <c r="AA1068" s="99"/>
      <c r="AB1068" s="99"/>
      <c r="AC1068" s="99"/>
      <c r="AD1068" s="99"/>
      <c r="AE1068" s="99"/>
      <c r="AF1068" s="99"/>
      <c r="AG1068" s="99"/>
      <c r="AH1068" s="99"/>
      <c r="AI1068" s="99"/>
    </row>
    <row r="1069">
      <c r="A1069" s="99"/>
      <c r="B1069" s="99"/>
      <c r="C1069" s="99"/>
      <c r="D1069" s="99"/>
      <c r="E1069" s="99"/>
      <c r="F1069" s="99"/>
      <c r="G1069" s="99"/>
      <c r="H1069" s="99"/>
      <c r="I1069" s="99"/>
      <c r="J1069" s="99"/>
      <c r="K1069" s="99"/>
      <c r="L1069" s="99"/>
      <c r="M1069" s="99"/>
      <c r="N1069" s="99"/>
      <c r="O1069" s="99"/>
      <c r="P1069" s="99"/>
      <c r="Q1069" s="99"/>
      <c r="R1069" s="99"/>
      <c r="S1069" s="99"/>
      <c r="T1069" s="99"/>
      <c r="U1069" s="99"/>
      <c r="V1069" s="99"/>
      <c r="W1069" s="99"/>
      <c r="X1069" s="99"/>
      <c r="Y1069" s="99"/>
      <c r="Z1069" s="99"/>
      <c r="AA1069" s="99"/>
      <c r="AB1069" s="99"/>
      <c r="AC1069" s="99"/>
      <c r="AD1069" s="99"/>
      <c r="AE1069" s="99"/>
      <c r="AF1069" s="99"/>
      <c r="AG1069" s="99"/>
      <c r="AH1069" s="99"/>
      <c r="AI1069" s="99"/>
    </row>
    <row r="1070">
      <c r="A1070" s="99"/>
      <c r="B1070" s="99"/>
      <c r="C1070" s="99"/>
      <c r="D1070" s="99"/>
      <c r="E1070" s="99"/>
      <c r="F1070" s="99"/>
      <c r="G1070" s="99"/>
      <c r="H1070" s="99"/>
      <c r="I1070" s="99"/>
      <c r="J1070" s="99"/>
      <c r="K1070" s="99"/>
      <c r="L1070" s="99"/>
      <c r="M1070" s="99"/>
      <c r="N1070" s="99"/>
      <c r="O1070" s="99"/>
      <c r="P1070" s="99"/>
      <c r="Q1070" s="99"/>
      <c r="R1070" s="99"/>
      <c r="S1070" s="99"/>
      <c r="T1070" s="99"/>
      <c r="U1070" s="99"/>
      <c r="V1070" s="99"/>
      <c r="W1070" s="99"/>
      <c r="X1070" s="99"/>
      <c r="Y1070" s="99"/>
      <c r="Z1070" s="99"/>
      <c r="AA1070" s="99"/>
      <c r="AB1070" s="99"/>
      <c r="AC1070" s="99"/>
      <c r="AD1070" s="99"/>
      <c r="AE1070" s="99"/>
      <c r="AF1070" s="99"/>
      <c r="AG1070" s="99"/>
      <c r="AH1070" s="99"/>
      <c r="AI1070" s="99"/>
    </row>
    <row r="1071">
      <c r="A1071" s="99"/>
      <c r="B1071" s="99"/>
      <c r="C1071" s="99"/>
      <c r="D1071" s="99"/>
      <c r="E1071" s="99"/>
      <c r="F1071" s="99"/>
      <c r="G1071" s="99"/>
      <c r="H1071" s="99"/>
      <c r="I1071" s="99"/>
      <c r="J1071" s="99"/>
      <c r="K1071" s="99"/>
      <c r="L1071" s="99"/>
      <c r="M1071" s="99"/>
      <c r="N1071" s="99"/>
      <c r="O1071" s="99"/>
      <c r="P1071" s="99"/>
      <c r="Q1071" s="99"/>
      <c r="R1071" s="99"/>
      <c r="S1071" s="99"/>
      <c r="T1071" s="99"/>
      <c r="U1071" s="99"/>
      <c r="V1071" s="99"/>
      <c r="W1071" s="99"/>
      <c r="X1071" s="99"/>
      <c r="Y1071" s="99"/>
      <c r="Z1071" s="99"/>
      <c r="AA1071" s="99"/>
      <c r="AB1071" s="99"/>
      <c r="AC1071" s="99"/>
      <c r="AD1071" s="99"/>
      <c r="AE1071" s="99"/>
      <c r="AF1071" s="99"/>
      <c r="AG1071" s="99"/>
      <c r="AH1071" s="99"/>
      <c r="AI1071" s="99"/>
    </row>
    <row r="1072">
      <c r="A1072" s="99"/>
      <c r="B1072" s="99"/>
      <c r="C1072" s="99"/>
      <c r="D1072" s="99"/>
      <c r="E1072" s="99"/>
      <c r="F1072" s="99"/>
      <c r="G1072" s="99"/>
      <c r="H1072" s="99"/>
      <c r="I1072" s="99"/>
      <c r="J1072" s="99"/>
      <c r="K1072" s="99"/>
      <c r="L1072" s="99"/>
      <c r="M1072" s="99"/>
      <c r="N1072" s="99"/>
      <c r="O1072" s="99"/>
      <c r="P1072" s="99"/>
      <c r="Q1072" s="99"/>
      <c r="R1072" s="99"/>
      <c r="S1072" s="99"/>
      <c r="T1072" s="99"/>
      <c r="U1072" s="99"/>
      <c r="V1072" s="99"/>
      <c r="W1072" s="99"/>
      <c r="X1072" s="99"/>
      <c r="Y1072" s="99"/>
      <c r="Z1072" s="99"/>
      <c r="AA1072" s="99"/>
      <c r="AB1072" s="99"/>
      <c r="AC1072" s="99"/>
      <c r="AD1072" s="99"/>
      <c r="AE1072" s="99"/>
      <c r="AF1072" s="99"/>
      <c r="AG1072" s="99"/>
      <c r="AH1072" s="99"/>
      <c r="AI1072" s="99"/>
    </row>
    <row r="1073">
      <c r="A1073" s="99"/>
      <c r="B1073" s="99"/>
      <c r="C1073" s="99"/>
      <c r="D1073" s="99"/>
      <c r="E1073" s="99"/>
      <c r="F1073" s="99"/>
      <c r="G1073" s="99"/>
      <c r="H1073" s="99"/>
      <c r="I1073" s="99"/>
      <c r="J1073" s="99"/>
      <c r="K1073" s="99"/>
      <c r="L1073" s="99"/>
      <c r="M1073" s="99"/>
      <c r="N1073" s="99"/>
      <c r="O1073" s="99"/>
      <c r="P1073" s="99"/>
      <c r="Q1073" s="99"/>
      <c r="R1073" s="99"/>
      <c r="S1073" s="99"/>
      <c r="T1073" s="99"/>
      <c r="U1073" s="99"/>
      <c r="V1073" s="99"/>
      <c r="W1073" s="99"/>
      <c r="X1073" s="99"/>
      <c r="Y1073" s="99"/>
      <c r="Z1073" s="99"/>
      <c r="AA1073" s="99"/>
      <c r="AB1073" s="99"/>
      <c r="AC1073" s="99"/>
      <c r="AD1073" s="99"/>
      <c r="AE1073" s="99"/>
      <c r="AF1073" s="99"/>
      <c r="AG1073" s="99"/>
      <c r="AH1073" s="99"/>
      <c r="AI1073" s="99"/>
    </row>
    <row r="1074">
      <c r="A1074" s="99"/>
      <c r="B1074" s="99"/>
      <c r="C1074" s="99"/>
      <c r="D1074" s="99"/>
      <c r="E1074" s="99"/>
      <c r="F1074" s="99"/>
      <c r="G1074" s="99"/>
      <c r="H1074" s="99"/>
      <c r="I1074" s="99"/>
      <c r="J1074" s="99"/>
      <c r="K1074" s="99"/>
      <c r="L1074" s="99"/>
      <c r="M1074" s="99"/>
      <c r="N1074" s="99"/>
      <c r="O1074" s="99"/>
      <c r="P1074" s="99"/>
      <c r="Q1074" s="99"/>
      <c r="R1074" s="99"/>
      <c r="S1074" s="99"/>
      <c r="T1074" s="99"/>
      <c r="U1074" s="99"/>
      <c r="V1074" s="99"/>
      <c r="W1074" s="99"/>
      <c r="X1074" s="99"/>
      <c r="Y1074" s="99"/>
      <c r="Z1074" s="99"/>
      <c r="AA1074" s="99"/>
      <c r="AB1074" s="99"/>
      <c r="AC1074" s="99"/>
      <c r="AD1074" s="99"/>
      <c r="AE1074" s="99"/>
      <c r="AF1074" s="99"/>
      <c r="AG1074" s="99"/>
      <c r="AH1074" s="99"/>
      <c r="AI1074" s="99"/>
    </row>
    <row r="1075">
      <c r="A1075" s="99"/>
      <c r="B1075" s="99"/>
      <c r="C1075" s="99"/>
      <c r="D1075" s="99"/>
      <c r="E1075" s="99"/>
      <c r="F1075" s="99"/>
      <c r="G1075" s="99"/>
      <c r="H1075" s="99"/>
      <c r="I1075" s="99"/>
      <c r="J1075" s="99"/>
      <c r="K1075" s="99"/>
      <c r="L1075" s="99"/>
      <c r="M1075" s="99"/>
      <c r="N1075" s="99"/>
      <c r="O1075" s="99"/>
      <c r="P1075" s="99"/>
      <c r="Q1075" s="99"/>
      <c r="R1075" s="99"/>
      <c r="S1075" s="99"/>
      <c r="T1075" s="99"/>
      <c r="U1075" s="99"/>
      <c r="V1075" s="99"/>
      <c r="W1075" s="99"/>
      <c r="X1075" s="99"/>
      <c r="Y1075" s="99"/>
      <c r="Z1075" s="99"/>
      <c r="AA1075" s="99"/>
      <c r="AB1075" s="99"/>
      <c r="AC1075" s="99"/>
      <c r="AD1075" s="99"/>
      <c r="AE1075" s="99"/>
      <c r="AF1075" s="99"/>
      <c r="AG1075" s="99"/>
      <c r="AH1075" s="99"/>
      <c r="AI1075" s="99"/>
    </row>
    <row r="1076">
      <c r="A1076" s="99"/>
      <c r="B1076" s="99"/>
      <c r="C1076" s="99"/>
      <c r="D1076" s="99"/>
      <c r="E1076" s="99"/>
      <c r="F1076" s="99"/>
      <c r="G1076" s="99"/>
      <c r="H1076" s="99"/>
      <c r="I1076" s="99"/>
      <c r="J1076" s="99"/>
      <c r="K1076" s="99"/>
      <c r="L1076" s="99"/>
      <c r="M1076" s="99"/>
      <c r="N1076" s="99"/>
      <c r="O1076" s="99"/>
      <c r="P1076" s="99"/>
      <c r="Q1076" s="99"/>
      <c r="R1076" s="99"/>
      <c r="S1076" s="99"/>
      <c r="T1076" s="99"/>
      <c r="U1076" s="99"/>
      <c r="V1076" s="99"/>
      <c r="W1076" s="99"/>
      <c r="X1076" s="99"/>
      <c r="Y1076" s="99"/>
      <c r="Z1076" s="99"/>
      <c r="AA1076" s="99"/>
      <c r="AB1076" s="99"/>
      <c r="AC1076" s="99"/>
      <c r="AD1076" s="99"/>
      <c r="AE1076" s="99"/>
      <c r="AF1076" s="99"/>
      <c r="AG1076" s="99"/>
      <c r="AH1076" s="99"/>
      <c r="AI1076" s="99"/>
    </row>
    <row r="1077">
      <c r="A1077" s="99"/>
      <c r="B1077" s="99"/>
      <c r="C1077" s="99"/>
      <c r="D1077" s="99"/>
      <c r="E1077" s="99"/>
      <c r="F1077" s="99"/>
      <c r="G1077" s="99"/>
      <c r="H1077" s="99"/>
      <c r="I1077" s="99"/>
      <c r="J1077" s="99"/>
      <c r="K1077" s="99"/>
      <c r="L1077" s="99"/>
      <c r="M1077" s="99"/>
      <c r="N1077" s="99"/>
      <c r="O1077" s="99"/>
      <c r="P1077" s="99"/>
      <c r="Q1077" s="99"/>
      <c r="R1077" s="99"/>
      <c r="S1077" s="99"/>
      <c r="T1077" s="99"/>
      <c r="U1077" s="99"/>
      <c r="V1077" s="99"/>
      <c r="W1077" s="99"/>
      <c r="X1077" s="99"/>
      <c r="Y1077" s="99"/>
      <c r="Z1077" s="99"/>
      <c r="AA1077" s="99"/>
      <c r="AB1077" s="99"/>
      <c r="AC1077" s="99"/>
      <c r="AD1077" s="99"/>
      <c r="AE1077" s="99"/>
      <c r="AF1077" s="99"/>
      <c r="AG1077" s="99"/>
      <c r="AH1077" s="99"/>
      <c r="AI1077" s="99"/>
    </row>
    <row r="1078">
      <c r="A1078" s="99"/>
      <c r="B1078" s="99"/>
      <c r="C1078" s="99"/>
      <c r="D1078" s="99"/>
      <c r="E1078" s="99"/>
      <c r="F1078" s="99"/>
      <c r="G1078" s="99"/>
      <c r="H1078" s="99"/>
      <c r="I1078" s="99"/>
      <c r="J1078" s="99"/>
      <c r="K1078" s="99"/>
      <c r="L1078" s="99"/>
      <c r="M1078" s="99"/>
      <c r="N1078" s="99"/>
      <c r="O1078" s="99"/>
      <c r="P1078" s="99"/>
      <c r="Q1078" s="99"/>
      <c r="R1078" s="99"/>
      <c r="S1078" s="99"/>
      <c r="T1078" s="99"/>
      <c r="U1078" s="99"/>
      <c r="V1078" s="99"/>
      <c r="W1078" s="99"/>
      <c r="X1078" s="99"/>
      <c r="Y1078" s="99"/>
      <c r="Z1078" s="99"/>
      <c r="AA1078" s="99"/>
      <c r="AB1078" s="99"/>
      <c r="AC1078" s="99"/>
      <c r="AD1078" s="99"/>
      <c r="AE1078" s="99"/>
      <c r="AF1078" s="99"/>
      <c r="AG1078" s="99"/>
      <c r="AH1078" s="99"/>
      <c r="AI1078" s="99"/>
    </row>
    <row r="1079">
      <c r="A1079" s="99"/>
      <c r="B1079" s="99"/>
      <c r="C1079" s="99"/>
      <c r="D1079" s="99"/>
      <c r="E1079" s="99"/>
      <c r="F1079" s="99"/>
      <c r="G1079" s="99"/>
      <c r="H1079" s="99"/>
      <c r="I1079" s="99"/>
      <c r="J1079" s="99"/>
      <c r="K1079" s="99"/>
      <c r="L1079" s="99"/>
      <c r="M1079" s="99"/>
      <c r="N1079" s="99"/>
      <c r="O1079" s="99"/>
      <c r="P1079" s="99"/>
      <c r="Q1079" s="99"/>
      <c r="R1079" s="99"/>
      <c r="S1079" s="99"/>
      <c r="T1079" s="99"/>
      <c r="U1079" s="99"/>
      <c r="V1079" s="99"/>
      <c r="W1079" s="99"/>
      <c r="X1079" s="99"/>
      <c r="Y1079" s="99"/>
      <c r="Z1079" s="99"/>
      <c r="AA1079" s="99"/>
      <c r="AB1079" s="99"/>
      <c r="AC1079" s="99"/>
      <c r="AD1079" s="99"/>
      <c r="AE1079" s="99"/>
      <c r="AF1079" s="99"/>
      <c r="AG1079" s="99"/>
      <c r="AH1079" s="99"/>
      <c r="AI1079" s="99"/>
    </row>
    <row r="1080">
      <c r="A1080" s="99"/>
      <c r="B1080" s="99"/>
      <c r="C1080" s="99"/>
      <c r="D1080" s="99"/>
      <c r="E1080" s="99"/>
      <c r="F1080" s="99"/>
      <c r="G1080" s="99"/>
      <c r="H1080" s="99"/>
      <c r="I1080" s="99"/>
      <c r="J1080" s="99"/>
      <c r="K1080" s="99"/>
      <c r="L1080" s="99"/>
      <c r="M1080" s="99"/>
      <c r="N1080" s="99"/>
      <c r="O1080" s="99"/>
      <c r="P1080" s="99"/>
      <c r="Q1080" s="99"/>
      <c r="R1080" s="99"/>
      <c r="S1080" s="99"/>
      <c r="T1080" s="99"/>
      <c r="U1080" s="99"/>
      <c r="V1080" s="99"/>
      <c r="W1080" s="99"/>
      <c r="X1080" s="99"/>
      <c r="Y1080" s="99"/>
      <c r="Z1080" s="99"/>
      <c r="AA1080" s="99"/>
      <c r="AB1080" s="99"/>
      <c r="AC1080" s="99"/>
      <c r="AD1080" s="99"/>
      <c r="AE1080" s="99"/>
      <c r="AF1080" s="99"/>
      <c r="AG1080" s="99"/>
      <c r="AH1080" s="99"/>
      <c r="AI1080" s="99"/>
    </row>
    <row r="1081">
      <c r="A1081" s="99"/>
      <c r="B1081" s="99"/>
      <c r="C1081" s="99"/>
      <c r="D1081" s="99"/>
      <c r="E1081" s="99"/>
      <c r="F1081" s="99"/>
      <c r="G1081" s="99"/>
      <c r="H1081" s="99"/>
      <c r="I1081" s="99"/>
      <c r="J1081" s="99"/>
      <c r="K1081" s="99"/>
      <c r="L1081" s="99"/>
      <c r="M1081" s="99"/>
      <c r="N1081" s="99"/>
      <c r="O1081" s="99"/>
      <c r="P1081" s="99"/>
      <c r="Q1081" s="99"/>
      <c r="R1081" s="99"/>
      <c r="S1081" s="99"/>
      <c r="T1081" s="99"/>
      <c r="U1081" s="99"/>
      <c r="V1081" s="99"/>
      <c r="W1081" s="99"/>
      <c r="X1081" s="99"/>
      <c r="Y1081" s="99"/>
      <c r="Z1081" s="99"/>
      <c r="AA1081" s="99"/>
      <c r="AB1081" s="99"/>
      <c r="AC1081" s="99"/>
      <c r="AD1081" s="99"/>
      <c r="AE1081" s="99"/>
      <c r="AF1081" s="99"/>
      <c r="AG1081" s="99"/>
      <c r="AH1081" s="99"/>
      <c r="AI1081" s="99"/>
    </row>
    <row r="1082">
      <c r="A1082" s="99"/>
      <c r="B1082" s="99"/>
      <c r="C1082" s="99"/>
      <c r="D1082" s="99"/>
      <c r="E1082" s="99"/>
      <c r="F1082" s="99"/>
      <c r="G1082" s="99"/>
      <c r="H1082" s="99"/>
      <c r="I1082" s="99"/>
      <c r="J1082" s="99"/>
      <c r="K1082" s="99"/>
      <c r="L1082" s="99"/>
      <c r="M1082" s="99"/>
      <c r="N1082" s="99"/>
      <c r="O1082" s="99"/>
      <c r="P1082" s="99"/>
      <c r="Q1082" s="99"/>
      <c r="R1082" s="99"/>
      <c r="S1082" s="99"/>
      <c r="T1082" s="99"/>
      <c r="U1082" s="99"/>
      <c r="V1082" s="99"/>
      <c r="W1082" s="99"/>
      <c r="X1082" s="99"/>
      <c r="Y1082" s="99"/>
      <c r="Z1082" s="99"/>
      <c r="AA1082" s="99"/>
      <c r="AB1082" s="99"/>
      <c r="AC1082" s="99"/>
      <c r="AD1082" s="99"/>
      <c r="AE1082" s="99"/>
      <c r="AF1082" s="99"/>
      <c r="AG1082" s="99"/>
      <c r="AH1082" s="99"/>
      <c r="AI1082" s="99"/>
    </row>
    <row r="1083">
      <c r="A1083" s="99"/>
      <c r="B1083" s="99"/>
      <c r="C1083" s="99"/>
      <c r="D1083" s="99"/>
      <c r="E1083" s="99"/>
      <c r="F1083" s="99"/>
      <c r="G1083" s="99"/>
      <c r="H1083" s="99"/>
      <c r="I1083" s="99"/>
      <c r="J1083" s="99"/>
      <c r="K1083" s="99"/>
      <c r="L1083" s="99"/>
      <c r="M1083" s="99"/>
      <c r="N1083" s="99"/>
      <c r="O1083" s="99"/>
      <c r="P1083" s="99"/>
      <c r="Q1083" s="99"/>
      <c r="R1083" s="99"/>
      <c r="S1083" s="99"/>
      <c r="T1083" s="99"/>
      <c r="U1083" s="99"/>
      <c r="V1083" s="99"/>
      <c r="W1083" s="99"/>
      <c r="X1083" s="99"/>
      <c r="Y1083" s="99"/>
      <c r="Z1083" s="99"/>
      <c r="AA1083" s="99"/>
      <c r="AB1083" s="99"/>
      <c r="AC1083" s="99"/>
      <c r="AD1083" s="99"/>
      <c r="AE1083" s="99"/>
      <c r="AF1083" s="99"/>
      <c r="AG1083" s="99"/>
      <c r="AH1083" s="99"/>
      <c r="AI1083" s="99"/>
    </row>
    <row r="1084">
      <c r="A1084" s="99"/>
      <c r="B1084" s="99"/>
      <c r="C1084" s="99"/>
      <c r="D1084" s="99"/>
      <c r="E1084" s="99"/>
      <c r="F1084" s="99"/>
      <c r="G1084" s="99"/>
      <c r="H1084" s="99"/>
      <c r="I1084" s="99"/>
      <c r="J1084" s="99"/>
      <c r="K1084" s="99"/>
      <c r="L1084" s="99"/>
      <c r="M1084" s="99"/>
      <c r="N1084" s="99"/>
      <c r="O1084" s="99"/>
      <c r="P1084" s="99"/>
      <c r="Q1084" s="99"/>
      <c r="R1084" s="99"/>
      <c r="S1084" s="99"/>
      <c r="T1084" s="99"/>
      <c r="U1084" s="99"/>
      <c r="V1084" s="99"/>
      <c r="W1084" s="99"/>
      <c r="X1084" s="99"/>
      <c r="Y1084" s="99"/>
      <c r="Z1084" s="99"/>
      <c r="AA1084" s="99"/>
      <c r="AB1084" s="99"/>
      <c r="AC1084" s="99"/>
      <c r="AD1084" s="99"/>
      <c r="AE1084" s="99"/>
      <c r="AF1084" s="99"/>
      <c r="AG1084" s="99"/>
      <c r="AH1084" s="99"/>
      <c r="AI1084" s="99"/>
    </row>
    <row r="1085">
      <c r="A1085" s="99"/>
      <c r="B1085" s="99"/>
      <c r="C1085" s="99"/>
      <c r="D1085" s="99"/>
      <c r="E1085" s="99"/>
      <c r="F1085" s="99"/>
      <c r="G1085" s="99"/>
      <c r="H1085" s="99"/>
      <c r="I1085" s="99"/>
      <c r="J1085" s="99"/>
      <c r="K1085" s="99"/>
      <c r="L1085" s="99"/>
      <c r="M1085" s="99"/>
      <c r="N1085" s="99"/>
      <c r="O1085" s="99"/>
      <c r="P1085" s="99"/>
      <c r="Q1085" s="99"/>
      <c r="R1085" s="99"/>
      <c r="S1085" s="99"/>
      <c r="T1085" s="99"/>
      <c r="U1085" s="99"/>
      <c r="V1085" s="99"/>
      <c r="W1085" s="99"/>
      <c r="X1085" s="99"/>
      <c r="Y1085" s="99"/>
      <c r="Z1085" s="99"/>
      <c r="AA1085" s="99"/>
      <c r="AB1085" s="99"/>
      <c r="AC1085" s="99"/>
      <c r="AD1085" s="99"/>
      <c r="AE1085" s="99"/>
      <c r="AF1085" s="99"/>
      <c r="AG1085" s="99"/>
      <c r="AH1085" s="99"/>
      <c r="AI1085" s="99"/>
    </row>
    <row r="1086">
      <c r="A1086" s="99"/>
      <c r="B1086" s="99"/>
      <c r="C1086" s="99"/>
      <c r="D1086" s="99"/>
      <c r="E1086" s="99"/>
      <c r="F1086" s="99"/>
      <c r="G1086" s="99"/>
      <c r="H1086" s="99"/>
      <c r="I1086" s="99"/>
      <c r="J1086" s="99"/>
      <c r="K1086" s="99"/>
      <c r="L1086" s="99"/>
      <c r="M1086" s="99"/>
      <c r="N1086" s="99"/>
      <c r="O1086" s="99"/>
      <c r="P1086" s="99"/>
      <c r="Q1086" s="99"/>
      <c r="R1086" s="99"/>
      <c r="S1086" s="99"/>
      <c r="T1086" s="99"/>
      <c r="U1086" s="99"/>
      <c r="V1086" s="99"/>
      <c r="W1086" s="99"/>
      <c r="X1086" s="99"/>
      <c r="Y1086" s="99"/>
      <c r="Z1086" s="99"/>
      <c r="AA1086" s="99"/>
      <c r="AB1086" s="99"/>
      <c r="AC1086" s="99"/>
      <c r="AD1086" s="99"/>
      <c r="AE1086" s="99"/>
      <c r="AF1086" s="99"/>
      <c r="AG1086" s="99"/>
      <c r="AH1086" s="99"/>
      <c r="AI1086" s="99"/>
    </row>
    <row r="1087">
      <c r="A1087" s="99"/>
      <c r="B1087" s="99"/>
      <c r="C1087" s="99"/>
      <c r="D1087" s="99"/>
      <c r="E1087" s="99"/>
      <c r="F1087" s="99"/>
      <c r="G1087" s="99"/>
      <c r="H1087" s="99"/>
      <c r="I1087" s="99"/>
      <c r="J1087" s="99"/>
      <c r="K1087" s="99"/>
      <c r="L1087" s="99"/>
      <c r="M1087" s="99"/>
      <c r="N1087" s="99"/>
      <c r="O1087" s="99"/>
      <c r="P1087" s="99"/>
      <c r="Q1087" s="99"/>
      <c r="R1087" s="99"/>
      <c r="S1087" s="99"/>
      <c r="T1087" s="99"/>
      <c r="U1087" s="99"/>
      <c r="V1087" s="99"/>
      <c r="W1087" s="99"/>
      <c r="X1087" s="99"/>
      <c r="Y1087" s="99"/>
      <c r="Z1087" s="99"/>
      <c r="AA1087" s="99"/>
      <c r="AB1087" s="99"/>
      <c r="AC1087" s="99"/>
      <c r="AD1087" s="99"/>
      <c r="AE1087" s="99"/>
      <c r="AF1087" s="99"/>
      <c r="AG1087" s="99"/>
      <c r="AH1087" s="99"/>
      <c r="AI1087" s="99"/>
    </row>
    <row r="1088">
      <c r="A1088" s="99"/>
      <c r="B1088" s="99"/>
      <c r="C1088" s="99"/>
      <c r="D1088" s="99"/>
      <c r="E1088" s="99"/>
      <c r="F1088" s="99"/>
      <c r="G1088" s="99"/>
      <c r="H1088" s="99"/>
      <c r="I1088" s="99"/>
      <c r="J1088" s="99"/>
      <c r="K1088" s="99"/>
      <c r="L1088" s="99"/>
      <c r="M1088" s="99"/>
      <c r="N1088" s="99"/>
      <c r="O1088" s="99"/>
      <c r="P1088" s="99"/>
      <c r="Q1088" s="99"/>
      <c r="R1088" s="99"/>
      <c r="S1088" s="99"/>
      <c r="T1088" s="99"/>
      <c r="U1088" s="99"/>
      <c r="V1088" s="99"/>
      <c r="W1088" s="99"/>
      <c r="X1088" s="99"/>
      <c r="Y1088" s="99"/>
      <c r="Z1088" s="99"/>
      <c r="AA1088" s="99"/>
      <c r="AB1088" s="99"/>
      <c r="AC1088" s="99"/>
      <c r="AD1088" s="99"/>
      <c r="AE1088" s="99"/>
      <c r="AF1088" s="99"/>
      <c r="AG1088" s="99"/>
      <c r="AH1088" s="99"/>
      <c r="AI1088" s="99"/>
    </row>
    <row r="1089">
      <c r="A1089" s="99"/>
      <c r="B1089" s="99"/>
      <c r="C1089" s="99"/>
      <c r="D1089" s="99"/>
      <c r="E1089" s="99"/>
      <c r="F1089" s="99"/>
      <c r="G1089" s="99"/>
      <c r="H1089" s="99"/>
      <c r="I1089" s="99"/>
      <c r="J1089" s="99"/>
      <c r="K1089" s="99"/>
      <c r="L1089" s="99"/>
      <c r="M1089" s="99"/>
      <c r="N1089" s="99"/>
      <c r="O1089" s="99"/>
      <c r="P1089" s="99"/>
      <c r="Q1089" s="99"/>
      <c r="R1089" s="99"/>
      <c r="S1089" s="99"/>
      <c r="T1089" s="99"/>
      <c r="U1089" s="99"/>
      <c r="V1089" s="99"/>
      <c r="W1089" s="99"/>
      <c r="X1089" s="99"/>
      <c r="Y1089" s="99"/>
      <c r="Z1089" s="99"/>
      <c r="AA1089" s="99"/>
      <c r="AB1089" s="99"/>
      <c r="AC1089" s="99"/>
      <c r="AD1089" s="99"/>
      <c r="AE1089" s="99"/>
      <c r="AF1089" s="99"/>
      <c r="AG1089" s="99"/>
      <c r="AH1089" s="99"/>
      <c r="AI1089" s="99"/>
    </row>
    <row r="1090">
      <c r="A1090" s="99"/>
      <c r="B1090" s="99"/>
      <c r="C1090" s="99"/>
      <c r="D1090" s="99"/>
      <c r="E1090" s="99"/>
      <c r="F1090" s="99"/>
      <c r="G1090" s="99"/>
      <c r="H1090" s="99"/>
      <c r="I1090" s="99"/>
      <c r="J1090" s="99"/>
      <c r="K1090" s="99"/>
      <c r="L1090" s="99"/>
      <c r="M1090" s="99"/>
      <c r="N1090" s="99"/>
      <c r="O1090" s="99"/>
      <c r="P1090" s="99"/>
      <c r="Q1090" s="99"/>
      <c r="R1090" s="99"/>
      <c r="S1090" s="99"/>
      <c r="T1090" s="99"/>
      <c r="U1090" s="99"/>
      <c r="V1090" s="99"/>
      <c r="W1090" s="99"/>
      <c r="X1090" s="99"/>
      <c r="Y1090" s="99"/>
      <c r="Z1090" s="99"/>
      <c r="AA1090" s="99"/>
      <c r="AB1090" s="99"/>
      <c r="AC1090" s="99"/>
      <c r="AD1090" s="99"/>
      <c r="AE1090" s="99"/>
      <c r="AF1090" s="99"/>
      <c r="AG1090" s="99"/>
      <c r="AH1090" s="99"/>
      <c r="AI1090" s="99"/>
    </row>
    <row r="1091">
      <c r="A1091" s="99"/>
      <c r="B1091" s="99"/>
      <c r="C1091" s="99"/>
      <c r="D1091" s="99"/>
      <c r="E1091" s="99"/>
      <c r="F1091" s="99"/>
      <c r="G1091" s="99"/>
      <c r="H1091" s="99"/>
      <c r="I1091" s="99"/>
      <c r="J1091" s="99"/>
      <c r="K1091" s="99"/>
      <c r="L1091" s="99"/>
      <c r="M1091" s="99"/>
      <c r="N1091" s="99"/>
      <c r="O1091" s="99"/>
      <c r="P1091" s="99"/>
      <c r="Q1091" s="99"/>
      <c r="R1091" s="99"/>
      <c r="S1091" s="99"/>
      <c r="T1091" s="99"/>
      <c r="U1091" s="99"/>
      <c r="V1091" s="99"/>
      <c r="W1091" s="99"/>
      <c r="X1091" s="99"/>
      <c r="Y1091" s="99"/>
      <c r="Z1091" s="99"/>
      <c r="AA1091" s="99"/>
      <c r="AB1091" s="99"/>
      <c r="AC1091" s="99"/>
      <c r="AD1091" s="99"/>
      <c r="AE1091" s="99"/>
      <c r="AF1091" s="99"/>
      <c r="AG1091" s="99"/>
      <c r="AH1091" s="99"/>
      <c r="AI1091" s="99"/>
    </row>
    <row r="1092">
      <c r="A1092" s="99"/>
      <c r="B1092" s="99"/>
      <c r="C1092" s="99"/>
      <c r="D1092" s="99"/>
      <c r="E1092" s="99"/>
      <c r="F1092" s="99"/>
      <c r="G1092" s="99"/>
      <c r="H1092" s="99"/>
      <c r="I1092" s="99"/>
      <c r="J1092" s="99"/>
      <c r="K1092" s="99"/>
      <c r="L1092" s="99"/>
      <c r="M1092" s="99"/>
      <c r="N1092" s="99"/>
      <c r="O1092" s="99"/>
      <c r="P1092" s="99"/>
      <c r="Q1092" s="99"/>
      <c r="R1092" s="99"/>
      <c r="S1092" s="99"/>
      <c r="T1092" s="99"/>
      <c r="U1092" s="99"/>
      <c r="V1092" s="99"/>
      <c r="W1092" s="99"/>
      <c r="X1092" s="99"/>
      <c r="Y1092" s="99"/>
      <c r="Z1092" s="99"/>
      <c r="AA1092" s="99"/>
      <c r="AB1092" s="99"/>
      <c r="AC1092" s="99"/>
      <c r="AD1092" s="99"/>
      <c r="AE1092" s="99"/>
      <c r="AF1092" s="99"/>
      <c r="AG1092" s="99"/>
      <c r="AH1092" s="99"/>
      <c r="AI1092" s="99"/>
    </row>
    <row r="1093">
      <c r="A1093" s="99"/>
      <c r="B1093" s="99"/>
      <c r="C1093" s="99"/>
      <c r="D1093" s="99"/>
      <c r="E1093" s="99"/>
      <c r="F1093" s="99"/>
      <c r="G1093" s="99"/>
      <c r="H1093" s="99"/>
      <c r="I1093" s="99"/>
      <c r="J1093" s="99"/>
      <c r="K1093" s="99"/>
      <c r="L1093" s="99"/>
      <c r="M1093" s="99"/>
      <c r="N1093" s="99"/>
      <c r="O1093" s="99"/>
      <c r="P1093" s="99"/>
      <c r="Q1093" s="99"/>
      <c r="R1093" s="99"/>
      <c r="S1093" s="99"/>
      <c r="T1093" s="99"/>
      <c r="U1093" s="99"/>
      <c r="V1093" s="99"/>
      <c r="W1093" s="99"/>
      <c r="X1093" s="99"/>
      <c r="Y1093" s="99"/>
      <c r="Z1093" s="99"/>
      <c r="AA1093" s="99"/>
      <c r="AB1093" s="99"/>
      <c r="AC1093" s="99"/>
      <c r="AD1093" s="99"/>
      <c r="AE1093" s="99"/>
      <c r="AF1093" s="99"/>
      <c r="AG1093" s="99"/>
      <c r="AH1093" s="99"/>
      <c r="AI1093" s="99"/>
    </row>
    <row r="1094">
      <c r="A1094" s="99"/>
      <c r="B1094" s="99"/>
      <c r="C1094" s="99"/>
      <c r="D1094" s="99"/>
      <c r="E1094" s="99"/>
      <c r="F1094" s="99"/>
      <c r="G1094" s="99"/>
      <c r="H1094" s="99"/>
      <c r="I1094" s="99"/>
      <c r="J1094" s="99"/>
      <c r="K1094" s="99"/>
      <c r="L1094" s="99"/>
      <c r="M1094" s="99"/>
      <c r="N1094" s="99"/>
      <c r="O1094" s="99"/>
      <c r="P1094" s="99"/>
      <c r="Q1094" s="99"/>
      <c r="R1094" s="99"/>
      <c r="S1094" s="99"/>
      <c r="T1094" s="99"/>
      <c r="U1094" s="99"/>
      <c r="V1094" s="99"/>
      <c r="W1094" s="99"/>
      <c r="X1094" s="99"/>
      <c r="Y1094" s="99"/>
      <c r="Z1094" s="99"/>
      <c r="AA1094" s="99"/>
      <c r="AB1094" s="99"/>
      <c r="AC1094" s="99"/>
      <c r="AD1094" s="99"/>
      <c r="AE1094" s="99"/>
      <c r="AF1094" s="99"/>
      <c r="AG1094" s="99"/>
      <c r="AH1094" s="99"/>
      <c r="AI1094" s="99"/>
    </row>
    <row r="1095">
      <c r="A1095" s="99"/>
      <c r="B1095" s="99"/>
      <c r="C1095" s="99"/>
      <c r="D1095" s="99"/>
      <c r="E1095" s="99"/>
      <c r="F1095" s="99"/>
      <c r="G1095" s="99"/>
      <c r="H1095" s="99"/>
      <c r="I1095" s="99"/>
      <c r="J1095" s="99"/>
      <c r="K1095" s="99"/>
      <c r="L1095" s="99"/>
      <c r="M1095" s="99"/>
      <c r="N1095" s="99"/>
      <c r="O1095" s="99"/>
      <c r="P1095" s="99"/>
      <c r="Q1095" s="99"/>
      <c r="R1095" s="99"/>
      <c r="S1095" s="99"/>
      <c r="T1095" s="99"/>
      <c r="U1095" s="99"/>
      <c r="V1095" s="99"/>
      <c r="W1095" s="99"/>
      <c r="X1095" s="99"/>
      <c r="Y1095" s="99"/>
      <c r="Z1095" s="99"/>
      <c r="AA1095" s="99"/>
      <c r="AB1095" s="99"/>
      <c r="AC1095" s="99"/>
      <c r="AD1095" s="99"/>
      <c r="AE1095" s="99"/>
      <c r="AF1095" s="99"/>
      <c r="AG1095" s="99"/>
      <c r="AH1095" s="99"/>
      <c r="AI1095" s="99"/>
    </row>
    <row r="1096">
      <c r="A1096" s="99"/>
      <c r="B1096" s="99"/>
      <c r="C1096" s="99"/>
      <c r="D1096" s="99"/>
      <c r="E1096" s="99"/>
      <c r="F1096" s="99"/>
      <c r="G1096" s="99"/>
      <c r="H1096" s="99"/>
      <c r="I1096" s="99"/>
      <c r="J1096" s="99"/>
      <c r="K1096" s="99"/>
      <c r="L1096" s="99"/>
      <c r="M1096" s="99"/>
      <c r="N1096" s="99"/>
      <c r="O1096" s="99"/>
      <c r="P1096" s="99"/>
      <c r="Q1096" s="99"/>
      <c r="R1096" s="99"/>
      <c r="S1096" s="99"/>
      <c r="T1096" s="99"/>
      <c r="U1096" s="99"/>
      <c r="V1096" s="99"/>
      <c r="W1096" s="99"/>
      <c r="X1096" s="99"/>
      <c r="Y1096" s="99"/>
      <c r="Z1096" s="99"/>
      <c r="AA1096" s="99"/>
      <c r="AB1096" s="99"/>
      <c r="AC1096" s="99"/>
      <c r="AD1096" s="99"/>
      <c r="AE1096" s="99"/>
      <c r="AF1096" s="99"/>
      <c r="AG1096" s="99"/>
      <c r="AH1096" s="99"/>
      <c r="AI1096" s="99"/>
    </row>
    <row r="1097">
      <c r="A1097" s="99"/>
      <c r="B1097" s="99"/>
      <c r="C1097" s="99"/>
      <c r="D1097" s="99"/>
      <c r="E1097" s="99"/>
      <c r="F1097" s="99"/>
      <c r="G1097" s="99"/>
      <c r="H1097" s="99"/>
      <c r="I1097" s="99"/>
      <c r="J1097" s="99"/>
      <c r="K1097" s="99"/>
      <c r="L1097" s="99"/>
      <c r="M1097" s="99"/>
      <c r="N1097" s="99"/>
      <c r="O1097" s="99"/>
      <c r="P1097" s="99"/>
      <c r="Q1097" s="99"/>
      <c r="R1097" s="99"/>
      <c r="S1097" s="99"/>
      <c r="T1097" s="99"/>
      <c r="U1097" s="99"/>
      <c r="V1097" s="99"/>
      <c r="W1097" s="99"/>
      <c r="X1097" s="99"/>
      <c r="Y1097" s="99"/>
      <c r="Z1097" s="99"/>
      <c r="AA1097" s="99"/>
      <c r="AB1097" s="99"/>
      <c r="AC1097" s="99"/>
      <c r="AD1097" s="99"/>
      <c r="AE1097" s="99"/>
      <c r="AF1097" s="99"/>
      <c r="AG1097" s="99"/>
      <c r="AH1097" s="99"/>
      <c r="AI1097" s="99"/>
    </row>
    <row r="1098">
      <c r="A1098" s="99"/>
      <c r="B1098" s="99"/>
      <c r="C1098" s="99"/>
      <c r="D1098" s="99"/>
      <c r="E1098" s="99"/>
      <c r="F1098" s="99"/>
      <c r="G1098" s="99"/>
      <c r="H1098" s="99"/>
      <c r="I1098" s="99"/>
      <c r="J1098" s="99"/>
      <c r="K1098" s="99"/>
      <c r="L1098" s="99"/>
      <c r="M1098" s="99"/>
      <c r="N1098" s="99"/>
      <c r="O1098" s="99"/>
      <c r="P1098" s="99"/>
      <c r="Q1098" s="99"/>
      <c r="R1098" s="99"/>
      <c r="S1098" s="99"/>
      <c r="T1098" s="99"/>
      <c r="U1098" s="99"/>
      <c r="V1098" s="99"/>
      <c r="W1098" s="99"/>
      <c r="X1098" s="99"/>
      <c r="Y1098" s="99"/>
      <c r="Z1098" s="99"/>
      <c r="AA1098" s="99"/>
      <c r="AB1098" s="99"/>
      <c r="AC1098" s="99"/>
      <c r="AD1098" s="99"/>
      <c r="AE1098" s="99"/>
      <c r="AF1098" s="99"/>
      <c r="AG1098" s="99"/>
      <c r="AH1098" s="99"/>
      <c r="AI1098" s="99"/>
    </row>
    <row r="1099">
      <c r="A1099" s="99"/>
      <c r="B1099" s="99"/>
      <c r="C1099" s="99"/>
      <c r="D1099" s="99"/>
      <c r="E1099" s="99"/>
      <c r="F1099" s="99"/>
      <c r="G1099" s="99"/>
      <c r="H1099" s="99"/>
      <c r="I1099" s="99"/>
      <c r="J1099" s="99"/>
      <c r="K1099" s="99"/>
      <c r="L1099" s="99"/>
      <c r="M1099" s="99"/>
      <c r="N1099" s="99"/>
      <c r="O1099" s="99"/>
      <c r="P1099" s="99"/>
      <c r="Q1099" s="99"/>
      <c r="R1099" s="99"/>
      <c r="S1099" s="99"/>
      <c r="T1099" s="99"/>
      <c r="U1099" s="99"/>
      <c r="V1099" s="99"/>
      <c r="W1099" s="99"/>
      <c r="X1099" s="99"/>
      <c r="Y1099" s="99"/>
      <c r="Z1099" s="99"/>
      <c r="AA1099" s="99"/>
      <c r="AB1099" s="99"/>
      <c r="AC1099" s="99"/>
      <c r="AD1099" s="99"/>
      <c r="AE1099" s="99"/>
      <c r="AF1099" s="99"/>
      <c r="AG1099" s="99"/>
      <c r="AH1099" s="99"/>
      <c r="AI1099" s="9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36</v>
      </c>
      <c r="B1" s="28" t="s">
        <v>39</v>
      </c>
      <c r="C1" s="28" t="s">
        <v>40</v>
      </c>
      <c r="D1" s="28" t="s">
        <v>41</v>
      </c>
      <c r="E1" s="28" t="s">
        <v>42</v>
      </c>
      <c r="F1" s="29" t="s">
        <v>43</v>
      </c>
      <c r="G1" s="29" t="s">
        <v>45</v>
      </c>
      <c r="H1" s="30"/>
      <c r="I1" s="30"/>
      <c r="J1" s="30"/>
      <c r="K1" s="30"/>
      <c r="L1" s="30"/>
      <c r="M1" s="30"/>
      <c r="N1" s="30"/>
      <c r="O1" s="30"/>
      <c r="P1" s="30"/>
      <c r="Q1" s="30"/>
      <c r="R1" s="30"/>
      <c r="S1" s="30"/>
      <c r="T1" s="30"/>
      <c r="U1" s="30"/>
      <c r="V1" s="30"/>
      <c r="W1" s="30"/>
      <c r="X1" s="30"/>
      <c r="Y1" s="30"/>
      <c r="Z1" s="30"/>
    </row>
    <row r="2" ht="22.5" customHeight="1">
      <c r="A2" s="31" t="s">
        <v>49</v>
      </c>
      <c r="B2" s="32">
        <v>200.0</v>
      </c>
      <c r="C2" s="33">
        <v>13.0</v>
      </c>
      <c r="D2" s="33">
        <v>187.0</v>
      </c>
      <c r="E2" s="33">
        <v>187.0</v>
      </c>
      <c r="F2" s="34">
        <f t="shared" ref="F2:F5" si="1">SUM(D2/B2)</f>
        <v>0.935</v>
      </c>
      <c r="G2" s="35">
        <f t="shared" ref="G2:G5" si="2">SUM(D2/E2)</f>
        <v>1</v>
      </c>
      <c r="H2" s="15" t="s">
        <v>54</v>
      </c>
      <c r="I2" s="15" t="s">
        <v>55</v>
      </c>
      <c r="J2" s="15"/>
      <c r="K2" s="15"/>
      <c r="L2" s="15"/>
      <c r="M2" s="15"/>
      <c r="N2" s="15"/>
      <c r="O2" s="15"/>
      <c r="P2" s="15"/>
      <c r="Q2" s="15"/>
      <c r="R2" s="15"/>
      <c r="S2" s="15"/>
      <c r="T2" s="15"/>
      <c r="U2" s="15"/>
      <c r="V2" s="15"/>
      <c r="W2" s="15"/>
      <c r="X2" s="15"/>
      <c r="Y2" s="15"/>
      <c r="Z2" s="15"/>
    </row>
    <row r="3" ht="22.5" customHeight="1">
      <c r="A3" s="36">
        <v>2.0</v>
      </c>
      <c r="B3" s="37">
        <v>200.0</v>
      </c>
      <c r="C3" s="38">
        <v>15.0</v>
      </c>
      <c r="D3" s="38">
        <v>171.0</v>
      </c>
      <c r="E3" s="37">
        <f>B2 - (C2+C3)</f>
        <v>172</v>
      </c>
      <c r="F3" s="39">
        <f t="shared" si="1"/>
        <v>0.855</v>
      </c>
      <c r="G3" s="40">
        <f t="shared" si="2"/>
        <v>0.9941860465</v>
      </c>
      <c r="H3" s="15"/>
      <c r="I3" s="15" t="s">
        <v>59</v>
      </c>
      <c r="J3" s="15"/>
      <c r="K3" s="15"/>
      <c r="L3" s="15"/>
      <c r="M3" s="15"/>
      <c r="N3" s="15"/>
      <c r="O3" s="15"/>
      <c r="P3" s="15"/>
      <c r="Q3" s="15"/>
      <c r="R3" s="15"/>
      <c r="S3" s="15"/>
      <c r="T3" s="15"/>
      <c r="U3" s="15"/>
      <c r="V3" s="15"/>
      <c r="W3" s="15"/>
      <c r="X3" s="15"/>
      <c r="Y3" s="15"/>
      <c r="Z3" s="15"/>
    </row>
    <row r="4" ht="22.5" customHeight="1">
      <c r="A4" s="41">
        <v>3.0</v>
      </c>
      <c r="B4" s="32">
        <v>200.0</v>
      </c>
      <c r="C4" s="33">
        <v>15.0</v>
      </c>
      <c r="D4" s="42">
        <v>120.0</v>
      </c>
      <c r="E4" s="32">
        <f>B2 - (C2+C3+C4)</f>
        <v>157</v>
      </c>
      <c r="F4" s="34">
        <f t="shared" si="1"/>
        <v>0.6</v>
      </c>
      <c r="G4" s="35">
        <f t="shared" si="2"/>
        <v>0.7643312102</v>
      </c>
      <c r="H4" s="15"/>
      <c r="I4" s="43" t="s">
        <v>63</v>
      </c>
      <c r="J4" s="15"/>
      <c r="K4" s="15"/>
      <c r="L4" s="15"/>
      <c r="M4" s="15"/>
      <c r="N4" s="15"/>
      <c r="O4" s="15"/>
      <c r="P4" s="15"/>
      <c r="Q4" s="15"/>
      <c r="R4" s="15"/>
      <c r="S4" s="15"/>
      <c r="T4" s="15"/>
      <c r="U4" s="15"/>
      <c r="V4" s="15"/>
      <c r="W4" s="15"/>
      <c r="X4" s="15"/>
      <c r="Y4" s="15"/>
      <c r="Z4" s="15"/>
    </row>
    <row r="5" ht="22.5" customHeight="1">
      <c r="A5" s="36">
        <v>4.0</v>
      </c>
      <c r="B5" s="37">
        <v>200.0</v>
      </c>
      <c r="C5" s="38">
        <v>0.0</v>
      </c>
      <c r="D5" s="44">
        <v>28.0</v>
      </c>
      <c r="E5" s="37">
        <f>B2 - (C2+C3+C4+C5)</f>
        <v>157</v>
      </c>
      <c r="F5" s="39">
        <f t="shared" si="1"/>
        <v>0.14</v>
      </c>
      <c r="G5" s="40">
        <f t="shared" si="2"/>
        <v>0.178343949</v>
      </c>
      <c r="H5" s="15"/>
      <c r="I5" s="43" t="s">
        <v>67</v>
      </c>
      <c r="J5" s="15"/>
      <c r="K5" s="15"/>
      <c r="L5" s="15"/>
      <c r="M5" s="15"/>
      <c r="N5" s="15"/>
      <c r="O5" s="15"/>
      <c r="P5" s="15"/>
      <c r="Q5" s="15"/>
      <c r="R5" s="15"/>
      <c r="S5" s="15"/>
      <c r="T5" s="15"/>
      <c r="U5" s="15"/>
      <c r="V5" s="15"/>
      <c r="W5" s="15"/>
      <c r="X5" s="15"/>
      <c r="Y5" s="15"/>
      <c r="Z5" s="15"/>
    </row>
    <row r="6" ht="22.5" customHeight="1">
      <c r="A6" s="41">
        <v>5.0</v>
      </c>
      <c r="B6" s="32">
        <v>200.0</v>
      </c>
      <c r="C6" s="45"/>
      <c r="D6" s="45"/>
      <c r="E6" s="45"/>
      <c r="F6" s="46"/>
      <c r="G6" s="47"/>
      <c r="H6" s="15"/>
      <c r="I6" s="15"/>
      <c r="J6" s="15"/>
      <c r="K6" s="15"/>
      <c r="L6" s="15"/>
      <c r="M6" s="15"/>
      <c r="N6" s="15"/>
      <c r="O6" s="15"/>
      <c r="P6" s="15"/>
      <c r="Q6" s="15"/>
      <c r="R6" s="15"/>
      <c r="S6" s="15"/>
      <c r="T6" s="15"/>
      <c r="U6" s="15"/>
      <c r="V6" s="15"/>
      <c r="W6" s="15"/>
      <c r="X6" s="15"/>
      <c r="Y6" s="15"/>
      <c r="Z6" s="15"/>
    </row>
    <row r="7" ht="22.5" customHeight="1">
      <c r="A7" s="48"/>
      <c r="B7" s="37">
        <v>200.0</v>
      </c>
      <c r="C7" s="49"/>
      <c r="D7" s="49"/>
      <c r="E7" s="49"/>
      <c r="F7" s="50"/>
      <c r="G7" s="51"/>
      <c r="H7" s="15"/>
      <c r="I7" s="15"/>
      <c r="J7" s="15"/>
      <c r="K7" s="15"/>
      <c r="L7" s="15"/>
      <c r="M7" s="15"/>
      <c r="N7" s="15"/>
      <c r="O7" s="15"/>
      <c r="P7" s="15"/>
      <c r="Q7" s="15"/>
      <c r="R7" s="15"/>
      <c r="S7" s="15"/>
      <c r="T7" s="15"/>
      <c r="U7" s="15"/>
      <c r="V7" s="15"/>
      <c r="W7" s="15"/>
      <c r="X7" s="15"/>
      <c r="Y7" s="15"/>
      <c r="Z7" s="15"/>
    </row>
    <row r="8" ht="22.5" customHeight="1">
      <c r="A8" s="52"/>
      <c r="B8" s="32">
        <v>200.0</v>
      </c>
      <c r="C8" s="45"/>
      <c r="D8" s="45"/>
      <c r="E8" s="45"/>
      <c r="F8" s="46"/>
      <c r="G8" s="47"/>
      <c r="H8" s="15"/>
      <c r="I8" s="15"/>
      <c r="J8" s="15"/>
      <c r="K8" s="15"/>
      <c r="L8" s="15"/>
      <c r="M8" s="15"/>
      <c r="N8" s="15"/>
      <c r="O8" s="15"/>
      <c r="P8" s="15"/>
      <c r="Q8" s="15"/>
      <c r="R8" s="15"/>
      <c r="S8" s="15"/>
      <c r="T8" s="15"/>
      <c r="U8" s="15"/>
      <c r="V8" s="15"/>
      <c r="W8" s="15"/>
      <c r="X8" s="15"/>
      <c r="Y8" s="15"/>
      <c r="Z8" s="15"/>
    </row>
    <row r="9" ht="22.5" customHeight="1">
      <c r="A9" s="48"/>
      <c r="B9" s="37">
        <v>200.0</v>
      </c>
      <c r="C9" s="49"/>
      <c r="D9" s="49"/>
      <c r="E9" s="49"/>
      <c r="F9" s="50"/>
      <c r="G9" s="51"/>
      <c r="H9" s="15"/>
      <c r="I9" s="15"/>
      <c r="J9" s="15"/>
      <c r="K9" s="15"/>
      <c r="L9" s="15"/>
      <c r="M9" s="15"/>
      <c r="N9" s="15"/>
      <c r="O9" s="15"/>
      <c r="P9" s="15"/>
      <c r="Q9" s="15"/>
      <c r="R9" s="15"/>
      <c r="S9" s="15"/>
      <c r="T9" s="15"/>
      <c r="U9" s="15"/>
      <c r="V9" s="15"/>
      <c r="W9" s="15"/>
      <c r="X9" s="15"/>
      <c r="Y9" s="15"/>
      <c r="Z9" s="15"/>
    </row>
    <row r="10" ht="22.5" customHeight="1">
      <c r="A10" s="53"/>
      <c r="B10" s="54"/>
      <c r="C10" s="55"/>
      <c r="D10" s="55"/>
      <c r="E10" s="56"/>
      <c r="F10" s="57"/>
      <c r="G10" s="58"/>
      <c r="H10" s="15"/>
      <c r="I10" s="15"/>
      <c r="J10" s="15"/>
      <c r="K10" s="15"/>
      <c r="L10" s="15"/>
      <c r="M10" s="15"/>
      <c r="N10" s="15"/>
      <c r="O10" s="15"/>
      <c r="P10" s="15"/>
      <c r="Q10" s="15"/>
      <c r="R10" s="15"/>
      <c r="S10" s="15"/>
      <c r="T10" s="15"/>
      <c r="U10" s="15"/>
      <c r="V10" s="15"/>
      <c r="W10" s="15"/>
      <c r="X10" s="15"/>
      <c r="Y10" s="15"/>
      <c r="Z10" s="15"/>
    </row>
    <row r="11">
      <c r="A11" s="15"/>
      <c r="B11" s="15"/>
      <c r="C11" s="15"/>
      <c r="D11" s="15"/>
      <c r="E11" s="43" t="s">
        <v>80</v>
      </c>
      <c r="F11" s="59"/>
      <c r="G11" s="59"/>
      <c r="H11" s="15"/>
      <c r="I11" s="15"/>
      <c r="J11" s="15"/>
      <c r="K11" s="15"/>
      <c r="L11" s="15"/>
      <c r="M11" s="15"/>
      <c r="N11" s="15"/>
      <c r="O11" s="15"/>
      <c r="P11" s="15"/>
      <c r="Q11" s="15"/>
      <c r="R11" s="15"/>
      <c r="S11" s="15"/>
      <c r="T11" s="15"/>
      <c r="U11" s="15"/>
      <c r="V11" s="15"/>
      <c r="W11" s="15"/>
      <c r="X11" s="15"/>
      <c r="Y11" s="15"/>
      <c r="Z11" s="15"/>
    </row>
    <row r="12">
      <c r="A12" s="15"/>
      <c r="B12" s="15"/>
      <c r="C12" s="15"/>
      <c r="D12" s="15"/>
      <c r="E12" s="43"/>
      <c r="F12" s="59"/>
      <c r="G12" s="59"/>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59"/>
      <c r="G13" s="59"/>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59"/>
      <c r="G14" s="59"/>
      <c r="H14" s="60"/>
      <c r="I14" s="15"/>
      <c r="J14" s="15"/>
      <c r="K14" s="15"/>
      <c r="L14" s="15"/>
      <c r="M14" s="15"/>
      <c r="N14" s="15"/>
      <c r="O14" s="15"/>
      <c r="P14" s="15"/>
      <c r="Q14" s="15"/>
      <c r="R14" s="15"/>
      <c r="S14" s="15"/>
      <c r="T14" s="15"/>
      <c r="U14" s="15"/>
      <c r="V14" s="15"/>
      <c r="W14" s="15"/>
      <c r="X14" s="15"/>
      <c r="Y14" s="15"/>
      <c r="Z14" s="15"/>
    </row>
    <row r="15">
      <c r="A15" s="15"/>
      <c r="B15" s="15"/>
      <c r="C15" s="15"/>
      <c r="D15" s="15"/>
      <c r="E15" s="15"/>
      <c r="F15" s="59"/>
      <c r="G15" s="59"/>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59"/>
      <c r="G16" s="59"/>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59"/>
      <c r="G17" s="59"/>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59"/>
      <c r="G18" s="59"/>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59"/>
      <c r="G19" s="59"/>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59"/>
      <c r="G20" s="59"/>
      <c r="H20" s="43"/>
      <c r="I20" s="15"/>
      <c r="J20" s="15"/>
      <c r="K20" s="15"/>
      <c r="L20" s="15"/>
      <c r="M20" s="15"/>
      <c r="N20" s="15"/>
      <c r="O20" s="15"/>
      <c r="P20" s="15"/>
      <c r="Q20" s="15"/>
      <c r="R20" s="15"/>
      <c r="S20" s="15"/>
      <c r="T20" s="15"/>
      <c r="U20" s="15"/>
      <c r="V20" s="15"/>
      <c r="W20" s="15"/>
      <c r="X20" s="15"/>
      <c r="Y20" s="15"/>
      <c r="Z20" s="15"/>
    </row>
    <row r="21">
      <c r="A21" s="15"/>
      <c r="B21" s="15"/>
      <c r="C21" s="15"/>
      <c r="D21" s="15"/>
      <c r="E21" s="15"/>
      <c r="F21" s="59"/>
      <c r="G21" s="59"/>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59"/>
      <c r="G22" s="59"/>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59"/>
      <c r="G23" s="59"/>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59"/>
      <c r="G24" s="59"/>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59"/>
      <c r="G25" s="59"/>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59"/>
      <c r="G26" s="59"/>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59"/>
      <c r="G27" s="59"/>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59"/>
      <c r="G28" s="59"/>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59"/>
      <c r="G29" s="59"/>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59"/>
      <c r="G30" s="59"/>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59"/>
      <c r="G31" s="59"/>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59"/>
      <c r="G32" s="59"/>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59"/>
      <c r="G33" s="59"/>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59"/>
      <c r="G34" s="59"/>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59"/>
      <c r="G35" s="59"/>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59"/>
      <c r="G36" s="59"/>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59"/>
      <c r="G37" s="59"/>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59"/>
      <c r="G38" s="59"/>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59"/>
      <c r="G39" s="59"/>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59"/>
      <c r="G40" s="59"/>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59"/>
      <c r="G41" s="59"/>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59"/>
      <c r="G42" s="59"/>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59"/>
      <c r="G43" s="59"/>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59"/>
      <c r="G44" s="59"/>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59"/>
      <c r="G45" s="59"/>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59"/>
      <c r="G46" s="59"/>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59"/>
      <c r="G47" s="59"/>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59"/>
      <c r="G48" s="59"/>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59"/>
      <c r="G49" s="59"/>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59"/>
      <c r="G50" s="59"/>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59"/>
      <c r="G51" s="59"/>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59"/>
      <c r="G52" s="59"/>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59"/>
      <c r="G53" s="59"/>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59"/>
      <c r="G54" s="59"/>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59"/>
      <c r="G55" s="59"/>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59"/>
      <c r="G56" s="59"/>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59"/>
      <c r="G57" s="59"/>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59"/>
      <c r="G58" s="59"/>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59"/>
      <c r="G59" s="59"/>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59"/>
      <c r="G60" s="59"/>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59"/>
      <c r="G61" s="59"/>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59"/>
      <c r="G62" s="59"/>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59"/>
      <c r="G63" s="59"/>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59"/>
      <c r="G64" s="59"/>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59"/>
      <c r="G65" s="59"/>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59"/>
      <c r="G66" s="59"/>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59"/>
      <c r="G67" s="59"/>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59"/>
      <c r="G68" s="59"/>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59"/>
      <c r="G69" s="59"/>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59"/>
      <c r="G70" s="59"/>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59"/>
      <c r="G71" s="59"/>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59"/>
      <c r="G72" s="59"/>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59"/>
      <c r="G73" s="59"/>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59"/>
      <c r="G74" s="59"/>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59"/>
      <c r="G75" s="59"/>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59"/>
      <c r="G76" s="59"/>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59"/>
      <c r="G77" s="59"/>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59"/>
      <c r="G78" s="59"/>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59"/>
      <c r="G79" s="59"/>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59"/>
      <c r="G80" s="59"/>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59"/>
      <c r="G81" s="59"/>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59"/>
      <c r="G82" s="59"/>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59"/>
      <c r="G83" s="59"/>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59"/>
      <c r="G84" s="59"/>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59"/>
      <c r="G85" s="59"/>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59"/>
      <c r="G86" s="59"/>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59"/>
      <c r="G87" s="59"/>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59"/>
      <c r="G88" s="59"/>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59"/>
      <c r="G89" s="59"/>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59"/>
      <c r="G90" s="59"/>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59"/>
      <c r="G91" s="59"/>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59"/>
      <c r="G92" s="59"/>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59"/>
      <c r="G93" s="59"/>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59"/>
      <c r="G94" s="59"/>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59"/>
      <c r="G95" s="59"/>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59"/>
      <c r="G96" s="59"/>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59"/>
      <c r="G97" s="59"/>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59"/>
      <c r="G98" s="59"/>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59"/>
      <c r="G99" s="59"/>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59"/>
      <c r="G100" s="59"/>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59"/>
      <c r="G101" s="59"/>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59"/>
      <c r="G102" s="59"/>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59"/>
      <c r="G103" s="59"/>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59"/>
      <c r="G104" s="59"/>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59"/>
      <c r="G105" s="59"/>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59"/>
      <c r="G106" s="59"/>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59"/>
      <c r="G107" s="59"/>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59"/>
      <c r="G108" s="59"/>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59"/>
      <c r="G109" s="59"/>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59"/>
      <c r="G110" s="59"/>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59"/>
      <c r="G111" s="59"/>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59"/>
      <c r="G112" s="59"/>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59"/>
      <c r="G113" s="59"/>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59"/>
      <c r="G114" s="59"/>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59"/>
      <c r="G115" s="59"/>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59"/>
      <c r="G116" s="59"/>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59"/>
      <c r="G117" s="59"/>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59"/>
      <c r="G118" s="59"/>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59"/>
      <c r="G119" s="59"/>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59"/>
      <c r="G120" s="59"/>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59"/>
      <c r="G121" s="59"/>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59"/>
      <c r="G122" s="59"/>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59"/>
      <c r="G123" s="59"/>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59"/>
      <c r="G124" s="59"/>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59"/>
      <c r="G125" s="59"/>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59"/>
      <c r="G126" s="59"/>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59"/>
      <c r="G127" s="59"/>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59"/>
      <c r="G128" s="59"/>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59"/>
      <c r="G129" s="59"/>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59"/>
      <c r="G130" s="59"/>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59"/>
      <c r="G131" s="59"/>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59"/>
      <c r="G132" s="59"/>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59"/>
      <c r="G133" s="59"/>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59"/>
      <c r="G134" s="59"/>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59"/>
      <c r="G135" s="59"/>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59"/>
      <c r="G136" s="59"/>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59"/>
      <c r="G137" s="59"/>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59"/>
      <c r="G138" s="59"/>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59"/>
      <c r="G139" s="59"/>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59"/>
      <c r="G140" s="59"/>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59"/>
      <c r="G141" s="59"/>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59"/>
      <c r="G142" s="59"/>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59"/>
      <c r="G143" s="59"/>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59"/>
      <c r="G144" s="59"/>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59"/>
      <c r="G145" s="59"/>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59"/>
      <c r="G146" s="59"/>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59"/>
      <c r="G147" s="59"/>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59"/>
      <c r="G148" s="59"/>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59"/>
      <c r="G149" s="59"/>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59"/>
      <c r="G150" s="59"/>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59"/>
      <c r="G151" s="59"/>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59"/>
      <c r="G152" s="59"/>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59"/>
      <c r="G153" s="59"/>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59"/>
      <c r="G154" s="59"/>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59"/>
      <c r="G155" s="59"/>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59"/>
      <c r="G156" s="59"/>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59"/>
      <c r="G157" s="59"/>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59"/>
      <c r="G158" s="59"/>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59"/>
      <c r="G159" s="59"/>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59"/>
      <c r="G160" s="59"/>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59"/>
      <c r="G161" s="59"/>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59"/>
      <c r="G162" s="59"/>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59"/>
      <c r="G163" s="59"/>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59"/>
      <c r="G164" s="59"/>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59"/>
      <c r="G165" s="59"/>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59"/>
      <c r="G166" s="59"/>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59"/>
      <c r="G167" s="59"/>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59"/>
      <c r="G168" s="59"/>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59"/>
      <c r="G169" s="59"/>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59"/>
      <c r="G170" s="59"/>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59"/>
      <c r="G171" s="59"/>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59"/>
      <c r="G172" s="59"/>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59"/>
      <c r="G173" s="59"/>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59"/>
      <c r="G174" s="59"/>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59"/>
      <c r="G175" s="59"/>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59"/>
      <c r="G176" s="59"/>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59"/>
      <c r="G177" s="59"/>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59"/>
      <c r="G178" s="59"/>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59"/>
      <c r="G179" s="59"/>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59"/>
      <c r="G180" s="59"/>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59"/>
      <c r="G181" s="59"/>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59"/>
      <c r="G182" s="59"/>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59"/>
      <c r="G183" s="59"/>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59"/>
      <c r="G184" s="59"/>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59"/>
      <c r="G185" s="59"/>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59"/>
      <c r="G186" s="59"/>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59"/>
      <c r="G187" s="59"/>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59"/>
      <c r="G188" s="59"/>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59"/>
      <c r="G189" s="59"/>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59"/>
      <c r="G190" s="59"/>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59"/>
      <c r="G191" s="59"/>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59"/>
      <c r="G192" s="59"/>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59"/>
      <c r="G193" s="59"/>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59"/>
      <c r="G194" s="59"/>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59"/>
      <c r="G195" s="59"/>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59"/>
      <c r="G196" s="59"/>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59"/>
      <c r="G197" s="59"/>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59"/>
      <c r="G198" s="59"/>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59"/>
      <c r="G199" s="59"/>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59"/>
      <c r="G200" s="59"/>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59"/>
      <c r="G201" s="59"/>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59"/>
      <c r="G202" s="59"/>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59"/>
      <c r="G203" s="59"/>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59"/>
      <c r="G204" s="59"/>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59"/>
      <c r="G205" s="59"/>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59"/>
      <c r="G206" s="59"/>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59"/>
      <c r="G207" s="59"/>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59"/>
      <c r="G208" s="59"/>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59"/>
      <c r="G209" s="59"/>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59"/>
      <c r="G210" s="59"/>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59"/>
      <c r="G211" s="59"/>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59"/>
      <c r="G212" s="59"/>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59"/>
      <c r="G213" s="59"/>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59"/>
      <c r="G214" s="59"/>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59"/>
      <c r="G215" s="59"/>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59"/>
      <c r="G216" s="59"/>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59"/>
      <c r="G217" s="59"/>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59"/>
      <c r="G218" s="59"/>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59"/>
      <c r="G219" s="59"/>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59"/>
      <c r="G220" s="59"/>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59"/>
      <c r="G221" s="59"/>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59"/>
      <c r="G222" s="59"/>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59"/>
      <c r="G223" s="59"/>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59"/>
      <c r="G224" s="59"/>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59"/>
      <c r="G225" s="59"/>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59"/>
      <c r="G226" s="59"/>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59"/>
      <c r="G227" s="59"/>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59"/>
      <c r="G228" s="59"/>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59"/>
      <c r="G229" s="59"/>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59"/>
      <c r="G230" s="59"/>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59"/>
      <c r="G231" s="59"/>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59"/>
      <c r="G232" s="59"/>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59"/>
      <c r="G233" s="59"/>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59"/>
      <c r="G234" s="59"/>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59"/>
      <c r="G235" s="59"/>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59"/>
      <c r="G236" s="59"/>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59"/>
      <c r="G237" s="59"/>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59"/>
      <c r="G238" s="59"/>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59"/>
      <c r="G239" s="59"/>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59"/>
      <c r="G240" s="59"/>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59"/>
      <c r="G241" s="59"/>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59"/>
      <c r="G242" s="59"/>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59"/>
      <c r="G243" s="59"/>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59"/>
      <c r="G244" s="59"/>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59"/>
      <c r="G245" s="59"/>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59"/>
      <c r="G246" s="59"/>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59"/>
      <c r="G247" s="59"/>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59"/>
      <c r="G248" s="59"/>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59"/>
      <c r="G249" s="59"/>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59"/>
      <c r="G250" s="59"/>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59"/>
      <c r="G251" s="59"/>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59"/>
      <c r="G252" s="59"/>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59"/>
      <c r="G253" s="59"/>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59"/>
      <c r="G254" s="59"/>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59"/>
      <c r="G255" s="59"/>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59"/>
      <c r="G256" s="59"/>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59"/>
      <c r="G257" s="59"/>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59"/>
      <c r="G258" s="59"/>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59"/>
      <c r="G259" s="59"/>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59"/>
      <c r="G260" s="59"/>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59"/>
      <c r="G261" s="59"/>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59"/>
      <c r="G262" s="59"/>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59"/>
      <c r="G263" s="59"/>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59"/>
      <c r="G264" s="59"/>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59"/>
      <c r="G265" s="59"/>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59"/>
      <c r="G266" s="59"/>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59"/>
      <c r="G267" s="59"/>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59"/>
      <c r="G268" s="59"/>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59"/>
      <c r="G269" s="59"/>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59"/>
      <c r="G270" s="59"/>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59"/>
      <c r="G271" s="59"/>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59"/>
      <c r="G272" s="59"/>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59"/>
      <c r="G273" s="59"/>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59"/>
      <c r="G274" s="59"/>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59"/>
      <c r="G275" s="59"/>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59"/>
      <c r="G276" s="59"/>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59"/>
      <c r="G277" s="59"/>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59"/>
      <c r="G278" s="59"/>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59"/>
      <c r="G279" s="59"/>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59"/>
      <c r="G280" s="59"/>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59"/>
      <c r="G281" s="59"/>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59"/>
      <c r="G282" s="59"/>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59"/>
      <c r="G283" s="59"/>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59"/>
      <c r="G284" s="59"/>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59"/>
      <c r="G285" s="59"/>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59"/>
      <c r="G286" s="59"/>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59"/>
      <c r="G287" s="59"/>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59"/>
      <c r="G288" s="59"/>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59"/>
      <c r="G289" s="59"/>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59"/>
      <c r="G290" s="59"/>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59"/>
      <c r="G291" s="59"/>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59"/>
      <c r="G292" s="59"/>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59"/>
      <c r="G293" s="59"/>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59"/>
      <c r="G294" s="59"/>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59"/>
      <c r="G295" s="59"/>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59"/>
      <c r="G296" s="59"/>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59"/>
      <c r="G297" s="59"/>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59"/>
      <c r="G298" s="59"/>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59"/>
      <c r="G299" s="59"/>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59"/>
      <c r="G300" s="59"/>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59"/>
      <c r="G301" s="59"/>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59"/>
      <c r="G302" s="59"/>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59"/>
      <c r="G303" s="59"/>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59"/>
      <c r="G304" s="59"/>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59"/>
      <c r="G305" s="59"/>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59"/>
      <c r="G306" s="59"/>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59"/>
      <c r="G307" s="59"/>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59"/>
      <c r="G308" s="59"/>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59"/>
      <c r="G309" s="59"/>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59"/>
      <c r="G310" s="59"/>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59"/>
      <c r="G311" s="59"/>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59"/>
      <c r="G312" s="59"/>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59"/>
      <c r="G313" s="59"/>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59"/>
      <c r="G314" s="59"/>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59"/>
      <c r="G315" s="59"/>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59"/>
      <c r="G316" s="59"/>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59"/>
      <c r="G317" s="59"/>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59"/>
      <c r="G318" s="59"/>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59"/>
      <c r="G319" s="59"/>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59"/>
      <c r="G320" s="59"/>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59"/>
      <c r="G321" s="59"/>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59"/>
      <c r="G322" s="59"/>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59"/>
      <c r="G323" s="59"/>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59"/>
      <c r="G324" s="59"/>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59"/>
      <c r="G325" s="59"/>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59"/>
      <c r="G326" s="59"/>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59"/>
      <c r="G327" s="59"/>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59"/>
      <c r="G328" s="59"/>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59"/>
      <c r="G329" s="59"/>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59"/>
      <c r="G330" s="59"/>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59"/>
      <c r="G331" s="59"/>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59"/>
      <c r="G332" s="59"/>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59"/>
      <c r="G333" s="59"/>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59"/>
      <c r="G334" s="59"/>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59"/>
      <c r="G335" s="59"/>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59"/>
      <c r="G336" s="59"/>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59"/>
      <c r="G337" s="59"/>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59"/>
      <c r="G338" s="59"/>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59"/>
      <c r="G339" s="59"/>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59"/>
      <c r="G340" s="59"/>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59"/>
      <c r="G341" s="59"/>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59"/>
      <c r="G342" s="59"/>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59"/>
      <c r="G343" s="59"/>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59"/>
      <c r="G344" s="59"/>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59"/>
      <c r="G345" s="59"/>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59"/>
      <c r="G346" s="59"/>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59"/>
      <c r="G347" s="59"/>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59"/>
      <c r="G348" s="59"/>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59"/>
      <c r="G349" s="59"/>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59"/>
      <c r="G350" s="59"/>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59"/>
      <c r="G351" s="59"/>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59"/>
      <c r="G352" s="59"/>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59"/>
      <c r="G353" s="59"/>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59"/>
      <c r="G354" s="59"/>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59"/>
      <c r="G355" s="59"/>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59"/>
      <c r="G356" s="59"/>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59"/>
      <c r="G357" s="59"/>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59"/>
      <c r="G358" s="59"/>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59"/>
      <c r="G359" s="59"/>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59"/>
      <c r="G360" s="59"/>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59"/>
      <c r="G361" s="59"/>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59"/>
      <c r="G362" s="59"/>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59"/>
      <c r="G363" s="59"/>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59"/>
      <c r="G364" s="59"/>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59"/>
      <c r="G365" s="59"/>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59"/>
      <c r="G366" s="59"/>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59"/>
      <c r="G367" s="59"/>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59"/>
      <c r="G368" s="59"/>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59"/>
      <c r="G369" s="59"/>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59"/>
      <c r="G370" s="59"/>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59"/>
      <c r="G371" s="59"/>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59"/>
      <c r="G372" s="59"/>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59"/>
      <c r="G373" s="59"/>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59"/>
      <c r="G374" s="59"/>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59"/>
      <c r="G375" s="59"/>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59"/>
      <c r="G376" s="59"/>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59"/>
      <c r="G377" s="59"/>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59"/>
      <c r="G378" s="59"/>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59"/>
      <c r="G379" s="59"/>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59"/>
      <c r="G380" s="59"/>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59"/>
      <c r="G381" s="59"/>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59"/>
      <c r="G382" s="59"/>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59"/>
      <c r="G383" s="59"/>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59"/>
      <c r="G384" s="59"/>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59"/>
      <c r="G385" s="59"/>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59"/>
      <c r="G386" s="59"/>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59"/>
      <c r="G387" s="59"/>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59"/>
      <c r="G388" s="59"/>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59"/>
      <c r="G389" s="59"/>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59"/>
      <c r="G390" s="59"/>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59"/>
      <c r="G391" s="59"/>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59"/>
      <c r="G392" s="59"/>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59"/>
      <c r="G393" s="59"/>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59"/>
      <c r="G394" s="59"/>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59"/>
      <c r="G395" s="59"/>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59"/>
      <c r="G396" s="59"/>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59"/>
      <c r="G397" s="59"/>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59"/>
      <c r="G398" s="59"/>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59"/>
      <c r="G399" s="59"/>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59"/>
      <c r="G400" s="59"/>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59"/>
      <c r="G401" s="59"/>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59"/>
      <c r="G402" s="59"/>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59"/>
      <c r="G403" s="59"/>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59"/>
      <c r="G404" s="59"/>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59"/>
      <c r="G405" s="59"/>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59"/>
      <c r="G406" s="59"/>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59"/>
      <c r="G407" s="59"/>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59"/>
      <c r="G408" s="59"/>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59"/>
      <c r="G409" s="59"/>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59"/>
      <c r="G410" s="59"/>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59"/>
      <c r="G411" s="59"/>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59"/>
      <c r="G412" s="59"/>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59"/>
      <c r="G413" s="59"/>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59"/>
      <c r="G414" s="59"/>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59"/>
      <c r="G415" s="59"/>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59"/>
      <c r="G416" s="59"/>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59"/>
      <c r="G417" s="59"/>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59"/>
      <c r="G418" s="59"/>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59"/>
      <c r="G419" s="59"/>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59"/>
      <c r="G420" s="59"/>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59"/>
      <c r="G421" s="59"/>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59"/>
      <c r="G422" s="59"/>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59"/>
      <c r="G423" s="59"/>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59"/>
      <c r="G424" s="59"/>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59"/>
      <c r="G425" s="59"/>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59"/>
      <c r="G426" s="59"/>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59"/>
      <c r="G427" s="59"/>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59"/>
      <c r="G428" s="59"/>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59"/>
      <c r="G429" s="59"/>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59"/>
      <c r="G430" s="59"/>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59"/>
      <c r="G431" s="59"/>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59"/>
      <c r="G432" s="59"/>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59"/>
      <c r="G433" s="59"/>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59"/>
      <c r="G434" s="59"/>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59"/>
      <c r="G435" s="59"/>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59"/>
      <c r="G436" s="59"/>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59"/>
      <c r="G437" s="59"/>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59"/>
      <c r="G438" s="59"/>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59"/>
      <c r="G439" s="59"/>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59"/>
      <c r="G440" s="59"/>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59"/>
      <c r="G441" s="59"/>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59"/>
      <c r="G442" s="59"/>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59"/>
      <c r="G443" s="59"/>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59"/>
      <c r="G444" s="59"/>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59"/>
      <c r="G445" s="59"/>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59"/>
      <c r="G446" s="59"/>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59"/>
      <c r="G447" s="59"/>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59"/>
      <c r="G448" s="59"/>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59"/>
      <c r="G449" s="59"/>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59"/>
      <c r="G450" s="59"/>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59"/>
      <c r="G451" s="59"/>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59"/>
      <c r="G452" s="59"/>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59"/>
      <c r="G453" s="59"/>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59"/>
      <c r="G454" s="59"/>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59"/>
      <c r="G455" s="59"/>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59"/>
      <c r="G456" s="59"/>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59"/>
      <c r="G457" s="59"/>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59"/>
      <c r="G458" s="59"/>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59"/>
      <c r="G459" s="59"/>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59"/>
      <c r="G460" s="59"/>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59"/>
      <c r="G461" s="59"/>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59"/>
      <c r="G462" s="59"/>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59"/>
      <c r="G463" s="59"/>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59"/>
      <c r="G464" s="59"/>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59"/>
      <c r="G465" s="59"/>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59"/>
      <c r="G466" s="59"/>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59"/>
      <c r="G467" s="59"/>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59"/>
      <c r="G468" s="59"/>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59"/>
      <c r="G469" s="59"/>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59"/>
      <c r="G470" s="59"/>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59"/>
      <c r="G471" s="59"/>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59"/>
      <c r="G472" s="59"/>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59"/>
      <c r="G473" s="59"/>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59"/>
      <c r="G474" s="59"/>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59"/>
      <c r="G475" s="59"/>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59"/>
      <c r="G476" s="59"/>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59"/>
      <c r="G477" s="59"/>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59"/>
      <c r="G478" s="59"/>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59"/>
      <c r="G479" s="59"/>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59"/>
      <c r="G480" s="59"/>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59"/>
      <c r="G481" s="59"/>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59"/>
      <c r="G482" s="59"/>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59"/>
      <c r="G483" s="59"/>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59"/>
      <c r="G484" s="59"/>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59"/>
      <c r="G485" s="59"/>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59"/>
      <c r="G486" s="59"/>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59"/>
      <c r="G487" s="59"/>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59"/>
      <c r="G488" s="59"/>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59"/>
      <c r="G489" s="59"/>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59"/>
      <c r="G490" s="59"/>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59"/>
      <c r="G491" s="59"/>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59"/>
      <c r="G492" s="59"/>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59"/>
      <c r="G493" s="59"/>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59"/>
      <c r="G494" s="59"/>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59"/>
      <c r="G495" s="59"/>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59"/>
      <c r="G496" s="59"/>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59"/>
      <c r="G497" s="59"/>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59"/>
      <c r="G498" s="59"/>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59"/>
      <c r="G499" s="59"/>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59"/>
      <c r="G500" s="59"/>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59"/>
      <c r="G501" s="59"/>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59"/>
      <c r="G502" s="59"/>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59"/>
      <c r="G503" s="59"/>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59"/>
      <c r="G504" s="59"/>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59"/>
      <c r="G505" s="59"/>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59"/>
      <c r="G506" s="59"/>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59"/>
      <c r="G507" s="59"/>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59"/>
      <c r="G508" s="59"/>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59"/>
      <c r="G509" s="59"/>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59"/>
      <c r="G510" s="59"/>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59"/>
      <c r="G511" s="59"/>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59"/>
      <c r="G512" s="59"/>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59"/>
      <c r="G513" s="59"/>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59"/>
      <c r="G514" s="59"/>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59"/>
      <c r="G515" s="59"/>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59"/>
      <c r="G516" s="59"/>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59"/>
      <c r="G517" s="59"/>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59"/>
      <c r="G518" s="59"/>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59"/>
      <c r="G519" s="59"/>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59"/>
      <c r="G520" s="59"/>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59"/>
      <c r="G521" s="59"/>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59"/>
      <c r="G522" s="59"/>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59"/>
      <c r="G523" s="59"/>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59"/>
      <c r="G524" s="59"/>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59"/>
      <c r="G525" s="59"/>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59"/>
      <c r="G526" s="59"/>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59"/>
      <c r="G527" s="59"/>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59"/>
      <c r="G528" s="59"/>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59"/>
      <c r="G529" s="59"/>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59"/>
      <c r="G530" s="59"/>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59"/>
      <c r="G531" s="59"/>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59"/>
      <c r="G532" s="59"/>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59"/>
      <c r="G533" s="59"/>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59"/>
      <c r="G534" s="59"/>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59"/>
      <c r="G535" s="59"/>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59"/>
      <c r="G536" s="59"/>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59"/>
      <c r="G537" s="59"/>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59"/>
      <c r="G538" s="59"/>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59"/>
      <c r="G539" s="59"/>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59"/>
      <c r="G540" s="59"/>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59"/>
      <c r="G541" s="59"/>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59"/>
      <c r="G542" s="59"/>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59"/>
      <c r="G543" s="59"/>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59"/>
      <c r="G544" s="59"/>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59"/>
      <c r="G545" s="59"/>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59"/>
      <c r="G546" s="59"/>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59"/>
      <c r="G547" s="59"/>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59"/>
      <c r="G548" s="59"/>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59"/>
      <c r="G549" s="59"/>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59"/>
      <c r="G550" s="59"/>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59"/>
      <c r="G551" s="59"/>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59"/>
      <c r="G552" s="59"/>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59"/>
      <c r="G553" s="59"/>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59"/>
      <c r="G554" s="59"/>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59"/>
      <c r="G555" s="59"/>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59"/>
      <c r="G556" s="59"/>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59"/>
      <c r="G557" s="59"/>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59"/>
      <c r="G558" s="59"/>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59"/>
      <c r="G559" s="59"/>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59"/>
      <c r="G560" s="59"/>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59"/>
      <c r="G561" s="59"/>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59"/>
      <c r="G562" s="59"/>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59"/>
      <c r="G563" s="59"/>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59"/>
      <c r="G564" s="59"/>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59"/>
      <c r="G565" s="59"/>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59"/>
      <c r="G566" s="59"/>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59"/>
      <c r="G567" s="59"/>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59"/>
      <c r="G568" s="59"/>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59"/>
      <c r="G569" s="59"/>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59"/>
      <c r="G570" s="59"/>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59"/>
      <c r="G571" s="59"/>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59"/>
      <c r="G572" s="59"/>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59"/>
      <c r="G573" s="59"/>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59"/>
      <c r="G574" s="59"/>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59"/>
      <c r="G575" s="59"/>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59"/>
      <c r="G576" s="59"/>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59"/>
      <c r="G577" s="59"/>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59"/>
      <c r="G578" s="59"/>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59"/>
      <c r="G579" s="59"/>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59"/>
      <c r="G580" s="59"/>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59"/>
      <c r="G581" s="59"/>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59"/>
      <c r="G582" s="59"/>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59"/>
      <c r="G583" s="59"/>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59"/>
      <c r="G584" s="59"/>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59"/>
      <c r="G585" s="59"/>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59"/>
      <c r="G586" s="59"/>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59"/>
      <c r="G587" s="59"/>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59"/>
      <c r="G588" s="59"/>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59"/>
      <c r="G589" s="59"/>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59"/>
      <c r="G590" s="59"/>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59"/>
      <c r="G591" s="59"/>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59"/>
      <c r="G592" s="59"/>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59"/>
      <c r="G593" s="59"/>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59"/>
      <c r="G594" s="59"/>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59"/>
      <c r="G595" s="59"/>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59"/>
      <c r="G596" s="59"/>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59"/>
      <c r="G597" s="59"/>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59"/>
      <c r="G598" s="59"/>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59"/>
      <c r="G599" s="59"/>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59"/>
      <c r="G600" s="59"/>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59"/>
      <c r="G601" s="59"/>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59"/>
      <c r="G602" s="59"/>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59"/>
      <c r="G603" s="59"/>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59"/>
      <c r="G604" s="59"/>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59"/>
      <c r="G605" s="59"/>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59"/>
      <c r="G606" s="59"/>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59"/>
      <c r="G607" s="59"/>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59"/>
      <c r="G608" s="59"/>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59"/>
      <c r="G609" s="59"/>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59"/>
      <c r="G610" s="59"/>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59"/>
      <c r="G611" s="59"/>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59"/>
      <c r="G612" s="59"/>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59"/>
      <c r="G613" s="59"/>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59"/>
      <c r="G614" s="59"/>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59"/>
      <c r="G615" s="59"/>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59"/>
      <c r="G616" s="59"/>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59"/>
      <c r="G617" s="59"/>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59"/>
      <c r="G618" s="59"/>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59"/>
      <c r="G619" s="59"/>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59"/>
      <c r="G620" s="59"/>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59"/>
      <c r="G621" s="59"/>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59"/>
      <c r="G622" s="59"/>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59"/>
      <c r="G623" s="59"/>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59"/>
      <c r="G624" s="59"/>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59"/>
      <c r="G625" s="59"/>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59"/>
      <c r="G626" s="59"/>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59"/>
      <c r="G627" s="59"/>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59"/>
      <c r="G628" s="59"/>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59"/>
      <c r="G629" s="59"/>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59"/>
      <c r="G630" s="59"/>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59"/>
      <c r="G631" s="59"/>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59"/>
      <c r="G632" s="59"/>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59"/>
      <c r="G633" s="59"/>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59"/>
      <c r="G634" s="59"/>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59"/>
      <c r="G635" s="59"/>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59"/>
      <c r="G636" s="59"/>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59"/>
      <c r="G637" s="59"/>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59"/>
      <c r="G638" s="59"/>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59"/>
      <c r="G639" s="59"/>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59"/>
      <c r="G640" s="59"/>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59"/>
      <c r="G641" s="59"/>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59"/>
      <c r="G642" s="59"/>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59"/>
      <c r="G643" s="59"/>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59"/>
      <c r="G644" s="59"/>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59"/>
      <c r="G645" s="59"/>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59"/>
      <c r="G646" s="59"/>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59"/>
      <c r="G647" s="59"/>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59"/>
      <c r="G648" s="59"/>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59"/>
      <c r="G649" s="59"/>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59"/>
      <c r="G650" s="59"/>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59"/>
      <c r="G651" s="59"/>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59"/>
      <c r="G652" s="59"/>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59"/>
      <c r="G653" s="59"/>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59"/>
      <c r="G654" s="59"/>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59"/>
      <c r="G655" s="59"/>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59"/>
      <c r="G656" s="59"/>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59"/>
      <c r="G657" s="59"/>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59"/>
      <c r="G658" s="59"/>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59"/>
      <c r="G659" s="59"/>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59"/>
      <c r="G660" s="59"/>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59"/>
      <c r="G661" s="59"/>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59"/>
      <c r="G662" s="59"/>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59"/>
      <c r="G663" s="59"/>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59"/>
      <c r="G664" s="59"/>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59"/>
      <c r="G665" s="59"/>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59"/>
      <c r="G666" s="59"/>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59"/>
      <c r="G667" s="59"/>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59"/>
      <c r="G668" s="59"/>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59"/>
      <c r="G669" s="59"/>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59"/>
      <c r="G670" s="59"/>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59"/>
      <c r="G671" s="59"/>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59"/>
      <c r="G672" s="59"/>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59"/>
      <c r="G673" s="59"/>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59"/>
      <c r="G674" s="59"/>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59"/>
      <c r="G675" s="59"/>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59"/>
      <c r="G676" s="59"/>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59"/>
      <c r="G677" s="59"/>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59"/>
      <c r="G678" s="59"/>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59"/>
      <c r="G679" s="59"/>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59"/>
      <c r="G680" s="59"/>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59"/>
      <c r="G681" s="59"/>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59"/>
      <c r="G682" s="59"/>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59"/>
      <c r="G683" s="59"/>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59"/>
      <c r="G684" s="59"/>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59"/>
      <c r="G685" s="59"/>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59"/>
      <c r="G686" s="59"/>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59"/>
      <c r="G687" s="59"/>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59"/>
      <c r="G688" s="59"/>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59"/>
      <c r="G689" s="59"/>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59"/>
      <c r="G690" s="59"/>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59"/>
      <c r="G691" s="59"/>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59"/>
      <c r="G692" s="59"/>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59"/>
      <c r="G693" s="59"/>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59"/>
      <c r="G694" s="59"/>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59"/>
      <c r="G695" s="59"/>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59"/>
      <c r="G696" s="59"/>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59"/>
      <c r="G697" s="59"/>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59"/>
      <c r="G698" s="59"/>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59"/>
      <c r="G699" s="59"/>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59"/>
      <c r="G700" s="59"/>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59"/>
      <c r="G701" s="59"/>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59"/>
      <c r="G702" s="59"/>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59"/>
      <c r="G703" s="59"/>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59"/>
      <c r="G704" s="59"/>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59"/>
      <c r="G705" s="59"/>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59"/>
      <c r="G706" s="59"/>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59"/>
      <c r="G707" s="59"/>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59"/>
      <c r="G708" s="59"/>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59"/>
      <c r="G709" s="59"/>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59"/>
      <c r="G710" s="59"/>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59"/>
      <c r="G711" s="59"/>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59"/>
      <c r="G712" s="59"/>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59"/>
      <c r="G713" s="59"/>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59"/>
      <c r="G714" s="59"/>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59"/>
      <c r="G715" s="59"/>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59"/>
      <c r="G716" s="59"/>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59"/>
      <c r="G717" s="59"/>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59"/>
      <c r="G718" s="59"/>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59"/>
      <c r="G719" s="59"/>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59"/>
      <c r="G720" s="59"/>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59"/>
      <c r="G721" s="59"/>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59"/>
      <c r="G722" s="59"/>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59"/>
      <c r="G723" s="59"/>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59"/>
      <c r="G724" s="59"/>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59"/>
      <c r="G725" s="59"/>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59"/>
      <c r="G726" s="59"/>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59"/>
      <c r="G727" s="59"/>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59"/>
      <c r="G728" s="59"/>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59"/>
      <c r="G729" s="59"/>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59"/>
      <c r="G730" s="59"/>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59"/>
      <c r="G731" s="59"/>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59"/>
      <c r="G732" s="59"/>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59"/>
      <c r="G733" s="59"/>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59"/>
      <c r="G734" s="59"/>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59"/>
      <c r="G735" s="59"/>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59"/>
      <c r="G736" s="59"/>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59"/>
      <c r="G737" s="59"/>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59"/>
      <c r="G738" s="59"/>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59"/>
      <c r="G739" s="59"/>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59"/>
      <c r="G740" s="59"/>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59"/>
      <c r="G741" s="59"/>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59"/>
      <c r="G742" s="59"/>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59"/>
      <c r="G743" s="59"/>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59"/>
      <c r="G744" s="59"/>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59"/>
      <c r="G745" s="59"/>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59"/>
      <c r="G746" s="59"/>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59"/>
      <c r="G747" s="59"/>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59"/>
      <c r="G748" s="59"/>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59"/>
      <c r="G749" s="59"/>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59"/>
      <c r="G750" s="59"/>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59"/>
      <c r="G751" s="59"/>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59"/>
      <c r="G752" s="59"/>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59"/>
      <c r="G753" s="59"/>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59"/>
      <c r="G754" s="59"/>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59"/>
      <c r="G755" s="59"/>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59"/>
      <c r="G756" s="59"/>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59"/>
      <c r="G757" s="59"/>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59"/>
      <c r="G758" s="59"/>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59"/>
      <c r="G759" s="59"/>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59"/>
      <c r="G760" s="59"/>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59"/>
      <c r="G761" s="59"/>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59"/>
      <c r="G762" s="59"/>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59"/>
      <c r="G763" s="59"/>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59"/>
      <c r="G764" s="59"/>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59"/>
      <c r="G765" s="59"/>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59"/>
      <c r="G766" s="59"/>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59"/>
      <c r="G767" s="59"/>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59"/>
      <c r="G768" s="59"/>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59"/>
      <c r="G769" s="59"/>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59"/>
      <c r="G770" s="59"/>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59"/>
      <c r="G771" s="59"/>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59"/>
      <c r="G772" s="59"/>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59"/>
      <c r="G773" s="59"/>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59"/>
      <c r="G774" s="59"/>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59"/>
      <c r="G775" s="59"/>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59"/>
      <c r="G776" s="59"/>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59"/>
      <c r="G777" s="59"/>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59"/>
      <c r="G778" s="59"/>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59"/>
      <c r="G779" s="59"/>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59"/>
      <c r="G780" s="59"/>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59"/>
      <c r="G781" s="59"/>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59"/>
      <c r="G782" s="59"/>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59"/>
      <c r="G783" s="59"/>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59"/>
      <c r="G784" s="59"/>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59"/>
      <c r="G785" s="59"/>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59"/>
      <c r="G786" s="59"/>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59"/>
      <c r="G787" s="59"/>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59"/>
      <c r="G788" s="59"/>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59"/>
      <c r="G789" s="59"/>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59"/>
      <c r="G790" s="59"/>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59"/>
      <c r="G791" s="59"/>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59"/>
      <c r="G792" s="59"/>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59"/>
      <c r="G793" s="59"/>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59"/>
      <c r="G794" s="59"/>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59"/>
      <c r="G795" s="59"/>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59"/>
      <c r="G796" s="59"/>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59"/>
      <c r="G797" s="59"/>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59"/>
      <c r="G798" s="59"/>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59"/>
      <c r="G799" s="59"/>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59"/>
      <c r="G800" s="59"/>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59"/>
      <c r="G801" s="59"/>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59"/>
      <c r="G802" s="59"/>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59"/>
      <c r="G803" s="59"/>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59"/>
      <c r="G804" s="59"/>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59"/>
      <c r="G805" s="59"/>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59"/>
      <c r="G806" s="59"/>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59"/>
      <c r="G807" s="59"/>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59"/>
      <c r="G808" s="59"/>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59"/>
      <c r="G809" s="59"/>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59"/>
      <c r="G810" s="59"/>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59"/>
      <c r="G811" s="59"/>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59"/>
      <c r="G812" s="59"/>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59"/>
      <c r="G813" s="59"/>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59"/>
      <c r="G814" s="59"/>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59"/>
      <c r="G815" s="59"/>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59"/>
      <c r="G816" s="59"/>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59"/>
      <c r="G817" s="59"/>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59"/>
      <c r="G818" s="59"/>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59"/>
      <c r="G819" s="59"/>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59"/>
      <c r="G820" s="59"/>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59"/>
      <c r="G821" s="59"/>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59"/>
      <c r="G822" s="59"/>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59"/>
      <c r="G823" s="59"/>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59"/>
      <c r="G824" s="59"/>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59"/>
      <c r="G825" s="59"/>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59"/>
      <c r="G826" s="59"/>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59"/>
      <c r="G827" s="59"/>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59"/>
      <c r="G828" s="59"/>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59"/>
      <c r="G829" s="59"/>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59"/>
      <c r="G830" s="59"/>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59"/>
      <c r="G831" s="59"/>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59"/>
      <c r="G832" s="59"/>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59"/>
      <c r="G833" s="59"/>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59"/>
      <c r="G834" s="59"/>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59"/>
      <c r="G835" s="59"/>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59"/>
      <c r="G836" s="59"/>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59"/>
      <c r="G837" s="59"/>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59"/>
      <c r="G838" s="59"/>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59"/>
      <c r="G839" s="59"/>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59"/>
      <c r="G840" s="59"/>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59"/>
      <c r="G841" s="59"/>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59"/>
      <c r="G842" s="59"/>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59"/>
      <c r="G843" s="59"/>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59"/>
      <c r="G844" s="59"/>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59"/>
      <c r="G845" s="59"/>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59"/>
      <c r="G846" s="59"/>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59"/>
      <c r="G847" s="59"/>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59"/>
      <c r="G848" s="59"/>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59"/>
      <c r="G849" s="59"/>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59"/>
      <c r="G850" s="59"/>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59"/>
      <c r="G851" s="59"/>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59"/>
      <c r="G852" s="59"/>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59"/>
      <c r="G853" s="59"/>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59"/>
      <c r="G854" s="59"/>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59"/>
      <c r="G855" s="59"/>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59"/>
      <c r="G856" s="59"/>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59"/>
      <c r="G857" s="59"/>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59"/>
      <c r="G858" s="59"/>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59"/>
      <c r="G859" s="59"/>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59"/>
      <c r="G860" s="59"/>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59"/>
      <c r="G861" s="59"/>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59"/>
      <c r="G862" s="59"/>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59"/>
      <c r="G863" s="59"/>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59"/>
      <c r="G864" s="59"/>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59"/>
      <c r="G865" s="59"/>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59"/>
      <c r="G866" s="59"/>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59"/>
      <c r="G867" s="59"/>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59"/>
      <c r="G868" s="59"/>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59"/>
      <c r="G869" s="59"/>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59"/>
      <c r="G870" s="59"/>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59"/>
      <c r="G871" s="59"/>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59"/>
      <c r="G872" s="59"/>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59"/>
      <c r="G873" s="59"/>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59"/>
      <c r="G874" s="59"/>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59"/>
      <c r="G875" s="59"/>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59"/>
      <c r="G876" s="59"/>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59"/>
      <c r="G877" s="59"/>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59"/>
      <c r="G878" s="59"/>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59"/>
      <c r="G879" s="59"/>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59"/>
      <c r="G880" s="59"/>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59"/>
      <c r="G881" s="59"/>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59"/>
      <c r="G882" s="59"/>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59"/>
      <c r="G883" s="59"/>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59"/>
      <c r="G884" s="59"/>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59"/>
      <c r="G885" s="59"/>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59"/>
      <c r="G886" s="59"/>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59"/>
      <c r="G887" s="59"/>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59"/>
      <c r="G888" s="59"/>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59"/>
      <c r="G889" s="59"/>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59"/>
      <c r="G890" s="59"/>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59"/>
      <c r="G891" s="59"/>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59"/>
      <c r="G892" s="59"/>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59"/>
      <c r="G893" s="59"/>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59"/>
      <c r="G894" s="59"/>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59"/>
      <c r="G895" s="59"/>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59"/>
      <c r="G896" s="59"/>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59"/>
      <c r="G897" s="59"/>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59"/>
      <c r="G898" s="59"/>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59"/>
      <c r="G899" s="59"/>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59"/>
      <c r="G900" s="59"/>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59"/>
      <c r="G901" s="59"/>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59"/>
      <c r="G902" s="59"/>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59"/>
      <c r="G903" s="59"/>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59"/>
      <c r="G904" s="59"/>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59"/>
      <c r="G905" s="59"/>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59"/>
      <c r="G906" s="59"/>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59"/>
      <c r="G907" s="59"/>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59"/>
      <c r="G908" s="59"/>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59"/>
      <c r="G909" s="59"/>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59"/>
      <c r="G910" s="59"/>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59"/>
      <c r="G911" s="59"/>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59"/>
      <c r="G912" s="59"/>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59"/>
      <c r="G913" s="59"/>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59"/>
      <c r="G914" s="59"/>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59"/>
      <c r="G915" s="59"/>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59"/>
      <c r="G916" s="59"/>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59"/>
      <c r="G917" s="59"/>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59"/>
      <c r="G918" s="59"/>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59"/>
      <c r="G919" s="59"/>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59"/>
      <c r="G920" s="59"/>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59"/>
      <c r="G921" s="59"/>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59"/>
      <c r="G922" s="59"/>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59"/>
      <c r="G923" s="59"/>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59"/>
      <c r="G924" s="59"/>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59"/>
      <c r="G925" s="59"/>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59"/>
      <c r="G926" s="59"/>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59"/>
      <c r="G927" s="59"/>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59"/>
      <c r="G928" s="59"/>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59"/>
      <c r="G929" s="59"/>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59"/>
      <c r="G930" s="59"/>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59"/>
      <c r="G931" s="59"/>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59"/>
      <c r="G932" s="59"/>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59"/>
      <c r="G933" s="59"/>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59"/>
      <c r="G934" s="59"/>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59"/>
      <c r="G935" s="59"/>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59"/>
      <c r="G936" s="59"/>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59"/>
      <c r="G937" s="59"/>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59"/>
      <c r="G938" s="59"/>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59"/>
      <c r="G939" s="59"/>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59"/>
      <c r="G940" s="59"/>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59"/>
      <c r="G941" s="59"/>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59"/>
      <c r="G942" s="59"/>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59"/>
      <c r="G943" s="59"/>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59"/>
      <c r="G944" s="59"/>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59"/>
      <c r="G945" s="59"/>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59"/>
      <c r="G946" s="59"/>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59"/>
      <c r="G947" s="59"/>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59"/>
      <c r="G948" s="59"/>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59"/>
      <c r="G949" s="59"/>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59"/>
      <c r="G950" s="59"/>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59"/>
      <c r="G951" s="59"/>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59"/>
      <c r="G952" s="59"/>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59"/>
      <c r="G953" s="59"/>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59"/>
      <c r="G954" s="59"/>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59"/>
      <c r="G955" s="59"/>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59"/>
      <c r="G956" s="59"/>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59"/>
      <c r="G957" s="59"/>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59"/>
      <c r="G958" s="59"/>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59"/>
      <c r="G959" s="59"/>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59"/>
      <c r="G960" s="59"/>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59"/>
      <c r="G961" s="59"/>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59"/>
      <c r="G962" s="59"/>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59"/>
      <c r="G963" s="59"/>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59"/>
      <c r="G964" s="59"/>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59"/>
      <c r="G965" s="59"/>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59"/>
      <c r="G966" s="59"/>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59"/>
      <c r="G967" s="59"/>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59"/>
      <c r="G968" s="59"/>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59"/>
      <c r="G969" s="59"/>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59"/>
      <c r="G970" s="59"/>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59"/>
      <c r="G971" s="59"/>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59"/>
      <c r="G972" s="59"/>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59"/>
      <c r="G973" s="59"/>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59"/>
      <c r="G974" s="59"/>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59"/>
      <c r="G975" s="59"/>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59"/>
      <c r="G976" s="59"/>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59"/>
      <c r="G977" s="59"/>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59"/>
      <c r="G978" s="59"/>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59"/>
      <c r="G979" s="59"/>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59"/>
      <c r="G980" s="59"/>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59"/>
      <c r="G981" s="59"/>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59"/>
      <c r="G982" s="59"/>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59"/>
      <c r="G983" s="59"/>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59"/>
      <c r="G984" s="59"/>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59"/>
      <c r="G985" s="59"/>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59"/>
      <c r="G986" s="59"/>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59"/>
      <c r="G987" s="59"/>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59"/>
      <c r="G988" s="59"/>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59"/>
      <c r="G989" s="59"/>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59"/>
      <c r="G990" s="59"/>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59"/>
      <c r="G991" s="59"/>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59"/>
      <c r="G992" s="59"/>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59"/>
      <c r="G993" s="59"/>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59"/>
      <c r="G994" s="59"/>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59"/>
      <c r="G995" s="59"/>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59"/>
      <c r="G996" s="59"/>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59"/>
      <c r="G997" s="59"/>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59"/>
      <c r="G998" s="59"/>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59"/>
      <c r="G999" s="59"/>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59"/>
      <c r="G1000" s="59"/>
      <c r="H1000" s="15"/>
      <c r="I1000" s="15"/>
      <c r="J1000" s="15"/>
      <c r="K1000" s="15"/>
      <c r="L1000" s="15"/>
      <c r="M1000" s="15"/>
      <c r="N1000" s="15"/>
      <c r="O1000" s="15"/>
      <c r="P1000" s="15"/>
      <c r="Q1000" s="15"/>
      <c r="R1000" s="15"/>
      <c r="S1000" s="15"/>
      <c r="T1000" s="15"/>
      <c r="U1000" s="15"/>
      <c r="V1000" s="15"/>
      <c r="W1000" s="15"/>
      <c r="X1000" s="15"/>
      <c r="Y1000" s="15"/>
      <c r="Z1000" s="15"/>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t="s">
        <v>0</v>
      </c>
      <c r="B1" s="1" t="s">
        <v>1</v>
      </c>
      <c r="C1" s="1" t="s">
        <v>2</v>
      </c>
      <c r="D1" s="1" t="s">
        <v>3</v>
      </c>
      <c r="E1" s="1" t="s">
        <v>4</v>
      </c>
      <c r="F1" s="2"/>
      <c r="H1" s="3"/>
      <c r="I1" s="5" t="s">
        <v>5</v>
      </c>
      <c r="K1" s="7" t="s">
        <v>7</v>
      </c>
      <c r="M1" s="8" t="s">
        <v>9</v>
      </c>
      <c r="N1" s="9">
        <v>13.0</v>
      </c>
    </row>
    <row r="2">
      <c r="A2" s="10">
        <v>7.0</v>
      </c>
      <c r="B2" s="11"/>
      <c r="C2" s="11"/>
      <c r="D2" s="11"/>
      <c r="E2" s="11"/>
      <c r="H2" s="12"/>
      <c r="I2" s="5" t="s">
        <v>10</v>
      </c>
      <c r="M2" s="8" t="s">
        <v>11</v>
      </c>
      <c r="N2" s="9">
        <v>15.0</v>
      </c>
    </row>
    <row r="3">
      <c r="A3" s="10">
        <v>8.0</v>
      </c>
      <c r="B3" s="11"/>
      <c r="C3" s="11"/>
      <c r="D3" s="11"/>
      <c r="E3" s="11"/>
      <c r="M3" s="8" t="s">
        <v>12</v>
      </c>
      <c r="N3" s="9">
        <v>15.0</v>
      </c>
    </row>
    <row r="4">
      <c r="A4" s="17">
        <v>13.0</v>
      </c>
      <c r="B4" s="18">
        <v>45994.0</v>
      </c>
      <c r="C4" s="17">
        <v>2025.0</v>
      </c>
      <c r="D4" s="17">
        <v>3.0</v>
      </c>
      <c r="E4" s="19" t="s">
        <v>13</v>
      </c>
    </row>
    <row r="5">
      <c r="A5" s="10">
        <v>28.0</v>
      </c>
      <c r="B5" s="11"/>
      <c r="C5" s="11"/>
      <c r="D5" s="11"/>
      <c r="E5" s="11"/>
    </row>
    <row r="6">
      <c r="A6" s="10">
        <v>44.0</v>
      </c>
      <c r="B6" s="11"/>
      <c r="C6" s="11"/>
      <c r="D6" s="11"/>
      <c r="E6" s="11"/>
    </row>
    <row r="7">
      <c r="A7" s="10">
        <v>53.0</v>
      </c>
      <c r="B7" s="11"/>
      <c r="C7" s="11"/>
      <c r="D7" s="11"/>
      <c r="E7" s="11"/>
    </row>
    <row r="8">
      <c r="A8" s="10">
        <v>54.0</v>
      </c>
      <c r="B8" s="11"/>
      <c r="C8" s="11"/>
      <c r="D8" s="11"/>
      <c r="E8" s="11"/>
    </row>
    <row r="9">
      <c r="A9" s="10">
        <v>55.0</v>
      </c>
      <c r="B9" s="11"/>
      <c r="C9" s="11"/>
      <c r="D9" s="11"/>
      <c r="E9" s="11"/>
    </row>
    <row r="10">
      <c r="A10" s="10">
        <v>63.0</v>
      </c>
      <c r="B10" s="11"/>
      <c r="C10" s="11"/>
      <c r="D10" s="11"/>
      <c r="E10" s="11"/>
    </row>
    <row r="11">
      <c r="A11" s="10">
        <v>73.0</v>
      </c>
      <c r="B11" s="11"/>
      <c r="C11" s="11"/>
      <c r="D11" s="11"/>
      <c r="E11" s="11"/>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0">
        <v>139.0</v>
      </c>
      <c r="B15" s="11"/>
      <c r="C15" s="11"/>
      <c r="D15" s="11"/>
      <c r="E15" s="11"/>
    </row>
    <row r="16">
      <c r="A16" s="10">
        <v>154.0</v>
      </c>
      <c r="B16" s="11"/>
      <c r="C16" s="11"/>
      <c r="D16" s="11"/>
      <c r="E16" s="11"/>
    </row>
    <row r="17">
      <c r="A17" s="10">
        <v>169.0</v>
      </c>
      <c r="B17" s="11"/>
      <c r="C17" s="11"/>
      <c r="D17" s="11"/>
      <c r="E17" s="11"/>
    </row>
    <row r="18">
      <c r="A18" s="10">
        <v>180.0</v>
      </c>
      <c r="B18" s="11"/>
      <c r="C18" s="11"/>
      <c r="D18" s="11"/>
      <c r="E18" s="11"/>
    </row>
    <row r="19">
      <c r="A19" s="17">
        <v>183.0</v>
      </c>
      <c r="B19" s="18">
        <v>45792.0</v>
      </c>
      <c r="C19" s="17">
        <v>2025.0</v>
      </c>
      <c r="D19" s="17">
        <v>3.0</v>
      </c>
      <c r="E19" s="19" t="s">
        <v>17</v>
      </c>
    </row>
    <row r="20">
      <c r="A20" s="10">
        <v>199.0</v>
      </c>
      <c r="B20" s="11"/>
      <c r="C20" s="11"/>
      <c r="D20" s="11"/>
      <c r="E20" s="11"/>
    </row>
    <row r="21">
      <c r="A21" s="23">
        <v>212.0</v>
      </c>
      <c r="B21" s="24">
        <v>45009.0</v>
      </c>
      <c r="C21" s="23">
        <v>2023.0</v>
      </c>
      <c r="D21" s="23">
        <v>1.0</v>
      </c>
      <c r="E21" s="25" t="s">
        <v>18</v>
      </c>
    </row>
    <row r="22">
      <c r="A22" s="10">
        <v>216.0</v>
      </c>
      <c r="B22" s="11"/>
      <c r="C22" s="11"/>
      <c r="D22" s="11"/>
      <c r="E22" s="11"/>
    </row>
    <row r="23">
      <c r="A23" s="17">
        <v>219.0</v>
      </c>
      <c r="B23" s="18">
        <v>45994.0</v>
      </c>
      <c r="C23" s="17">
        <v>2025.0</v>
      </c>
      <c r="D23" s="17">
        <v>3.0</v>
      </c>
      <c r="E23" s="19" t="s">
        <v>19</v>
      </c>
    </row>
    <row r="24">
      <c r="A24" s="10">
        <v>221.0</v>
      </c>
      <c r="B24" s="11"/>
      <c r="C24" s="11"/>
      <c r="D24" s="11"/>
      <c r="E24" s="11"/>
    </row>
    <row r="25">
      <c r="A25" s="10">
        <v>235.0</v>
      </c>
      <c r="B25" s="11"/>
      <c r="C25" s="11"/>
      <c r="D25" s="11"/>
      <c r="E25" s="11"/>
    </row>
    <row r="26">
      <c r="A26" s="23">
        <v>254.0</v>
      </c>
      <c r="B26" s="24">
        <v>45224.0</v>
      </c>
      <c r="C26" s="23">
        <v>2023.0</v>
      </c>
      <c r="D26" s="23">
        <v>1.0</v>
      </c>
      <c r="E26" s="25" t="s">
        <v>20</v>
      </c>
    </row>
    <row r="27">
      <c r="A27" s="17">
        <v>268.0</v>
      </c>
      <c r="B27" s="18">
        <v>45386.0</v>
      </c>
      <c r="C27" s="17">
        <v>2024.0</v>
      </c>
      <c r="D27" s="17">
        <v>2.0</v>
      </c>
      <c r="E27" s="19" t="s">
        <v>21</v>
      </c>
    </row>
    <row r="28">
      <c r="A28" s="10">
        <v>299.0</v>
      </c>
      <c r="B28" s="11"/>
      <c r="C28" s="11"/>
      <c r="D28" s="11"/>
      <c r="E28" s="11"/>
    </row>
    <row r="29">
      <c r="A29" s="10">
        <v>322.0</v>
      </c>
      <c r="B29" s="11"/>
      <c r="C29" s="11"/>
      <c r="D29" s="11"/>
      <c r="E29" s="11"/>
    </row>
    <row r="30">
      <c r="A30" s="10">
        <v>349.0</v>
      </c>
      <c r="B30" s="11"/>
      <c r="C30" s="11"/>
      <c r="D30" s="11"/>
      <c r="E30" s="11"/>
    </row>
    <row r="31">
      <c r="A31" s="17">
        <v>352.0</v>
      </c>
      <c r="B31" s="18">
        <v>46051.0</v>
      </c>
      <c r="C31" s="17">
        <v>2026.0</v>
      </c>
      <c r="D31" s="17">
        <v>3.0</v>
      </c>
      <c r="E31" s="19" t="s">
        <v>22</v>
      </c>
    </row>
    <row r="32">
      <c r="A32" s="10">
        <v>360.0</v>
      </c>
      <c r="B32" s="11"/>
      <c r="C32" s="11"/>
      <c r="D32" s="11"/>
      <c r="E32" s="11"/>
    </row>
    <row r="33">
      <c r="A33" s="17">
        <v>379.0</v>
      </c>
      <c r="B33" s="18">
        <v>45982.0</v>
      </c>
      <c r="C33" s="17">
        <v>2025.0</v>
      </c>
      <c r="D33" s="17">
        <v>3.0</v>
      </c>
      <c r="E33" s="19" t="s">
        <v>23</v>
      </c>
    </row>
    <row r="34">
      <c r="A34" s="10">
        <v>381.0</v>
      </c>
      <c r="B34" s="11"/>
      <c r="C34" s="11"/>
      <c r="D34" s="11"/>
      <c r="E34" s="11"/>
    </row>
    <row r="35">
      <c r="A35" s="17">
        <v>382.0</v>
      </c>
      <c r="B35" s="18">
        <v>45861.0</v>
      </c>
      <c r="C35" s="17">
        <v>2025.0</v>
      </c>
      <c r="D35" s="17">
        <v>3.0</v>
      </c>
      <c r="E35" s="19" t="s">
        <v>24</v>
      </c>
    </row>
    <row r="36">
      <c r="A36" s="10">
        <v>404.0</v>
      </c>
      <c r="B36" s="11"/>
      <c r="C36" s="11"/>
      <c r="D36" s="11"/>
      <c r="E36" s="11"/>
    </row>
    <row r="37">
      <c r="A37" s="17">
        <v>414.0</v>
      </c>
      <c r="B37" s="18">
        <v>45982.0</v>
      </c>
      <c r="C37" s="17">
        <v>2025.0</v>
      </c>
      <c r="D37" s="17">
        <v>3.0</v>
      </c>
      <c r="E37" s="19" t="s">
        <v>23</v>
      </c>
    </row>
    <row r="38">
      <c r="A38" s="10">
        <v>418.0</v>
      </c>
      <c r="B38" s="11"/>
      <c r="C38" s="11"/>
      <c r="D38" s="11"/>
      <c r="E38" s="11"/>
    </row>
    <row r="39">
      <c r="A39" s="17">
        <v>419.0</v>
      </c>
      <c r="B39" s="18">
        <v>45805.0</v>
      </c>
      <c r="C39" s="17">
        <v>2025.0</v>
      </c>
      <c r="D39" s="17">
        <v>3.0</v>
      </c>
      <c r="E39" s="19" t="s">
        <v>25</v>
      </c>
    </row>
    <row r="40">
      <c r="A40" s="10">
        <v>429.0</v>
      </c>
      <c r="B40" s="11"/>
      <c r="C40" s="11"/>
      <c r="D40" s="11"/>
      <c r="E40" s="11"/>
    </row>
    <row r="41">
      <c r="A41" s="10">
        <v>430.0</v>
      </c>
      <c r="B41" s="11"/>
      <c r="C41" s="11"/>
      <c r="D41" s="11"/>
      <c r="E41" s="11"/>
    </row>
    <row r="42">
      <c r="A42" s="10">
        <v>432.0</v>
      </c>
      <c r="B42" s="11"/>
      <c r="C42" s="11"/>
      <c r="D42" s="11"/>
      <c r="E42" s="11"/>
    </row>
    <row r="43">
      <c r="A43" s="10">
        <v>442.0</v>
      </c>
      <c r="B43" s="11"/>
      <c r="C43" s="11"/>
      <c r="D43" s="11"/>
      <c r="E43" s="11"/>
    </row>
    <row r="44">
      <c r="A44" s="10">
        <v>450.0</v>
      </c>
      <c r="B44" s="11"/>
      <c r="C44" s="11"/>
      <c r="D44" s="11"/>
      <c r="E44" s="11"/>
    </row>
    <row r="45">
      <c r="A45" s="10">
        <v>498.0</v>
      </c>
      <c r="B45" s="11"/>
      <c r="C45" s="11"/>
      <c r="D45" s="11"/>
      <c r="E45" s="11"/>
    </row>
    <row r="46">
      <c r="A46" s="10">
        <v>499.0</v>
      </c>
      <c r="B46" s="11"/>
      <c r="C46" s="11"/>
      <c r="D46" s="11"/>
      <c r="E46" s="11"/>
    </row>
    <row r="47">
      <c r="A47" s="10">
        <v>502.0</v>
      </c>
      <c r="B47" s="11"/>
      <c r="C47" s="11"/>
      <c r="D47" s="11"/>
      <c r="E47" s="11"/>
    </row>
    <row r="48">
      <c r="A48" s="10">
        <v>512.0</v>
      </c>
      <c r="B48" s="11"/>
      <c r="C48" s="11"/>
      <c r="D48" s="11"/>
      <c r="E48" s="11"/>
    </row>
    <row r="49">
      <c r="A49" s="23">
        <v>539.0</v>
      </c>
      <c r="B49" s="24">
        <v>45209.0</v>
      </c>
      <c r="C49" s="23">
        <v>2023.0</v>
      </c>
      <c r="D49" s="23">
        <v>1.0</v>
      </c>
      <c r="E49" s="25" t="s">
        <v>26</v>
      </c>
    </row>
    <row r="50">
      <c r="A50" s="17">
        <v>542.0</v>
      </c>
      <c r="B50" s="18">
        <v>45405.0</v>
      </c>
      <c r="C50" s="17">
        <v>2024.0</v>
      </c>
      <c r="D50" s="17">
        <v>2.0</v>
      </c>
      <c r="E50" s="19" t="s">
        <v>27</v>
      </c>
    </row>
    <row r="51">
      <c r="A51" s="10">
        <v>569.0</v>
      </c>
      <c r="B51" s="11"/>
      <c r="C51" s="11"/>
      <c r="D51" s="11"/>
      <c r="E51" s="11"/>
    </row>
    <row r="52">
      <c r="A52" s="10">
        <v>586.0</v>
      </c>
      <c r="B52" s="11"/>
      <c r="C52" s="11"/>
      <c r="D52" s="11"/>
      <c r="E52" s="11"/>
    </row>
    <row r="53">
      <c r="A53" s="10">
        <v>587.0</v>
      </c>
      <c r="B53" s="11"/>
      <c r="C53" s="11"/>
      <c r="D53" s="11"/>
      <c r="E53" s="11"/>
    </row>
    <row r="54">
      <c r="A54" s="10">
        <v>597.0</v>
      </c>
      <c r="B54" s="11"/>
      <c r="C54" s="11"/>
      <c r="D54" s="11"/>
      <c r="E54" s="11"/>
    </row>
    <row r="55">
      <c r="A55" s="10">
        <v>599.0</v>
      </c>
      <c r="B55" s="11"/>
      <c r="C55" s="11"/>
      <c r="D55" s="11"/>
      <c r="E55" s="11"/>
    </row>
    <row r="56">
      <c r="A56" s="10">
        <v>613.0</v>
      </c>
      <c r="B56" s="11"/>
      <c r="C56" s="11"/>
      <c r="D56" s="11"/>
      <c r="E56" s="11"/>
    </row>
    <row r="57">
      <c r="A57" s="10">
        <v>614.0</v>
      </c>
      <c r="B57" s="11"/>
      <c r="C57" s="11"/>
      <c r="D57" s="11"/>
      <c r="E57" s="11"/>
    </row>
    <row r="58">
      <c r="A58" s="10">
        <v>617.0</v>
      </c>
      <c r="B58" s="11"/>
      <c r="C58" s="11"/>
      <c r="D58" s="11"/>
      <c r="E58" s="11"/>
    </row>
    <row r="59">
      <c r="A59" s="10">
        <v>620.0</v>
      </c>
      <c r="B59" s="11"/>
      <c r="C59" s="11"/>
      <c r="D59" s="11"/>
      <c r="E59" s="11"/>
    </row>
    <row r="60">
      <c r="A60" s="10">
        <v>652.0</v>
      </c>
      <c r="B60" s="11"/>
      <c r="C60" s="11"/>
      <c r="D60" s="11"/>
      <c r="E60" s="11"/>
    </row>
    <row r="61">
      <c r="A61" s="10">
        <v>653.0</v>
      </c>
      <c r="B61" s="11"/>
      <c r="C61" s="11"/>
      <c r="D61" s="11"/>
      <c r="E61" s="11"/>
    </row>
    <row r="62">
      <c r="A62" s="10">
        <v>657.0</v>
      </c>
      <c r="B62" s="11"/>
      <c r="C62" s="11"/>
      <c r="D62" s="11"/>
      <c r="E62" s="11"/>
    </row>
    <row r="63">
      <c r="A63" s="10">
        <v>658.0</v>
      </c>
      <c r="B63" s="11"/>
      <c r="C63" s="11"/>
      <c r="D63" s="11"/>
      <c r="E63" s="11"/>
    </row>
    <row r="64">
      <c r="A64" s="23">
        <v>672.0</v>
      </c>
      <c r="B64" s="24">
        <v>45350.0</v>
      </c>
      <c r="C64" s="23">
        <v>2024.0</v>
      </c>
      <c r="D64" s="23">
        <v>1.0</v>
      </c>
      <c r="E64" s="25" t="s">
        <v>28</v>
      </c>
    </row>
    <row r="65">
      <c r="A65" s="10">
        <v>676.0</v>
      </c>
      <c r="B65" s="11"/>
      <c r="C65" s="11"/>
      <c r="D65" s="11"/>
      <c r="E65" s="11"/>
    </row>
    <row r="66">
      <c r="A66" s="10">
        <v>693.0</v>
      </c>
      <c r="B66" s="11"/>
      <c r="C66" s="11"/>
      <c r="D66" s="11"/>
      <c r="E66" s="11"/>
    </row>
    <row r="67">
      <c r="A67" s="17">
        <v>705.0</v>
      </c>
      <c r="B67" s="18">
        <v>45922.0</v>
      </c>
      <c r="C67" s="17">
        <v>2025.0</v>
      </c>
      <c r="D67" s="17">
        <v>2.0</v>
      </c>
      <c r="E67" s="19" t="s">
        <v>29</v>
      </c>
    </row>
    <row r="68">
      <c r="A68" s="10">
        <v>715.0</v>
      </c>
      <c r="B68" s="11"/>
      <c r="C68" s="11"/>
      <c r="D68" s="11"/>
      <c r="E68" s="11"/>
    </row>
    <row r="69">
      <c r="A69" s="23">
        <v>738.0</v>
      </c>
      <c r="B69" s="24">
        <v>45274.0</v>
      </c>
      <c r="C69" s="23">
        <v>2023.0</v>
      </c>
      <c r="D69" s="23">
        <v>1.0</v>
      </c>
      <c r="E69" s="25" t="s">
        <v>30</v>
      </c>
    </row>
    <row r="70">
      <c r="A70" s="10">
        <v>741.0</v>
      </c>
      <c r="B70" s="11"/>
      <c r="C70" s="11"/>
      <c r="D70" s="11"/>
      <c r="E70" s="11"/>
    </row>
    <row r="71">
      <c r="A71" s="23">
        <v>742.0</v>
      </c>
      <c r="B71" s="24">
        <v>45331.0</v>
      </c>
      <c r="C71" s="23">
        <v>2024.0</v>
      </c>
      <c r="D71" s="23">
        <v>1.0</v>
      </c>
      <c r="E71" s="25" t="s">
        <v>31</v>
      </c>
    </row>
    <row r="72">
      <c r="A72" s="10">
        <v>745.0</v>
      </c>
      <c r="B72" s="11"/>
      <c r="C72" s="11"/>
      <c r="D72" s="11"/>
      <c r="E72" s="11"/>
    </row>
    <row r="73">
      <c r="A73" s="10">
        <v>756.0</v>
      </c>
      <c r="B73" s="11"/>
      <c r="C73" s="11"/>
      <c r="D73" s="11"/>
      <c r="E73" s="11"/>
    </row>
    <row r="74">
      <c r="A74" s="17">
        <v>757.0</v>
      </c>
      <c r="B74" s="18">
        <v>45971.0</v>
      </c>
      <c r="C74" s="17">
        <v>2025.0</v>
      </c>
      <c r="D74" s="17">
        <v>3.0</v>
      </c>
      <c r="E74" s="19" t="s">
        <v>32</v>
      </c>
    </row>
    <row r="75">
      <c r="A75" s="10">
        <v>763.0</v>
      </c>
      <c r="B75" s="11"/>
      <c r="C75" s="11"/>
      <c r="D75" s="11"/>
      <c r="E75" s="11"/>
    </row>
    <row r="76">
      <c r="A76" s="10">
        <v>770.0</v>
      </c>
      <c r="B76" s="11"/>
      <c r="C76" s="11"/>
      <c r="D76" s="11"/>
      <c r="E76" s="11"/>
    </row>
    <row r="77">
      <c r="A77" s="10">
        <v>771.0</v>
      </c>
      <c r="B77" s="11"/>
      <c r="C77" s="11"/>
      <c r="D77" s="11"/>
      <c r="E77" s="11"/>
    </row>
    <row r="78">
      <c r="A78" s="10">
        <v>772.0</v>
      </c>
      <c r="B78" s="11"/>
      <c r="C78" s="11"/>
      <c r="D78" s="11"/>
      <c r="E78" s="11"/>
    </row>
    <row r="79">
      <c r="A79" s="23">
        <v>778.0</v>
      </c>
      <c r="B79" s="24">
        <v>45296.0</v>
      </c>
      <c r="C79" s="23">
        <v>2024.0</v>
      </c>
      <c r="D79" s="23">
        <v>1.0</v>
      </c>
      <c r="E79" s="25" t="s">
        <v>33</v>
      </c>
    </row>
    <row r="80">
      <c r="A80" s="17">
        <v>781.0</v>
      </c>
      <c r="B80" s="18">
        <v>45993.0</v>
      </c>
      <c r="C80" s="17">
        <v>2025.0</v>
      </c>
      <c r="D80" s="17">
        <v>3.0</v>
      </c>
      <c r="E80" s="19" t="s">
        <v>34</v>
      </c>
    </row>
    <row r="81">
      <c r="A81" s="10">
        <v>789.0</v>
      </c>
      <c r="B81" s="11"/>
      <c r="C81" s="11"/>
      <c r="D81" s="11"/>
      <c r="E81" s="11"/>
    </row>
    <row r="82">
      <c r="A82" s="10">
        <v>790.0</v>
      </c>
      <c r="B82" s="11"/>
      <c r="C82" s="11"/>
      <c r="D82" s="11"/>
      <c r="E82" s="11"/>
    </row>
    <row r="83">
      <c r="A83" s="17">
        <v>798.0</v>
      </c>
      <c r="B83" s="18">
        <v>46164.0</v>
      </c>
      <c r="C83" s="17">
        <v>2026.0</v>
      </c>
      <c r="D83" s="17">
        <v>3.0</v>
      </c>
      <c r="E83" s="19" t="s">
        <v>35</v>
      </c>
    </row>
    <row r="84">
      <c r="A84" s="10">
        <v>800.0</v>
      </c>
      <c r="B84" s="11"/>
      <c r="C84" s="11"/>
      <c r="D84" s="11"/>
      <c r="E84" s="11"/>
    </row>
    <row r="85">
      <c r="A85" s="23">
        <v>803.0</v>
      </c>
      <c r="B85" s="24">
        <v>45492.0</v>
      </c>
      <c r="C85" s="23">
        <v>2024.0</v>
      </c>
      <c r="D85" s="23">
        <v>1.0</v>
      </c>
      <c r="E85" s="25" t="s">
        <v>37</v>
      </c>
    </row>
    <row r="86">
      <c r="A86" s="10">
        <v>805.0</v>
      </c>
      <c r="B86" s="11"/>
      <c r="C86" s="11"/>
      <c r="D86" s="11"/>
      <c r="E86" s="11"/>
    </row>
    <row r="87">
      <c r="A87" s="17">
        <v>808.0</v>
      </c>
      <c r="B87" s="18">
        <v>45716.0</v>
      </c>
      <c r="C87" s="17">
        <v>2025.0</v>
      </c>
      <c r="D87" s="17">
        <v>2.0</v>
      </c>
      <c r="E87" s="19" t="s">
        <v>38</v>
      </c>
    </row>
    <row r="88">
      <c r="A88" s="10">
        <v>818.0</v>
      </c>
      <c r="B88" s="11"/>
      <c r="C88" s="11"/>
      <c r="D88" s="11"/>
      <c r="E88" s="11"/>
    </row>
    <row r="89">
      <c r="A89" s="10">
        <v>822.0</v>
      </c>
      <c r="B89" s="11"/>
      <c r="C89" s="11"/>
      <c r="D89" s="11"/>
      <c r="E89" s="11"/>
    </row>
    <row r="90">
      <c r="A90" s="10">
        <v>824.0</v>
      </c>
      <c r="B90" s="11"/>
      <c r="C90" s="11"/>
      <c r="D90" s="11"/>
      <c r="E90" s="11"/>
    </row>
    <row r="91">
      <c r="A91" s="10">
        <v>830.0</v>
      </c>
      <c r="B91" s="11"/>
      <c r="C91" s="11"/>
      <c r="D91" s="11"/>
      <c r="E91" s="11"/>
    </row>
    <row r="92">
      <c r="A92" s="10">
        <v>838.0</v>
      </c>
      <c r="B92" s="11"/>
      <c r="C92" s="11"/>
      <c r="D92" s="11"/>
      <c r="E92" s="11"/>
    </row>
    <row r="93">
      <c r="A93" s="17">
        <v>843.0</v>
      </c>
      <c r="B93" s="18">
        <v>46135.0</v>
      </c>
      <c r="C93" s="17">
        <v>2026.0</v>
      </c>
      <c r="D93" s="17">
        <v>3.0</v>
      </c>
      <c r="E93" s="19" t="s">
        <v>44</v>
      </c>
    </row>
    <row r="94">
      <c r="A94" s="23">
        <v>844.0</v>
      </c>
      <c r="B94" s="24">
        <v>45350.0</v>
      </c>
      <c r="C94" s="23">
        <v>2024.0</v>
      </c>
      <c r="D94" s="23">
        <v>1.0</v>
      </c>
      <c r="E94" s="25" t="s">
        <v>46</v>
      </c>
    </row>
    <row r="95">
      <c r="A95" s="10">
        <v>855.0</v>
      </c>
      <c r="B95" s="11"/>
      <c r="C95" s="11"/>
      <c r="D95" s="11"/>
      <c r="E95" s="11"/>
    </row>
    <row r="96">
      <c r="A96" s="23">
        <v>873.0</v>
      </c>
      <c r="B96" s="24">
        <v>45418.0</v>
      </c>
      <c r="C96" s="23">
        <v>2024.0</v>
      </c>
      <c r="D96" s="23">
        <v>1.0</v>
      </c>
      <c r="E96" s="25" t="s">
        <v>47</v>
      </c>
    </row>
    <row r="97">
      <c r="A97" s="17">
        <v>876.0</v>
      </c>
      <c r="B97" s="18">
        <v>46051.0</v>
      </c>
      <c r="C97" s="17">
        <v>2026.0</v>
      </c>
      <c r="D97" s="17">
        <v>3.0</v>
      </c>
      <c r="E97" s="19" t="s">
        <v>48</v>
      </c>
    </row>
    <row r="98">
      <c r="A98" s="10">
        <v>878.0</v>
      </c>
      <c r="B98" s="11"/>
      <c r="C98" s="11"/>
      <c r="D98" s="11"/>
      <c r="E98" s="11"/>
    </row>
    <row r="99">
      <c r="A99" s="10">
        <v>879.0</v>
      </c>
      <c r="B99" s="11"/>
      <c r="C99" s="11"/>
      <c r="D99" s="11"/>
      <c r="E99" s="11"/>
    </row>
    <row r="100">
      <c r="A100" s="10">
        <v>884.0</v>
      </c>
      <c r="B100" s="11"/>
      <c r="C100" s="11"/>
      <c r="D100" s="11"/>
      <c r="E100" s="11"/>
    </row>
    <row r="101">
      <c r="A101" s="17">
        <v>901.0</v>
      </c>
      <c r="B101" s="18">
        <v>46036.0</v>
      </c>
      <c r="C101" s="17">
        <v>2026.0</v>
      </c>
      <c r="D101" s="17">
        <v>3.0</v>
      </c>
      <c r="E101" s="19" t="s">
        <v>50</v>
      </c>
    </row>
    <row r="102">
      <c r="A102" s="23">
        <v>907.0</v>
      </c>
      <c r="B102" s="24">
        <v>45356.0</v>
      </c>
      <c r="C102" s="23">
        <v>2024.0</v>
      </c>
      <c r="D102" s="23">
        <v>1.0</v>
      </c>
      <c r="E102" s="25" t="s">
        <v>51</v>
      </c>
    </row>
    <row r="103">
      <c r="A103" s="10">
        <v>908.0</v>
      </c>
      <c r="B103" s="11"/>
      <c r="C103" s="11"/>
      <c r="D103" s="11"/>
      <c r="E103" s="11"/>
    </row>
    <row r="104">
      <c r="A104" s="10">
        <v>916.0</v>
      </c>
      <c r="B104" s="11"/>
      <c r="C104" s="11"/>
      <c r="D104" s="11"/>
      <c r="E104" s="11"/>
    </row>
    <row r="105">
      <c r="A105" s="10">
        <v>918.0</v>
      </c>
      <c r="B105" s="11"/>
      <c r="C105" s="11"/>
      <c r="D105" s="11"/>
      <c r="E105" s="11"/>
    </row>
    <row r="106">
      <c r="A106" s="10">
        <v>924.0</v>
      </c>
      <c r="B106" s="11"/>
      <c r="C106" s="11"/>
      <c r="D106" s="11"/>
      <c r="E106" s="11"/>
    </row>
    <row r="107">
      <c r="A107" s="17">
        <v>928.0</v>
      </c>
      <c r="B107" s="18">
        <v>45680.0</v>
      </c>
      <c r="C107" s="17">
        <v>2025.0</v>
      </c>
      <c r="D107" s="17">
        <v>1.0</v>
      </c>
      <c r="E107" s="19" t="s">
        <v>52</v>
      </c>
    </row>
    <row r="108">
      <c r="A108" s="10">
        <v>935.0</v>
      </c>
      <c r="B108" s="11"/>
      <c r="C108" s="11"/>
      <c r="D108" s="11"/>
      <c r="E108" s="11"/>
    </row>
    <row r="109">
      <c r="A109" s="10">
        <v>940.0</v>
      </c>
      <c r="B109" s="11"/>
      <c r="C109" s="11"/>
      <c r="D109" s="11"/>
      <c r="E109" s="11"/>
    </row>
    <row r="110">
      <c r="A110" s="10">
        <v>956.0</v>
      </c>
      <c r="B110" s="11"/>
      <c r="C110" s="11"/>
      <c r="D110" s="11"/>
      <c r="E110" s="11"/>
    </row>
    <row r="111">
      <c r="A111" s="10">
        <v>969.0</v>
      </c>
      <c r="B111" s="11"/>
      <c r="C111" s="11"/>
      <c r="D111" s="11"/>
      <c r="E111" s="11"/>
    </row>
    <row r="112">
      <c r="A112" s="10">
        <v>971.0</v>
      </c>
      <c r="B112" s="11"/>
      <c r="C112" s="11"/>
      <c r="D112" s="11"/>
      <c r="E112" s="11"/>
    </row>
    <row r="113">
      <c r="A113" s="10">
        <v>978.0</v>
      </c>
      <c r="B113" s="11"/>
      <c r="C113" s="11"/>
      <c r="D113" s="11"/>
      <c r="E113" s="11"/>
    </row>
    <row r="114">
      <c r="A114" s="10">
        <v>981.0</v>
      </c>
      <c r="B114" s="11"/>
      <c r="C114" s="11"/>
      <c r="D114" s="11"/>
      <c r="E114" s="11"/>
    </row>
    <row r="115">
      <c r="A115" s="10">
        <v>982.0</v>
      </c>
      <c r="B115" s="11"/>
      <c r="C115" s="11"/>
      <c r="D115" s="11"/>
      <c r="E115" s="11"/>
    </row>
    <row r="116">
      <c r="A116" s="17">
        <v>985.0</v>
      </c>
      <c r="B116" s="18">
        <v>46029.0</v>
      </c>
      <c r="C116" s="17">
        <v>2026.0</v>
      </c>
      <c r="D116" s="17">
        <v>2.0</v>
      </c>
      <c r="E116" s="19" t="s">
        <v>53</v>
      </c>
    </row>
    <row r="117">
      <c r="A117" s="10">
        <v>987.0</v>
      </c>
      <c r="B117" s="11"/>
      <c r="C117" s="11"/>
      <c r="D117" s="11"/>
      <c r="E117" s="11"/>
    </row>
    <row r="118">
      <c r="A118" s="10">
        <v>1000.0</v>
      </c>
      <c r="B118" s="11"/>
      <c r="C118" s="11"/>
      <c r="D118" s="11"/>
      <c r="E118" s="11"/>
    </row>
    <row r="119">
      <c r="A119" s="10">
        <v>1004.0</v>
      </c>
      <c r="B119" s="11"/>
      <c r="C119" s="11"/>
      <c r="D119" s="11"/>
      <c r="E119" s="11"/>
    </row>
    <row r="120">
      <c r="A120" s="10">
        <v>1008.0</v>
      </c>
      <c r="B120" s="11"/>
      <c r="C120" s="11"/>
      <c r="D120" s="11"/>
      <c r="E120" s="11"/>
    </row>
    <row r="121">
      <c r="A121" s="10">
        <v>1009.0</v>
      </c>
      <c r="B121" s="11"/>
      <c r="C121" s="11"/>
      <c r="D121" s="11"/>
      <c r="E121" s="11"/>
    </row>
    <row r="122">
      <c r="A122" s="10">
        <v>1012.0</v>
      </c>
      <c r="B122" s="11"/>
      <c r="C122" s="11"/>
      <c r="D122" s="11"/>
      <c r="E122" s="11"/>
    </row>
    <row r="123">
      <c r="A123" s="10">
        <v>1016.0</v>
      </c>
      <c r="B123" s="11"/>
      <c r="C123" s="11"/>
      <c r="D123" s="11"/>
      <c r="E123" s="11"/>
    </row>
    <row r="124">
      <c r="A124" s="10">
        <v>1019.0</v>
      </c>
      <c r="B124" s="11"/>
      <c r="C124" s="11"/>
      <c r="D124" s="11"/>
      <c r="E124" s="11"/>
    </row>
    <row r="125">
      <c r="A125" s="10">
        <v>1030.0</v>
      </c>
      <c r="B125" s="11"/>
      <c r="C125" s="11"/>
      <c r="D125" s="11"/>
      <c r="E125" s="11"/>
    </row>
    <row r="126">
      <c r="A126" s="17">
        <v>1032.0</v>
      </c>
      <c r="B126" s="18">
        <v>46028.0</v>
      </c>
      <c r="C126" s="17">
        <v>2026.0</v>
      </c>
      <c r="D126" s="17">
        <v>2.0</v>
      </c>
      <c r="E126" s="19" t="s">
        <v>56</v>
      </c>
    </row>
    <row r="127">
      <c r="A127" s="10">
        <v>1039.0</v>
      </c>
      <c r="B127" s="11"/>
      <c r="C127" s="11"/>
      <c r="D127" s="11"/>
      <c r="E127" s="11"/>
    </row>
    <row r="128">
      <c r="A128" s="10">
        <v>1047.0</v>
      </c>
      <c r="B128" s="11"/>
      <c r="C128" s="11"/>
      <c r="D128" s="11"/>
      <c r="E128" s="11"/>
    </row>
    <row r="129">
      <c r="A129" s="23">
        <v>1048.0</v>
      </c>
      <c r="B129" s="24">
        <v>45484.0</v>
      </c>
      <c r="C129" s="23">
        <v>2024.0</v>
      </c>
      <c r="D129" s="23">
        <v>1.0</v>
      </c>
      <c r="E129" s="25" t="s">
        <v>57</v>
      </c>
    </row>
    <row r="130">
      <c r="A130" s="17">
        <v>1053.0</v>
      </c>
      <c r="B130" s="18">
        <v>45779.0</v>
      </c>
      <c r="C130" s="17">
        <v>2025.0</v>
      </c>
      <c r="D130" s="17">
        <v>1.0</v>
      </c>
      <c r="E130" s="19" t="s">
        <v>58</v>
      </c>
    </row>
    <row r="131">
      <c r="A131" s="10">
        <v>1059.0</v>
      </c>
      <c r="B131" s="11"/>
      <c r="C131" s="11"/>
      <c r="D131" s="11"/>
      <c r="E131" s="11"/>
    </row>
    <row r="132">
      <c r="A132" s="10">
        <v>1063.0</v>
      </c>
      <c r="B132" s="11"/>
      <c r="C132" s="11"/>
      <c r="D132" s="11"/>
      <c r="E132" s="11"/>
    </row>
    <row r="133">
      <c r="A133" s="10">
        <v>1071.0</v>
      </c>
      <c r="B133" s="11"/>
      <c r="C133" s="11"/>
      <c r="D133" s="11"/>
      <c r="E133" s="11"/>
    </row>
    <row r="134">
      <c r="A134" s="10">
        <v>1076.0</v>
      </c>
      <c r="B134" s="11"/>
      <c r="C134" s="11"/>
      <c r="D134" s="11"/>
      <c r="E134" s="11"/>
    </row>
    <row r="135">
      <c r="A135" s="10">
        <v>1079.0</v>
      </c>
      <c r="B135" s="11"/>
      <c r="C135" s="11"/>
      <c r="D135" s="11"/>
      <c r="E135" s="11"/>
    </row>
    <row r="136">
      <c r="A136" s="10">
        <v>1085.0</v>
      </c>
      <c r="B136" s="11"/>
      <c r="C136" s="11"/>
      <c r="D136" s="11"/>
      <c r="E136" s="11"/>
    </row>
    <row r="137">
      <c r="A137" s="17">
        <v>1092.0</v>
      </c>
      <c r="B137" s="18">
        <v>45810.0</v>
      </c>
      <c r="C137" s="17">
        <v>2025.0</v>
      </c>
      <c r="D137" s="17">
        <v>2.0</v>
      </c>
      <c r="E137" s="19" t="s">
        <v>60</v>
      </c>
    </row>
    <row r="138">
      <c r="A138" s="10">
        <v>1095.0</v>
      </c>
      <c r="B138" s="11"/>
      <c r="C138" s="11"/>
      <c r="D138" s="11"/>
      <c r="E138" s="11"/>
    </row>
    <row r="139">
      <c r="A139" s="17">
        <v>1096.0</v>
      </c>
      <c r="B139" s="18">
        <v>46028.0</v>
      </c>
      <c r="C139" s="17">
        <v>2026.0</v>
      </c>
      <c r="D139" s="17">
        <v>2.0</v>
      </c>
      <c r="E139" s="19" t="s">
        <v>61</v>
      </c>
    </row>
    <row r="140">
      <c r="A140" s="10">
        <v>1106.0</v>
      </c>
      <c r="B140" s="11"/>
      <c r="C140" s="11"/>
      <c r="D140" s="11"/>
      <c r="E140" s="11"/>
    </row>
    <row r="141">
      <c r="A141" s="10">
        <v>1119.0</v>
      </c>
      <c r="B141" s="11"/>
      <c r="C141" s="11"/>
      <c r="D141" s="11"/>
      <c r="E141" s="11"/>
    </row>
    <row r="142">
      <c r="A142" s="10">
        <v>1133.0</v>
      </c>
      <c r="B142" s="11"/>
      <c r="C142" s="11"/>
      <c r="D142" s="11"/>
      <c r="E142" s="11"/>
    </row>
    <row r="143">
      <c r="A143" s="10">
        <v>1134.0</v>
      </c>
      <c r="B143" s="11"/>
      <c r="C143" s="11"/>
      <c r="D143" s="11"/>
      <c r="E143" s="11"/>
    </row>
    <row r="144">
      <c r="A144" s="17">
        <v>1139.0</v>
      </c>
      <c r="B144" s="18">
        <v>45643.0</v>
      </c>
      <c r="C144" s="17">
        <v>2024.0</v>
      </c>
      <c r="D144" s="17">
        <v>1.0</v>
      </c>
      <c r="E144" s="19" t="s">
        <v>62</v>
      </c>
    </row>
    <row r="145">
      <c r="A145" s="10">
        <v>1142.0</v>
      </c>
      <c r="B145" s="11"/>
      <c r="C145" s="11"/>
      <c r="D145" s="11"/>
      <c r="E145" s="11"/>
    </row>
    <row r="146">
      <c r="A146" s="10">
        <v>1143.0</v>
      </c>
      <c r="B146" s="11"/>
      <c r="C146" s="11"/>
      <c r="D146" s="11"/>
      <c r="E146" s="11"/>
    </row>
    <row r="147">
      <c r="A147" s="10">
        <v>1152.0</v>
      </c>
      <c r="B147" s="11"/>
      <c r="C147" s="11"/>
      <c r="D147" s="11"/>
      <c r="E147" s="11"/>
    </row>
    <row r="148">
      <c r="A148" s="10">
        <v>1156.0</v>
      </c>
      <c r="B148" s="11"/>
      <c r="C148" s="11"/>
      <c r="D148" s="11"/>
      <c r="E148" s="11"/>
    </row>
    <row r="149">
      <c r="A149" s="10">
        <v>1160.0</v>
      </c>
      <c r="B149" s="11"/>
      <c r="C149" s="11"/>
      <c r="D149" s="11"/>
      <c r="E149" s="11"/>
    </row>
    <row r="150">
      <c r="A150" s="10">
        <v>1167.0</v>
      </c>
      <c r="B150" s="11"/>
      <c r="C150" s="11"/>
      <c r="D150" s="11"/>
      <c r="E150" s="11"/>
    </row>
    <row r="151">
      <c r="A151" s="23">
        <v>1174.0</v>
      </c>
      <c r="B151" s="24">
        <v>45513.0</v>
      </c>
      <c r="C151" s="23">
        <v>2024.0</v>
      </c>
      <c r="D151" s="23">
        <v>1.0</v>
      </c>
      <c r="E151" s="25" t="s">
        <v>37</v>
      </c>
    </row>
    <row r="152">
      <c r="A152" s="10">
        <v>1187.0</v>
      </c>
      <c r="B152" s="11"/>
      <c r="C152" s="11"/>
      <c r="D152" s="11"/>
      <c r="E152" s="11"/>
    </row>
    <row r="153">
      <c r="A153" s="10">
        <v>1190.0</v>
      </c>
      <c r="B153" s="11"/>
      <c r="C153" s="11"/>
      <c r="D153" s="11"/>
      <c r="E153" s="11"/>
    </row>
    <row r="154">
      <c r="A154" s="17">
        <v>1199.0</v>
      </c>
      <c r="B154" s="18">
        <v>45779.0</v>
      </c>
      <c r="C154" s="17">
        <v>2025.0</v>
      </c>
      <c r="D154" s="17">
        <v>1.0</v>
      </c>
      <c r="E154" s="19" t="s">
        <v>58</v>
      </c>
    </row>
    <row r="155">
      <c r="A155" s="10">
        <v>1202.0</v>
      </c>
      <c r="B155" s="11"/>
      <c r="C155" s="11"/>
      <c r="D155" s="11"/>
      <c r="E155" s="11"/>
    </row>
    <row r="156">
      <c r="A156" s="10">
        <v>1218.0</v>
      </c>
      <c r="B156" s="11"/>
      <c r="C156" s="11"/>
      <c r="D156" s="10">
        <v>1.0</v>
      </c>
      <c r="E156" s="11"/>
    </row>
    <row r="157">
      <c r="A157" s="10">
        <v>1231.0</v>
      </c>
      <c r="B157" s="11"/>
      <c r="C157" s="11"/>
      <c r="D157" s="11"/>
      <c r="E157" s="11"/>
    </row>
    <row r="158">
      <c r="A158" s="23">
        <v>1233.0</v>
      </c>
      <c r="B158" s="24">
        <v>45495.0</v>
      </c>
      <c r="C158" s="23">
        <v>2024.0</v>
      </c>
      <c r="D158" s="23">
        <v>1.0</v>
      </c>
      <c r="E158" s="25" t="s">
        <v>64</v>
      </c>
    </row>
    <row r="159">
      <c r="A159" s="10">
        <v>1241.0</v>
      </c>
      <c r="B159" s="11"/>
      <c r="C159" s="11"/>
      <c r="D159" s="11"/>
      <c r="E159" s="11"/>
    </row>
    <row r="160">
      <c r="A160" s="10">
        <v>1246.0</v>
      </c>
      <c r="B160" s="11"/>
      <c r="C160" s="11"/>
      <c r="D160" s="11"/>
      <c r="E160" s="11"/>
    </row>
    <row r="161">
      <c r="A161" s="10">
        <v>1263.0</v>
      </c>
      <c r="B161" s="11"/>
      <c r="C161" s="11"/>
      <c r="D161" s="11"/>
      <c r="E161" s="11"/>
    </row>
    <row r="162">
      <c r="A162" s="10">
        <v>1276.0</v>
      </c>
      <c r="B162" s="11"/>
      <c r="C162" s="11"/>
      <c r="D162" s="11"/>
      <c r="E162" s="11"/>
    </row>
    <row r="163">
      <c r="A163" s="10">
        <v>1284.0</v>
      </c>
      <c r="B163" s="11"/>
      <c r="C163" s="11"/>
      <c r="D163" s="11"/>
      <c r="E163" s="11"/>
    </row>
    <row r="164">
      <c r="A164" s="17">
        <v>1303.0</v>
      </c>
      <c r="B164" s="18">
        <v>46168.0</v>
      </c>
      <c r="C164" s="17">
        <v>2026.0</v>
      </c>
      <c r="D164" s="17">
        <v>3.0</v>
      </c>
      <c r="E164" s="19" t="s">
        <v>65</v>
      </c>
    </row>
    <row r="165">
      <c r="A165" s="17">
        <v>1315.0</v>
      </c>
      <c r="B165" s="18">
        <v>46108.0</v>
      </c>
      <c r="C165" s="17">
        <v>2026.0</v>
      </c>
      <c r="D165" s="17">
        <v>2.0</v>
      </c>
      <c r="E165" s="19" t="s">
        <v>66</v>
      </c>
    </row>
    <row r="166">
      <c r="A166" s="10">
        <v>1318.0</v>
      </c>
      <c r="B166" s="11"/>
      <c r="C166" s="11"/>
      <c r="D166" s="11"/>
      <c r="E166" s="11"/>
    </row>
    <row r="167">
      <c r="A167" s="10">
        <v>1335.0</v>
      </c>
      <c r="B167" s="11"/>
      <c r="C167" s="11"/>
      <c r="D167" s="11"/>
      <c r="E167" s="11"/>
    </row>
    <row r="168">
      <c r="A168" s="10">
        <v>1341.0</v>
      </c>
      <c r="B168" s="11"/>
      <c r="C168" s="11"/>
      <c r="D168" s="11"/>
      <c r="E168" s="11"/>
    </row>
    <row r="169">
      <c r="A169" s="10">
        <v>1347.0</v>
      </c>
      <c r="B169" s="11"/>
      <c r="C169" s="11"/>
      <c r="D169" s="11"/>
      <c r="E169" s="11"/>
    </row>
    <row r="170">
      <c r="A170" s="10">
        <v>1368.0</v>
      </c>
      <c r="B170" s="11"/>
      <c r="C170" s="11"/>
      <c r="D170" s="11"/>
      <c r="E170" s="11"/>
    </row>
    <row r="171">
      <c r="A171" s="10">
        <v>1373.0</v>
      </c>
      <c r="B171" s="11"/>
      <c r="C171" s="11"/>
      <c r="D171" s="11"/>
      <c r="E171" s="11"/>
    </row>
    <row r="172">
      <c r="A172" s="17">
        <v>1385.0</v>
      </c>
      <c r="B172" s="18">
        <v>46029.0</v>
      </c>
      <c r="C172" s="17">
        <v>2026.0</v>
      </c>
      <c r="D172" s="17">
        <v>2.0</v>
      </c>
      <c r="E172" s="19" t="s">
        <v>68</v>
      </c>
    </row>
    <row r="173">
      <c r="A173" s="10">
        <v>1387.0</v>
      </c>
      <c r="B173" s="11"/>
      <c r="C173" s="11"/>
      <c r="D173" s="11"/>
      <c r="E173" s="11"/>
    </row>
    <row r="174">
      <c r="A174" s="10">
        <v>1388.0</v>
      </c>
      <c r="B174" s="11"/>
      <c r="C174" s="11"/>
      <c r="D174" s="11"/>
      <c r="E174" s="11"/>
    </row>
    <row r="175">
      <c r="A175" s="10">
        <v>1392.0</v>
      </c>
      <c r="B175" s="11"/>
      <c r="C175" s="11"/>
      <c r="D175" s="11"/>
      <c r="E175" s="11"/>
    </row>
    <row r="176">
      <c r="A176" s="10">
        <v>1396.0</v>
      </c>
      <c r="B176" s="11"/>
      <c r="C176" s="11"/>
      <c r="D176" s="11"/>
      <c r="E176" s="11"/>
    </row>
    <row r="177">
      <c r="A177" s="17">
        <v>1415.0</v>
      </c>
      <c r="B177" s="18">
        <v>45972.0</v>
      </c>
      <c r="C177" s="17">
        <v>2025.0</v>
      </c>
      <c r="D177" s="17">
        <v>2.0</v>
      </c>
      <c r="E177" s="19" t="s">
        <v>69</v>
      </c>
    </row>
    <row r="178">
      <c r="A178" s="10">
        <v>1418.0</v>
      </c>
      <c r="B178" s="11"/>
      <c r="C178" s="11"/>
      <c r="D178" s="11"/>
      <c r="E178" s="11"/>
    </row>
    <row r="179">
      <c r="A179" s="10">
        <v>1455.0</v>
      </c>
      <c r="B179" s="11"/>
      <c r="C179" s="11"/>
      <c r="D179" s="11"/>
      <c r="E179" s="11"/>
    </row>
    <row r="180">
      <c r="A180" s="17">
        <v>1462.0</v>
      </c>
      <c r="B180" s="18">
        <v>45621.0</v>
      </c>
      <c r="C180" s="17">
        <v>2024.0</v>
      </c>
      <c r="D180" s="17">
        <v>1.0</v>
      </c>
      <c r="E180" s="19" t="s">
        <v>70</v>
      </c>
    </row>
    <row r="181">
      <c r="A181" s="10">
        <v>1480.0</v>
      </c>
      <c r="B181" s="11"/>
      <c r="C181" s="11"/>
      <c r="D181" s="11"/>
      <c r="E181" s="11"/>
    </row>
    <row r="182">
      <c r="A182" s="10">
        <v>1491.0</v>
      </c>
      <c r="B182" s="11"/>
      <c r="C182" s="11"/>
      <c r="D182" s="11"/>
      <c r="E182" s="11"/>
    </row>
    <row r="183">
      <c r="A183" s="17">
        <v>1492.0</v>
      </c>
      <c r="B183" s="18">
        <v>45775.0</v>
      </c>
      <c r="C183" s="17">
        <v>2025.0</v>
      </c>
      <c r="D183" s="17">
        <v>1.0</v>
      </c>
      <c r="E183" s="19" t="s">
        <v>71</v>
      </c>
    </row>
    <row r="184">
      <c r="A184" s="17">
        <v>1497.0</v>
      </c>
      <c r="B184" s="18">
        <v>46013.0</v>
      </c>
      <c r="C184" s="17">
        <v>2025.0</v>
      </c>
      <c r="D184" s="17">
        <v>2.0</v>
      </c>
      <c r="E184" s="19" t="s">
        <v>72</v>
      </c>
    </row>
    <row r="185">
      <c r="A185" s="17">
        <v>1505.0</v>
      </c>
      <c r="B185" s="18">
        <v>46043.0</v>
      </c>
      <c r="C185" s="17">
        <v>2026.0</v>
      </c>
      <c r="D185" s="17">
        <v>2.0</v>
      </c>
      <c r="E185" s="19" t="s">
        <v>73</v>
      </c>
    </row>
    <row r="186">
      <c r="A186" s="10">
        <v>1508.0</v>
      </c>
      <c r="B186" s="11"/>
      <c r="C186" s="11"/>
      <c r="D186" s="11"/>
      <c r="E186" s="11"/>
    </row>
    <row r="187">
      <c r="A187" s="17">
        <v>1515.0</v>
      </c>
      <c r="B187" s="18">
        <v>45672.0</v>
      </c>
      <c r="C187" s="17">
        <v>2025.0</v>
      </c>
      <c r="D187" s="17">
        <v>1.0</v>
      </c>
      <c r="E187" s="19" t="s">
        <v>74</v>
      </c>
    </row>
    <row r="188">
      <c r="A188" s="10">
        <v>1521.0</v>
      </c>
      <c r="B188" s="11"/>
      <c r="C188" s="11"/>
      <c r="D188" s="11"/>
      <c r="E188" s="11"/>
    </row>
    <row r="189">
      <c r="A189" s="10">
        <v>1523.0</v>
      </c>
      <c r="B189" s="11"/>
      <c r="C189" s="11"/>
      <c r="D189" s="11"/>
      <c r="E189" s="11"/>
    </row>
    <row r="190">
      <c r="A190" s="10">
        <v>1530.0</v>
      </c>
      <c r="B190" s="11"/>
      <c r="C190" s="11"/>
      <c r="D190" s="11"/>
      <c r="E190" s="11"/>
    </row>
    <row r="191">
      <c r="A191" s="17">
        <v>1554.0</v>
      </c>
      <c r="B191" s="18">
        <v>45680.0</v>
      </c>
      <c r="C191" s="17">
        <v>2025.0</v>
      </c>
      <c r="D191" s="17">
        <v>1.0</v>
      </c>
      <c r="E191" s="19" t="s">
        <v>75</v>
      </c>
    </row>
    <row r="192">
      <c r="A192" s="10">
        <v>1556.0</v>
      </c>
      <c r="B192" s="11"/>
      <c r="C192" s="11"/>
      <c r="D192" s="11"/>
      <c r="E192" s="11"/>
    </row>
    <row r="193">
      <c r="A193" s="10">
        <v>1575.0</v>
      </c>
      <c r="B193" s="11"/>
      <c r="C193" s="11"/>
      <c r="D193" s="11"/>
      <c r="E193" s="11"/>
    </row>
    <row r="194">
      <c r="A194" s="17">
        <v>1576.0</v>
      </c>
      <c r="B194" s="18">
        <v>45951.0</v>
      </c>
      <c r="C194" s="17">
        <v>2025.0</v>
      </c>
      <c r="D194" s="17">
        <v>2.0</v>
      </c>
      <c r="E194" s="19" t="s">
        <v>76</v>
      </c>
    </row>
    <row r="195">
      <c r="A195" s="10">
        <v>1579.0</v>
      </c>
      <c r="B195" s="11"/>
      <c r="C195" s="11"/>
      <c r="D195" s="11"/>
      <c r="E195" s="11"/>
    </row>
    <row r="196">
      <c r="A196" s="10">
        <v>1593.0</v>
      </c>
      <c r="B196" s="11"/>
      <c r="C196" s="11"/>
      <c r="D196" s="11"/>
      <c r="E196" s="11"/>
    </row>
    <row r="197">
      <c r="A197" s="10">
        <v>1601.0</v>
      </c>
      <c r="B197" s="11"/>
      <c r="C197" s="11"/>
      <c r="D197" s="11"/>
      <c r="E197" s="11"/>
    </row>
    <row r="198">
      <c r="A198" s="10">
        <v>1605.0</v>
      </c>
      <c r="B198" s="11"/>
      <c r="C198" s="11"/>
      <c r="D198" s="11"/>
      <c r="E198" s="11"/>
    </row>
    <row r="199">
      <c r="A199" s="10">
        <v>1608.0</v>
      </c>
      <c r="B199" s="11"/>
      <c r="C199" s="11"/>
      <c r="D199" s="11"/>
      <c r="E199" s="11"/>
    </row>
    <row r="200">
      <c r="A200" s="10">
        <v>1619.0</v>
      </c>
      <c r="B200" s="11"/>
      <c r="C200" s="11"/>
      <c r="D200" s="11"/>
      <c r="E200" s="11"/>
    </row>
    <row r="201">
      <c r="A201" s="10">
        <v>1622.0</v>
      </c>
      <c r="B201" s="11"/>
      <c r="C201" s="11"/>
      <c r="D201" s="11"/>
      <c r="E201" s="11"/>
    </row>
    <row r="202">
      <c r="A202" s="17">
        <v>1625.0</v>
      </c>
      <c r="B202" s="18">
        <v>45702.0</v>
      </c>
      <c r="C202" s="17">
        <v>2025.0</v>
      </c>
      <c r="D202" s="17">
        <v>1.0</v>
      </c>
      <c r="E202" s="19" t="s">
        <v>77</v>
      </c>
    </row>
    <row r="203">
      <c r="A203" s="10">
        <v>1629.0</v>
      </c>
      <c r="B203" s="11"/>
      <c r="C203" s="11"/>
      <c r="D203" s="11"/>
      <c r="E203" s="11"/>
    </row>
    <row r="204">
      <c r="A204" s="17">
        <v>1630.0</v>
      </c>
      <c r="B204" s="18">
        <v>45777.0</v>
      </c>
      <c r="C204" s="17">
        <v>2025.0</v>
      </c>
      <c r="D204" s="17">
        <v>1.0</v>
      </c>
      <c r="E204" s="19" t="s">
        <v>78</v>
      </c>
    </row>
    <row r="205">
      <c r="A205" s="17">
        <v>1645.0</v>
      </c>
      <c r="B205" s="18">
        <v>45779.0</v>
      </c>
      <c r="C205" s="17">
        <v>2025.0</v>
      </c>
      <c r="D205" s="17">
        <v>1.0</v>
      </c>
      <c r="E205" s="19" t="s">
        <v>58</v>
      </c>
    </row>
    <row r="206">
      <c r="A206" s="10">
        <v>1662.0</v>
      </c>
      <c r="B206" s="11"/>
      <c r="C206" s="11"/>
      <c r="D206" s="11"/>
      <c r="E206" s="11"/>
    </row>
    <row r="207">
      <c r="A207" s="10">
        <v>1664.0</v>
      </c>
      <c r="B207" s="11"/>
      <c r="C207" s="11"/>
      <c r="D207" s="11"/>
      <c r="E207" s="11"/>
    </row>
    <row r="208">
      <c r="A208" s="10">
        <v>1674.0</v>
      </c>
      <c r="B208" s="11"/>
      <c r="C208" s="11"/>
      <c r="D208" s="11"/>
      <c r="E208" s="11"/>
    </row>
    <row r="209">
      <c r="A209" s="17">
        <v>1677.0</v>
      </c>
      <c r="B209" s="18">
        <v>45779.0</v>
      </c>
      <c r="C209" s="17">
        <v>2025.0</v>
      </c>
      <c r="D209" s="17">
        <v>1.0</v>
      </c>
      <c r="E209" s="19" t="s">
        <v>58</v>
      </c>
    </row>
    <row r="210">
      <c r="A210" s="17">
        <v>1684.0</v>
      </c>
      <c r="B210" s="18">
        <v>45772.0</v>
      </c>
      <c r="C210" s="17">
        <v>2025.0</v>
      </c>
      <c r="D210" s="17">
        <v>1.0</v>
      </c>
      <c r="E210" s="19" t="s">
        <v>79</v>
      </c>
    </row>
    <row r="211">
      <c r="A211" s="10">
        <v>1695.0</v>
      </c>
    </row>
    <row r="212">
      <c r="A212" s="10">
        <v>1703.0</v>
      </c>
    </row>
    <row r="213">
      <c r="A213" s="10">
        <v>1705.0</v>
      </c>
    </row>
    <row r="214">
      <c r="A214" s="10">
        <v>1725.0</v>
      </c>
    </row>
    <row r="215">
      <c r="A215" s="10">
        <v>1727.0</v>
      </c>
    </row>
    <row r="216">
      <c r="A216" s="10">
        <v>1734.0</v>
      </c>
    </row>
    <row r="217">
      <c r="A217" s="10">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4"/>
      <c r="B1" s="6" t="s">
        <v>6</v>
      </c>
      <c r="C1" s="4"/>
      <c r="D1" s="4" t="s">
        <v>8</v>
      </c>
      <c r="E1" s="4"/>
      <c r="F1" s="4" t="s">
        <v>5</v>
      </c>
      <c r="G1" s="4"/>
      <c r="H1" s="4"/>
      <c r="I1" s="4"/>
      <c r="J1" s="4"/>
      <c r="K1" s="4"/>
      <c r="L1" s="4"/>
      <c r="M1" s="4"/>
      <c r="N1" s="4"/>
      <c r="O1" s="4"/>
      <c r="P1" s="4"/>
      <c r="Q1" s="4"/>
      <c r="R1" s="4"/>
      <c r="S1" s="4"/>
      <c r="T1" s="4"/>
      <c r="U1" s="4"/>
      <c r="V1" s="4"/>
      <c r="W1" s="4"/>
      <c r="X1" s="4"/>
      <c r="Y1" s="4"/>
      <c r="Z1" s="4"/>
    </row>
    <row r="2">
      <c r="A2" s="13">
        <v>7.0</v>
      </c>
      <c r="B2" s="13">
        <v>7.0</v>
      </c>
      <c r="C2" s="14"/>
      <c r="D2" s="15"/>
      <c r="E2" s="14"/>
      <c r="F2" s="16">
        <v>85.0</v>
      </c>
      <c r="G2" s="15"/>
      <c r="H2" s="15"/>
      <c r="I2" s="15"/>
      <c r="J2" s="15"/>
      <c r="K2" s="15"/>
      <c r="L2" s="15"/>
      <c r="M2" s="15"/>
      <c r="N2" s="15"/>
      <c r="O2" s="15"/>
      <c r="P2" s="15"/>
      <c r="Q2" s="15"/>
      <c r="R2" s="15"/>
      <c r="S2" s="15"/>
      <c r="T2" s="15"/>
      <c r="U2" s="15"/>
      <c r="V2" s="15"/>
      <c r="W2" s="15"/>
      <c r="X2" s="15"/>
      <c r="Y2" s="15"/>
      <c r="Z2" s="15"/>
    </row>
    <row r="3">
      <c r="A3" s="13">
        <v>8.0</v>
      </c>
      <c r="B3" s="13">
        <v>8.0</v>
      </c>
      <c r="C3" s="14"/>
      <c r="D3" s="15"/>
      <c r="E3" s="14"/>
      <c r="F3" s="16">
        <v>131.0</v>
      </c>
      <c r="G3" s="15"/>
      <c r="H3" s="15"/>
      <c r="I3" s="15"/>
      <c r="J3" s="15"/>
      <c r="K3" s="15"/>
      <c r="L3" s="15"/>
      <c r="M3" s="15"/>
      <c r="N3" s="15"/>
      <c r="O3" s="15"/>
      <c r="P3" s="15"/>
      <c r="Q3" s="15"/>
      <c r="R3" s="15"/>
      <c r="S3" s="15"/>
      <c r="T3" s="15"/>
      <c r="U3" s="15"/>
      <c r="V3" s="15"/>
      <c r="W3" s="15"/>
      <c r="X3" s="15"/>
      <c r="Y3" s="15"/>
      <c r="Z3" s="15"/>
    </row>
    <row r="4">
      <c r="A4" s="13">
        <v>13.0</v>
      </c>
      <c r="B4" s="13">
        <v>13.0</v>
      </c>
      <c r="C4" s="14"/>
      <c r="D4" s="15"/>
      <c r="E4" s="14"/>
      <c r="F4" s="16">
        <v>212.0</v>
      </c>
      <c r="G4" s="15"/>
      <c r="H4" s="15"/>
      <c r="I4" s="15"/>
      <c r="J4" s="15"/>
      <c r="K4" s="15"/>
      <c r="L4" s="15"/>
      <c r="M4" s="15"/>
      <c r="N4" s="15"/>
      <c r="O4" s="15"/>
      <c r="P4" s="15"/>
      <c r="Q4" s="15"/>
      <c r="R4" s="15"/>
      <c r="S4" s="15"/>
      <c r="T4" s="15"/>
      <c r="U4" s="15"/>
      <c r="V4" s="15"/>
      <c r="W4" s="15"/>
      <c r="X4" s="15"/>
      <c r="Y4" s="15"/>
      <c r="Z4" s="15"/>
    </row>
    <row r="5">
      <c r="A5" s="13">
        <v>28.0</v>
      </c>
      <c r="B5" s="13">
        <v>28.0</v>
      </c>
      <c r="C5" s="14"/>
      <c r="D5" s="15"/>
      <c r="E5" s="14"/>
      <c r="F5" s="16">
        <v>254.0</v>
      </c>
      <c r="G5" s="15"/>
      <c r="H5" s="15"/>
      <c r="I5" s="15"/>
      <c r="J5" s="15"/>
      <c r="K5" s="15"/>
      <c r="L5" s="15"/>
      <c r="M5" s="15"/>
      <c r="N5" s="15"/>
      <c r="O5" s="15"/>
      <c r="P5" s="15"/>
      <c r="Q5" s="15"/>
      <c r="R5" s="15"/>
      <c r="S5" s="15"/>
      <c r="T5" s="15"/>
      <c r="U5" s="15"/>
      <c r="V5" s="15"/>
      <c r="W5" s="15"/>
      <c r="X5" s="15"/>
      <c r="Y5" s="15"/>
      <c r="Z5" s="15"/>
    </row>
    <row r="6">
      <c r="A6" s="13">
        <v>44.0</v>
      </c>
      <c r="B6" s="13">
        <v>44.0</v>
      </c>
      <c r="C6" s="14"/>
      <c r="D6" s="15"/>
      <c r="E6" s="14"/>
      <c r="F6" s="16">
        <v>539.0</v>
      </c>
      <c r="G6" s="15"/>
      <c r="H6" s="15"/>
      <c r="I6" s="15"/>
      <c r="J6" s="15"/>
      <c r="K6" s="15"/>
      <c r="L6" s="15"/>
      <c r="M6" s="15"/>
      <c r="N6" s="15"/>
      <c r="O6" s="15"/>
      <c r="P6" s="15"/>
      <c r="Q6" s="15"/>
      <c r="R6" s="15"/>
      <c r="S6" s="15"/>
      <c r="T6" s="15"/>
      <c r="U6" s="15"/>
      <c r="V6" s="15"/>
      <c r="W6" s="15"/>
      <c r="X6" s="15"/>
      <c r="Y6" s="15"/>
      <c r="Z6" s="15"/>
    </row>
    <row r="7">
      <c r="A7" s="13">
        <v>53.0</v>
      </c>
      <c r="B7" s="13">
        <v>53.0</v>
      </c>
      <c r="C7" s="14"/>
      <c r="D7" s="15"/>
      <c r="E7" s="14"/>
      <c r="F7" s="16">
        <v>672.0</v>
      </c>
      <c r="G7" s="15"/>
      <c r="H7" s="15"/>
      <c r="I7" s="15"/>
      <c r="J7" s="15"/>
      <c r="K7" s="15"/>
      <c r="L7" s="15"/>
      <c r="M7" s="15"/>
      <c r="N7" s="15"/>
      <c r="O7" s="15"/>
      <c r="P7" s="15"/>
      <c r="Q7" s="15"/>
      <c r="R7" s="15"/>
      <c r="S7" s="15"/>
      <c r="T7" s="15"/>
      <c r="U7" s="15"/>
      <c r="V7" s="15"/>
      <c r="W7" s="15"/>
      <c r="X7" s="15"/>
      <c r="Y7" s="15"/>
      <c r="Z7" s="15"/>
    </row>
    <row r="8">
      <c r="A8" s="13">
        <v>54.0</v>
      </c>
      <c r="B8" s="13">
        <v>54.0</v>
      </c>
      <c r="C8" s="14"/>
      <c r="D8" s="15"/>
      <c r="E8" s="14"/>
      <c r="F8" s="16">
        <v>738.0</v>
      </c>
      <c r="G8" s="15"/>
      <c r="H8" s="15"/>
      <c r="I8" s="15"/>
      <c r="J8" s="15"/>
      <c r="K8" s="15"/>
      <c r="L8" s="15"/>
      <c r="M8" s="15"/>
      <c r="N8" s="15"/>
      <c r="O8" s="15"/>
      <c r="P8" s="15"/>
      <c r="Q8" s="15"/>
      <c r="R8" s="15"/>
      <c r="S8" s="15"/>
      <c r="T8" s="15"/>
      <c r="U8" s="15"/>
      <c r="V8" s="15"/>
      <c r="W8" s="15"/>
      <c r="X8" s="15"/>
      <c r="Y8" s="15"/>
      <c r="Z8" s="15"/>
    </row>
    <row r="9">
      <c r="A9" s="13">
        <v>55.0</v>
      </c>
      <c r="B9" s="13">
        <v>55.0</v>
      </c>
      <c r="C9" s="14"/>
      <c r="D9" s="15"/>
      <c r="E9" s="14"/>
      <c r="F9" s="16">
        <v>742.0</v>
      </c>
      <c r="G9" s="15"/>
      <c r="H9" s="15"/>
      <c r="I9" s="15"/>
      <c r="J9" s="15"/>
      <c r="K9" s="15"/>
      <c r="L9" s="15"/>
      <c r="M9" s="15"/>
      <c r="N9" s="15"/>
      <c r="O9" s="15"/>
      <c r="P9" s="15"/>
      <c r="Q9" s="15"/>
      <c r="R9" s="15"/>
      <c r="S9" s="15"/>
      <c r="T9" s="15"/>
      <c r="U9" s="15"/>
      <c r="V9" s="15"/>
      <c r="W9" s="15"/>
      <c r="X9" s="15"/>
      <c r="Y9" s="15"/>
      <c r="Z9" s="15"/>
    </row>
    <row r="10">
      <c r="A10" s="13">
        <v>63.0</v>
      </c>
      <c r="B10" s="13">
        <v>63.0</v>
      </c>
      <c r="C10" s="14"/>
      <c r="D10" s="15"/>
      <c r="E10" s="14"/>
      <c r="F10" s="16">
        <v>778.0</v>
      </c>
      <c r="G10" s="15"/>
      <c r="H10" s="15"/>
      <c r="I10" s="15"/>
      <c r="J10" s="15"/>
      <c r="K10" s="15"/>
      <c r="L10" s="15"/>
      <c r="M10" s="15"/>
      <c r="N10" s="15"/>
      <c r="O10" s="15"/>
      <c r="P10" s="15"/>
      <c r="Q10" s="15"/>
      <c r="R10" s="15"/>
      <c r="S10" s="15"/>
      <c r="T10" s="15"/>
      <c r="U10" s="15"/>
      <c r="V10" s="15"/>
      <c r="W10" s="15"/>
      <c r="X10" s="15"/>
      <c r="Y10" s="15"/>
      <c r="Z10" s="15"/>
    </row>
    <row r="11">
      <c r="A11" s="13">
        <v>73.0</v>
      </c>
      <c r="B11" s="13">
        <v>73.0</v>
      </c>
      <c r="C11" s="14"/>
      <c r="D11" s="15"/>
      <c r="E11" s="14"/>
      <c r="F11" s="16">
        <v>803.0</v>
      </c>
      <c r="G11" s="15"/>
      <c r="H11" s="15"/>
      <c r="I11" s="15"/>
      <c r="J11" s="15"/>
      <c r="K11" s="15"/>
      <c r="L11" s="15"/>
      <c r="M11" s="15"/>
      <c r="N11" s="15"/>
      <c r="O11" s="15"/>
      <c r="P11" s="15"/>
      <c r="Q11" s="15"/>
      <c r="R11" s="15"/>
      <c r="S11" s="15"/>
      <c r="T11" s="15"/>
      <c r="U11" s="15"/>
      <c r="V11" s="15"/>
      <c r="W11" s="15"/>
      <c r="X11" s="15"/>
      <c r="Y11" s="15"/>
      <c r="Z11" s="15"/>
    </row>
    <row r="12">
      <c r="A12" s="13">
        <v>85.0</v>
      </c>
      <c r="B12" s="15"/>
      <c r="C12" s="14"/>
      <c r="D12" s="26">
        <v>85.0</v>
      </c>
      <c r="E12" s="14"/>
      <c r="F12" s="16">
        <v>844.0</v>
      </c>
      <c r="G12" s="15"/>
      <c r="H12" s="15"/>
      <c r="I12" s="15"/>
      <c r="J12" s="15"/>
      <c r="K12" s="15"/>
      <c r="L12" s="15"/>
      <c r="M12" s="15"/>
      <c r="N12" s="15"/>
      <c r="O12" s="15"/>
      <c r="P12" s="15"/>
      <c r="Q12" s="15"/>
      <c r="R12" s="15"/>
      <c r="S12" s="15"/>
      <c r="T12" s="15"/>
      <c r="U12" s="15"/>
      <c r="V12" s="15"/>
      <c r="W12" s="15"/>
      <c r="X12" s="15"/>
      <c r="Y12" s="15"/>
      <c r="Z12" s="15"/>
    </row>
    <row r="13">
      <c r="A13" s="13">
        <v>108.0</v>
      </c>
      <c r="B13" s="13">
        <v>108.0</v>
      </c>
      <c r="C13" s="14"/>
      <c r="D13" s="15"/>
      <c r="E13" s="14"/>
      <c r="F13" s="16">
        <v>873.0</v>
      </c>
      <c r="G13" s="15"/>
      <c r="H13" s="15"/>
      <c r="I13" s="15"/>
      <c r="J13" s="15"/>
      <c r="K13" s="15"/>
      <c r="L13" s="15"/>
      <c r="M13" s="15"/>
      <c r="N13" s="15"/>
      <c r="O13" s="15"/>
      <c r="P13" s="15"/>
      <c r="Q13" s="15"/>
      <c r="R13" s="15"/>
      <c r="S13" s="15"/>
      <c r="T13" s="15"/>
      <c r="U13" s="15"/>
      <c r="V13" s="15"/>
      <c r="W13" s="15"/>
      <c r="X13" s="15"/>
      <c r="Y13" s="15"/>
      <c r="Z13" s="15"/>
    </row>
    <row r="14">
      <c r="A14" s="13">
        <v>131.0</v>
      </c>
      <c r="B14" s="15"/>
      <c r="C14" s="14"/>
      <c r="D14" s="26">
        <v>131.0</v>
      </c>
      <c r="E14" s="14"/>
      <c r="F14" s="16">
        <v>907.0</v>
      </c>
      <c r="G14" s="15"/>
      <c r="H14" s="15"/>
      <c r="I14" s="15"/>
      <c r="J14" s="15"/>
      <c r="K14" s="15"/>
      <c r="L14" s="15"/>
      <c r="M14" s="15"/>
      <c r="N14" s="15"/>
      <c r="O14" s="15"/>
      <c r="P14" s="15"/>
      <c r="Q14" s="15"/>
      <c r="R14" s="15"/>
      <c r="S14" s="15"/>
      <c r="T14" s="15"/>
      <c r="U14" s="15"/>
      <c r="V14" s="15"/>
      <c r="W14" s="15"/>
      <c r="X14" s="15"/>
      <c r="Y14" s="15"/>
      <c r="Z14" s="15"/>
    </row>
    <row r="15">
      <c r="A15" s="13">
        <v>139.0</v>
      </c>
      <c r="B15" s="13">
        <v>139.0</v>
      </c>
      <c r="C15" s="14"/>
      <c r="D15" s="15"/>
      <c r="E15" s="14"/>
      <c r="F15" s="16">
        <v>1048.0</v>
      </c>
      <c r="G15" s="15"/>
      <c r="H15" s="15"/>
      <c r="I15" s="15"/>
      <c r="J15" s="15"/>
      <c r="K15" s="15"/>
      <c r="L15" s="15"/>
      <c r="M15" s="15"/>
      <c r="N15" s="15"/>
      <c r="O15" s="15"/>
      <c r="P15" s="15"/>
      <c r="Q15" s="15"/>
      <c r="R15" s="15"/>
      <c r="S15" s="15"/>
      <c r="T15" s="15"/>
      <c r="U15" s="15"/>
      <c r="V15" s="15"/>
      <c r="W15" s="15"/>
      <c r="X15" s="15"/>
      <c r="Y15" s="15"/>
      <c r="Z15" s="15"/>
    </row>
    <row r="16">
      <c r="A16" s="13">
        <v>154.0</v>
      </c>
      <c r="B16" s="13">
        <v>154.0</v>
      </c>
      <c r="C16" s="14"/>
      <c r="D16" s="15"/>
      <c r="E16" s="14"/>
      <c r="F16" s="16">
        <v>1174.0</v>
      </c>
      <c r="G16" s="15"/>
      <c r="H16" s="15"/>
      <c r="I16" s="15"/>
      <c r="J16" s="15"/>
      <c r="K16" s="15"/>
      <c r="L16" s="15"/>
      <c r="M16" s="15"/>
      <c r="N16" s="15"/>
      <c r="O16" s="15"/>
      <c r="P16" s="15"/>
      <c r="Q16" s="15"/>
      <c r="R16" s="15"/>
      <c r="S16" s="15"/>
      <c r="T16" s="15"/>
      <c r="U16" s="15"/>
      <c r="V16" s="15"/>
      <c r="W16" s="15"/>
      <c r="X16" s="15"/>
      <c r="Y16" s="15"/>
      <c r="Z16" s="15"/>
    </row>
    <row r="17">
      <c r="A17" s="13">
        <v>169.0</v>
      </c>
      <c r="B17" s="13">
        <v>169.0</v>
      </c>
      <c r="C17" s="14"/>
      <c r="D17" s="15"/>
      <c r="E17" s="14"/>
      <c r="F17" s="16">
        <v>1233.0</v>
      </c>
      <c r="G17" s="15"/>
      <c r="H17" s="15"/>
      <c r="I17" s="15"/>
      <c r="J17" s="15"/>
      <c r="K17" s="15"/>
      <c r="L17" s="15"/>
      <c r="M17" s="15"/>
      <c r="N17" s="15"/>
      <c r="O17" s="15"/>
      <c r="P17" s="15"/>
      <c r="Q17" s="15"/>
      <c r="R17" s="15"/>
      <c r="S17" s="15"/>
      <c r="T17" s="15"/>
      <c r="U17" s="15"/>
      <c r="V17" s="15"/>
      <c r="W17" s="15"/>
      <c r="X17" s="15"/>
      <c r="Y17" s="15"/>
      <c r="Z17" s="15"/>
    </row>
    <row r="18">
      <c r="A18" s="13">
        <v>180.0</v>
      </c>
      <c r="B18" s="13">
        <v>180.0</v>
      </c>
      <c r="C18" s="14"/>
      <c r="D18" s="15"/>
      <c r="E18" s="14"/>
      <c r="F18" s="15"/>
      <c r="G18" s="15"/>
      <c r="H18" s="15"/>
      <c r="I18" s="15"/>
      <c r="J18" s="15"/>
      <c r="K18" s="15"/>
      <c r="L18" s="15"/>
      <c r="M18" s="15"/>
      <c r="N18" s="15"/>
      <c r="O18" s="15"/>
      <c r="P18" s="15"/>
      <c r="Q18" s="15"/>
      <c r="R18" s="15"/>
      <c r="S18" s="15"/>
      <c r="T18" s="15"/>
      <c r="U18" s="15"/>
      <c r="V18" s="15"/>
      <c r="W18" s="15"/>
      <c r="X18" s="15"/>
      <c r="Y18" s="15"/>
      <c r="Z18" s="15"/>
    </row>
    <row r="19">
      <c r="A19" s="13">
        <v>183.0</v>
      </c>
      <c r="B19" s="13">
        <v>183.0</v>
      </c>
      <c r="C19" s="14"/>
      <c r="D19" s="15"/>
      <c r="E19" s="14"/>
      <c r="F19" s="15"/>
      <c r="G19" s="15"/>
      <c r="H19" s="15"/>
      <c r="I19" s="15"/>
      <c r="J19" s="15"/>
      <c r="K19" s="15"/>
      <c r="L19" s="15"/>
      <c r="M19" s="15"/>
      <c r="N19" s="15"/>
      <c r="O19" s="15"/>
      <c r="P19" s="15"/>
      <c r="Q19" s="15"/>
      <c r="R19" s="15"/>
      <c r="S19" s="15"/>
      <c r="T19" s="15"/>
      <c r="U19" s="15"/>
      <c r="V19" s="15"/>
      <c r="W19" s="15"/>
      <c r="X19" s="15"/>
      <c r="Y19" s="15"/>
      <c r="Z19" s="15"/>
    </row>
    <row r="20">
      <c r="A20" s="13">
        <v>199.0</v>
      </c>
      <c r="B20" s="13">
        <v>199.0</v>
      </c>
      <c r="C20" s="14"/>
      <c r="D20" s="15"/>
      <c r="E20" s="14"/>
      <c r="F20" s="15"/>
      <c r="G20" s="15"/>
      <c r="H20" s="15"/>
      <c r="I20" s="15"/>
      <c r="J20" s="15"/>
      <c r="K20" s="15"/>
      <c r="L20" s="15"/>
      <c r="M20" s="15"/>
      <c r="N20" s="15"/>
      <c r="O20" s="15"/>
      <c r="P20" s="15"/>
      <c r="Q20" s="15"/>
      <c r="R20" s="15"/>
      <c r="S20" s="15"/>
      <c r="T20" s="15"/>
      <c r="U20" s="15"/>
      <c r="V20" s="15"/>
      <c r="W20" s="15"/>
      <c r="X20" s="15"/>
      <c r="Y20" s="15"/>
      <c r="Z20" s="15"/>
    </row>
    <row r="21">
      <c r="A21" s="13">
        <v>212.0</v>
      </c>
      <c r="B21" s="15"/>
      <c r="C21" s="14"/>
      <c r="D21" s="26">
        <v>212.0</v>
      </c>
      <c r="E21" s="14"/>
      <c r="F21" s="15"/>
      <c r="G21" s="15"/>
      <c r="H21" s="15"/>
      <c r="I21" s="15"/>
      <c r="J21" s="15"/>
      <c r="K21" s="15"/>
      <c r="L21" s="15"/>
      <c r="M21" s="15"/>
      <c r="N21" s="15"/>
      <c r="O21" s="15"/>
      <c r="P21" s="15"/>
      <c r="Q21" s="15"/>
      <c r="R21" s="15"/>
      <c r="S21" s="15"/>
      <c r="T21" s="15"/>
      <c r="U21" s="15"/>
      <c r="V21" s="15"/>
      <c r="W21" s="15"/>
      <c r="X21" s="15"/>
      <c r="Y21" s="15"/>
      <c r="Z21" s="15"/>
    </row>
    <row r="22">
      <c r="A22" s="13">
        <v>216.0</v>
      </c>
      <c r="B22" s="13">
        <v>216.0</v>
      </c>
      <c r="C22" s="14"/>
      <c r="D22" s="15"/>
      <c r="E22" s="14"/>
      <c r="F22" s="15"/>
      <c r="G22" s="15"/>
      <c r="H22" s="15"/>
      <c r="I22" s="15"/>
      <c r="J22" s="15"/>
      <c r="K22" s="15"/>
      <c r="L22" s="15"/>
      <c r="M22" s="15"/>
      <c r="N22" s="15"/>
      <c r="O22" s="15"/>
      <c r="P22" s="15"/>
      <c r="Q22" s="15"/>
      <c r="R22" s="15"/>
      <c r="S22" s="15"/>
      <c r="T22" s="15"/>
      <c r="U22" s="15"/>
      <c r="V22" s="15"/>
      <c r="W22" s="15"/>
      <c r="X22" s="15"/>
      <c r="Y22" s="15"/>
      <c r="Z22" s="15"/>
    </row>
    <row r="23">
      <c r="A23" s="13">
        <v>219.0</v>
      </c>
      <c r="B23" s="13">
        <v>219.0</v>
      </c>
      <c r="C23" s="14"/>
      <c r="D23" s="15"/>
      <c r="E23" s="14"/>
      <c r="F23" s="15"/>
      <c r="G23" s="15"/>
      <c r="H23" s="15"/>
      <c r="I23" s="15"/>
      <c r="J23" s="15"/>
      <c r="K23" s="15"/>
      <c r="L23" s="15"/>
      <c r="M23" s="15"/>
      <c r="N23" s="15"/>
      <c r="O23" s="15"/>
      <c r="P23" s="15"/>
      <c r="Q23" s="15"/>
      <c r="R23" s="15"/>
      <c r="S23" s="15"/>
      <c r="T23" s="15"/>
      <c r="U23" s="15"/>
      <c r="V23" s="15"/>
      <c r="W23" s="15"/>
      <c r="X23" s="15"/>
      <c r="Y23" s="15"/>
      <c r="Z23" s="15"/>
    </row>
    <row r="24">
      <c r="A24" s="13">
        <v>221.0</v>
      </c>
      <c r="B24" s="13">
        <v>221.0</v>
      </c>
      <c r="C24" s="14"/>
      <c r="D24" s="15"/>
      <c r="E24" s="14"/>
      <c r="F24" s="15"/>
      <c r="G24" s="15"/>
      <c r="H24" s="15"/>
      <c r="I24" s="15"/>
      <c r="J24" s="15"/>
      <c r="K24" s="15"/>
      <c r="L24" s="15"/>
      <c r="M24" s="15"/>
      <c r="N24" s="15"/>
      <c r="O24" s="15"/>
      <c r="P24" s="15"/>
      <c r="Q24" s="15"/>
      <c r="R24" s="15"/>
      <c r="S24" s="15"/>
      <c r="T24" s="15"/>
      <c r="U24" s="15"/>
      <c r="V24" s="15"/>
      <c r="W24" s="15"/>
      <c r="X24" s="15"/>
      <c r="Y24" s="15"/>
      <c r="Z24" s="15"/>
    </row>
    <row r="25">
      <c r="A25" s="13">
        <v>235.0</v>
      </c>
      <c r="B25" s="13">
        <v>235.0</v>
      </c>
      <c r="C25" s="14"/>
      <c r="D25" s="15"/>
      <c r="E25" s="14"/>
      <c r="F25" s="15"/>
      <c r="G25" s="15"/>
      <c r="H25" s="15"/>
      <c r="I25" s="15"/>
      <c r="J25" s="15"/>
      <c r="K25" s="15"/>
      <c r="L25" s="15"/>
      <c r="M25" s="15"/>
      <c r="N25" s="15"/>
      <c r="O25" s="15"/>
      <c r="P25" s="15"/>
      <c r="Q25" s="15"/>
      <c r="R25" s="15"/>
      <c r="S25" s="15"/>
      <c r="T25" s="15"/>
      <c r="U25" s="15"/>
      <c r="V25" s="15"/>
      <c r="W25" s="15"/>
      <c r="X25" s="15"/>
      <c r="Y25" s="15"/>
      <c r="Z25" s="15"/>
    </row>
    <row r="26">
      <c r="A26" s="13">
        <v>254.0</v>
      </c>
      <c r="B26" s="15"/>
      <c r="C26" s="14"/>
      <c r="D26" s="26">
        <v>254.0</v>
      </c>
      <c r="E26" s="14"/>
      <c r="F26" s="15"/>
      <c r="G26" s="15"/>
      <c r="H26" s="15"/>
      <c r="I26" s="15"/>
      <c r="J26" s="15"/>
      <c r="K26" s="15"/>
      <c r="L26" s="15"/>
      <c r="M26" s="15"/>
      <c r="N26" s="15"/>
      <c r="O26" s="15"/>
      <c r="P26" s="15"/>
      <c r="Q26" s="15"/>
      <c r="R26" s="15"/>
      <c r="S26" s="15"/>
      <c r="T26" s="15"/>
      <c r="U26" s="15"/>
      <c r="V26" s="15"/>
      <c r="W26" s="15"/>
      <c r="X26" s="15"/>
      <c r="Y26" s="15"/>
      <c r="Z26" s="15"/>
    </row>
    <row r="27">
      <c r="A27" s="13">
        <v>268.0</v>
      </c>
      <c r="B27" s="13">
        <v>268.0</v>
      </c>
      <c r="C27" s="14"/>
      <c r="D27" s="15"/>
      <c r="E27" s="14"/>
      <c r="F27" s="15"/>
      <c r="G27" s="15"/>
      <c r="H27" s="15"/>
      <c r="I27" s="15"/>
      <c r="J27" s="15"/>
      <c r="K27" s="15"/>
      <c r="L27" s="15"/>
      <c r="M27" s="15"/>
      <c r="N27" s="15"/>
      <c r="O27" s="15"/>
      <c r="P27" s="15"/>
      <c r="Q27" s="15"/>
      <c r="R27" s="15"/>
      <c r="S27" s="15"/>
      <c r="T27" s="15"/>
      <c r="U27" s="15"/>
      <c r="V27" s="15"/>
      <c r="W27" s="15"/>
      <c r="X27" s="15"/>
      <c r="Y27" s="15"/>
      <c r="Z27" s="15"/>
    </row>
    <row r="28">
      <c r="A28" s="13">
        <v>299.0</v>
      </c>
      <c r="B28" s="13">
        <v>299.0</v>
      </c>
      <c r="C28" s="14"/>
      <c r="D28" s="15"/>
      <c r="E28" s="14"/>
      <c r="F28" s="15"/>
      <c r="G28" s="15"/>
      <c r="H28" s="15"/>
      <c r="I28" s="15"/>
      <c r="J28" s="15"/>
      <c r="K28" s="15"/>
      <c r="L28" s="15"/>
      <c r="M28" s="15"/>
      <c r="N28" s="15"/>
      <c r="O28" s="15"/>
      <c r="P28" s="15"/>
      <c r="Q28" s="15"/>
      <c r="R28" s="15"/>
      <c r="S28" s="15"/>
      <c r="T28" s="15"/>
      <c r="U28" s="15"/>
      <c r="V28" s="15"/>
      <c r="W28" s="15"/>
      <c r="X28" s="15"/>
      <c r="Y28" s="15"/>
      <c r="Z28" s="15"/>
    </row>
    <row r="29">
      <c r="A29" s="13">
        <v>322.0</v>
      </c>
      <c r="B29" s="13">
        <v>322.0</v>
      </c>
      <c r="C29" s="14"/>
      <c r="D29" s="15"/>
      <c r="E29" s="14"/>
      <c r="F29" s="15"/>
      <c r="G29" s="15"/>
      <c r="H29" s="15"/>
      <c r="I29" s="15"/>
      <c r="J29" s="15"/>
      <c r="K29" s="15"/>
      <c r="L29" s="15"/>
      <c r="M29" s="15"/>
      <c r="N29" s="15"/>
      <c r="O29" s="15"/>
      <c r="P29" s="15"/>
      <c r="Q29" s="15"/>
      <c r="R29" s="15"/>
      <c r="S29" s="15"/>
      <c r="T29" s="15"/>
      <c r="U29" s="15"/>
      <c r="V29" s="15"/>
      <c r="W29" s="15"/>
      <c r="X29" s="15"/>
      <c r="Y29" s="15"/>
      <c r="Z29" s="15"/>
    </row>
    <row r="30">
      <c r="A30" s="27">
        <v>349.0</v>
      </c>
      <c r="B30" s="13">
        <v>349.0</v>
      </c>
      <c r="C30" s="14"/>
      <c r="D30" s="15"/>
      <c r="E30" s="14"/>
      <c r="F30" s="15"/>
      <c r="G30" s="15"/>
      <c r="H30" s="15"/>
      <c r="I30" s="15"/>
      <c r="J30" s="15"/>
      <c r="K30" s="15"/>
      <c r="L30" s="15"/>
      <c r="M30" s="15"/>
      <c r="N30" s="15"/>
      <c r="O30" s="15"/>
      <c r="P30" s="15"/>
      <c r="Q30" s="15"/>
      <c r="R30" s="15"/>
      <c r="S30" s="15"/>
      <c r="T30" s="15"/>
      <c r="U30" s="15"/>
      <c r="V30" s="15"/>
      <c r="W30" s="15"/>
      <c r="X30" s="15"/>
      <c r="Y30" s="15"/>
      <c r="Z30" s="15"/>
    </row>
    <row r="31">
      <c r="A31" s="13">
        <v>352.0</v>
      </c>
      <c r="B31" s="13">
        <v>352.0</v>
      </c>
      <c r="C31" s="14"/>
      <c r="D31" s="15"/>
      <c r="E31" s="14"/>
      <c r="F31" s="15"/>
      <c r="G31" s="15"/>
      <c r="H31" s="15"/>
      <c r="I31" s="15"/>
      <c r="J31" s="15"/>
      <c r="K31" s="15"/>
      <c r="L31" s="15"/>
      <c r="M31" s="15"/>
      <c r="N31" s="15"/>
      <c r="O31" s="15"/>
      <c r="P31" s="15"/>
      <c r="Q31" s="15"/>
      <c r="R31" s="15"/>
      <c r="S31" s="15"/>
      <c r="T31" s="15"/>
      <c r="U31" s="15"/>
      <c r="V31" s="15"/>
      <c r="W31" s="15"/>
      <c r="X31" s="15"/>
      <c r="Y31" s="15"/>
      <c r="Z31" s="15"/>
    </row>
    <row r="32">
      <c r="A32" s="13">
        <v>360.0</v>
      </c>
      <c r="B32" s="13">
        <v>360.0</v>
      </c>
      <c r="C32" s="14"/>
      <c r="D32" s="15"/>
      <c r="E32" s="14"/>
      <c r="F32" s="15"/>
      <c r="G32" s="15"/>
      <c r="H32" s="15"/>
      <c r="I32" s="15"/>
      <c r="J32" s="15"/>
      <c r="K32" s="15"/>
      <c r="L32" s="15"/>
      <c r="M32" s="15"/>
      <c r="N32" s="15"/>
      <c r="O32" s="15"/>
      <c r="P32" s="15"/>
      <c r="Q32" s="15"/>
      <c r="R32" s="15"/>
      <c r="S32" s="15"/>
      <c r="T32" s="15"/>
      <c r="U32" s="15"/>
      <c r="V32" s="15"/>
      <c r="W32" s="15"/>
      <c r="X32" s="15"/>
      <c r="Y32" s="15"/>
      <c r="Z32" s="15"/>
    </row>
    <row r="33">
      <c r="A33" s="13">
        <v>379.0</v>
      </c>
      <c r="B33" s="13">
        <v>379.0</v>
      </c>
      <c r="C33" s="14"/>
      <c r="D33" s="15"/>
      <c r="E33" s="14"/>
      <c r="F33" s="15"/>
      <c r="G33" s="15"/>
      <c r="H33" s="15"/>
      <c r="I33" s="15"/>
      <c r="J33" s="15"/>
      <c r="K33" s="15"/>
      <c r="L33" s="15"/>
      <c r="M33" s="15"/>
      <c r="N33" s="15"/>
      <c r="O33" s="15"/>
      <c r="P33" s="15"/>
      <c r="Q33" s="15"/>
      <c r="R33" s="15"/>
      <c r="S33" s="15"/>
      <c r="T33" s="15"/>
      <c r="U33" s="15"/>
      <c r="V33" s="15"/>
      <c r="W33" s="15"/>
      <c r="X33" s="15"/>
      <c r="Y33" s="15"/>
      <c r="Z33" s="15"/>
    </row>
    <row r="34">
      <c r="A34" s="13">
        <v>381.0</v>
      </c>
      <c r="B34" s="13">
        <v>381.0</v>
      </c>
      <c r="C34" s="14"/>
      <c r="D34" s="15"/>
      <c r="E34" s="14"/>
      <c r="F34" s="15"/>
      <c r="G34" s="15"/>
      <c r="H34" s="15"/>
      <c r="I34" s="15"/>
      <c r="J34" s="15"/>
      <c r="K34" s="15"/>
      <c r="L34" s="15"/>
      <c r="M34" s="15"/>
      <c r="N34" s="15"/>
      <c r="O34" s="15"/>
      <c r="P34" s="15"/>
      <c r="Q34" s="15"/>
      <c r="R34" s="15"/>
      <c r="S34" s="15"/>
      <c r="T34" s="15"/>
      <c r="U34" s="15"/>
      <c r="V34" s="15"/>
      <c r="W34" s="15"/>
      <c r="X34" s="15"/>
      <c r="Y34" s="15"/>
      <c r="Z34" s="15"/>
    </row>
    <row r="35">
      <c r="A35" s="13">
        <v>382.0</v>
      </c>
      <c r="B35" s="13">
        <v>382.0</v>
      </c>
      <c r="C35" s="14"/>
      <c r="D35" s="15"/>
      <c r="E35" s="14"/>
      <c r="F35" s="15"/>
      <c r="G35" s="15"/>
      <c r="H35" s="15"/>
      <c r="I35" s="15"/>
      <c r="J35" s="15"/>
      <c r="K35" s="15"/>
      <c r="L35" s="15"/>
      <c r="M35" s="15"/>
      <c r="N35" s="15"/>
      <c r="O35" s="15"/>
      <c r="P35" s="15"/>
      <c r="Q35" s="15"/>
      <c r="R35" s="15"/>
      <c r="S35" s="15"/>
      <c r="T35" s="15"/>
      <c r="U35" s="15"/>
      <c r="V35" s="15"/>
      <c r="W35" s="15"/>
      <c r="X35" s="15"/>
      <c r="Y35" s="15"/>
      <c r="Z35" s="15"/>
    </row>
    <row r="36">
      <c r="A36" s="13">
        <v>404.0</v>
      </c>
      <c r="B36" s="13">
        <v>404.0</v>
      </c>
      <c r="C36" s="14"/>
      <c r="D36" s="15"/>
      <c r="E36" s="14"/>
      <c r="F36" s="15"/>
      <c r="G36" s="15"/>
      <c r="H36" s="15"/>
      <c r="I36" s="15"/>
      <c r="J36" s="15"/>
      <c r="K36" s="15"/>
      <c r="L36" s="15"/>
      <c r="M36" s="15"/>
      <c r="N36" s="15"/>
      <c r="O36" s="15"/>
      <c r="P36" s="15"/>
      <c r="Q36" s="15"/>
      <c r="R36" s="15"/>
      <c r="S36" s="15"/>
      <c r="T36" s="15"/>
      <c r="U36" s="15"/>
      <c r="V36" s="15"/>
      <c r="W36" s="15"/>
      <c r="X36" s="15"/>
      <c r="Y36" s="15"/>
      <c r="Z36" s="15"/>
    </row>
    <row r="37">
      <c r="A37" s="13">
        <v>414.0</v>
      </c>
      <c r="B37" s="13">
        <v>414.0</v>
      </c>
      <c r="C37" s="14"/>
      <c r="D37" s="15"/>
      <c r="E37" s="14"/>
      <c r="F37" s="15"/>
      <c r="G37" s="15"/>
      <c r="H37" s="15"/>
      <c r="I37" s="15"/>
      <c r="J37" s="15"/>
      <c r="K37" s="15"/>
      <c r="L37" s="15"/>
      <c r="M37" s="15"/>
      <c r="N37" s="15"/>
      <c r="O37" s="15"/>
      <c r="P37" s="15"/>
      <c r="Q37" s="15"/>
      <c r="R37" s="15"/>
      <c r="S37" s="15"/>
      <c r="T37" s="15"/>
      <c r="U37" s="15"/>
      <c r="V37" s="15"/>
      <c r="W37" s="15"/>
      <c r="X37" s="15"/>
      <c r="Y37" s="15"/>
      <c r="Z37" s="15"/>
    </row>
    <row r="38">
      <c r="A38" s="13">
        <v>418.0</v>
      </c>
      <c r="B38" s="13">
        <v>418.0</v>
      </c>
      <c r="C38" s="14"/>
      <c r="D38" s="15"/>
      <c r="E38" s="14"/>
      <c r="F38" s="15"/>
      <c r="G38" s="15"/>
      <c r="H38" s="15"/>
      <c r="I38" s="15"/>
      <c r="J38" s="15"/>
      <c r="K38" s="15"/>
      <c r="L38" s="15"/>
      <c r="M38" s="15"/>
      <c r="N38" s="15"/>
      <c r="O38" s="15"/>
      <c r="P38" s="15"/>
      <c r="Q38" s="15"/>
      <c r="R38" s="15"/>
      <c r="S38" s="15"/>
      <c r="T38" s="15"/>
      <c r="U38" s="15"/>
      <c r="V38" s="15"/>
      <c r="W38" s="15"/>
      <c r="X38" s="15"/>
      <c r="Y38" s="15"/>
      <c r="Z38" s="15"/>
    </row>
    <row r="39">
      <c r="A39" s="13">
        <v>419.0</v>
      </c>
      <c r="B39" s="13">
        <v>419.0</v>
      </c>
      <c r="C39" s="14"/>
      <c r="D39" s="15"/>
      <c r="E39" s="14"/>
      <c r="F39" s="15"/>
      <c r="G39" s="15"/>
      <c r="H39" s="15"/>
      <c r="I39" s="15"/>
      <c r="J39" s="15"/>
      <c r="K39" s="15"/>
      <c r="L39" s="15"/>
      <c r="M39" s="15"/>
      <c r="N39" s="15"/>
      <c r="O39" s="15"/>
      <c r="P39" s="15"/>
      <c r="Q39" s="15"/>
      <c r="R39" s="15"/>
      <c r="S39" s="15"/>
      <c r="T39" s="15"/>
      <c r="U39" s="15"/>
      <c r="V39" s="15"/>
      <c r="W39" s="15"/>
      <c r="X39" s="15"/>
      <c r="Y39" s="15"/>
      <c r="Z39" s="15"/>
    </row>
    <row r="40">
      <c r="A40" s="13">
        <v>429.0</v>
      </c>
      <c r="B40" s="13">
        <v>429.0</v>
      </c>
      <c r="C40" s="14"/>
      <c r="D40" s="15"/>
      <c r="E40" s="14"/>
      <c r="F40" s="15"/>
      <c r="G40" s="15"/>
      <c r="H40" s="15"/>
      <c r="I40" s="15"/>
      <c r="J40" s="15"/>
      <c r="K40" s="15"/>
      <c r="L40" s="15"/>
      <c r="M40" s="15"/>
      <c r="N40" s="15"/>
      <c r="O40" s="15"/>
      <c r="P40" s="15"/>
      <c r="Q40" s="15"/>
      <c r="R40" s="15"/>
      <c r="S40" s="15"/>
      <c r="T40" s="15"/>
      <c r="U40" s="15"/>
      <c r="V40" s="15"/>
      <c r="W40" s="15"/>
      <c r="X40" s="15"/>
      <c r="Y40" s="15"/>
      <c r="Z40" s="15"/>
    </row>
    <row r="41">
      <c r="A41" s="13">
        <v>430.0</v>
      </c>
      <c r="B41" s="13">
        <v>430.0</v>
      </c>
      <c r="C41" s="14"/>
      <c r="D41" s="15"/>
      <c r="E41" s="14"/>
      <c r="F41" s="15"/>
      <c r="G41" s="15"/>
      <c r="H41" s="15"/>
      <c r="I41" s="15"/>
      <c r="J41" s="15"/>
      <c r="K41" s="15"/>
      <c r="L41" s="15"/>
      <c r="M41" s="15"/>
      <c r="N41" s="15"/>
      <c r="O41" s="15"/>
      <c r="P41" s="15"/>
      <c r="Q41" s="15"/>
      <c r="R41" s="15"/>
      <c r="S41" s="15"/>
      <c r="T41" s="15"/>
      <c r="U41" s="15"/>
      <c r="V41" s="15"/>
      <c r="W41" s="15"/>
      <c r="X41" s="15"/>
      <c r="Y41" s="15"/>
      <c r="Z41" s="15"/>
    </row>
    <row r="42">
      <c r="A42" s="13">
        <v>432.0</v>
      </c>
      <c r="B42" s="13">
        <v>432.0</v>
      </c>
      <c r="C42" s="14"/>
      <c r="D42" s="15"/>
      <c r="E42" s="14"/>
      <c r="F42" s="15"/>
      <c r="G42" s="15"/>
      <c r="H42" s="15"/>
      <c r="I42" s="15"/>
      <c r="J42" s="15"/>
      <c r="K42" s="15"/>
      <c r="L42" s="15"/>
      <c r="M42" s="15"/>
      <c r="N42" s="15"/>
      <c r="O42" s="15"/>
      <c r="P42" s="15"/>
      <c r="Q42" s="15"/>
      <c r="R42" s="15"/>
      <c r="S42" s="15"/>
      <c r="T42" s="15"/>
      <c r="U42" s="15"/>
      <c r="V42" s="15"/>
      <c r="W42" s="15"/>
      <c r="X42" s="15"/>
      <c r="Y42" s="15"/>
      <c r="Z42" s="15"/>
    </row>
    <row r="43">
      <c r="A43" s="13">
        <v>442.0</v>
      </c>
      <c r="B43" s="13">
        <v>442.0</v>
      </c>
      <c r="C43" s="14"/>
      <c r="D43" s="15"/>
      <c r="E43" s="14"/>
      <c r="F43" s="15"/>
      <c r="G43" s="15"/>
      <c r="H43" s="15"/>
      <c r="I43" s="15"/>
      <c r="J43" s="15"/>
      <c r="K43" s="15"/>
      <c r="L43" s="15"/>
      <c r="M43" s="15"/>
      <c r="N43" s="15"/>
      <c r="O43" s="15"/>
      <c r="P43" s="15"/>
      <c r="Q43" s="15"/>
      <c r="R43" s="15"/>
      <c r="S43" s="15"/>
      <c r="T43" s="15"/>
      <c r="U43" s="15"/>
      <c r="V43" s="15"/>
      <c r="W43" s="15"/>
      <c r="X43" s="15"/>
      <c r="Y43" s="15"/>
      <c r="Z43" s="15"/>
    </row>
    <row r="44">
      <c r="A44" s="13">
        <v>450.0</v>
      </c>
      <c r="B44" s="13">
        <v>450.0</v>
      </c>
      <c r="C44" s="14"/>
      <c r="D44" s="15"/>
      <c r="E44" s="14"/>
      <c r="F44" s="15"/>
      <c r="G44" s="15"/>
      <c r="H44" s="15"/>
      <c r="I44" s="15"/>
      <c r="J44" s="15"/>
      <c r="K44" s="15"/>
      <c r="L44" s="15"/>
      <c r="M44" s="15"/>
      <c r="N44" s="15"/>
      <c r="O44" s="15"/>
      <c r="P44" s="15"/>
      <c r="Q44" s="15"/>
      <c r="R44" s="15"/>
      <c r="S44" s="15"/>
      <c r="T44" s="15"/>
      <c r="U44" s="15"/>
      <c r="V44" s="15"/>
      <c r="W44" s="15"/>
      <c r="X44" s="15"/>
      <c r="Y44" s="15"/>
      <c r="Z44" s="15"/>
    </row>
    <row r="45">
      <c r="A45" s="13">
        <v>498.0</v>
      </c>
      <c r="B45" s="13">
        <v>498.0</v>
      </c>
      <c r="C45" s="14"/>
      <c r="D45" s="15"/>
      <c r="E45" s="14"/>
      <c r="F45" s="15"/>
      <c r="G45" s="15"/>
      <c r="H45" s="15"/>
      <c r="I45" s="15"/>
      <c r="J45" s="15"/>
      <c r="K45" s="15"/>
      <c r="L45" s="15"/>
      <c r="M45" s="15"/>
      <c r="N45" s="15"/>
      <c r="O45" s="15"/>
      <c r="P45" s="15"/>
      <c r="Q45" s="15"/>
      <c r="R45" s="15"/>
      <c r="S45" s="15"/>
      <c r="T45" s="15"/>
      <c r="U45" s="15"/>
      <c r="V45" s="15"/>
      <c r="W45" s="15"/>
      <c r="X45" s="15"/>
      <c r="Y45" s="15"/>
      <c r="Z45" s="15"/>
    </row>
    <row r="46">
      <c r="A46" s="13">
        <v>499.0</v>
      </c>
      <c r="B46" s="13">
        <v>499.0</v>
      </c>
      <c r="C46" s="14"/>
      <c r="D46" s="15"/>
      <c r="E46" s="14"/>
      <c r="F46" s="15"/>
      <c r="G46" s="15"/>
      <c r="H46" s="15"/>
      <c r="I46" s="15"/>
      <c r="J46" s="15"/>
      <c r="K46" s="15"/>
      <c r="L46" s="15"/>
      <c r="M46" s="15"/>
      <c r="N46" s="15"/>
      <c r="O46" s="15"/>
      <c r="P46" s="15"/>
      <c r="Q46" s="15"/>
      <c r="R46" s="15"/>
      <c r="S46" s="15"/>
      <c r="T46" s="15"/>
      <c r="U46" s="15"/>
      <c r="V46" s="15"/>
      <c r="W46" s="15"/>
      <c r="X46" s="15"/>
      <c r="Y46" s="15"/>
      <c r="Z46" s="15"/>
    </row>
    <row r="47">
      <c r="A47" s="13">
        <v>502.0</v>
      </c>
      <c r="B47" s="13">
        <v>502.0</v>
      </c>
      <c r="C47" s="14"/>
      <c r="D47" s="15"/>
      <c r="E47" s="14"/>
      <c r="F47" s="15"/>
      <c r="G47" s="15"/>
      <c r="H47" s="15"/>
      <c r="I47" s="15"/>
      <c r="J47" s="15"/>
      <c r="K47" s="15"/>
      <c r="L47" s="15"/>
      <c r="M47" s="15"/>
      <c r="N47" s="15"/>
      <c r="O47" s="15"/>
      <c r="P47" s="15"/>
      <c r="Q47" s="15"/>
      <c r="R47" s="15"/>
      <c r="S47" s="15"/>
      <c r="T47" s="15"/>
      <c r="U47" s="15"/>
      <c r="V47" s="15"/>
      <c r="W47" s="15"/>
      <c r="X47" s="15"/>
      <c r="Y47" s="15"/>
      <c r="Z47" s="15"/>
    </row>
    <row r="48">
      <c r="A48" s="13">
        <v>512.0</v>
      </c>
      <c r="B48" s="13">
        <v>512.0</v>
      </c>
      <c r="C48" s="14"/>
      <c r="D48" s="15"/>
      <c r="E48" s="14"/>
      <c r="F48" s="15"/>
      <c r="G48" s="15"/>
      <c r="H48" s="15"/>
      <c r="I48" s="15"/>
      <c r="J48" s="15"/>
      <c r="K48" s="15"/>
      <c r="L48" s="15"/>
      <c r="M48" s="15"/>
      <c r="N48" s="15"/>
      <c r="O48" s="15"/>
      <c r="P48" s="15"/>
      <c r="Q48" s="15"/>
      <c r="R48" s="15"/>
      <c r="S48" s="15"/>
      <c r="T48" s="15"/>
      <c r="U48" s="15"/>
      <c r="V48" s="15"/>
      <c r="W48" s="15"/>
      <c r="X48" s="15"/>
      <c r="Y48" s="15"/>
      <c r="Z48" s="15"/>
    </row>
    <row r="49">
      <c r="A49" s="13">
        <v>539.0</v>
      </c>
      <c r="B49" s="15"/>
      <c r="C49" s="14"/>
      <c r="D49" s="26">
        <v>539.0</v>
      </c>
      <c r="E49" s="14"/>
      <c r="F49" s="15"/>
      <c r="G49" s="15"/>
      <c r="H49" s="15"/>
      <c r="I49" s="15"/>
      <c r="J49" s="15"/>
      <c r="K49" s="15"/>
      <c r="L49" s="15"/>
      <c r="M49" s="15"/>
      <c r="N49" s="15"/>
      <c r="O49" s="15"/>
      <c r="P49" s="15"/>
      <c r="Q49" s="15"/>
      <c r="R49" s="15"/>
      <c r="S49" s="15"/>
      <c r="T49" s="15"/>
      <c r="U49" s="15"/>
      <c r="V49" s="15"/>
      <c r="W49" s="15"/>
      <c r="X49" s="15"/>
      <c r="Y49" s="15"/>
      <c r="Z49" s="15"/>
    </row>
    <row r="50">
      <c r="A50" s="13">
        <v>542.0</v>
      </c>
      <c r="B50" s="13">
        <v>542.0</v>
      </c>
      <c r="C50" s="14"/>
      <c r="D50" s="15"/>
      <c r="E50" s="14"/>
      <c r="F50" s="15"/>
      <c r="G50" s="15"/>
      <c r="H50" s="15"/>
      <c r="I50" s="15"/>
      <c r="J50" s="15"/>
      <c r="K50" s="15"/>
      <c r="L50" s="15"/>
      <c r="M50" s="15"/>
      <c r="N50" s="15"/>
      <c r="O50" s="15"/>
      <c r="P50" s="15"/>
      <c r="Q50" s="15"/>
      <c r="R50" s="15"/>
      <c r="S50" s="15"/>
      <c r="T50" s="15"/>
      <c r="U50" s="15"/>
      <c r="V50" s="15"/>
      <c r="W50" s="15"/>
      <c r="X50" s="15"/>
      <c r="Y50" s="15"/>
      <c r="Z50" s="15"/>
    </row>
    <row r="51">
      <c r="A51" s="13">
        <v>569.0</v>
      </c>
      <c r="B51" s="13">
        <v>569.0</v>
      </c>
      <c r="C51" s="14"/>
      <c r="D51" s="15"/>
      <c r="E51" s="14"/>
      <c r="F51" s="15"/>
      <c r="G51" s="15"/>
      <c r="H51" s="15"/>
      <c r="I51" s="15"/>
      <c r="J51" s="15"/>
      <c r="K51" s="15"/>
      <c r="L51" s="15"/>
      <c r="M51" s="15"/>
      <c r="N51" s="15"/>
      <c r="O51" s="15"/>
      <c r="P51" s="15"/>
      <c r="Q51" s="15"/>
      <c r="R51" s="15"/>
      <c r="S51" s="15"/>
      <c r="T51" s="15"/>
      <c r="U51" s="15"/>
      <c r="V51" s="15"/>
      <c r="W51" s="15"/>
      <c r="X51" s="15"/>
      <c r="Y51" s="15"/>
      <c r="Z51" s="15"/>
    </row>
    <row r="52">
      <c r="A52" s="13">
        <v>586.0</v>
      </c>
      <c r="B52" s="13">
        <v>586.0</v>
      </c>
      <c r="C52" s="14"/>
      <c r="D52" s="15"/>
      <c r="E52" s="14"/>
      <c r="F52" s="15"/>
      <c r="G52" s="15"/>
      <c r="H52" s="15"/>
      <c r="I52" s="15"/>
      <c r="J52" s="15"/>
      <c r="K52" s="15"/>
      <c r="L52" s="15"/>
      <c r="M52" s="15"/>
      <c r="N52" s="15"/>
      <c r="O52" s="15"/>
      <c r="P52" s="15"/>
      <c r="Q52" s="15"/>
      <c r="R52" s="15"/>
      <c r="S52" s="15"/>
      <c r="T52" s="15"/>
      <c r="U52" s="15"/>
      <c r="V52" s="15"/>
      <c r="W52" s="15"/>
      <c r="X52" s="15"/>
      <c r="Y52" s="15"/>
      <c r="Z52" s="15"/>
    </row>
    <row r="53">
      <c r="A53" s="13">
        <v>587.0</v>
      </c>
      <c r="B53" s="13">
        <v>587.0</v>
      </c>
      <c r="C53" s="14"/>
      <c r="D53" s="15"/>
      <c r="E53" s="14"/>
      <c r="F53" s="15"/>
      <c r="G53" s="15"/>
      <c r="H53" s="15"/>
      <c r="I53" s="15"/>
      <c r="J53" s="15"/>
      <c r="K53" s="15"/>
      <c r="L53" s="15"/>
      <c r="M53" s="15"/>
      <c r="N53" s="15"/>
      <c r="O53" s="15"/>
      <c r="P53" s="15"/>
      <c r="Q53" s="15"/>
      <c r="R53" s="15"/>
      <c r="S53" s="15"/>
      <c r="T53" s="15"/>
      <c r="U53" s="15"/>
      <c r="V53" s="15"/>
      <c r="W53" s="15"/>
      <c r="X53" s="15"/>
      <c r="Y53" s="15"/>
      <c r="Z53" s="15"/>
    </row>
    <row r="54">
      <c r="A54" s="13">
        <v>597.0</v>
      </c>
      <c r="B54" s="13">
        <v>597.0</v>
      </c>
      <c r="C54" s="14"/>
      <c r="D54" s="15"/>
      <c r="E54" s="14"/>
      <c r="F54" s="15"/>
      <c r="G54" s="15"/>
      <c r="H54" s="15"/>
      <c r="I54" s="15"/>
      <c r="J54" s="15"/>
      <c r="K54" s="15"/>
      <c r="L54" s="15"/>
      <c r="M54" s="15"/>
      <c r="N54" s="15"/>
      <c r="O54" s="15"/>
      <c r="P54" s="15"/>
      <c r="Q54" s="15"/>
      <c r="R54" s="15"/>
      <c r="S54" s="15"/>
      <c r="T54" s="15"/>
      <c r="U54" s="15"/>
      <c r="V54" s="15"/>
      <c r="W54" s="15"/>
      <c r="X54" s="15"/>
      <c r="Y54" s="15"/>
      <c r="Z54" s="15"/>
    </row>
    <row r="55">
      <c r="A55" s="13">
        <v>599.0</v>
      </c>
      <c r="B55" s="13">
        <v>599.0</v>
      </c>
      <c r="C55" s="14"/>
      <c r="D55" s="15"/>
      <c r="E55" s="14"/>
      <c r="F55" s="15"/>
      <c r="G55" s="15"/>
      <c r="H55" s="15"/>
      <c r="I55" s="15"/>
      <c r="J55" s="15"/>
      <c r="K55" s="15"/>
      <c r="L55" s="15"/>
      <c r="M55" s="15"/>
      <c r="N55" s="15"/>
      <c r="O55" s="15"/>
      <c r="P55" s="15"/>
      <c r="Q55" s="15"/>
      <c r="R55" s="15"/>
      <c r="S55" s="15"/>
      <c r="T55" s="15"/>
      <c r="U55" s="15"/>
      <c r="V55" s="15"/>
      <c r="W55" s="15"/>
      <c r="X55" s="15"/>
      <c r="Y55" s="15"/>
      <c r="Z55" s="15"/>
    </row>
    <row r="56">
      <c r="A56" s="13">
        <v>613.0</v>
      </c>
      <c r="B56" s="13">
        <v>613.0</v>
      </c>
      <c r="C56" s="14"/>
      <c r="D56" s="15"/>
      <c r="E56" s="14"/>
      <c r="F56" s="15"/>
      <c r="G56" s="15"/>
      <c r="H56" s="15"/>
      <c r="I56" s="15"/>
      <c r="J56" s="15"/>
      <c r="K56" s="15"/>
      <c r="L56" s="15"/>
      <c r="M56" s="15"/>
      <c r="N56" s="15"/>
      <c r="O56" s="15"/>
      <c r="P56" s="15"/>
      <c r="Q56" s="15"/>
      <c r="R56" s="15"/>
      <c r="S56" s="15"/>
      <c r="T56" s="15"/>
      <c r="U56" s="15"/>
      <c r="V56" s="15"/>
      <c r="W56" s="15"/>
      <c r="X56" s="15"/>
      <c r="Y56" s="15"/>
      <c r="Z56" s="15"/>
    </row>
    <row r="57">
      <c r="A57" s="13">
        <v>614.0</v>
      </c>
      <c r="B57" s="13">
        <v>614.0</v>
      </c>
      <c r="C57" s="14"/>
      <c r="D57" s="15"/>
      <c r="E57" s="14"/>
      <c r="F57" s="15"/>
      <c r="G57" s="15"/>
      <c r="H57" s="15"/>
      <c r="I57" s="15"/>
      <c r="J57" s="15"/>
      <c r="K57" s="15"/>
      <c r="L57" s="15"/>
      <c r="M57" s="15"/>
      <c r="N57" s="15"/>
      <c r="O57" s="15"/>
      <c r="P57" s="15"/>
      <c r="Q57" s="15"/>
      <c r="R57" s="15"/>
      <c r="S57" s="15"/>
      <c r="T57" s="15"/>
      <c r="U57" s="15"/>
      <c r="V57" s="15"/>
      <c r="W57" s="15"/>
      <c r="X57" s="15"/>
      <c r="Y57" s="15"/>
      <c r="Z57" s="15"/>
    </row>
    <row r="58">
      <c r="A58" s="13">
        <v>617.0</v>
      </c>
      <c r="B58" s="13">
        <v>617.0</v>
      </c>
      <c r="C58" s="14"/>
      <c r="D58" s="15"/>
      <c r="E58" s="14"/>
      <c r="F58" s="15"/>
      <c r="G58" s="15"/>
      <c r="H58" s="15"/>
      <c r="I58" s="15"/>
      <c r="J58" s="15"/>
      <c r="K58" s="15"/>
      <c r="L58" s="15"/>
      <c r="M58" s="15"/>
      <c r="N58" s="15"/>
      <c r="O58" s="15"/>
      <c r="P58" s="15"/>
      <c r="Q58" s="15"/>
      <c r="R58" s="15"/>
      <c r="S58" s="15"/>
      <c r="T58" s="15"/>
      <c r="U58" s="15"/>
      <c r="V58" s="15"/>
      <c r="W58" s="15"/>
      <c r="X58" s="15"/>
      <c r="Y58" s="15"/>
      <c r="Z58" s="15"/>
    </row>
    <row r="59">
      <c r="A59" s="13">
        <v>620.0</v>
      </c>
      <c r="B59" s="13">
        <v>620.0</v>
      </c>
      <c r="C59" s="14"/>
      <c r="D59" s="15"/>
      <c r="E59" s="14"/>
      <c r="F59" s="15"/>
      <c r="G59" s="15"/>
      <c r="H59" s="15"/>
      <c r="I59" s="15"/>
      <c r="J59" s="15"/>
      <c r="K59" s="15"/>
      <c r="L59" s="15"/>
      <c r="M59" s="15"/>
      <c r="N59" s="15"/>
      <c r="O59" s="15"/>
      <c r="P59" s="15"/>
      <c r="Q59" s="15"/>
      <c r="R59" s="15"/>
      <c r="S59" s="15"/>
      <c r="T59" s="15"/>
      <c r="U59" s="15"/>
      <c r="V59" s="15"/>
      <c r="W59" s="15"/>
      <c r="X59" s="15"/>
      <c r="Y59" s="15"/>
      <c r="Z59" s="15"/>
    </row>
    <row r="60">
      <c r="A60" s="13">
        <v>652.0</v>
      </c>
      <c r="B60" s="13">
        <v>652.0</v>
      </c>
      <c r="C60" s="14"/>
      <c r="D60" s="15"/>
      <c r="E60" s="14"/>
      <c r="F60" s="15"/>
      <c r="G60" s="15"/>
      <c r="H60" s="15"/>
      <c r="I60" s="15"/>
      <c r="J60" s="15"/>
      <c r="K60" s="15"/>
      <c r="L60" s="15"/>
      <c r="M60" s="15"/>
      <c r="N60" s="15"/>
      <c r="O60" s="15"/>
      <c r="P60" s="15"/>
      <c r="Q60" s="15"/>
      <c r="R60" s="15"/>
      <c r="S60" s="15"/>
      <c r="T60" s="15"/>
      <c r="U60" s="15"/>
      <c r="V60" s="15"/>
      <c r="W60" s="15"/>
      <c r="X60" s="15"/>
      <c r="Y60" s="15"/>
      <c r="Z60" s="15"/>
    </row>
    <row r="61">
      <c r="A61" s="13">
        <v>653.0</v>
      </c>
      <c r="B61" s="13">
        <v>653.0</v>
      </c>
      <c r="C61" s="14"/>
      <c r="D61" s="15"/>
      <c r="E61" s="14"/>
      <c r="F61" s="15"/>
      <c r="G61" s="15"/>
      <c r="H61" s="15"/>
      <c r="I61" s="15"/>
      <c r="J61" s="15"/>
      <c r="K61" s="15"/>
      <c r="L61" s="15"/>
      <c r="M61" s="15"/>
      <c r="N61" s="15"/>
      <c r="O61" s="15"/>
      <c r="P61" s="15"/>
      <c r="Q61" s="15"/>
      <c r="R61" s="15"/>
      <c r="S61" s="15"/>
      <c r="T61" s="15"/>
      <c r="U61" s="15"/>
      <c r="V61" s="15"/>
      <c r="W61" s="15"/>
      <c r="X61" s="15"/>
      <c r="Y61" s="15"/>
      <c r="Z61" s="15"/>
    </row>
    <row r="62">
      <c r="A62" s="13">
        <v>657.0</v>
      </c>
      <c r="B62" s="13">
        <v>657.0</v>
      </c>
      <c r="C62" s="14"/>
      <c r="D62" s="15"/>
      <c r="E62" s="14"/>
      <c r="F62" s="15"/>
      <c r="G62" s="15"/>
      <c r="H62" s="15"/>
      <c r="I62" s="15"/>
      <c r="J62" s="15"/>
      <c r="K62" s="15"/>
      <c r="L62" s="15"/>
      <c r="M62" s="15"/>
      <c r="N62" s="15"/>
      <c r="O62" s="15"/>
      <c r="P62" s="15"/>
      <c r="Q62" s="15"/>
      <c r="R62" s="15"/>
      <c r="S62" s="15"/>
      <c r="T62" s="15"/>
      <c r="U62" s="15"/>
      <c r="V62" s="15"/>
      <c r="W62" s="15"/>
      <c r="X62" s="15"/>
      <c r="Y62" s="15"/>
      <c r="Z62" s="15"/>
    </row>
    <row r="63">
      <c r="A63" s="13">
        <v>658.0</v>
      </c>
      <c r="B63" s="13">
        <v>658.0</v>
      </c>
      <c r="C63" s="14"/>
      <c r="D63" s="15"/>
      <c r="E63" s="14"/>
      <c r="F63" s="15"/>
      <c r="G63" s="15"/>
      <c r="H63" s="15"/>
      <c r="I63" s="15"/>
      <c r="J63" s="15"/>
      <c r="K63" s="15"/>
      <c r="L63" s="15"/>
      <c r="M63" s="15"/>
      <c r="N63" s="15"/>
      <c r="O63" s="15"/>
      <c r="P63" s="15"/>
      <c r="Q63" s="15"/>
      <c r="R63" s="15"/>
      <c r="S63" s="15"/>
      <c r="T63" s="15"/>
      <c r="U63" s="15"/>
      <c r="V63" s="15"/>
      <c r="W63" s="15"/>
      <c r="X63" s="15"/>
      <c r="Y63" s="15"/>
      <c r="Z63" s="15"/>
    </row>
    <row r="64">
      <c r="A64" s="13">
        <v>672.0</v>
      </c>
      <c r="B64" s="15"/>
      <c r="C64" s="14"/>
      <c r="D64" s="26">
        <v>672.0</v>
      </c>
      <c r="E64" s="14"/>
      <c r="F64" s="15"/>
      <c r="G64" s="15"/>
      <c r="H64" s="15"/>
      <c r="I64" s="15"/>
      <c r="J64" s="15"/>
      <c r="K64" s="15"/>
      <c r="L64" s="15"/>
      <c r="M64" s="15"/>
      <c r="N64" s="15"/>
      <c r="O64" s="15"/>
      <c r="P64" s="15"/>
      <c r="Q64" s="15"/>
      <c r="R64" s="15"/>
      <c r="S64" s="15"/>
      <c r="T64" s="15"/>
      <c r="U64" s="15"/>
      <c r="V64" s="15"/>
      <c r="W64" s="15"/>
      <c r="X64" s="15"/>
      <c r="Y64" s="15"/>
      <c r="Z64" s="15"/>
    </row>
    <row r="65">
      <c r="A65" s="13">
        <v>676.0</v>
      </c>
      <c r="B65" s="13">
        <v>676.0</v>
      </c>
      <c r="C65" s="14"/>
      <c r="D65" s="15"/>
      <c r="E65" s="14"/>
      <c r="F65" s="15"/>
      <c r="G65" s="15"/>
      <c r="H65" s="15"/>
      <c r="I65" s="15"/>
      <c r="J65" s="15"/>
      <c r="K65" s="15"/>
      <c r="L65" s="15"/>
      <c r="M65" s="15"/>
      <c r="N65" s="15"/>
      <c r="O65" s="15"/>
      <c r="P65" s="15"/>
      <c r="Q65" s="15"/>
      <c r="R65" s="15"/>
      <c r="S65" s="15"/>
      <c r="T65" s="15"/>
      <c r="U65" s="15"/>
      <c r="V65" s="15"/>
      <c r="W65" s="15"/>
      <c r="X65" s="15"/>
      <c r="Y65" s="15"/>
      <c r="Z65" s="15"/>
    </row>
    <row r="66">
      <c r="A66" s="13">
        <v>693.0</v>
      </c>
      <c r="B66" s="13">
        <v>693.0</v>
      </c>
      <c r="C66" s="14"/>
      <c r="D66" s="15"/>
      <c r="E66" s="14"/>
      <c r="F66" s="15"/>
      <c r="G66" s="15"/>
      <c r="H66" s="15"/>
      <c r="I66" s="15"/>
      <c r="J66" s="15"/>
      <c r="K66" s="15"/>
      <c r="L66" s="15"/>
      <c r="M66" s="15"/>
      <c r="N66" s="15"/>
      <c r="O66" s="15"/>
      <c r="P66" s="15"/>
      <c r="Q66" s="15"/>
      <c r="R66" s="15"/>
      <c r="S66" s="15"/>
      <c r="T66" s="15"/>
      <c r="U66" s="15"/>
      <c r="V66" s="15"/>
      <c r="W66" s="15"/>
      <c r="X66" s="15"/>
      <c r="Y66" s="15"/>
      <c r="Z66" s="15"/>
    </row>
    <row r="67">
      <c r="A67" s="13">
        <v>705.0</v>
      </c>
      <c r="B67" s="13">
        <v>705.0</v>
      </c>
      <c r="C67" s="14"/>
      <c r="D67" s="15"/>
      <c r="E67" s="14"/>
      <c r="F67" s="15"/>
      <c r="G67" s="15"/>
      <c r="H67" s="15"/>
      <c r="I67" s="15"/>
      <c r="J67" s="15"/>
      <c r="K67" s="15"/>
      <c r="L67" s="15"/>
      <c r="M67" s="15"/>
      <c r="N67" s="15"/>
      <c r="O67" s="15"/>
      <c r="P67" s="15"/>
      <c r="Q67" s="15"/>
      <c r="R67" s="15"/>
      <c r="S67" s="15"/>
      <c r="T67" s="15"/>
      <c r="U67" s="15"/>
      <c r="V67" s="15"/>
      <c r="W67" s="15"/>
      <c r="X67" s="15"/>
      <c r="Y67" s="15"/>
      <c r="Z67" s="15"/>
    </row>
    <row r="68">
      <c r="A68" s="13">
        <v>715.0</v>
      </c>
      <c r="B68" s="13">
        <v>715.0</v>
      </c>
      <c r="C68" s="14"/>
      <c r="D68" s="15"/>
      <c r="E68" s="14"/>
      <c r="F68" s="15"/>
      <c r="G68" s="15"/>
      <c r="H68" s="15"/>
      <c r="I68" s="15"/>
      <c r="J68" s="15"/>
      <c r="K68" s="15"/>
      <c r="L68" s="15"/>
      <c r="M68" s="15"/>
      <c r="N68" s="15"/>
      <c r="O68" s="15"/>
      <c r="P68" s="15"/>
      <c r="Q68" s="15"/>
      <c r="R68" s="15"/>
      <c r="S68" s="15"/>
      <c r="T68" s="15"/>
      <c r="U68" s="15"/>
      <c r="V68" s="15"/>
      <c r="W68" s="15"/>
      <c r="X68" s="15"/>
      <c r="Y68" s="15"/>
      <c r="Z68" s="15"/>
    </row>
    <row r="69">
      <c r="A69" s="13">
        <v>738.0</v>
      </c>
      <c r="B69" s="15"/>
      <c r="C69" s="14"/>
      <c r="D69" s="26">
        <v>738.0</v>
      </c>
      <c r="E69" s="14"/>
      <c r="F69" s="15"/>
      <c r="G69" s="15"/>
      <c r="H69" s="15"/>
      <c r="I69" s="15"/>
      <c r="J69" s="15"/>
      <c r="K69" s="15"/>
      <c r="L69" s="15"/>
      <c r="M69" s="15"/>
      <c r="N69" s="15"/>
      <c r="O69" s="15"/>
      <c r="P69" s="15"/>
      <c r="Q69" s="15"/>
      <c r="R69" s="15"/>
      <c r="S69" s="15"/>
      <c r="T69" s="15"/>
      <c r="U69" s="15"/>
      <c r="V69" s="15"/>
      <c r="W69" s="15"/>
      <c r="X69" s="15"/>
      <c r="Y69" s="15"/>
      <c r="Z69" s="15"/>
    </row>
    <row r="70">
      <c r="A70" s="13">
        <v>741.0</v>
      </c>
      <c r="B70" s="13">
        <v>741.0</v>
      </c>
      <c r="C70" s="14"/>
      <c r="D70" s="15"/>
      <c r="E70" s="14"/>
      <c r="F70" s="15"/>
      <c r="G70" s="15"/>
      <c r="H70" s="15"/>
      <c r="I70" s="15"/>
      <c r="J70" s="15"/>
      <c r="K70" s="15"/>
      <c r="L70" s="15"/>
      <c r="M70" s="15"/>
      <c r="N70" s="15"/>
      <c r="O70" s="15"/>
      <c r="P70" s="15"/>
      <c r="Q70" s="15"/>
      <c r="R70" s="15"/>
      <c r="S70" s="15"/>
      <c r="T70" s="15"/>
      <c r="U70" s="15"/>
      <c r="V70" s="15"/>
      <c r="W70" s="15"/>
      <c r="X70" s="15"/>
      <c r="Y70" s="15"/>
      <c r="Z70" s="15"/>
    </row>
    <row r="71">
      <c r="A71" s="13">
        <v>742.0</v>
      </c>
      <c r="B71" s="15"/>
      <c r="C71" s="14"/>
      <c r="D71" s="26">
        <v>742.0</v>
      </c>
      <c r="E71" s="14"/>
      <c r="F71" s="15"/>
      <c r="G71" s="15"/>
      <c r="H71" s="15"/>
      <c r="I71" s="15"/>
      <c r="J71" s="15"/>
      <c r="K71" s="15"/>
      <c r="L71" s="15"/>
      <c r="M71" s="15"/>
      <c r="N71" s="15"/>
      <c r="O71" s="15"/>
      <c r="P71" s="15"/>
      <c r="Q71" s="15"/>
      <c r="R71" s="15"/>
      <c r="S71" s="15"/>
      <c r="T71" s="15"/>
      <c r="U71" s="15"/>
      <c r="V71" s="15"/>
      <c r="W71" s="15"/>
      <c r="X71" s="15"/>
      <c r="Y71" s="15"/>
      <c r="Z71" s="15"/>
    </row>
    <row r="72">
      <c r="A72" s="13">
        <v>745.0</v>
      </c>
      <c r="B72" s="13">
        <v>745.0</v>
      </c>
      <c r="C72" s="14"/>
      <c r="D72" s="15"/>
      <c r="E72" s="14"/>
      <c r="F72" s="15"/>
      <c r="G72" s="15"/>
      <c r="H72" s="15"/>
      <c r="I72" s="15"/>
      <c r="J72" s="15"/>
      <c r="K72" s="15"/>
      <c r="L72" s="15"/>
      <c r="M72" s="15"/>
      <c r="N72" s="15"/>
      <c r="O72" s="15"/>
      <c r="P72" s="15"/>
      <c r="Q72" s="15"/>
      <c r="R72" s="15"/>
      <c r="S72" s="15"/>
      <c r="T72" s="15"/>
      <c r="U72" s="15"/>
      <c r="V72" s="15"/>
      <c r="W72" s="15"/>
      <c r="X72" s="15"/>
      <c r="Y72" s="15"/>
      <c r="Z72" s="15"/>
    </row>
    <row r="73">
      <c r="A73" s="13">
        <v>756.0</v>
      </c>
      <c r="B73" s="13">
        <v>756.0</v>
      </c>
      <c r="C73" s="14"/>
      <c r="D73" s="15"/>
      <c r="E73" s="14"/>
      <c r="F73" s="15"/>
      <c r="G73" s="15"/>
      <c r="H73" s="15"/>
      <c r="I73" s="15"/>
      <c r="J73" s="15"/>
      <c r="K73" s="15"/>
      <c r="L73" s="15"/>
      <c r="M73" s="15"/>
      <c r="N73" s="15"/>
      <c r="O73" s="15"/>
      <c r="P73" s="15"/>
      <c r="Q73" s="15"/>
      <c r="R73" s="15"/>
      <c r="S73" s="15"/>
      <c r="T73" s="15"/>
      <c r="U73" s="15"/>
      <c r="V73" s="15"/>
      <c r="W73" s="15"/>
      <c r="X73" s="15"/>
      <c r="Y73" s="15"/>
      <c r="Z73" s="15"/>
    </row>
    <row r="74">
      <c r="A74" s="13">
        <v>757.0</v>
      </c>
      <c r="B74" s="13">
        <v>757.0</v>
      </c>
      <c r="C74" s="14"/>
      <c r="D74" s="15"/>
      <c r="E74" s="14"/>
      <c r="F74" s="15"/>
      <c r="G74" s="15"/>
      <c r="H74" s="15"/>
      <c r="I74" s="15"/>
      <c r="J74" s="15"/>
      <c r="K74" s="15"/>
      <c r="L74" s="15"/>
      <c r="M74" s="15"/>
      <c r="N74" s="15"/>
      <c r="O74" s="15"/>
      <c r="P74" s="15"/>
      <c r="Q74" s="15"/>
      <c r="R74" s="15"/>
      <c r="S74" s="15"/>
      <c r="T74" s="15"/>
      <c r="U74" s="15"/>
      <c r="V74" s="15"/>
      <c r="W74" s="15"/>
      <c r="X74" s="15"/>
      <c r="Y74" s="15"/>
      <c r="Z74" s="15"/>
    </row>
    <row r="75">
      <c r="A75" s="13">
        <v>763.0</v>
      </c>
      <c r="B75" s="13">
        <v>763.0</v>
      </c>
      <c r="C75" s="14"/>
      <c r="D75" s="15"/>
      <c r="E75" s="14"/>
      <c r="F75" s="15"/>
      <c r="G75" s="15"/>
      <c r="H75" s="15"/>
      <c r="I75" s="15"/>
      <c r="J75" s="15"/>
      <c r="K75" s="15"/>
      <c r="L75" s="15"/>
      <c r="M75" s="15"/>
      <c r="N75" s="15"/>
      <c r="O75" s="15"/>
      <c r="P75" s="15"/>
      <c r="Q75" s="15"/>
      <c r="R75" s="15"/>
      <c r="S75" s="15"/>
      <c r="T75" s="15"/>
      <c r="U75" s="15"/>
      <c r="V75" s="15"/>
      <c r="W75" s="15"/>
      <c r="X75" s="15"/>
      <c r="Y75" s="15"/>
      <c r="Z75" s="15"/>
    </row>
    <row r="76">
      <c r="A76" s="13">
        <v>770.0</v>
      </c>
      <c r="B76" s="13">
        <v>770.0</v>
      </c>
      <c r="C76" s="14"/>
      <c r="D76" s="15"/>
      <c r="E76" s="14"/>
      <c r="F76" s="15"/>
      <c r="G76" s="15"/>
      <c r="H76" s="15"/>
      <c r="I76" s="15"/>
      <c r="J76" s="15"/>
      <c r="K76" s="15"/>
      <c r="L76" s="15"/>
      <c r="M76" s="15"/>
      <c r="N76" s="15"/>
      <c r="O76" s="15"/>
      <c r="P76" s="15"/>
      <c r="Q76" s="15"/>
      <c r="R76" s="15"/>
      <c r="S76" s="15"/>
      <c r="T76" s="15"/>
      <c r="U76" s="15"/>
      <c r="V76" s="15"/>
      <c r="W76" s="15"/>
      <c r="X76" s="15"/>
      <c r="Y76" s="15"/>
      <c r="Z76" s="15"/>
    </row>
    <row r="77">
      <c r="A77" s="13">
        <v>771.0</v>
      </c>
      <c r="B77" s="13">
        <v>771.0</v>
      </c>
      <c r="C77" s="14"/>
      <c r="D77" s="15"/>
      <c r="E77" s="14"/>
      <c r="F77" s="15"/>
      <c r="G77" s="15"/>
      <c r="H77" s="15"/>
      <c r="I77" s="15"/>
      <c r="J77" s="15"/>
      <c r="K77" s="15"/>
      <c r="L77" s="15"/>
      <c r="M77" s="15"/>
      <c r="N77" s="15"/>
      <c r="O77" s="15"/>
      <c r="P77" s="15"/>
      <c r="Q77" s="15"/>
      <c r="R77" s="15"/>
      <c r="S77" s="15"/>
      <c r="T77" s="15"/>
      <c r="U77" s="15"/>
      <c r="V77" s="15"/>
      <c r="W77" s="15"/>
      <c r="X77" s="15"/>
      <c r="Y77" s="15"/>
      <c r="Z77" s="15"/>
    </row>
    <row r="78">
      <c r="A78" s="13">
        <v>772.0</v>
      </c>
      <c r="B78" s="13">
        <v>772.0</v>
      </c>
      <c r="C78" s="14"/>
      <c r="D78" s="15"/>
      <c r="E78" s="14"/>
      <c r="F78" s="15"/>
      <c r="G78" s="15"/>
      <c r="H78" s="15"/>
      <c r="I78" s="15"/>
      <c r="J78" s="15"/>
      <c r="K78" s="15"/>
      <c r="L78" s="15"/>
      <c r="M78" s="15"/>
      <c r="N78" s="15"/>
      <c r="O78" s="15"/>
      <c r="P78" s="15"/>
      <c r="Q78" s="15"/>
      <c r="R78" s="15"/>
      <c r="S78" s="15"/>
      <c r="T78" s="15"/>
      <c r="U78" s="15"/>
      <c r="V78" s="15"/>
      <c r="W78" s="15"/>
      <c r="X78" s="15"/>
      <c r="Y78" s="15"/>
      <c r="Z78" s="15"/>
    </row>
    <row r="79">
      <c r="A79" s="13">
        <v>778.0</v>
      </c>
      <c r="B79" s="15"/>
      <c r="C79" s="14"/>
      <c r="D79" s="26">
        <v>778.0</v>
      </c>
      <c r="E79" s="14"/>
      <c r="F79" s="15"/>
      <c r="G79" s="15"/>
      <c r="H79" s="15"/>
      <c r="I79" s="15"/>
      <c r="J79" s="15"/>
      <c r="K79" s="15"/>
      <c r="L79" s="15"/>
      <c r="M79" s="15"/>
      <c r="N79" s="15"/>
      <c r="O79" s="15"/>
      <c r="P79" s="15"/>
      <c r="Q79" s="15"/>
      <c r="R79" s="15"/>
      <c r="S79" s="15"/>
      <c r="T79" s="15"/>
      <c r="U79" s="15"/>
      <c r="V79" s="15"/>
      <c r="W79" s="15"/>
      <c r="X79" s="15"/>
      <c r="Y79" s="15"/>
      <c r="Z79" s="15"/>
    </row>
    <row r="80">
      <c r="A80" s="13">
        <v>781.0</v>
      </c>
      <c r="B80" s="13">
        <v>781.0</v>
      </c>
      <c r="C80" s="14"/>
      <c r="D80" s="15"/>
      <c r="E80" s="14"/>
      <c r="F80" s="15"/>
      <c r="G80" s="15"/>
      <c r="H80" s="15"/>
      <c r="I80" s="15"/>
      <c r="J80" s="15"/>
      <c r="K80" s="15"/>
      <c r="L80" s="15"/>
      <c r="M80" s="15"/>
      <c r="N80" s="15"/>
      <c r="O80" s="15"/>
      <c r="P80" s="15"/>
      <c r="Q80" s="15"/>
      <c r="R80" s="15"/>
      <c r="S80" s="15"/>
      <c r="T80" s="15"/>
      <c r="U80" s="15"/>
      <c r="V80" s="15"/>
      <c r="W80" s="15"/>
      <c r="X80" s="15"/>
      <c r="Y80" s="15"/>
      <c r="Z80" s="15"/>
    </row>
    <row r="81">
      <c r="A81" s="13">
        <v>789.0</v>
      </c>
      <c r="B81" s="13">
        <v>789.0</v>
      </c>
      <c r="C81" s="14"/>
      <c r="D81" s="15"/>
      <c r="E81" s="14"/>
      <c r="F81" s="15"/>
      <c r="G81" s="15"/>
      <c r="H81" s="15"/>
      <c r="I81" s="15"/>
      <c r="J81" s="15"/>
      <c r="K81" s="15"/>
      <c r="L81" s="15"/>
      <c r="M81" s="15"/>
      <c r="N81" s="15"/>
      <c r="O81" s="15"/>
      <c r="P81" s="15"/>
      <c r="Q81" s="15"/>
      <c r="R81" s="15"/>
      <c r="S81" s="15"/>
      <c r="T81" s="15"/>
      <c r="U81" s="15"/>
      <c r="V81" s="15"/>
      <c r="W81" s="15"/>
      <c r="X81" s="15"/>
      <c r="Y81" s="15"/>
      <c r="Z81" s="15"/>
    </row>
    <row r="82">
      <c r="A82" s="13">
        <v>790.0</v>
      </c>
      <c r="B82" s="13">
        <v>790.0</v>
      </c>
      <c r="C82" s="14"/>
      <c r="D82" s="15"/>
      <c r="E82" s="14"/>
      <c r="F82" s="15"/>
      <c r="G82" s="15"/>
      <c r="H82" s="15"/>
      <c r="I82" s="15"/>
      <c r="J82" s="15"/>
      <c r="K82" s="15"/>
      <c r="L82" s="15"/>
      <c r="M82" s="15"/>
      <c r="N82" s="15"/>
      <c r="O82" s="15"/>
      <c r="P82" s="15"/>
      <c r="Q82" s="15"/>
      <c r="R82" s="15"/>
      <c r="S82" s="15"/>
      <c r="T82" s="15"/>
      <c r="U82" s="15"/>
      <c r="V82" s="15"/>
      <c r="W82" s="15"/>
      <c r="X82" s="15"/>
      <c r="Y82" s="15"/>
      <c r="Z82" s="15"/>
    </row>
    <row r="83">
      <c r="A83" s="13">
        <v>798.0</v>
      </c>
      <c r="B83" s="13">
        <v>798.0</v>
      </c>
      <c r="C83" s="14"/>
      <c r="D83" s="15"/>
      <c r="E83" s="14"/>
      <c r="F83" s="15"/>
      <c r="G83" s="15"/>
      <c r="H83" s="15"/>
      <c r="I83" s="15"/>
      <c r="J83" s="15"/>
      <c r="K83" s="15"/>
      <c r="L83" s="15"/>
      <c r="M83" s="15"/>
      <c r="N83" s="15"/>
      <c r="O83" s="15"/>
      <c r="P83" s="15"/>
      <c r="Q83" s="15"/>
      <c r="R83" s="15"/>
      <c r="S83" s="15"/>
      <c r="T83" s="15"/>
      <c r="U83" s="15"/>
      <c r="V83" s="15"/>
      <c r="W83" s="15"/>
      <c r="X83" s="15"/>
      <c r="Y83" s="15"/>
      <c r="Z83" s="15"/>
    </row>
    <row r="84">
      <c r="A84" s="13">
        <v>800.0</v>
      </c>
      <c r="B84" s="13">
        <v>800.0</v>
      </c>
      <c r="C84" s="14"/>
      <c r="D84" s="15"/>
      <c r="E84" s="14"/>
      <c r="F84" s="15"/>
      <c r="G84" s="15"/>
      <c r="H84" s="15"/>
      <c r="I84" s="15"/>
      <c r="J84" s="15"/>
      <c r="K84" s="15"/>
      <c r="L84" s="15"/>
      <c r="M84" s="15"/>
      <c r="N84" s="15"/>
      <c r="O84" s="15"/>
      <c r="P84" s="15"/>
      <c r="Q84" s="15"/>
      <c r="R84" s="15"/>
      <c r="S84" s="15"/>
      <c r="T84" s="15"/>
      <c r="U84" s="15"/>
      <c r="V84" s="15"/>
      <c r="W84" s="15"/>
      <c r="X84" s="15"/>
      <c r="Y84" s="15"/>
      <c r="Z84" s="15"/>
    </row>
    <row r="85">
      <c r="A85" s="13">
        <v>803.0</v>
      </c>
      <c r="B85" s="15"/>
      <c r="C85" s="14"/>
      <c r="D85" s="26">
        <v>803.0</v>
      </c>
      <c r="E85" s="14"/>
      <c r="F85" s="15"/>
      <c r="G85" s="15"/>
      <c r="H85" s="15"/>
      <c r="I85" s="15"/>
      <c r="J85" s="15"/>
      <c r="K85" s="15"/>
      <c r="L85" s="15"/>
      <c r="M85" s="15"/>
      <c r="N85" s="15"/>
      <c r="O85" s="15"/>
      <c r="P85" s="15"/>
      <c r="Q85" s="15"/>
      <c r="R85" s="15"/>
      <c r="S85" s="15"/>
      <c r="T85" s="15"/>
      <c r="U85" s="15"/>
      <c r="V85" s="15"/>
      <c r="W85" s="15"/>
      <c r="X85" s="15"/>
      <c r="Y85" s="15"/>
      <c r="Z85" s="15"/>
    </row>
    <row r="86">
      <c r="A86" s="13">
        <v>805.0</v>
      </c>
      <c r="B86" s="13">
        <v>805.0</v>
      </c>
      <c r="C86" s="14"/>
      <c r="D86" s="15"/>
      <c r="E86" s="14"/>
      <c r="F86" s="15"/>
      <c r="G86" s="15"/>
      <c r="H86" s="15"/>
      <c r="I86" s="15"/>
      <c r="J86" s="15"/>
      <c r="K86" s="15"/>
      <c r="L86" s="15"/>
      <c r="M86" s="15"/>
      <c r="N86" s="15"/>
      <c r="O86" s="15"/>
      <c r="P86" s="15"/>
      <c r="Q86" s="15"/>
      <c r="R86" s="15"/>
      <c r="S86" s="15"/>
      <c r="T86" s="15"/>
      <c r="U86" s="15"/>
      <c r="V86" s="15"/>
      <c r="W86" s="15"/>
      <c r="X86" s="15"/>
      <c r="Y86" s="15"/>
      <c r="Z86" s="15"/>
    </row>
    <row r="87">
      <c r="A87" s="13">
        <v>808.0</v>
      </c>
      <c r="B87" s="13">
        <v>808.0</v>
      </c>
      <c r="C87" s="14"/>
      <c r="D87" s="15"/>
      <c r="E87" s="14"/>
      <c r="F87" s="15"/>
      <c r="G87" s="15"/>
      <c r="H87" s="15"/>
      <c r="I87" s="15"/>
      <c r="J87" s="15"/>
      <c r="K87" s="15"/>
      <c r="L87" s="15"/>
      <c r="M87" s="15"/>
      <c r="N87" s="15"/>
      <c r="O87" s="15"/>
      <c r="P87" s="15"/>
      <c r="Q87" s="15"/>
      <c r="R87" s="15"/>
      <c r="S87" s="15"/>
      <c r="T87" s="15"/>
      <c r="U87" s="15"/>
      <c r="V87" s="15"/>
      <c r="W87" s="15"/>
      <c r="X87" s="15"/>
      <c r="Y87" s="15"/>
      <c r="Z87" s="15"/>
    </row>
    <row r="88">
      <c r="A88" s="13">
        <v>818.0</v>
      </c>
      <c r="B88" s="13">
        <v>818.0</v>
      </c>
      <c r="C88" s="14"/>
      <c r="D88" s="15"/>
      <c r="E88" s="14"/>
      <c r="F88" s="15"/>
      <c r="G88" s="15"/>
      <c r="H88" s="15"/>
      <c r="I88" s="15"/>
      <c r="J88" s="15"/>
      <c r="K88" s="15"/>
      <c r="L88" s="15"/>
      <c r="M88" s="15"/>
      <c r="N88" s="15"/>
      <c r="O88" s="15"/>
      <c r="P88" s="15"/>
      <c r="Q88" s="15"/>
      <c r="R88" s="15"/>
      <c r="S88" s="15"/>
      <c r="T88" s="15"/>
      <c r="U88" s="15"/>
      <c r="V88" s="15"/>
      <c r="W88" s="15"/>
      <c r="X88" s="15"/>
      <c r="Y88" s="15"/>
      <c r="Z88" s="15"/>
    </row>
    <row r="89">
      <c r="A89" s="13">
        <v>822.0</v>
      </c>
      <c r="B89" s="13">
        <v>822.0</v>
      </c>
      <c r="C89" s="14"/>
      <c r="D89" s="15"/>
      <c r="E89" s="14"/>
      <c r="F89" s="15"/>
      <c r="G89" s="15"/>
      <c r="H89" s="15"/>
      <c r="I89" s="15"/>
      <c r="J89" s="15"/>
      <c r="K89" s="15"/>
      <c r="L89" s="15"/>
      <c r="M89" s="15"/>
      <c r="N89" s="15"/>
      <c r="O89" s="15"/>
      <c r="P89" s="15"/>
      <c r="Q89" s="15"/>
      <c r="R89" s="15"/>
      <c r="S89" s="15"/>
      <c r="T89" s="15"/>
      <c r="U89" s="15"/>
      <c r="V89" s="15"/>
      <c r="W89" s="15"/>
      <c r="X89" s="15"/>
      <c r="Y89" s="15"/>
      <c r="Z89" s="15"/>
    </row>
    <row r="90">
      <c r="A90" s="13">
        <v>824.0</v>
      </c>
      <c r="B90" s="13">
        <v>824.0</v>
      </c>
      <c r="C90" s="14"/>
      <c r="D90" s="15"/>
      <c r="E90" s="14"/>
      <c r="F90" s="15"/>
      <c r="G90" s="15"/>
      <c r="H90" s="15"/>
      <c r="I90" s="15"/>
      <c r="J90" s="15"/>
      <c r="K90" s="15"/>
      <c r="L90" s="15"/>
      <c r="M90" s="15"/>
      <c r="N90" s="15"/>
      <c r="O90" s="15"/>
      <c r="P90" s="15"/>
      <c r="Q90" s="15"/>
      <c r="R90" s="15"/>
      <c r="S90" s="15"/>
      <c r="T90" s="15"/>
      <c r="U90" s="15"/>
      <c r="V90" s="15"/>
      <c r="W90" s="15"/>
      <c r="X90" s="15"/>
      <c r="Y90" s="15"/>
      <c r="Z90" s="15"/>
    </row>
    <row r="91">
      <c r="A91" s="13">
        <v>830.0</v>
      </c>
      <c r="B91" s="13">
        <v>830.0</v>
      </c>
      <c r="C91" s="14"/>
      <c r="D91" s="15"/>
      <c r="E91" s="14"/>
      <c r="F91" s="15"/>
      <c r="G91" s="15"/>
      <c r="H91" s="15"/>
      <c r="I91" s="15"/>
      <c r="J91" s="15"/>
      <c r="K91" s="15"/>
      <c r="L91" s="15"/>
      <c r="M91" s="15"/>
      <c r="N91" s="15"/>
      <c r="O91" s="15"/>
      <c r="P91" s="15"/>
      <c r="Q91" s="15"/>
      <c r="R91" s="15"/>
      <c r="S91" s="15"/>
      <c r="T91" s="15"/>
      <c r="U91" s="15"/>
      <c r="V91" s="15"/>
      <c r="W91" s="15"/>
      <c r="X91" s="15"/>
      <c r="Y91" s="15"/>
      <c r="Z91" s="15"/>
    </row>
    <row r="92">
      <c r="A92" s="13">
        <v>838.0</v>
      </c>
      <c r="B92" s="13">
        <v>838.0</v>
      </c>
      <c r="C92" s="14"/>
      <c r="D92" s="15"/>
      <c r="E92" s="14"/>
      <c r="F92" s="15"/>
      <c r="G92" s="15"/>
      <c r="H92" s="15"/>
      <c r="I92" s="15"/>
      <c r="J92" s="15"/>
      <c r="K92" s="15"/>
      <c r="L92" s="15"/>
      <c r="M92" s="15"/>
      <c r="N92" s="15"/>
      <c r="O92" s="15"/>
      <c r="P92" s="15"/>
      <c r="Q92" s="15"/>
      <c r="R92" s="15"/>
      <c r="S92" s="15"/>
      <c r="T92" s="15"/>
      <c r="U92" s="15"/>
      <c r="V92" s="15"/>
      <c r="W92" s="15"/>
      <c r="X92" s="15"/>
      <c r="Y92" s="15"/>
      <c r="Z92" s="15"/>
    </row>
    <row r="93">
      <c r="A93" s="13">
        <v>843.0</v>
      </c>
      <c r="B93" s="13">
        <v>843.0</v>
      </c>
      <c r="C93" s="14"/>
      <c r="D93" s="15"/>
      <c r="E93" s="14"/>
      <c r="F93" s="15"/>
      <c r="G93" s="15"/>
      <c r="H93" s="15"/>
      <c r="I93" s="15"/>
      <c r="J93" s="15"/>
      <c r="K93" s="15"/>
      <c r="L93" s="15"/>
      <c r="M93" s="15"/>
      <c r="N93" s="15"/>
      <c r="O93" s="15"/>
      <c r="P93" s="15"/>
      <c r="Q93" s="15"/>
      <c r="R93" s="15"/>
      <c r="S93" s="15"/>
      <c r="T93" s="15"/>
      <c r="U93" s="15"/>
      <c r="V93" s="15"/>
      <c r="W93" s="15"/>
      <c r="X93" s="15"/>
      <c r="Y93" s="15"/>
      <c r="Z93" s="15"/>
    </row>
    <row r="94">
      <c r="A94" s="13">
        <v>844.0</v>
      </c>
      <c r="B94" s="15"/>
      <c r="C94" s="14"/>
      <c r="D94" s="26">
        <v>844.0</v>
      </c>
      <c r="E94" s="14"/>
      <c r="F94" s="15"/>
      <c r="G94" s="15"/>
      <c r="H94" s="15"/>
      <c r="I94" s="15"/>
      <c r="J94" s="15"/>
      <c r="K94" s="15"/>
      <c r="L94" s="15"/>
      <c r="M94" s="15"/>
      <c r="N94" s="15"/>
      <c r="O94" s="15"/>
      <c r="P94" s="15"/>
      <c r="Q94" s="15"/>
      <c r="R94" s="15"/>
      <c r="S94" s="15"/>
      <c r="T94" s="15"/>
      <c r="U94" s="15"/>
      <c r="V94" s="15"/>
      <c r="W94" s="15"/>
      <c r="X94" s="15"/>
      <c r="Y94" s="15"/>
      <c r="Z94" s="15"/>
    </row>
    <row r="95">
      <c r="A95" s="13">
        <v>855.0</v>
      </c>
      <c r="B95" s="13">
        <v>855.0</v>
      </c>
      <c r="C95" s="14"/>
      <c r="D95" s="15"/>
      <c r="E95" s="14"/>
      <c r="F95" s="15"/>
      <c r="G95" s="15"/>
      <c r="H95" s="15"/>
      <c r="I95" s="15"/>
      <c r="J95" s="15"/>
      <c r="K95" s="15"/>
      <c r="L95" s="15"/>
      <c r="M95" s="15"/>
      <c r="N95" s="15"/>
      <c r="O95" s="15"/>
      <c r="P95" s="15"/>
      <c r="Q95" s="15"/>
      <c r="R95" s="15"/>
      <c r="S95" s="15"/>
      <c r="T95" s="15"/>
      <c r="U95" s="15"/>
      <c r="V95" s="15"/>
      <c r="W95" s="15"/>
      <c r="X95" s="15"/>
      <c r="Y95" s="15"/>
      <c r="Z95" s="15"/>
    </row>
    <row r="96">
      <c r="A96" s="13">
        <v>873.0</v>
      </c>
      <c r="B96" s="15"/>
      <c r="C96" s="14"/>
      <c r="D96" s="26">
        <v>873.0</v>
      </c>
      <c r="E96" s="14"/>
      <c r="F96" s="15"/>
      <c r="G96" s="15"/>
      <c r="H96" s="15"/>
      <c r="I96" s="15"/>
      <c r="J96" s="15"/>
      <c r="K96" s="15"/>
      <c r="L96" s="15"/>
      <c r="M96" s="15"/>
      <c r="N96" s="15"/>
      <c r="O96" s="15"/>
      <c r="P96" s="15"/>
      <c r="Q96" s="15"/>
      <c r="R96" s="15"/>
      <c r="S96" s="15"/>
      <c r="T96" s="15"/>
      <c r="U96" s="15"/>
      <c r="V96" s="15"/>
      <c r="W96" s="15"/>
      <c r="X96" s="15"/>
      <c r="Y96" s="15"/>
      <c r="Z96" s="15"/>
    </row>
    <row r="97">
      <c r="A97" s="13">
        <v>876.0</v>
      </c>
      <c r="B97" s="13">
        <v>876.0</v>
      </c>
      <c r="C97" s="14"/>
      <c r="D97" s="15"/>
      <c r="E97" s="14"/>
      <c r="F97" s="15"/>
      <c r="G97" s="15"/>
      <c r="H97" s="15"/>
      <c r="I97" s="15"/>
      <c r="J97" s="15"/>
      <c r="K97" s="15"/>
      <c r="L97" s="15"/>
      <c r="M97" s="15"/>
      <c r="N97" s="15"/>
      <c r="O97" s="15"/>
      <c r="P97" s="15"/>
      <c r="Q97" s="15"/>
      <c r="R97" s="15"/>
      <c r="S97" s="15"/>
      <c r="T97" s="15"/>
      <c r="U97" s="15"/>
      <c r="V97" s="15"/>
      <c r="W97" s="15"/>
      <c r="X97" s="15"/>
      <c r="Y97" s="15"/>
      <c r="Z97" s="15"/>
    </row>
    <row r="98">
      <c r="A98" s="13">
        <v>878.0</v>
      </c>
      <c r="B98" s="13">
        <v>878.0</v>
      </c>
      <c r="C98" s="14"/>
      <c r="D98" s="15"/>
      <c r="E98" s="14"/>
      <c r="F98" s="15"/>
      <c r="G98" s="15"/>
      <c r="H98" s="15"/>
      <c r="I98" s="15"/>
      <c r="J98" s="15"/>
      <c r="K98" s="15"/>
      <c r="L98" s="15"/>
      <c r="M98" s="15"/>
      <c r="N98" s="15"/>
      <c r="O98" s="15"/>
      <c r="P98" s="15"/>
      <c r="Q98" s="15"/>
      <c r="R98" s="15"/>
      <c r="S98" s="15"/>
      <c r="T98" s="15"/>
      <c r="U98" s="15"/>
      <c r="V98" s="15"/>
      <c r="W98" s="15"/>
      <c r="X98" s="15"/>
      <c r="Y98" s="15"/>
      <c r="Z98" s="15"/>
    </row>
    <row r="99">
      <c r="A99" s="13">
        <v>879.0</v>
      </c>
      <c r="B99" s="13">
        <v>879.0</v>
      </c>
      <c r="C99" s="14"/>
      <c r="D99" s="15"/>
      <c r="E99" s="14"/>
      <c r="F99" s="15"/>
      <c r="G99" s="15"/>
      <c r="H99" s="15"/>
      <c r="I99" s="15"/>
      <c r="J99" s="15"/>
      <c r="K99" s="15"/>
      <c r="L99" s="15"/>
      <c r="M99" s="15"/>
      <c r="N99" s="15"/>
      <c r="O99" s="15"/>
      <c r="P99" s="15"/>
      <c r="Q99" s="15"/>
      <c r="R99" s="15"/>
      <c r="S99" s="15"/>
      <c r="T99" s="15"/>
      <c r="U99" s="15"/>
      <c r="V99" s="15"/>
      <c r="W99" s="15"/>
      <c r="X99" s="15"/>
      <c r="Y99" s="15"/>
      <c r="Z99" s="15"/>
    </row>
    <row r="100">
      <c r="A100" s="13">
        <v>884.0</v>
      </c>
      <c r="B100" s="13">
        <v>884.0</v>
      </c>
      <c r="C100" s="14"/>
      <c r="D100" s="15"/>
      <c r="E100" s="14"/>
      <c r="F100" s="15"/>
      <c r="G100" s="15"/>
      <c r="H100" s="15"/>
      <c r="I100" s="15"/>
      <c r="J100" s="15"/>
      <c r="K100" s="15"/>
      <c r="L100" s="15"/>
      <c r="M100" s="15"/>
      <c r="N100" s="15"/>
      <c r="O100" s="15"/>
      <c r="P100" s="15"/>
      <c r="Q100" s="15"/>
      <c r="R100" s="15"/>
      <c r="S100" s="15"/>
      <c r="T100" s="15"/>
      <c r="U100" s="15"/>
      <c r="V100" s="15"/>
      <c r="W100" s="15"/>
      <c r="X100" s="15"/>
      <c r="Y100" s="15"/>
      <c r="Z100" s="15"/>
    </row>
    <row r="101">
      <c r="A101" s="13">
        <v>901.0</v>
      </c>
      <c r="B101" s="13">
        <v>901.0</v>
      </c>
      <c r="C101" s="14"/>
      <c r="D101" s="15"/>
      <c r="E101" s="14"/>
      <c r="F101" s="15"/>
      <c r="G101" s="15"/>
      <c r="H101" s="15"/>
      <c r="I101" s="15"/>
      <c r="J101" s="15"/>
      <c r="K101" s="15"/>
      <c r="L101" s="15"/>
      <c r="M101" s="15"/>
      <c r="N101" s="15"/>
      <c r="O101" s="15"/>
      <c r="P101" s="15"/>
      <c r="Q101" s="15"/>
      <c r="R101" s="15"/>
      <c r="S101" s="15"/>
      <c r="T101" s="15"/>
      <c r="U101" s="15"/>
      <c r="V101" s="15"/>
      <c r="W101" s="15"/>
      <c r="X101" s="15"/>
      <c r="Y101" s="15"/>
      <c r="Z101" s="15"/>
    </row>
    <row r="102">
      <c r="A102" s="13">
        <v>907.0</v>
      </c>
      <c r="B102" s="15"/>
      <c r="C102" s="14"/>
      <c r="D102" s="26">
        <v>907.0</v>
      </c>
      <c r="E102" s="14"/>
      <c r="F102" s="15"/>
      <c r="G102" s="15"/>
      <c r="H102" s="15"/>
      <c r="I102" s="15"/>
      <c r="J102" s="15"/>
      <c r="K102" s="15"/>
      <c r="L102" s="15"/>
      <c r="M102" s="15"/>
      <c r="N102" s="15"/>
      <c r="O102" s="15"/>
      <c r="P102" s="15"/>
      <c r="Q102" s="15"/>
      <c r="R102" s="15"/>
      <c r="S102" s="15"/>
      <c r="T102" s="15"/>
      <c r="U102" s="15"/>
      <c r="V102" s="15"/>
      <c r="W102" s="15"/>
      <c r="X102" s="15"/>
      <c r="Y102" s="15"/>
      <c r="Z102" s="15"/>
    </row>
    <row r="103">
      <c r="A103" s="13">
        <v>908.0</v>
      </c>
      <c r="B103" s="13">
        <v>908.0</v>
      </c>
      <c r="C103" s="14"/>
      <c r="D103" s="15"/>
      <c r="E103" s="14"/>
      <c r="F103" s="15"/>
      <c r="G103" s="15"/>
      <c r="H103" s="15"/>
      <c r="I103" s="15"/>
      <c r="J103" s="15"/>
      <c r="K103" s="15"/>
      <c r="L103" s="15"/>
      <c r="M103" s="15"/>
      <c r="N103" s="15"/>
      <c r="O103" s="15"/>
      <c r="P103" s="15"/>
      <c r="Q103" s="15"/>
      <c r="R103" s="15"/>
      <c r="S103" s="15"/>
      <c r="T103" s="15"/>
      <c r="U103" s="15"/>
      <c r="V103" s="15"/>
      <c r="W103" s="15"/>
      <c r="X103" s="15"/>
      <c r="Y103" s="15"/>
      <c r="Z103" s="15"/>
    </row>
    <row r="104">
      <c r="A104" s="13">
        <v>916.0</v>
      </c>
      <c r="B104" s="13">
        <v>916.0</v>
      </c>
      <c r="C104" s="14"/>
      <c r="D104" s="15"/>
      <c r="E104" s="14"/>
      <c r="F104" s="15"/>
      <c r="G104" s="15"/>
      <c r="H104" s="15"/>
      <c r="I104" s="15"/>
      <c r="J104" s="15"/>
      <c r="K104" s="15"/>
      <c r="L104" s="15"/>
      <c r="M104" s="15"/>
      <c r="N104" s="15"/>
      <c r="O104" s="15"/>
      <c r="P104" s="15"/>
      <c r="Q104" s="15"/>
      <c r="R104" s="15"/>
      <c r="S104" s="15"/>
      <c r="T104" s="15"/>
      <c r="U104" s="15"/>
      <c r="V104" s="15"/>
      <c r="W104" s="15"/>
      <c r="X104" s="15"/>
      <c r="Y104" s="15"/>
      <c r="Z104" s="15"/>
    </row>
    <row r="105">
      <c r="A105" s="13">
        <v>918.0</v>
      </c>
      <c r="B105" s="13">
        <v>918.0</v>
      </c>
      <c r="C105" s="14"/>
      <c r="D105" s="15"/>
      <c r="E105" s="14"/>
      <c r="F105" s="15"/>
      <c r="G105" s="15"/>
      <c r="H105" s="15"/>
      <c r="I105" s="15"/>
      <c r="J105" s="15"/>
      <c r="K105" s="15"/>
      <c r="L105" s="15"/>
      <c r="M105" s="15"/>
      <c r="N105" s="15"/>
      <c r="O105" s="15"/>
      <c r="P105" s="15"/>
      <c r="Q105" s="15"/>
      <c r="R105" s="15"/>
      <c r="S105" s="15"/>
      <c r="T105" s="15"/>
      <c r="U105" s="15"/>
      <c r="V105" s="15"/>
      <c r="W105" s="15"/>
      <c r="X105" s="15"/>
      <c r="Y105" s="15"/>
      <c r="Z105" s="15"/>
    </row>
    <row r="106">
      <c r="A106" s="13">
        <v>924.0</v>
      </c>
      <c r="B106" s="13">
        <v>924.0</v>
      </c>
      <c r="C106" s="14"/>
      <c r="D106" s="15"/>
      <c r="E106" s="14"/>
      <c r="F106" s="15"/>
      <c r="G106" s="15"/>
      <c r="H106" s="15"/>
      <c r="I106" s="15"/>
      <c r="J106" s="15"/>
      <c r="K106" s="15"/>
      <c r="L106" s="15"/>
      <c r="M106" s="15"/>
      <c r="N106" s="15"/>
      <c r="O106" s="15"/>
      <c r="P106" s="15"/>
      <c r="Q106" s="15"/>
      <c r="R106" s="15"/>
      <c r="S106" s="15"/>
      <c r="T106" s="15"/>
      <c r="U106" s="15"/>
      <c r="V106" s="15"/>
      <c r="W106" s="15"/>
      <c r="X106" s="15"/>
      <c r="Y106" s="15"/>
      <c r="Z106" s="15"/>
    </row>
    <row r="107">
      <c r="A107" s="13">
        <v>928.0</v>
      </c>
      <c r="B107" s="13">
        <v>928.0</v>
      </c>
      <c r="C107" s="14"/>
      <c r="D107" s="15"/>
      <c r="E107" s="14"/>
      <c r="F107" s="15"/>
      <c r="G107" s="15"/>
      <c r="H107" s="15"/>
      <c r="I107" s="15"/>
      <c r="J107" s="15"/>
      <c r="K107" s="15"/>
      <c r="L107" s="15"/>
      <c r="M107" s="15"/>
      <c r="N107" s="15"/>
      <c r="O107" s="15"/>
      <c r="P107" s="15"/>
      <c r="Q107" s="15"/>
      <c r="R107" s="15"/>
      <c r="S107" s="15"/>
      <c r="T107" s="15"/>
      <c r="U107" s="15"/>
      <c r="V107" s="15"/>
      <c r="W107" s="15"/>
      <c r="X107" s="15"/>
      <c r="Y107" s="15"/>
      <c r="Z107" s="15"/>
    </row>
    <row r="108">
      <c r="A108" s="13">
        <v>935.0</v>
      </c>
      <c r="B108" s="13">
        <v>935.0</v>
      </c>
      <c r="C108" s="14"/>
      <c r="D108" s="15"/>
      <c r="E108" s="14"/>
      <c r="F108" s="15"/>
      <c r="G108" s="15"/>
      <c r="H108" s="15"/>
      <c r="I108" s="15"/>
      <c r="J108" s="15"/>
      <c r="K108" s="15"/>
      <c r="L108" s="15"/>
      <c r="M108" s="15"/>
      <c r="N108" s="15"/>
      <c r="O108" s="15"/>
      <c r="P108" s="15"/>
      <c r="Q108" s="15"/>
      <c r="R108" s="15"/>
      <c r="S108" s="15"/>
      <c r="T108" s="15"/>
      <c r="U108" s="15"/>
      <c r="V108" s="15"/>
      <c r="W108" s="15"/>
      <c r="X108" s="15"/>
      <c r="Y108" s="15"/>
      <c r="Z108" s="15"/>
    </row>
    <row r="109">
      <c r="A109" s="13">
        <v>940.0</v>
      </c>
      <c r="B109" s="13">
        <v>940.0</v>
      </c>
      <c r="C109" s="14"/>
      <c r="D109" s="15"/>
      <c r="E109" s="14"/>
      <c r="F109" s="15"/>
      <c r="G109" s="15"/>
      <c r="H109" s="15"/>
      <c r="I109" s="15"/>
      <c r="J109" s="15"/>
      <c r="K109" s="15"/>
      <c r="L109" s="15"/>
      <c r="M109" s="15"/>
      <c r="N109" s="15"/>
      <c r="O109" s="15"/>
      <c r="P109" s="15"/>
      <c r="Q109" s="15"/>
      <c r="R109" s="15"/>
      <c r="S109" s="15"/>
      <c r="T109" s="15"/>
      <c r="U109" s="15"/>
      <c r="V109" s="15"/>
      <c r="W109" s="15"/>
      <c r="X109" s="15"/>
      <c r="Y109" s="15"/>
      <c r="Z109" s="15"/>
    </row>
    <row r="110">
      <c r="A110" s="13">
        <v>956.0</v>
      </c>
      <c r="B110" s="13">
        <v>956.0</v>
      </c>
      <c r="C110" s="14"/>
      <c r="D110" s="15"/>
      <c r="E110" s="14"/>
      <c r="F110" s="15"/>
      <c r="G110" s="15"/>
      <c r="H110" s="15"/>
      <c r="I110" s="15"/>
      <c r="J110" s="15"/>
      <c r="K110" s="15"/>
      <c r="L110" s="15"/>
      <c r="M110" s="15"/>
      <c r="N110" s="15"/>
      <c r="O110" s="15"/>
      <c r="P110" s="15"/>
      <c r="Q110" s="15"/>
      <c r="R110" s="15"/>
      <c r="S110" s="15"/>
      <c r="T110" s="15"/>
      <c r="U110" s="15"/>
      <c r="V110" s="15"/>
      <c r="W110" s="15"/>
      <c r="X110" s="15"/>
      <c r="Y110" s="15"/>
      <c r="Z110" s="15"/>
    </row>
    <row r="111">
      <c r="A111" s="13">
        <v>969.0</v>
      </c>
      <c r="B111" s="13">
        <v>969.0</v>
      </c>
      <c r="C111" s="14"/>
      <c r="D111" s="15"/>
      <c r="E111" s="14"/>
      <c r="F111" s="15"/>
      <c r="G111" s="15"/>
      <c r="H111" s="15"/>
      <c r="I111" s="15"/>
      <c r="J111" s="15"/>
      <c r="K111" s="15"/>
      <c r="L111" s="15"/>
      <c r="M111" s="15"/>
      <c r="N111" s="15"/>
      <c r="O111" s="15"/>
      <c r="P111" s="15"/>
      <c r="Q111" s="15"/>
      <c r="R111" s="15"/>
      <c r="S111" s="15"/>
      <c r="T111" s="15"/>
      <c r="U111" s="15"/>
      <c r="V111" s="15"/>
      <c r="W111" s="15"/>
      <c r="X111" s="15"/>
      <c r="Y111" s="15"/>
      <c r="Z111" s="15"/>
    </row>
    <row r="112">
      <c r="A112" s="13">
        <v>971.0</v>
      </c>
      <c r="B112" s="13">
        <v>971.0</v>
      </c>
      <c r="C112" s="14"/>
      <c r="D112" s="15"/>
      <c r="E112" s="14"/>
      <c r="F112" s="15"/>
      <c r="G112" s="15"/>
      <c r="H112" s="15"/>
      <c r="I112" s="15"/>
      <c r="J112" s="15"/>
      <c r="K112" s="15"/>
      <c r="L112" s="15"/>
      <c r="M112" s="15"/>
      <c r="N112" s="15"/>
      <c r="O112" s="15"/>
      <c r="P112" s="15"/>
      <c r="Q112" s="15"/>
      <c r="R112" s="15"/>
      <c r="S112" s="15"/>
      <c r="T112" s="15"/>
      <c r="U112" s="15"/>
      <c r="V112" s="15"/>
      <c r="W112" s="15"/>
      <c r="X112" s="15"/>
      <c r="Y112" s="15"/>
      <c r="Z112" s="15"/>
    </row>
    <row r="113">
      <c r="A113" s="13">
        <v>978.0</v>
      </c>
      <c r="B113" s="13">
        <v>978.0</v>
      </c>
      <c r="C113" s="14"/>
      <c r="D113" s="15"/>
      <c r="E113" s="14"/>
      <c r="F113" s="15"/>
      <c r="G113" s="15"/>
      <c r="H113" s="15"/>
      <c r="I113" s="15"/>
      <c r="J113" s="15"/>
      <c r="K113" s="15"/>
      <c r="L113" s="15"/>
      <c r="M113" s="15"/>
      <c r="N113" s="15"/>
      <c r="O113" s="15"/>
      <c r="P113" s="15"/>
      <c r="Q113" s="15"/>
      <c r="R113" s="15"/>
      <c r="S113" s="15"/>
      <c r="T113" s="15"/>
      <c r="U113" s="15"/>
      <c r="V113" s="15"/>
      <c r="W113" s="15"/>
      <c r="X113" s="15"/>
      <c r="Y113" s="15"/>
      <c r="Z113" s="15"/>
    </row>
    <row r="114">
      <c r="A114" s="13">
        <v>981.0</v>
      </c>
      <c r="B114" s="13">
        <v>981.0</v>
      </c>
      <c r="C114" s="14"/>
      <c r="D114" s="15"/>
      <c r="E114" s="14"/>
      <c r="F114" s="15"/>
      <c r="G114" s="15"/>
      <c r="H114" s="15"/>
      <c r="I114" s="15"/>
      <c r="J114" s="15"/>
      <c r="K114" s="15"/>
      <c r="L114" s="15"/>
      <c r="M114" s="15"/>
      <c r="N114" s="15"/>
      <c r="O114" s="15"/>
      <c r="P114" s="15"/>
      <c r="Q114" s="15"/>
      <c r="R114" s="15"/>
      <c r="S114" s="15"/>
      <c r="T114" s="15"/>
      <c r="U114" s="15"/>
      <c r="V114" s="15"/>
      <c r="W114" s="15"/>
      <c r="X114" s="15"/>
      <c r="Y114" s="15"/>
      <c r="Z114" s="15"/>
    </row>
    <row r="115">
      <c r="A115" s="13">
        <v>982.0</v>
      </c>
      <c r="B115" s="13">
        <v>982.0</v>
      </c>
      <c r="C115" s="14"/>
      <c r="D115" s="15"/>
      <c r="E115" s="14"/>
      <c r="F115" s="15"/>
      <c r="G115" s="15"/>
      <c r="H115" s="15"/>
      <c r="I115" s="15"/>
      <c r="J115" s="15"/>
      <c r="K115" s="15"/>
      <c r="L115" s="15"/>
      <c r="M115" s="15"/>
      <c r="N115" s="15"/>
      <c r="O115" s="15"/>
      <c r="P115" s="15"/>
      <c r="Q115" s="15"/>
      <c r="R115" s="15"/>
      <c r="S115" s="15"/>
      <c r="T115" s="15"/>
      <c r="U115" s="15"/>
      <c r="V115" s="15"/>
      <c r="W115" s="15"/>
      <c r="X115" s="15"/>
      <c r="Y115" s="15"/>
      <c r="Z115" s="15"/>
    </row>
    <row r="116">
      <c r="A116" s="13">
        <v>985.0</v>
      </c>
      <c r="B116" s="13">
        <v>985.0</v>
      </c>
      <c r="C116" s="14"/>
      <c r="D116" s="15"/>
      <c r="E116" s="14"/>
      <c r="F116" s="15"/>
      <c r="G116" s="15"/>
      <c r="H116" s="15"/>
      <c r="I116" s="15"/>
      <c r="J116" s="15"/>
      <c r="K116" s="15"/>
      <c r="L116" s="15"/>
      <c r="M116" s="15"/>
      <c r="N116" s="15"/>
      <c r="O116" s="15"/>
      <c r="P116" s="15"/>
      <c r="Q116" s="15"/>
      <c r="R116" s="15"/>
      <c r="S116" s="15"/>
      <c r="T116" s="15"/>
      <c r="U116" s="15"/>
      <c r="V116" s="15"/>
      <c r="W116" s="15"/>
      <c r="X116" s="15"/>
      <c r="Y116" s="15"/>
      <c r="Z116" s="15"/>
    </row>
    <row r="117">
      <c r="A117" s="13">
        <v>987.0</v>
      </c>
      <c r="B117" s="13">
        <v>987.0</v>
      </c>
      <c r="C117" s="14"/>
      <c r="D117" s="15"/>
      <c r="E117" s="14"/>
      <c r="F117" s="15"/>
      <c r="G117" s="15"/>
      <c r="H117" s="15"/>
      <c r="I117" s="15"/>
      <c r="J117" s="15"/>
      <c r="K117" s="15"/>
      <c r="L117" s="15"/>
      <c r="M117" s="15"/>
      <c r="N117" s="15"/>
      <c r="O117" s="15"/>
      <c r="P117" s="15"/>
      <c r="Q117" s="15"/>
      <c r="R117" s="15"/>
      <c r="S117" s="15"/>
      <c r="T117" s="15"/>
      <c r="U117" s="15"/>
      <c r="V117" s="15"/>
      <c r="W117" s="15"/>
      <c r="X117" s="15"/>
      <c r="Y117" s="15"/>
      <c r="Z117" s="15"/>
    </row>
    <row r="118">
      <c r="A118" s="13">
        <v>1000.0</v>
      </c>
      <c r="B118" s="13">
        <v>1000.0</v>
      </c>
      <c r="C118" s="14"/>
      <c r="D118" s="15"/>
      <c r="E118" s="14"/>
      <c r="F118" s="15"/>
      <c r="G118" s="15"/>
      <c r="H118" s="15"/>
      <c r="I118" s="15"/>
      <c r="J118" s="15"/>
      <c r="K118" s="15"/>
      <c r="L118" s="15"/>
      <c r="M118" s="15"/>
      <c r="N118" s="15"/>
      <c r="O118" s="15"/>
      <c r="P118" s="15"/>
      <c r="Q118" s="15"/>
      <c r="R118" s="15"/>
      <c r="S118" s="15"/>
      <c r="T118" s="15"/>
      <c r="U118" s="15"/>
      <c r="V118" s="15"/>
      <c r="W118" s="15"/>
      <c r="X118" s="15"/>
      <c r="Y118" s="15"/>
      <c r="Z118" s="15"/>
    </row>
    <row r="119">
      <c r="A119" s="13">
        <v>1004.0</v>
      </c>
      <c r="B119" s="13">
        <v>1004.0</v>
      </c>
      <c r="C119" s="14"/>
      <c r="D119" s="15"/>
      <c r="E119" s="14"/>
      <c r="F119" s="15"/>
      <c r="G119" s="15"/>
      <c r="H119" s="15"/>
      <c r="I119" s="15"/>
      <c r="J119" s="15"/>
      <c r="K119" s="15"/>
      <c r="L119" s="15"/>
      <c r="M119" s="15"/>
      <c r="N119" s="15"/>
      <c r="O119" s="15"/>
      <c r="P119" s="15"/>
      <c r="Q119" s="15"/>
      <c r="R119" s="15"/>
      <c r="S119" s="15"/>
      <c r="T119" s="15"/>
      <c r="U119" s="15"/>
      <c r="V119" s="15"/>
      <c r="W119" s="15"/>
      <c r="X119" s="15"/>
      <c r="Y119" s="15"/>
      <c r="Z119" s="15"/>
    </row>
    <row r="120">
      <c r="A120" s="13">
        <v>1008.0</v>
      </c>
      <c r="B120" s="13">
        <v>1008.0</v>
      </c>
      <c r="C120" s="14"/>
      <c r="D120" s="15"/>
      <c r="E120" s="14"/>
      <c r="F120" s="15"/>
      <c r="G120" s="15"/>
      <c r="H120" s="15"/>
      <c r="I120" s="15"/>
      <c r="J120" s="15"/>
      <c r="K120" s="15"/>
      <c r="L120" s="15"/>
      <c r="M120" s="15"/>
      <c r="N120" s="15"/>
      <c r="O120" s="15"/>
      <c r="P120" s="15"/>
      <c r="Q120" s="15"/>
      <c r="R120" s="15"/>
      <c r="S120" s="15"/>
      <c r="T120" s="15"/>
      <c r="U120" s="15"/>
      <c r="V120" s="15"/>
      <c r="W120" s="15"/>
      <c r="X120" s="15"/>
      <c r="Y120" s="15"/>
      <c r="Z120" s="15"/>
    </row>
    <row r="121">
      <c r="A121" s="13">
        <v>1009.0</v>
      </c>
      <c r="B121" s="13">
        <v>1009.0</v>
      </c>
      <c r="C121" s="14"/>
      <c r="D121" s="15"/>
      <c r="E121" s="14"/>
      <c r="F121" s="15"/>
      <c r="G121" s="15"/>
      <c r="H121" s="15"/>
      <c r="I121" s="15"/>
      <c r="J121" s="15"/>
      <c r="K121" s="15"/>
      <c r="L121" s="15"/>
      <c r="M121" s="15"/>
      <c r="N121" s="15"/>
      <c r="O121" s="15"/>
      <c r="P121" s="15"/>
      <c r="Q121" s="15"/>
      <c r="R121" s="15"/>
      <c r="S121" s="15"/>
      <c r="T121" s="15"/>
      <c r="U121" s="15"/>
      <c r="V121" s="15"/>
      <c r="W121" s="15"/>
      <c r="X121" s="15"/>
      <c r="Y121" s="15"/>
      <c r="Z121" s="15"/>
    </row>
    <row r="122">
      <c r="A122" s="13">
        <v>1012.0</v>
      </c>
      <c r="B122" s="13">
        <v>1012.0</v>
      </c>
      <c r="C122" s="14"/>
      <c r="D122" s="15"/>
      <c r="E122" s="14"/>
      <c r="F122" s="15"/>
      <c r="G122" s="15"/>
      <c r="H122" s="15"/>
      <c r="I122" s="15"/>
      <c r="J122" s="15"/>
      <c r="K122" s="15"/>
      <c r="L122" s="15"/>
      <c r="M122" s="15"/>
      <c r="N122" s="15"/>
      <c r="O122" s="15"/>
      <c r="P122" s="15"/>
      <c r="Q122" s="15"/>
      <c r="R122" s="15"/>
      <c r="S122" s="15"/>
      <c r="T122" s="15"/>
      <c r="U122" s="15"/>
      <c r="V122" s="15"/>
      <c r="W122" s="15"/>
      <c r="X122" s="15"/>
      <c r="Y122" s="15"/>
      <c r="Z122" s="15"/>
    </row>
    <row r="123">
      <c r="A123" s="13">
        <v>1016.0</v>
      </c>
      <c r="B123" s="13">
        <v>1016.0</v>
      </c>
      <c r="C123" s="14"/>
      <c r="D123" s="15"/>
      <c r="E123" s="14"/>
      <c r="F123" s="15"/>
      <c r="G123" s="15"/>
      <c r="H123" s="15"/>
      <c r="I123" s="15"/>
      <c r="J123" s="15"/>
      <c r="K123" s="15"/>
      <c r="L123" s="15"/>
      <c r="M123" s="15"/>
      <c r="N123" s="15"/>
      <c r="O123" s="15"/>
      <c r="P123" s="15"/>
      <c r="Q123" s="15"/>
      <c r="R123" s="15"/>
      <c r="S123" s="15"/>
      <c r="T123" s="15"/>
      <c r="U123" s="15"/>
      <c r="V123" s="15"/>
      <c r="W123" s="15"/>
      <c r="X123" s="15"/>
      <c r="Y123" s="15"/>
      <c r="Z123" s="15"/>
    </row>
    <row r="124">
      <c r="A124" s="13">
        <v>1019.0</v>
      </c>
      <c r="B124" s="13">
        <v>1019.0</v>
      </c>
      <c r="C124" s="14"/>
      <c r="D124" s="15"/>
      <c r="E124" s="14"/>
      <c r="F124" s="15"/>
      <c r="G124" s="15"/>
      <c r="H124" s="15"/>
      <c r="I124" s="15"/>
      <c r="J124" s="15"/>
      <c r="K124" s="15"/>
      <c r="L124" s="15"/>
      <c r="M124" s="15"/>
      <c r="N124" s="15"/>
      <c r="O124" s="15"/>
      <c r="P124" s="15"/>
      <c r="Q124" s="15"/>
      <c r="R124" s="15"/>
      <c r="S124" s="15"/>
      <c r="T124" s="15"/>
      <c r="U124" s="15"/>
      <c r="V124" s="15"/>
      <c r="W124" s="15"/>
      <c r="X124" s="15"/>
      <c r="Y124" s="15"/>
      <c r="Z124" s="15"/>
    </row>
    <row r="125">
      <c r="A125" s="13">
        <v>1030.0</v>
      </c>
      <c r="B125" s="13">
        <v>1030.0</v>
      </c>
      <c r="C125" s="14"/>
      <c r="D125" s="15"/>
      <c r="E125" s="14"/>
      <c r="F125" s="15"/>
      <c r="G125" s="15"/>
      <c r="H125" s="15"/>
      <c r="I125" s="15"/>
      <c r="J125" s="15"/>
      <c r="K125" s="15"/>
      <c r="L125" s="15"/>
      <c r="M125" s="15"/>
      <c r="N125" s="15"/>
      <c r="O125" s="15"/>
      <c r="P125" s="15"/>
      <c r="Q125" s="15"/>
      <c r="R125" s="15"/>
      <c r="S125" s="15"/>
      <c r="T125" s="15"/>
      <c r="U125" s="15"/>
      <c r="V125" s="15"/>
      <c r="W125" s="15"/>
      <c r="X125" s="15"/>
      <c r="Y125" s="15"/>
      <c r="Z125" s="15"/>
    </row>
    <row r="126">
      <c r="A126" s="13">
        <v>1032.0</v>
      </c>
      <c r="B126" s="13">
        <v>1032.0</v>
      </c>
      <c r="C126" s="14"/>
      <c r="D126" s="15"/>
      <c r="E126" s="14"/>
      <c r="F126" s="15"/>
      <c r="G126" s="15"/>
      <c r="H126" s="15"/>
      <c r="I126" s="15"/>
      <c r="J126" s="15"/>
      <c r="K126" s="15"/>
      <c r="L126" s="15"/>
      <c r="M126" s="15"/>
      <c r="N126" s="15"/>
      <c r="O126" s="15"/>
      <c r="P126" s="15"/>
      <c r="Q126" s="15"/>
      <c r="R126" s="15"/>
      <c r="S126" s="15"/>
      <c r="T126" s="15"/>
      <c r="U126" s="15"/>
      <c r="V126" s="15"/>
      <c r="W126" s="15"/>
      <c r="X126" s="15"/>
      <c r="Y126" s="15"/>
      <c r="Z126" s="15"/>
    </row>
    <row r="127">
      <c r="A127" s="13">
        <v>1039.0</v>
      </c>
      <c r="B127" s="13">
        <v>1039.0</v>
      </c>
      <c r="C127" s="14"/>
      <c r="D127" s="15"/>
      <c r="E127" s="14"/>
      <c r="F127" s="15"/>
      <c r="G127" s="15"/>
      <c r="H127" s="15"/>
      <c r="I127" s="15"/>
      <c r="J127" s="15"/>
      <c r="K127" s="15"/>
      <c r="L127" s="15"/>
      <c r="M127" s="15"/>
      <c r="N127" s="15"/>
      <c r="O127" s="15"/>
      <c r="P127" s="15"/>
      <c r="Q127" s="15"/>
      <c r="R127" s="15"/>
      <c r="S127" s="15"/>
      <c r="T127" s="15"/>
      <c r="U127" s="15"/>
      <c r="V127" s="15"/>
      <c r="W127" s="15"/>
      <c r="X127" s="15"/>
      <c r="Y127" s="15"/>
      <c r="Z127" s="15"/>
    </row>
    <row r="128">
      <c r="A128" s="13">
        <v>1047.0</v>
      </c>
      <c r="B128" s="13">
        <v>1047.0</v>
      </c>
      <c r="C128" s="14"/>
      <c r="D128" s="15"/>
      <c r="E128" s="14"/>
      <c r="F128" s="15"/>
      <c r="G128" s="15"/>
      <c r="H128" s="15"/>
      <c r="I128" s="15"/>
      <c r="J128" s="15"/>
      <c r="K128" s="15"/>
      <c r="L128" s="15"/>
      <c r="M128" s="15"/>
      <c r="N128" s="15"/>
      <c r="O128" s="15"/>
      <c r="P128" s="15"/>
      <c r="Q128" s="15"/>
      <c r="R128" s="15"/>
      <c r="S128" s="15"/>
      <c r="T128" s="15"/>
      <c r="U128" s="15"/>
      <c r="V128" s="15"/>
      <c r="W128" s="15"/>
      <c r="X128" s="15"/>
      <c r="Y128" s="15"/>
      <c r="Z128" s="15"/>
    </row>
    <row r="129">
      <c r="A129" s="13">
        <v>1048.0</v>
      </c>
      <c r="B129" s="15"/>
      <c r="C129" s="14"/>
      <c r="D129" s="26">
        <v>1048.0</v>
      </c>
      <c r="E129" s="14"/>
      <c r="F129" s="15"/>
      <c r="G129" s="15"/>
      <c r="H129" s="15"/>
      <c r="I129" s="15"/>
      <c r="J129" s="15"/>
      <c r="K129" s="15"/>
      <c r="L129" s="15"/>
      <c r="M129" s="15"/>
      <c r="N129" s="15"/>
      <c r="O129" s="15"/>
      <c r="P129" s="15"/>
      <c r="Q129" s="15"/>
      <c r="R129" s="15"/>
      <c r="S129" s="15"/>
      <c r="T129" s="15"/>
      <c r="U129" s="15"/>
      <c r="V129" s="15"/>
      <c r="W129" s="15"/>
      <c r="X129" s="15"/>
      <c r="Y129" s="15"/>
      <c r="Z129" s="15"/>
    </row>
    <row r="130">
      <c r="A130" s="13">
        <v>1053.0</v>
      </c>
      <c r="B130" s="13">
        <v>1053.0</v>
      </c>
      <c r="C130" s="14"/>
      <c r="D130" s="15"/>
      <c r="E130" s="14"/>
      <c r="F130" s="15"/>
      <c r="G130" s="15"/>
      <c r="H130" s="15"/>
      <c r="I130" s="15"/>
      <c r="J130" s="15"/>
      <c r="K130" s="15"/>
      <c r="L130" s="15"/>
      <c r="M130" s="15"/>
      <c r="N130" s="15"/>
      <c r="O130" s="15"/>
      <c r="P130" s="15"/>
      <c r="Q130" s="15"/>
      <c r="R130" s="15"/>
      <c r="S130" s="15"/>
      <c r="T130" s="15"/>
      <c r="U130" s="15"/>
      <c r="V130" s="15"/>
      <c r="W130" s="15"/>
      <c r="X130" s="15"/>
      <c r="Y130" s="15"/>
      <c r="Z130" s="15"/>
    </row>
    <row r="131">
      <c r="A131" s="13">
        <v>1059.0</v>
      </c>
      <c r="B131" s="13">
        <v>1059.0</v>
      </c>
      <c r="C131" s="14"/>
      <c r="D131" s="15"/>
      <c r="E131" s="14"/>
      <c r="F131" s="15"/>
      <c r="G131" s="15"/>
      <c r="H131" s="15"/>
      <c r="I131" s="15"/>
      <c r="J131" s="15"/>
      <c r="K131" s="15"/>
      <c r="L131" s="15"/>
      <c r="M131" s="15"/>
      <c r="N131" s="15"/>
      <c r="O131" s="15"/>
      <c r="P131" s="15"/>
      <c r="Q131" s="15"/>
      <c r="R131" s="15"/>
      <c r="S131" s="15"/>
      <c r="T131" s="15"/>
      <c r="U131" s="15"/>
      <c r="V131" s="15"/>
      <c r="W131" s="15"/>
      <c r="X131" s="15"/>
      <c r="Y131" s="15"/>
      <c r="Z131" s="15"/>
    </row>
    <row r="132">
      <c r="A132" s="13">
        <v>1063.0</v>
      </c>
      <c r="B132" s="13">
        <v>1063.0</v>
      </c>
      <c r="C132" s="14"/>
      <c r="D132" s="15"/>
      <c r="E132" s="14"/>
      <c r="F132" s="15"/>
      <c r="G132" s="15"/>
      <c r="H132" s="15"/>
      <c r="I132" s="15"/>
      <c r="J132" s="15"/>
      <c r="K132" s="15"/>
      <c r="L132" s="15"/>
      <c r="M132" s="15"/>
      <c r="N132" s="15"/>
      <c r="O132" s="15"/>
      <c r="P132" s="15"/>
      <c r="Q132" s="15"/>
      <c r="R132" s="15"/>
      <c r="S132" s="15"/>
      <c r="T132" s="15"/>
      <c r="U132" s="15"/>
      <c r="V132" s="15"/>
      <c r="W132" s="15"/>
      <c r="X132" s="15"/>
      <c r="Y132" s="15"/>
      <c r="Z132" s="15"/>
    </row>
    <row r="133">
      <c r="A133" s="13">
        <v>1071.0</v>
      </c>
      <c r="B133" s="13">
        <v>1071.0</v>
      </c>
      <c r="C133" s="14"/>
      <c r="D133" s="15"/>
      <c r="E133" s="14"/>
      <c r="F133" s="15"/>
      <c r="G133" s="15"/>
      <c r="H133" s="15"/>
      <c r="I133" s="15"/>
      <c r="J133" s="15"/>
      <c r="K133" s="15"/>
      <c r="L133" s="15"/>
      <c r="M133" s="15"/>
      <c r="N133" s="15"/>
      <c r="O133" s="15"/>
      <c r="P133" s="15"/>
      <c r="Q133" s="15"/>
      <c r="R133" s="15"/>
      <c r="S133" s="15"/>
      <c r="T133" s="15"/>
      <c r="U133" s="15"/>
      <c r="V133" s="15"/>
      <c r="W133" s="15"/>
      <c r="X133" s="15"/>
      <c r="Y133" s="15"/>
      <c r="Z133" s="15"/>
    </row>
    <row r="134">
      <c r="A134" s="13">
        <v>1076.0</v>
      </c>
      <c r="B134" s="13">
        <v>1076.0</v>
      </c>
      <c r="C134" s="14"/>
      <c r="D134" s="15"/>
      <c r="E134" s="14"/>
      <c r="F134" s="15"/>
      <c r="G134" s="15"/>
      <c r="H134" s="15"/>
      <c r="I134" s="15"/>
      <c r="J134" s="15"/>
      <c r="K134" s="15"/>
      <c r="L134" s="15"/>
      <c r="M134" s="15"/>
      <c r="N134" s="15"/>
      <c r="O134" s="15"/>
      <c r="P134" s="15"/>
      <c r="Q134" s="15"/>
      <c r="R134" s="15"/>
      <c r="S134" s="15"/>
      <c r="T134" s="15"/>
      <c r="U134" s="15"/>
      <c r="V134" s="15"/>
      <c r="W134" s="15"/>
      <c r="X134" s="15"/>
      <c r="Y134" s="15"/>
      <c r="Z134" s="15"/>
    </row>
    <row r="135">
      <c r="A135" s="13">
        <v>1079.0</v>
      </c>
      <c r="B135" s="13">
        <v>1079.0</v>
      </c>
      <c r="C135" s="14"/>
      <c r="D135" s="15"/>
      <c r="E135" s="14"/>
      <c r="F135" s="15"/>
      <c r="G135" s="15"/>
      <c r="H135" s="15"/>
      <c r="I135" s="15"/>
      <c r="J135" s="15"/>
      <c r="K135" s="15"/>
      <c r="L135" s="15"/>
      <c r="M135" s="15"/>
      <c r="N135" s="15"/>
      <c r="O135" s="15"/>
      <c r="P135" s="15"/>
      <c r="Q135" s="15"/>
      <c r="R135" s="15"/>
      <c r="S135" s="15"/>
      <c r="T135" s="15"/>
      <c r="U135" s="15"/>
      <c r="V135" s="15"/>
      <c r="W135" s="15"/>
      <c r="X135" s="15"/>
      <c r="Y135" s="15"/>
      <c r="Z135" s="15"/>
    </row>
    <row r="136">
      <c r="A136" s="13">
        <v>1085.0</v>
      </c>
      <c r="B136" s="13">
        <v>1085.0</v>
      </c>
      <c r="C136" s="14"/>
      <c r="D136" s="15"/>
      <c r="E136" s="14"/>
      <c r="F136" s="15"/>
      <c r="G136" s="15"/>
      <c r="H136" s="15"/>
      <c r="I136" s="15"/>
      <c r="J136" s="15"/>
      <c r="K136" s="15"/>
      <c r="L136" s="15"/>
      <c r="M136" s="15"/>
      <c r="N136" s="15"/>
      <c r="O136" s="15"/>
      <c r="P136" s="15"/>
      <c r="Q136" s="15"/>
      <c r="R136" s="15"/>
      <c r="S136" s="15"/>
      <c r="T136" s="15"/>
      <c r="U136" s="15"/>
      <c r="V136" s="15"/>
      <c r="W136" s="15"/>
      <c r="X136" s="15"/>
      <c r="Y136" s="15"/>
      <c r="Z136" s="15"/>
    </row>
    <row r="137">
      <c r="A137" s="13">
        <v>1092.0</v>
      </c>
      <c r="B137" s="13">
        <v>1092.0</v>
      </c>
      <c r="C137" s="14"/>
      <c r="D137" s="15"/>
      <c r="E137" s="14"/>
      <c r="F137" s="15"/>
      <c r="G137" s="15"/>
      <c r="H137" s="15"/>
      <c r="I137" s="15"/>
      <c r="J137" s="15"/>
      <c r="K137" s="15"/>
      <c r="L137" s="15"/>
      <c r="M137" s="15"/>
      <c r="N137" s="15"/>
      <c r="O137" s="15"/>
      <c r="P137" s="15"/>
      <c r="Q137" s="15"/>
      <c r="R137" s="15"/>
      <c r="S137" s="15"/>
      <c r="T137" s="15"/>
      <c r="U137" s="15"/>
      <c r="V137" s="15"/>
      <c r="W137" s="15"/>
      <c r="X137" s="15"/>
      <c r="Y137" s="15"/>
      <c r="Z137" s="15"/>
    </row>
    <row r="138">
      <c r="A138" s="13">
        <v>1095.0</v>
      </c>
      <c r="B138" s="13">
        <v>1095.0</v>
      </c>
      <c r="C138" s="14"/>
      <c r="D138" s="15"/>
      <c r="E138" s="14"/>
      <c r="F138" s="15"/>
      <c r="G138" s="15"/>
      <c r="H138" s="15"/>
      <c r="I138" s="15"/>
      <c r="J138" s="15"/>
      <c r="K138" s="15"/>
      <c r="L138" s="15"/>
      <c r="M138" s="15"/>
      <c r="N138" s="15"/>
      <c r="O138" s="15"/>
      <c r="P138" s="15"/>
      <c r="Q138" s="15"/>
      <c r="R138" s="15"/>
      <c r="S138" s="15"/>
      <c r="T138" s="15"/>
      <c r="U138" s="15"/>
      <c r="V138" s="15"/>
      <c r="W138" s="15"/>
      <c r="X138" s="15"/>
      <c r="Y138" s="15"/>
      <c r="Z138" s="15"/>
    </row>
    <row r="139">
      <c r="A139" s="13">
        <v>1096.0</v>
      </c>
      <c r="B139" s="13">
        <v>1096.0</v>
      </c>
      <c r="C139" s="14"/>
      <c r="D139" s="15"/>
      <c r="E139" s="14"/>
      <c r="F139" s="15"/>
      <c r="G139" s="15"/>
      <c r="H139" s="15"/>
      <c r="I139" s="15"/>
      <c r="J139" s="15"/>
      <c r="K139" s="15"/>
      <c r="L139" s="15"/>
      <c r="M139" s="15"/>
      <c r="N139" s="15"/>
      <c r="O139" s="15"/>
      <c r="P139" s="15"/>
      <c r="Q139" s="15"/>
      <c r="R139" s="15"/>
      <c r="S139" s="15"/>
      <c r="T139" s="15"/>
      <c r="U139" s="15"/>
      <c r="V139" s="15"/>
      <c r="W139" s="15"/>
      <c r="X139" s="15"/>
      <c r="Y139" s="15"/>
      <c r="Z139" s="15"/>
    </row>
    <row r="140">
      <c r="A140" s="13">
        <v>1106.0</v>
      </c>
      <c r="B140" s="13">
        <v>1106.0</v>
      </c>
      <c r="C140" s="14"/>
      <c r="D140" s="15"/>
      <c r="E140" s="14"/>
      <c r="F140" s="15"/>
      <c r="G140" s="15"/>
      <c r="H140" s="15"/>
      <c r="I140" s="15"/>
      <c r="J140" s="15"/>
      <c r="K140" s="15"/>
      <c r="L140" s="15"/>
      <c r="M140" s="15"/>
      <c r="N140" s="15"/>
      <c r="O140" s="15"/>
      <c r="P140" s="15"/>
      <c r="Q140" s="15"/>
      <c r="R140" s="15"/>
      <c r="S140" s="15"/>
      <c r="T140" s="15"/>
      <c r="U140" s="15"/>
      <c r="V140" s="15"/>
      <c r="W140" s="15"/>
      <c r="X140" s="15"/>
      <c r="Y140" s="15"/>
      <c r="Z140" s="15"/>
    </row>
    <row r="141">
      <c r="A141" s="13">
        <v>1119.0</v>
      </c>
      <c r="B141" s="13">
        <v>1119.0</v>
      </c>
      <c r="C141" s="14"/>
      <c r="D141" s="15"/>
      <c r="E141" s="14"/>
      <c r="F141" s="15"/>
      <c r="G141" s="15"/>
      <c r="H141" s="15"/>
      <c r="I141" s="15"/>
      <c r="J141" s="15"/>
      <c r="K141" s="15"/>
      <c r="L141" s="15"/>
      <c r="M141" s="15"/>
      <c r="N141" s="15"/>
      <c r="O141" s="15"/>
      <c r="P141" s="15"/>
      <c r="Q141" s="15"/>
      <c r="R141" s="15"/>
      <c r="S141" s="15"/>
      <c r="T141" s="15"/>
      <c r="U141" s="15"/>
      <c r="V141" s="15"/>
      <c r="W141" s="15"/>
      <c r="X141" s="15"/>
      <c r="Y141" s="15"/>
      <c r="Z141" s="15"/>
    </row>
    <row r="142">
      <c r="A142" s="13">
        <v>1133.0</v>
      </c>
      <c r="B142" s="13">
        <v>1133.0</v>
      </c>
      <c r="C142" s="14"/>
      <c r="D142" s="15"/>
      <c r="E142" s="14"/>
      <c r="F142" s="15"/>
      <c r="G142" s="15"/>
      <c r="H142" s="15"/>
      <c r="I142" s="15"/>
      <c r="J142" s="15"/>
      <c r="K142" s="15"/>
      <c r="L142" s="15"/>
      <c r="M142" s="15"/>
      <c r="N142" s="15"/>
      <c r="O142" s="15"/>
      <c r="P142" s="15"/>
      <c r="Q142" s="15"/>
      <c r="R142" s="15"/>
      <c r="S142" s="15"/>
      <c r="T142" s="15"/>
      <c r="U142" s="15"/>
      <c r="V142" s="15"/>
      <c r="W142" s="15"/>
      <c r="X142" s="15"/>
      <c r="Y142" s="15"/>
      <c r="Z142" s="15"/>
    </row>
    <row r="143">
      <c r="A143" s="13">
        <v>1134.0</v>
      </c>
      <c r="B143" s="13">
        <v>1134.0</v>
      </c>
      <c r="C143" s="14"/>
      <c r="D143" s="15"/>
      <c r="E143" s="14"/>
      <c r="F143" s="15"/>
      <c r="G143" s="15"/>
      <c r="H143" s="15"/>
      <c r="I143" s="15"/>
      <c r="J143" s="15"/>
      <c r="K143" s="15"/>
      <c r="L143" s="15"/>
      <c r="M143" s="15"/>
      <c r="N143" s="15"/>
      <c r="O143" s="15"/>
      <c r="P143" s="15"/>
      <c r="Q143" s="15"/>
      <c r="R143" s="15"/>
      <c r="S143" s="15"/>
      <c r="T143" s="15"/>
      <c r="U143" s="15"/>
      <c r="V143" s="15"/>
      <c r="W143" s="15"/>
      <c r="X143" s="15"/>
      <c r="Y143" s="15"/>
      <c r="Z143" s="15"/>
    </row>
    <row r="144">
      <c r="A144" s="13">
        <v>1139.0</v>
      </c>
      <c r="B144" s="13">
        <v>1139.0</v>
      </c>
      <c r="C144" s="14"/>
      <c r="D144" s="15"/>
      <c r="E144" s="14"/>
      <c r="F144" s="15"/>
      <c r="G144" s="15"/>
      <c r="H144" s="15"/>
      <c r="I144" s="15"/>
      <c r="J144" s="15"/>
      <c r="K144" s="15"/>
      <c r="L144" s="15"/>
      <c r="M144" s="15"/>
      <c r="N144" s="15"/>
      <c r="O144" s="15"/>
      <c r="P144" s="15"/>
      <c r="Q144" s="15"/>
      <c r="R144" s="15"/>
      <c r="S144" s="15"/>
      <c r="T144" s="15"/>
      <c r="U144" s="15"/>
      <c r="V144" s="15"/>
      <c r="W144" s="15"/>
      <c r="X144" s="15"/>
      <c r="Y144" s="15"/>
      <c r="Z144" s="15"/>
    </row>
    <row r="145">
      <c r="A145" s="13">
        <v>1142.0</v>
      </c>
      <c r="B145" s="13">
        <v>1142.0</v>
      </c>
      <c r="C145" s="14"/>
      <c r="D145" s="15"/>
      <c r="E145" s="14"/>
      <c r="F145" s="15"/>
      <c r="G145" s="15"/>
      <c r="H145" s="15"/>
      <c r="I145" s="15"/>
      <c r="J145" s="15"/>
      <c r="K145" s="15"/>
      <c r="L145" s="15"/>
      <c r="M145" s="15"/>
      <c r="N145" s="15"/>
      <c r="O145" s="15"/>
      <c r="P145" s="15"/>
      <c r="Q145" s="15"/>
      <c r="R145" s="15"/>
      <c r="S145" s="15"/>
      <c r="T145" s="15"/>
      <c r="U145" s="15"/>
      <c r="V145" s="15"/>
      <c r="W145" s="15"/>
      <c r="X145" s="15"/>
      <c r="Y145" s="15"/>
      <c r="Z145" s="15"/>
    </row>
    <row r="146">
      <c r="A146" s="13">
        <v>1143.0</v>
      </c>
      <c r="B146" s="13">
        <v>1143.0</v>
      </c>
      <c r="C146" s="14"/>
      <c r="D146" s="15"/>
      <c r="E146" s="14"/>
      <c r="F146" s="15"/>
      <c r="G146" s="15"/>
      <c r="H146" s="15"/>
      <c r="I146" s="15"/>
      <c r="J146" s="15"/>
      <c r="K146" s="15"/>
      <c r="L146" s="15"/>
      <c r="M146" s="15"/>
      <c r="N146" s="15"/>
      <c r="O146" s="15"/>
      <c r="P146" s="15"/>
      <c r="Q146" s="15"/>
      <c r="R146" s="15"/>
      <c r="S146" s="15"/>
      <c r="T146" s="15"/>
      <c r="U146" s="15"/>
      <c r="V146" s="15"/>
      <c r="W146" s="15"/>
      <c r="X146" s="15"/>
      <c r="Y146" s="15"/>
      <c r="Z146" s="15"/>
    </row>
    <row r="147">
      <c r="A147" s="13">
        <v>1152.0</v>
      </c>
      <c r="B147" s="13">
        <v>1152.0</v>
      </c>
      <c r="C147" s="14"/>
      <c r="D147" s="15"/>
      <c r="E147" s="14"/>
      <c r="F147" s="15"/>
      <c r="G147" s="15"/>
      <c r="H147" s="15"/>
      <c r="I147" s="15"/>
      <c r="J147" s="15"/>
      <c r="K147" s="15"/>
      <c r="L147" s="15"/>
      <c r="M147" s="15"/>
      <c r="N147" s="15"/>
      <c r="O147" s="15"/>
      <c r="P147" s="15"/>
      <c r="Q147" s="15"/>
      <c r="R147" s="15"/>
      <c r="S147" s="15"/>
      <c r="T147" s="15"/>
      <c r="U147" s="15"/>
      <c r="V147" s="15"/>
      <c r="W147" s="15"/>
      <c r="X147" s="15"/>
      <c r="Y147" s="15"/>
      <c r="Z147" s="15"/>
    </row>
    <row r="148">
      <c r="A148" s="13">
        <v>1156.0</v>
      </c>
      <c r="B148" s="13">
        <v>1156.0</v>
      </c>
      <c r="C148" s="14"/>
      <c r="D148" s="15"/>
      <c r="E148" s="14"/>
      <c r="F148" s="15"/>
      <c r="G148" s="15"/>
      <c r="H148" s="15"/>
      <c r="I148" s="15"/>
      <c r="J148" s="15"/>
      <c r="K148" s="15"/>
      <c r="L148" s="15"/>
      <c r="M148" s="15"/>
      <c r="N148" s="15"/>
      <c r="O148" s="15"/>
      <c r="P148" s="15"/>
      <c r="Q148" s="15"/>
      <c r="R148" s="15"/>
      <c r="S148" s="15"/>
      <c r="T148" s="15"/>
      <c r="U148" s="15"/>
      <c r="V148" s="15"/>
      <c r="W148" s="15"/>
      <c r="X148" s="15"/>
      <c r="Y148" s="15"/>
      <c r="Z148" s="15"/>
    </row>
    <row r="149">
      <c r="A149" s="13">
        <v>1160.0</v>
      </c>
      <c r="B149" s="13">
        <v>1160.0</v>
      </c>
      <c r="C149" s="14"/>
      <c r="D149" s="15"/>
      <c r="E149" s="14"/>
      <c r="F149" s="15"/>
      <c r="G149" s="15"/>
      <c r="H149" s="15"/>
      <c r="I149" s="15"/>
      <c r="J149" s="15"/>
      <c r="K149" s="15"/>
      <c r="L149" s="15"/>
      <c r="M149" s="15"/>
      <c r="N149" s="15"/>
      <c r="O149" s="15"/>
      <c r="P149" s="15"/>
      <c r="Q149" s="15"/>
      <c r="R149" s="15"/>
      <c r="S149" s="15"/>
      <c r="T149" s="15"/>
      <c r="U149" s="15"/>
      <c r="V149" s="15"/>
      <c r="W149" s="15"/>
      <c r="X149" s="15"/>
      <c r="Y149" s="15"/>
      <c r="Z149" s="15"/>
    </row>
    <row r="150">
      <c r="A150" s="13">
        <v>1167.0</v>
      </c>
      <c r="B150" s="13">
        <v>1167.0</v>
      </c>
      <c r="C150" s="14"/>
      <c r="D150" s="15"/>
      <c r="E150" s="14"/>
      <c r="F150" s="15"/>
      <c r="G150" s="15"/>
      <c r="H150" s="15"/>
      <c r="I150" s="15"/>
      <c r="J150" s="15"/>
      <c r="K150" s="15"/>
      <c r="L150" s="15"/>
      <c r="M150" s="15"/>
      <c r="N150" s="15"/>
      <c r="O150" s="15"/>
      <c r="P150" s="15"/>
      <c r="Q150" s="15"/>
      <c r="R150" s="15"/>
      <c r="S150" s="15"/>
      <c r="T150" s="15"/>
      <c r="U150" s="15"/>
      <c r="V150" s="15"/>
      <c r="W150" s="15"/>
      <c r="X150" s="15"/>
      <c r="Y150" s="15"/>
      <c r="Z150" s="15"/>
    </row>
    <row r="151">
      <c r="A151" s="13">
        <v>1174.0</v>
      </c>
      <c r="B151" s="15"/>
      <c r="C151" s="14"/>
      <c r="D151" s="26">
        <v>1174.0</v>
      </c>
      <c r="E151" s="14"/>
      <c r="F151" s="15"/>
      <c r="G151" s="15"/>
      <c r="H151" s="15"/>
      <c r="I151" s="15"/>
      <c r="J151" s="15"/>
      <c r="K151" s="15"/>
      <c r="L151" s="15"/>
      <c r="M151" s="15"/>
      <c r="N151" s="15"/>
      <c r="O151" s="15"/>
      <c r="P151" s="15"/>
      <c r="Q151" s="15"/>
      <c r="R151" s="15"/>
      <c r="S151" s="15"/>
      <c r="T151" s="15"/>
      <c r="U151" s="15"/>
      <c r="V151" s="15"/>
      <c r="W151" s="15"/>
      <c r="X151" s="15"/>
      <c r="Y151" s="15"/>
      <c r="Z151" s="15"/>
    </row>
    <row r="152">
      <c r="A152" s="13">
        <v>1187.0</v>
      </c>
      <c r="B152" s="13">
        <v>1187.0</v>
      </c>
      <c r="C152" s="14"/>
      <c r="D152" s="15"/>
      <c r="E152" s="14"/>
      <c r="F152" s="15"/>
      <c r="G152" s="15"/>
      <c r="H152" s="15"/>
      <c r="I152" s="15"/>
      <c r="J152" s="15"/>
      <c r="K152" s="15"/>
      <c r="L152" s="15"/>
      <c r="M152" s="15"/>
      <c r="N152" s="15"/>
      <c r="O152" s="15"/>
      <c r="P152" s="15"/>
      <c r="Q152" s="15"/>
      <c r="R152" s="15"/>
      <c r="S152" s="15"/>
      <c r="T152" s="15"/>
      <c r="U152" s="15"/>
      <c r="V152" s="15"/>
      <c r="W152" s="15"/>
      <c r="X152" s="15"/>
      <c r="Y152" s="15"/>
      <c r="Z152" s="15"/>
    </row>
    <row r="153">
      <c r="A153" s="13">
        <v>1190.0</v>
      </c>
      <c r="B153" s="13">
        <v>1190.0</v>
      </c>
      <c r="C153" s="14"/>
      <c r="D153" s="15"/>
      <c r="E153" s="14"/>
      <c r="F153" s="15"/>
      <c r="G153" s="15"/>
      <c r="H153" s="15"/>
      <c r="I153" s="15"/>
      <c r="J153" s="15"/>
      <c r="K153" s="15"/>
      <c r="L153" s="15"/>
      <c r="M153" s="15"/>
      <c r="N153" s="15"/>
      <c r="O153" s="15"/>
      <c r="P153" s="15"/>
      <c r="Q153" s="15"/>
      <c r="R153" s="15"/>
      <c r="S153" s="15"/>
      <c r="T153" s="15"/>
      <c r="U153" s="15"/>
      <c r="V153" s="15"/>
      <c r="W153" s="15"/>
      <c r="X153" s="15"/>
      <c r="Y153" s="15"/>
      <c r="Z153" s="15"/>
    </row>
    <row r="154">
      <c r="A154" s="13">
        <v>1199.0</v>
      </c>
      <c r="B154" s="13">
        <v>1199.0</v>
      </c>
      <c r="C154" s="14"/>
      <c r="D154" s="15"/>
      <c r="E154" s="14"/>
      <c r="F154" s="15"/>
      <c r="G154" s="15"/>
      <c r="H154" s="15"/>
      <c r="I154" s="15"/>
      <c r="J154" s="15"/>
      <c r="K154" s="15"/>
      <c r="L154" s="15"/>
      <c r="M154" s="15"/>
      <c r="N154" s="15"/>
      <c r="O154" s="15"/>
      <c r="P154" s="15"/>
      <c r="Q154" s="15"/>
      <c r="R154" s="15"/>
      <c r="S154" s="15"/>
      <c r="T154" s="15"/>
      <c r="U154" s="15"/>
      <c r="V154" s="15"/>
      <c r="W154" s="15"/>
      <c r="X154" s="15"/>
      <c r="Y154" s="15"/>
      <c r="Z154" s="15"/>
    </row>
    <row r="155">
      <c r="A155" s="13">
        <v>1202.0</v>
      </c>
      <c r="B155" s="13">
        <v>1202.0</v>
      </c>
      <c r="C155" s="14"/>
      <c r="D155" s="15"/>
      <c r="E155" s="14"/>
      <c r="F155" s="15"/>
      <c r="G155" s="15"/>
      <c r="H155" s="15"/>
      <c r="I155" s="15"/>
      <c r="J155" s="15"/>
      <c r="K155" s="15"/>
      <c r="L155" s="15"/>
      <c r="M155" s="15"/>
      <c r="N155" s="15"/>
      <c r="O155" s="15"/>
      <c r="P155" s="15"/>
      <c r="Q155" s="15"/>
      <c r="R155" s="15"/>
      <c r="S155" s="15"/>
      <c r="T155" s="15"/>
      <c r="U155" s="15"/>
      <c r="V155" s="15"/>
      <c r="W155" s="15"/>
      <c r="X155" s="15"/>
      <c r="Y155" s="15"/>
      <c r="Z155" s="15"/>
    </row>
    <row r="156">
      <c r="A156" s="13">
        <v>1218.0</v>
      </c>
      <c r="B156" s="13">
        <v>1218.0</v>
      </c>
      <c r="C156" s="14"/>
      <c r="D156" s="15"/>
      <c r="E156" s="14"/>
      <c r="F156" s="15"/>
      <c r="G156" s="15"/>
      <c r="H156" s="15"/>
      <c r="I156" s="15"/>
      <c r="J156" s="15"/>
      <c r="K156" s="15"/>
      <c r="L156" s="15"/>
      <c r="M156" s="15"/>
      <c r="N156" s="15"/>
      <c r="O156" s="15"/>
      <c r="P156" s="15"/>
      <c r="Q156" s="15"/>
      <c r="R156" s="15"/>
      <c r="S156" s="15"/>
      <c r="T156" s="15"/>
      <c r="U156" s="15"/>
      <c r="V156" s="15"/>
      <c r="W156" s="15"/>
      <c r="X156" s="15"/>
      <c r="Y156" s="15"/>
      <c r="Z156" s="15"/>
    </row>
    <row r="157">
      <c r="A157" s="13">
        <v>1231.0</v>
      </c>
      <c r="B157" s="13">
        <v>1231.0</v>
      </c>
      <c r="C157" s="14"/>
      <c r="D157" s="15"/>
      <c r="E157" s="14"/>
      <c r="F157" s="15"/>
      <c r="G157" s="15"/>
      <c r="H157" s="15"/>
      <c r="I157" s="15"/>
      <c r="J157" s="15"/>
      <c r="K157" s="15"/>
      <c r="L157" s="15"/>
      <c r="M157" s="15"/>
      <c r="N157" s="15"/>
      <c r="O157" s="15"/>
      <c r="P157" s="15"/>
      <c r="Q157" s="15"/>
      <c r="R157" s="15"/>
      <c r="S157" s="15"/>
      <c r="T157" s="15"/>
      <c r="U157" s="15"/>
      <c r="V157" s="15"/>
      <c r="W157" s="15"/>
      <c r="X157" s="15"/>
      <c r="Y157" s="15"/>
      <c r="Z157" s="15"/>
    </row>
    <row r="158">
      <c r="A158" s="13">
        <v>1233.0</v>
      </c>
      <c r="B158" s="15"/>
      <c r="C158" s="14"/>
      <c r="D158" s="26">
        <v>1233.0</v>
      </c>
      <c r="E158" s="14"/>
      <c r="F158" s="15"/>
      <c r="G158" s="15"/>
      <c r="H158" s="15"/>
      <c r="I158" s="15"/>
      <c r="J158" s="15"/>
      <c r="K158" s="15"/>
      <c r="L158" s="15"/>
      <c r="M158" s="15"/>
      <c r="N158" s="15"/>
      <c r="O158" s="15"/>
      <c r="P158" s="15"/>
      <c r="Q158" s="15"/>
      <c r="R158" s="15"/>
      <c r="S158" s="15"/>
      <c r="T158" s="15"/>
      <c r="U158" s="15"/>
      <c r="V158" s="15"/>
      <c r="W158" s="15"/>
      <c r="X158" s="15"/>
      <c r="Y158" s="15"/>
      <c r="Z158" s="15"/>
    </row>
    <row r="159">
      <c r="A159" s="13">
        <v>1241.0</v>
      </c>
      <c r="B159" s="13">
        <v>1241.0</v>
      </c>
      <c r="C159" s="14"/>
      <c r="D159" s="15"/>
      <c r="E159" s="14"/>
      <c r="F159" s="15"/>
      <c r="G159" s="15"/>
      <c r="H159" s="15"/>
      <c r="I159" s="15"/>
      <c r="J159" s="15"/>
      <c r="K159" s="15"/>
      <c r="L159" s="15"/>
      <c r="M159" s="15"/>
      <c r="N159" s="15"/>
      <c r="O159" s="15"/>
      <c r="P159" s="15"/>
      <c r="Q159" s="15"/>
      <c r="R159" s="15"/>
      <c r="S159" s="15"/>
      <c r="T159" s="15"/>
      <c r="U159" s="15"/>
      <c r="V159" s="15"/>
      <c r="W159" s="15"/>
      <c r="X159" s="15"/>
      <c r="Y159" s="15"/>
      <c r="Z159" s="15"/>
    </row>
    <row r="160">
      <c r="A160" s="13">
        <v>1246.0</v>
      </c>
      <c r="B160" s="13">
        <v>1246.0</v>
      </c>
      <c r="C160" s="14"/>
      <c r="D160" s="15"/>
      <c r="E160" s="14"/>
      <c r="F160" s="15"/>
      <c r="G160" s="15"/>
      <c r="H160" s="15"/>
      <c r="I160" s="15"/>
      <c r="J160" s="15"/>
      <c r="K160" s="15"/>
      <c r="L160" s="15"/>
      <c r="M160" s="15"/>
      <c r="N160" s="15"/>
      <c r="O160" s="15"/>
      <c r="P160" s="15"/>
      <c r="Q160" s="15"/>
      <c r="R160" s="15"/>
      <c r="S160" s="15"/>
      <c r="T160" s="15"/>
      <c r="U160" s="15"/>
      <c r="V160" s="15"/>
      <c r="W160" s="15"/>
      <c r="X160" s="15"/>
      <c r="Y160" s="15"/>
      <c r="Z160" s="15"/>
    </row>
    <row r="161">
      <c r="A161" s="13">
        <v>1263.0</v>
      </c>
      <c r="B161" s="13">
        <v>1263.0</v>
      </c>
      <c r="C161" s="14"/>
      <c r="D161" s="15"/>
      <c r="E161" s="14"/>
      <c r="F161" s="15"/>
      <c r="G161" s="15"/>
      <c r="H161" s="15"/>
      <c r="I161" s="15"/>
      <c r="J161" s="15"/>
      <c r="K161" s="15"/>
      <c r="L161" s="15"/>
      <c r="M161" s="15"/>
      <c r="N161" s="15"/>
      <c r="O161" s="15"/>
      <c r="P161" s="15"/>
      <c r="Q161" s="15"/>
      <c r="R161" s="15"/>
      <c r="S161" s="15"/>
      <c r="T161" s="15"/>
      <c r="U161" s="15"/>
      <c r="V161" s="15"/>
      <c r="W161" s="15"/>
      <c r="X161" s="15"/>
      <c r="Y161" s="15"/>
      <c r="Z161" s="15"/>
    </row>
    <row r="162">
      <c r="A162" s="13">
        <v>1276.0</v>
      </c>
      <c r="B162" s="13">
        <v>1276.0</v>
      </c>
      <c r="C162" s="14"/>
      <c r="D162" s="15"/>
      <c r="E162" s="14"/>
      <c r="F162" s="15"/>
      <c r="G162" s="15"/>
      <c r="H162" s="15"/>
      <c r="I162" s="15"/>
      <c r="J162" s="15"/>
      <c r="K162" s="15"/>
      <c r="L162" s="15"/>
      <c r="M162" s="15"/>
      <c r="N162" s="15"/>
      <c r="O162" s="15"/>
      <c r="P162" s="15"/>
      <c r="Q162" s="15"/>
      <c r="R162" s="15"/>
      <c r="S162" s="15"/>
      <c r="T162" s="15"/>
      <c r="U162" s="15"/>
      <c r="V162" s="15"/>
      <c r="W162" s="15"/>
      <c r="X162" s="15"/>
      <c r="Y162" s="15"/>
      <c r="Z162" s="15"/>
    </row>
    <row r="163">
      <c r="A163" s="13">
        <v>1284.0</v>
      </c>
      <c r="B163" s="13">
        <v>1284.0</v>
      </c>
      <c r="C163" s="14"/>
      <c r="D163" s="15"/>
      <c r="E163" s="14"/>
      <c r="F163" s="15"/>
      <c r="G163" s="15"/>
      <c r="H163" s="15"/>
      <c r="I163" s="15"/>
      <c r="J163" s="15"/>
      <c r="K163" s="15"/>
      <c r="L163" s="15"/>
      <c r="M163" s="15"/>
      <c r="N163" s="15"/>
      <c r="O163" s="15"/>
      <c r="P163" s="15"/>
      <c r="Q163" s="15"/>
      <c r="R163" s="15"/>
      <c r="S163" s="15"/>
      <c r="T163" s="15"/>
      <c r="U163" s="15"/>
      <c r="V163" s="15"/>
      <c r="W163" s="15"/>
      <c r="X163" s="15"/>
      <c r="Y163" s="15"/>
      <c r="Z163" s="15"/>
    </row>
    <row r="164">
      <c r="A164" s="13">
        <v>1303.0</v>
      </c>
      <c r="B164" s="13">
        <v>1303.0</v>
      </c>
      <c r="C164" s="14"/>
      <c r="D164" s="15"/>
      <c r="E164" s="14"/>
      <c r="F164" s="15"/>
      <c r="G164" s="15"/>
      <c r="H164" s="15"/>
      <c r="I164" s="15"/>
      <c r="J164" s="15"/>
      <c r="K164" s="15"/>
      <c r="L164" s="15"/>
      <c r="M164" s="15"/>
      <c r="N164" s="15"/>
      <c r="O164" s="15"/>
      <c r="P164" s="15"/>
      <c r="Q164" s="15"/>
      <c r="R164" s="15"/>
      <c r="S164" s="15"/>
      <c r="T164" s="15"/>
      <c r="U164" s="15"/>
      <c r="V164" s="15"/>
      <c r="W164" s="15"/>
      <c r="X164" s="15"/>
      <c r="Y164" s="15"/>
      <c r="Z164" s="15"/>
    </row>
    <row r="165">
      <c r="A165" s="13">
        <v>1315.0</v>
      </c>
      <c r="B165" s="13">
        <v>1315.0</v>
      </c>
      <c r="C165" s="14"/>
      <c r="D165" s="15"/>
      <c r="E165" s="14"/>
      <c r="F165" s="15"/>
      <c r="G165" s="15"/>
      <c r="H165" s="15"/>
      <c r="I165" s="15"/>
      <c r="J165" s="15"/>
      <c r="K165" s="15"/>
      <c r="L165" s="15"/>
      <c r="M165" s="15"/>
      <c r="N165" s="15"/>
      <c r="O165" s="15"/>
      <c r="P165" s="15"/>
      <c r="Q165" s="15"/>
      <c r="R165" s="15"/>
      <c r="S165" s="15"/>
      <c r="T165" s="15"/>
      <c r="U165" s="15"/>
      <c r="V165" s="15"/>
      <c r="W165" s="15"/>
      <c r="X165" s="15"/>
      <c r="Y165" s="15"/>
      <c r="Z165" s="15"/>
    </row>
    <row r="166">
      <c r="A166" s="13">
        <v>1318.0</v>
      </c>
      <c r="B166" s="13">
        <v>1318.0</v>
      </c>
      <c r="C166" s="14"/>
      <c r="D166" s="15"/>
      <c r="E166" s="14"/>
      <c r="F166" s="15"/>
      <c r="G166" s="15"/>
      <c r="H166" s="15"/>
      <c r="I166" s="15"/>
      <c r="J166" s="15"/>
      <c r="K166" s="15"/>
      <c r="L166" s="15"/>
      <c r="M166" s="15"/>
      <c r="N166" s="15"/>
      <c r="O166" s="15"/>
      <c r="P166" s="15"/>
      <c r="Q166" s="15"/>
      <c r="R166" s="15"/>
      <c r="S166" s="15"/>
      <c r="T166" s="15"/>
      <c r="U166" s="15"/>
      <c r="V166" s="15"/>
      <c r="W166" s="15"/>
      <c r="X166" s="15"/>
      <c r="Y166" s="15"/>
      <c r="Z166" s="15"/>
    </row>
    <row r="167">
      <c r="A167" s="13">
        <v>1335.0</v>
      </c>
      <c r="B167" s="13">
        <v>1335.0</v>
      </c>
      <c r="C167" s="14"/>
      <c r="D167" s="15"/>
      <c r="E167" s="14"/>
      <c r="F167" s="15"/>
      <c r="G167" s="15"/>
      <c r="H167" s="15"/>
      <c r="I167" s="15"/>
      <c r="J167" s="15"/>
      <c r="K167" s="15"/>
      <c r="L167" s="15"/>
      <c r="M167" s="15"/>
      <c r="N167" s="15"/>
      <c r="O167" s="15"/>
      <c r="P167" s="15"/>
      <c r="Q167" s="15"/>
      <c r="R167" s="15"/>
      <c r="S167" s="15"/>
      <c r="T167" s="15"/>
      <c r="U167" s="15"/>
      <c r="V167" s="15"/>
      <c r="W167" s="15"/>
      <c r="X167" s="15"/>
      <c r="Y167" s="15"/>
      <c r="Z167" s="15"/>
    </row>
    <row r="168">
      <c r="A168" s="13">
        <v>1341.0</v>
      </c>
      <c r="B168" s="13">
        <v>1341.0</v>
      </c>
      <c r="C168" s="14"/>
      <c r="D168" s="15"/>
      <c r="E168" s="14"/>
      <c r="F168" s="15"/>
      <c r="G168" s="15"/>
      <c r="H168" s="15"/>
      <c r="I168" s="15"/>
      <c r="J168" s="15"/>
      <c r="K168" s="15"/>
      <c r="L168" s="15"/>
      <c r="M168" s="15"/>
      <c r="N168" s="15"/>
      <c r="O168" s="15"/>
      <c r="P168" s="15"/>
      <c r="Q168" s="15"/>
      <c r="R168" s="15"/>
      <c r="S168" s="15"/>
      <c r="T168" s="15"/>
      <c r="U168" s="15"/>
      <c r="V168" s="15"/>
      <c r="W168" s="15"/>
      <c r="X168" s="15"/>
      <c r="Y168" s="15"/>
      <c r="Z168" s="15"/>
    </row>
    <row r="169">
      <c r="A169" s="13">
        <v>1347.0</v>
      </c>
      <c r="B169" s="13">
        <v>1347.0</v>
      </c>
      <c r="C169" s="14"/>
      <c r="D169" s="15"/>
      <c r="E169" s="14"/>
      <c r="F169" s="15"/>
      <c r="G169" s="15"/>
      <c r="H169" s="15"/>
      <c r="I169" s="15"/>
      <c r="J169" s="15"/>
      <c r="K169" s="15"/>
      <c r="L169" s="15"/>
      <c r="M169" s="15"/>
      <c r="N169" s="15"/>
      <c r="O169" s="15"/>
      <c r="P169" s="15"/>
      <c r="Q169" s="15"/>
      <c r="R169" s="15"/>
      <c r="S169" s="15"/>
      <c r="T169" s="15"/>
      <c r="U169" s="15"/>
      <c r="V169" s="15"/>
      <c r="W169" s="15"/>
      <c r="X169" s="15"/>
      <c r="Y169" s="15"/>
      <c r="Z169" s="15"/>
    </row>
    <row r="170">
      <c r="A170" s="13">
        <v>1368.0</v>
      </c>
      <c r="B170" s="13">
        <v>1368.0</v>
      </c>
      <c r="C170" s="14"/>
      <c r="D170" s="15"/>
      <c r="E170" s="14"/>
      <c r="F170" s="15"/>
      <c r="G170" s="15"/>
      <c r="H170" s="15"/>
      <c r="I170" s="15"/>
      <c r="J170" s="15"/>
      <c r="K170" s="15"/>
      <c r="L170" s="15"/>
      <c r="M170" s="15"/>
      <c r="N170" s="15"/>
      <c r="O170" s="15"/>
      <c r="P170" s="15"/>
      <c r="Q170" s="15"/>
      <c r="R170" s="15"/>
      <c r="S170" s="15"/>
      <c r="T170" s="15"/>
      <c r="U170" s="15"/>
      <c r="V170" s="15"/>
      <c r="W170" s="15"/>
      <c r="X170" s="15"/>
      <c r="Y170" s="15"/>
      <c r="Z170" s="15"/>
    </row>
    <row r="171">
      <c r="A171" s="13">
        <v>1373.0</v>
      </c>
      <c r="B171" s="13">
        <v>1373.0</v>
      </c>
      <c r="C171" s="14"/>
      <c r="D171" s="15"/>
      <c r="E171" s="14"/>
      <c r="F171" s="15"/>
      <c r="G171" s="15"/>
      <c r="H171" s="15"/>
      <c r="I171" s="15"/>
      <c r="J171" s="15"/>
      <c r="K171" s="15"/>
      <c r="L171" s="15"/>
      <c r="M171" s="15"/>
      <c r="N171" s="15"/>
      <c r="O171" s="15"/>
      <c r="P171" s="15"/>
      <c r="Q171" s="15"/>
      <c r="R171" s="15"/>
      <c r="S171" s="15"/>
      <c r="T171" s="15"/>
      <c r="U171" s="15"/>
      <c r="V171" s="15"/>
      <c r="W171" s="15"/>
      <c r="X171" s="15"/>
      <c r="Y171" s="15"/>
      <c r="Z171" s="15"/>
    </row>
    <row r="172">
      <c r="A172" s="13">
        <v>1385.0</v>
      </c>
      <c r="B172" s="13">
        <v>1385.0</v>
      </c>
      <c r="C172" s="14"/>
      <c r="D172" s="15"/>
      <c r="E172" s="14"/>
      <c r="F172" s="15"/>
      <c r="G172" s="15"/>
      <c r="H172" s="15"/>
      <c r="I172" s="15"/>
      <c r="J172" s="15"/>
      <c r="K172" s="15"/>
      <c r="L172" s="15"/>
      <c r="M172" s="15"/>
      <c r="N172" s="15"/>
      <c r="O172" s="15"/>
      <c r="P172" s="15"/>
      <c r="Q172" s="15"/>
      <c r="R172" s="15"/>
      <c r="S172" s="15"/>
      <c r="T172" s="15"/>
      <c r="U172" s="15"/>
      <c r="V172" s="15"/>
      <c r="W172" s="15"/>
      <c r="X172" s="15"/>
      <c r="Y172" s="15"/>
      <c r="Z172" s="15"/>
    </row>
    <row r="173">
      <c r="A173" s="13">
        <v>1387.0</v>
      </c>
      <c r="B173" s="13">
        <v>1387.0</v>
      </c>
      <c r="C173" s="14"/>
      <c r="D173" s="15"/>
      <c r="E173" s="14"/>
      <c r="F173" s="15"/>
      <c r="G173" s="15"/>
      <c r="H173" s="15"/>
      <c r="I173" s="15"/>
      <c r="J173" s="15"/>
      <c r="K173" s="15"/>
      <c r="L173" s="15"/>
      <c r="M173" s="15"/>
      <c r="N173" s="15"/>
      <c r="O173" s="15"/>
      <c r="P173" s="15"/>
      <c r="Q173" s="15"/>
      <c r="R173" s="15"/>
      <c r="S173" s="15"/>
      <c r="T173" s="15"/>
      <c r="U173" s="15"/>
      <c r="V173" s="15"/>
      <c r="W173" s="15"/>
      <c r="X173" s="15"/>
      <c r="Y173" s="15"/>
      <c r="Z173" s="15"/>
    </row>
    <row r="174">
      <c r="A174" s="13">
        <v>1388.0</v>
      </c>
      <c r="B174" s="13">
        <v>1388.0</v>
      </c>
      <c r="C174" s="14"/>
      <c r="D174" s="15"/>
      <c r="E174" s="14"/>
      <c r="F174" s="15"/>
      <c r="G174" s="15"/>
      <c r="H174" s="15"/>
      <c r="I174" s="15"/>
      <c r="J174" s="15"/>
      <c r="K174" s="15"/>
      <c r="L174" s="15"/>
      <c r="M174" s="15"/>
      <c r="N174" s="15"/>
      <c r="O174" s="15"/>
      <c r="P174" s="15"/>
      <c r="Q174" s="15"/>
      <c r="R174" s="15"/>
      <c r="S174" s="15"/>
      <c r="T174" s="15"/>
      <c r="U174" s="15"/>
      <c r="V174" s="15"/>
      <c r="W174" s="15"/>
      <c r="X174" s="15"/>
      <c r="Y174" s="15"/>
      <c r="Z174" s="15"/>
    </row>
    <row r="175">
      <c r="A175" s="13">
        <v>1392.0</v>
      </c>
      <c r="B175" s="13">
        <v>1392.0</v>
      </c>
      <c r="C175" s="14"/>
      <c r="D175" s="15"/>
      <c r="E175" s="14"/>
      <c r="F175" s="15"/>
      <c r="G175" s="15"/>
      <c r="H175" s="15"/>
      <c r="I175" s="15"/>
      <c r="J175" s="15"/>
      <c r="K175" s="15"/>
      <c r="L175" s="15"/>
      <c r="M175" s="15"/>
      <c r="N175" s="15"/>
      <c r="O175" s="15"/>
      <c r="P175" s="15"/>
      <c r="Q175" s="15"/>
      <c r="R175" s="15"/>
      <c r="S175" s="15"/>
      <c r="T175" s="15"/>
      <c r="U175" s="15"/>
      <c r="V175" s="15"/>
      <c r="W175" s="15"/>
      <c r="X175" s="15"/>
      <c r="Y175" s="15"/>
      <c r="Z175" s="15"/>
    </row>
    <row r="176">
      <c r="A176" s="13">
        <v>1396.0</v>
      </c>
      <c r="B176" s="13">
        <v>1396.0</v>
      </c>
      <c r="C176" s="14"/>
      <c r="D176" s="15"/>
      <c r="E176" s="14"/>
      <c r="F176" s="15"/>
      <c r="G176" s="15"/>
      <c r="H176" s="15"/>
      <c r="I176" s="15"/>
      <c r="J176" s="15"/>
      <c r="K176" s="15"/>
      <c r="L176" s="15"/>
      <c r="M176" s="15"/>
      <c r="N176" s="15"/>
      <c r="O176" s="15"/>
      <c r="P176" s="15"/>
      <c r="Q176" s="15"/>
      <c r="R176" s="15"/>
      <c r="S176" s="15"/>
      <c r="T176" s="15"/>
      <c r="U176" s="15"/>
      <c r="V176" s="15"/>
      <c r="W176" s="15"/>
      <c r="X176" s="15"/>
      <c r="Y176" s="15"/>
      <c r="Z176" s="15"/>
    </row>
    <row r="177">
      <c r="A177" s="13">
        <v>1415.0</v>
      </c>
      <c r="B177" s="13">
        <v>1415.0</v>
      </c>
      <c r="C177" s="14"/>
      <c r="D177" s="15"/>
      <c r="E177" s="14"/>
      <c r="F177" s="15"/>
      <c r="G177" s="15"/>
      <c r="H177" s="15"/>
      <c r="I177" s="15"/>
      <c r="J177" s="15"/>
      <c r="K177" s="15"/>
      <c r="L177" s="15"/>
      <c r="M177" s="15"/>
      <c r="N177" s="15"/>
      <c r="O177" s="15"/>
      <c r="P177" s="15"/>
      <c r="Q177" s="15"/>
      <c r="R177" s="15"/>
      <c r="S177" s="15"/>
      <c r="T177" s="15"/>
      <c r="U177" s="15"/>
      <c r="V177" s="15"/>
      <c r="W177" s="15"/>
      <c r="X177" s="15"/>
      <c r="Y177" s="15"/>
      <c r="Z177" s="15"/>
    </row>
    <row r="178">
      <c r="A178" s="13">
        <v>1418.0</v>
      </c>
      <c r="B178" s="13">
        <v>1418.0</v>
      </c>
      <c r="C178" s="14"/>
      <c r="D178" s="15"/>
      <c r="E178" s="14"/>
      <c r="F178" s="15"/>
      <c r="G178" s="15"/>
      <c r="H178" s="15"/>
      <c r="I178" s="15"/>
      <c r="J178" s="15"/>
      <c r="K178" s="15"/>
      <c r="L178" s="15"/>
      <c r="M178" s="15"/>
      <c r="N178" s="15"/>
      <c r="O178" s="15"/>
      <c r="P178" s="15"/>
      <c r="Q178" s="15"/>
      <c r="R178" s="15"/>
      <c r="S178" s="15"/>
      <c r="T178" s="15"/>
      <c r="U178" s="15"/>
      <c r="V178" s="15"/>
      <c r="W178" s="15"/>
      <c r="X178" s="15"/>
      <c r="Y178" s="15"/>
      <c r="Z178" s="15"/>
    </row>
    <row r="179">
      <c r="A179" s="13">
        <v>1455.0</v>
      </c>
      <c r="B179" s="13">
        <v>1455.0</v>
      </c>
      <c r="C179" s="14"/>
      <c r="D179" s="15"/>
      <c r="E179" s="14"/>
      <c r="F179" s="15"/>
      <c r="G179" s="15"/>
      <c r="H179" s="15"/>
      <c r="I179" s="15"/>
      <c r="J179" s="15"/>
      <c r="K179" s="15"/>
      <c r="L179" s="15"/>
      <c r="M179" s="15"/>
      <c r="N179" s="15"/>
      <c r="O179" s="15"/>
      <c r="P179" s="15"/>
      <c r="Q179" s="15"/>
      <c r="R179" s="15"/>
      <c r="S179" s="15"/>
      <c r="T179" s="15"/>
      <c r="U179" s="15"/>
      <c r="V179" s="15"/>
      <c r="W179" s="15"/>
      <c r="X179" s="15"/>
      <c r="Y179" s="15"/>
      <c r="Z179" s="15"/>
    </row>
    <row r="180">
      <c r="A180" s="13">
        <v>1462.0</v>
      </c>
      <c r="B180" s="13">
        <v>1462.0</v>
      </c>
      <c r="C180" s="14"/>
      <c r="D180" s="15"/>
      <c r="E180" s="14"/>
      <c r="F180" s="15"/>
      <c r="G180" s="15"/>
      <c r="H180" s="15"/>
      <c r="I180" s="15"/>
      <c r="J180" s="15"/>
      <c r="K180" s="15"/>
      <c r="L180" s="15"/>
      <c r="M180" s="15"/>
      <c r="N180" s="15"/>
      <c r="O180" s="15"/>
      <c r="P180" s="15"/>
      <c r="Q180" s="15"/>
      <c r="R180" s="15"/>
      <c r="S180" s="15"/>
      <c r="T180" s="15"/>
      <c r="U180" s="15"/>
      <c r="V180" s="15"/>
      <c r="W180" s="15"/>
      <c r="X180" s="15"/>
      <c r="Y180" s="15"/>
      <c r="Z180" s="15"/>
    </row>
    <row r="181">
      <c r="A181" s="13">
        <v>1480.0</v>
      </c>
      <c r="B181" s="13">
        <v>1480.0</v>
      </c>
      <c r="C181" s="14"/>
      <c r="D181" s="15"/>
      <c r="E181" s="14"/>
      <c r="F181" s="15"/>
      <c r="G181" s="15"/>
      <c r="H181" s="15"/>
      <c r="I181" s="15"/>
      <c r="J181" s="15"/>
      <c r="K181" s="15"/>
      <c r="L181" s="15"/>
      <c r="M181" s="15"/>
      <c r="N181" s="15"/>
      <c r="O181" s="15"/>
      <c r="P181" s="15"/>
      <c r="Q181" s="15"/>
      <c r="R181" s="15"/>
      <c r="S181" s="15"/>
      <c r="T181" s="15"/>
      <c r="U181" s="15"/>
      <c r="V181" s="15"/>
      <c r="W181" s="15"/>
      <c r="X181" s="15"/>
      <c r="Y181" s="15"/>
      <c r="Z181" s="15"/>
    </row>
    <row r="182">
      <c r="A182" s="13">
        <v>1491.0</v>
      </c>
      <c r="B182" s="13">
        <v>1491.0</v>
      </c>
      <c r="C182" s="14"/>
      <c r="D182" s="15"/>
      <c r="E182" s="14"/>
      <c r="F182" s="15"/>
      <c r="G182" s="15"/>
      <c r="H182" s="15"/>
      <c r="I182" s="15"/>
      <c r="J182" s="15"/>
      <c r="K182" s="15"/>
      <c r="L182" s="15"/>
      <c r="M182" s="15"/>
      <c r="N182" s="15"/>
      <c r="O182" s="15"/>
      <c r="P182" s="15"/>
      <c r="Q182" s="15"/>
      <c r="R182" s="15"/>
      <c r="S182" s="15"/>
      <c r="T182" s="15"/>
      <c r="U182" s="15"/>
      <c r="V182" s="15"/>
      <c r="W182" s="15"/>
      <c r="X182" s="15"/>
      <c r="Y182" s="15"/>
      <c r="Z182" s="15"/>
    </row>
    <row r="183">
      <c r="A183" s="13">
        <v>1492.0</v>
      </c>
      <c r="B183" s="13">
        <v>1492.0</v>
      </c>
      <c r="C183" s="14"/>
      <c r="D183" s="15"/>
      <c r="E183" s="14"/>
      <c r="F183" s="15"/>
      <c r="G183" s="15"/>
      <c r="H183" s="15"/>
      <c r="I183" s="15"/>
      <c r="J183" s="15"/>
      <c r="K183" s="15"/>
      <c r="L183" s="15"/>
      <c r="M183" s="15"/>
      <c r="N183" s="15"/>
      <c r="O183" s="15"/>
      <c r="P183" s="15"/>
      <c r="Q183" s="15"/>
      <c r="R183" s="15"/>
      <c r="S183" s="15"/>
      <c r="T183" s="15"/>
      <c r="U183" s="15"/>
      <c r="V183" s="15"/>
      <c r="W183" s="15"/>
      <c r="X183" s="15"/>
      <c r="Y183" s="15"/>
      <c r="Z183" s="15"/>
    </row>
    <row r="184">
      <c r="A184" s="13">
        <v>1497.0</v>
      </c>
      <c r="B184" s="13">
        <v>1497.0</v>
      </c>
      <c r="C184" s="14"/>
      <c r="D184" s="15"/>
      <c r="E184" s="14"/>
      <c r="F184" s="15"/>
      <c r="G184" s="15"/>
      <c r="H184" s="15"/>
      <c r="I184" s="15"/>
      <c r="J184" s="15"/>
      <c r="K184" s="15"/>
      <c r="L184" s="15"/>
      <c r="M184" s="15"/>
      <c r="N184" s="15"/>
      <c r="O184" s="15"/>
      <c r="P184" s="15"/>
      <c r="Q184" s="15"/>
      <c r="R184" s="15"/>
      <c r="S184" s="15"/>
      <c r="T184" s="15"/>
      <c r="U184" s="15"/>
      <c r="V184" s="15"/>
      <c r="W184" s="15"/>
      <c r="X184" s="15"/>
      <c r="Y184" s="15"/>
      <c r="Z184" s="15"/>
    </row>
    <row r="185">
      <c r="A185" s="13">
        <v>1505.0</v>
      </c>
      <c r="B185" s="13">
        <v>1505.0</v>
      </c>
      <c r="C185" s="14"/>
      <c r="D185" s="15"/>
      <c r="E185" s="14"/>
      <c r="F185" s="15"/>
      <c r="G185" s="15"/>
      <c r="H185" s="15"/>
      <c r="I185" s="15"/>
      <c r="J185" s="15"/>
      <c r="K185" s="15"/>
      <c r="L185" s="15"/>
      <c r="M185" s="15"/>
      <c r="N185" s="15"/>
      <c r="O185" s="15"/>
      <c r="P185" s="15"/>
      <c r="Q185" s="15"/>
      <c r="R185" s="15"/>
      <c r="S185" s="15"/>
      <c r="T185" s="15"/>
      <c r="U185" s="15"/>
      <c r="V185" s="15"/>
      <c r="W185" s="15"/>
      <c r="X185" s="15"/>
      <c r="Y185" s="15"/>
      <c r="Z185" s="15"/>
    </row>
    <row r="186">
      <c r="A186" s="13">
        <v>1508.0</v>
      </c>
      <c r="B186" s="13">
        <v>1508.0</v>
      </c>
      <c r="C186" s="14"/>
      <c r="D186" s="15"/>
      <c r="E186" s="14"/>
      <c r="F186" s="15"/>
      <c r="G186" s="15"/>
      <c r="H186" s="15"/>
      <c r="I186" s="15"/>
      <c r="J186" s="15"/>
      <c r="K186" s="15"/>
      <c r="L186" s="15"/>
      <c r="M186" s="15"/>
      <c r="N186" s="15"/>
      <c r="O186" s="15"/>
      <c r="P186" s="15"/>
      <c r="Q186" s="15"/>
      <c r="R186" s="15"/>
      <c r="S186" s="15"/>
      <c r="T186" s="15"/>
      <c r="U186" s="15"/>
      <c r="V186" s="15"/>
      <c r="W186" s="15"/>
      <c r="X186" s="15"/>
      <c r="Y186" s="15"/>
      <c r="Z186" s="15"/>
    </row>
    <row r="187">
      <c r="A187" s="13">
        <v>1515.0</v>
      </c>
      <c r="B187" s="13">
        <v>1515.0</v>
      </c>
      <c r="C187" s="14"/>
      <c r="D187" s="15"/>
      <c r="E187" s="14"/>
      <c r="F187" s="15"/>
      <c r="G187" s="15"/>
      <c r="H187" s="15"/>
      <c r="I187" s="15"/>
      <c r="J187" s="15"/>
      <c r="K187" s="15"/>
      <c r="L187" s="15"/>
      <c r="M187" s="15"/>
      <c r="N187" s="15"/>
      <c r="O187" s="15"/>
      <c r="P187" s="15"/>
      <c r="Q187" s="15"/>
      <c r="R187" s="15"/>
      <c r="S187" s="15"/>
      <c r="T187" s="15"/>
      <c r="U187" s="15"/>
      <c r="V187" s="15"/>
      <c r="W187" s="15"/>
      <c r="X187" s="15"/>
      <c r="Y187" s="15"/>
      <c r="Z187" s="15"/>
    </row>
    <row r="188">
      <c r="A188" s="13">
        <v>1521.0</v>
      </c>
      <c r="B188" s="13">
        <v>1521.0</v>
      </c>
      <c r="C188" s="14"/>
      <c r="D188" s="15"/>
      <c r="E188" s="14"/>
      <c r="F188" s="15"/>
      <c r="G188" s="15"/>
      <c r="H188" s="15"/>
      <c r="I188" s="15"/>
      <c r="J188" s="15"/>
      <c r="K188" s="15"/>
      <c r="L188" s="15"/>
      <c r="M188" s="15"/>
      <c r="N188" s="15"/>
      <c r="O188" s="15"/>
      <c r="P188" s="15"/>
      <c r="Q188" s="15"/>
      <c r="R188" s="15"/>
      <c r="S188" s="15"/>
      <c r="T188" s="15"/>
      <c r="U188" s="15"/>
      <c r="V188" s="15"/>
      <c r="W188" s="15"/>
      <c r="X188" s="15"/>
      <c r="Y188" s="15"/>
      <c r="Z188" s="15"/>
    </row>
    <row r="189">
      <c r="A189" s="13">
        <v>1523.0</v>
      </c>
      <c r="B189" s="13">
        <v>1523.0</v>
      </c>
      <c r="C189" s="14"/>
      <c r="D189" s="15"/>
      <c r="E189" s="14"/>
      <c r="F189" s="15"/>
      <c r="G189" s="15"/>
      <c r="H189" s="15"/>
      <c r="I189" s="15"/>
      <c r="J189" s="15"/>
      <c r="K189" s="15"/>
      <c r="L189" s="15"/>
      <c r="M189" s="15"/>
      <c r="N189" s="15"/>
      <c r="O189" s="15"/>
      <c r="P189" s="15"/>
      <c r="Q189" s="15"/>
      <c r="R189" s="15"/>
      <c r="S189" s="15"/>
      <c r="T189" s="15"/>
      <c r="U189" s="15"/>
      <c r="V189" s="15"/>
      <c r="W189" s="15"/>
      <c r="X189" s="15"/>
      <c r="Y189" s="15"/>
      <c r="Z189" s="15"/>
    </row>
    <row r="190">
      <c r="A190" s="13">
        <v>1530.0</v>
      </c>
      <c r="B190" s="13">
        <v>1530.0</v>
      </c>
      <c r="C190" s="14"/>
      <c r="D190" s="15"/>
      <c r="E190" s="14"/>
      <c r="F190" s="15"/>
      <c r="G190" s="15"/>
      <c r="H190" s="15"/>
      <c r="I190" s="15"/>
      <c r="J190" s="15"/>
      <c r="K190" s="15"/>
      <c r="L190" s="15"/>
      <c r="M190" s="15"/>
      <c r="N190" s="15"/>
      <c r="O190" s="15"/>
      <c r="P190" s="15"/>
      <c r="Q190" s="15"/>
      <c r="R190" s="15"/>
      <c r="S190" s="15"/>
      <c r="T190" s="15"/>
      <c r="U190" s="15"/>
      <c r="V190" s="15"/>
      <c r="W190" s="15"/>
      <c r="X190" s="15"/>
      <c r="Y190" s="15"/>
      <c r="Z190" s="15"/>
    </row>
    <row r="191">
      <c r="A191" s="13">
        <v>1554.0</v>
      </c>
      <c r="B191" s="13">
        <v>1554.0</v>
      </c>
      <c r="C191" s="14"/>
      <c r="D191" s="15"/>
      <c r="E191" s="14"/>
      <c r="F191" s="15"/>
      <c r="G191" s="15"/>
      <c r="H191" s="15"/>
      <c r="I191" s="15"/>
      <c r="J191" s="15"/>
      <c r="K191" s="15"/>
      <c r="L191" s="15"/>
      <c r="M191" s="15"/>
      <c r="N191" s="15"/>
      <c r="O191" s="15"/>
      <c r="P191" s="15"/>
      <c r="Q191" s="15"/>
      <c r="R191" s="15"/>
      <c r="S191" s="15"/>
      <c r="T191" s="15"/>
      <c r="U191" s="15"/>
      <c r="V191" s="15"/>
      <c r="W191" s="15"/>
      <c r="X191" s="15"/>
      <c r="Y191" s="15"/>
      <c r="Z191" s="15"/>
    </row>
    <row r="192">
      <c r="A192" s="13">
        <v>1556.0</v>
      </c>
      <c r="B192" s="13">
        <v>1556.0</v>
      </c>
      <c r="C192" s="14"/>
      <c r="D192" s="15"/>
      <c r="E192" s="14"/>
      <c r="F192" s="15"/>
      <c r="G192" s="15"/>
      <c r="H192" s="15"/>
      <c r="I192" s="15"/>
      <c r="J192" s="15"/>
      <c r="K192" s="15"/>
      <c r="L192" s="15"/>
      <c r="M192" s="15"/>
      <c r="N192" s="15"/>
      <c r="O192" s="15"/>
      <c r="P192" s="15"/>
      <c r="Q192" s="15"/>
      <c r="R192" s="15"/>
      <c r="S192" s="15"/>
      <c r="T192" s="15"/>
      <c r="U192" s="15"/>
      <c r="V192" s="15"/>
      <c r="W192" s="15"/>
      <c r="X192" s="15"/>
      <c r="Y192" s="15"/>
      <c r="Z192" s="15"/>
    </row>
    <row r="193">
      <c r="A193" s="13">
        <v>1575.0</v>
      </c>
      <c r="B193" s="13">
        <v>1575.0</v>
      </c>
      <c r="C193" s="14"/>
      <c r="D193" s="15"/>
      <c r="E193" s="14"/>
      <c r="F193" s="15"/>
      <c r="G193" s="15"/>
      <c r="H193" s="15"/>
      <c r="I193" s="15"/>
      <c r="J193" s="15"/>
      <c r="K193" s="15"/>
      <c r="L193" s="15"/>
      <c r="M193" s="15"/>
      <c r="N193" s="15"/>
      <c r="O193" s="15"/>
      <c r="P193" s="15"/>
      <c r="Q193" s="15"/>
      <c r="R193" s="15"/>
      <c r="S193" s="15"/>
      <c r="T193" s="15"/>
      <c r="U193" s="15"/>
      <c r="V193" s="15"/>
      <c r="W193" s="15"/>
      <c r="X193" s="15"/>
      <c r="Y193" s="15"/>
      <c r="Z193" s="15"/>
    </row>
    <row r="194">
      <c r="A194" s="13">
        <v>1576.0</v>
      </c>
      <c r="B194" s="13">
        <v>1576.0</v>
      </c>
      <c r="C194" s="14"/>
      <c r="D194" s="15"/>
      <c r="E194" s="14"/>
      <c r="F194" s="15"/>
      <c r="G194" s="15"/>
      <c r="H194" s="15"/>
      <c r="I194" s="15"/>
      <c r="J194" s="15"/>
      <c r="K194" s="15"/>
      <c r="L194" s="15"/>
      <c r="M194" s="15"/>
      <c r="N194" s="15"/>
      <c r="O194" s="15"/>
      <c r="P194" s="15"/>
      <c r="Q194" s="15"/>
      <c r="R194" s="15"/>
      <c r="S194" s="15"/>
      <c r="T194" s="15"/>
      <c r="U194" s="15"/>
      <c r="V194" s="15"/>
      <c r="W194" s="15"/>
      <c r="X194" s="15"/>
      <c r="Y194" s="15"/>
      <c r="Z194" s="15"/>
    </row>
    <row r="195">
      <c r="A195" s="13">
        <v>1579.0</v>
      </c>
      <c r="B195" s="13">
        <v>1579.0</v>
      </c>
      <c r="C195" s="14"/>
      <c r="D195" s="15"/>
      <c r="E195" s="14"/>
      <c r="F195" s="15"/>
      <c r="G195" s="15"/>
      <c r="H195" s="15"/>
      <c r="I195" s="15"/>
      <c r="J195" s="15"/>
      <c r="K195" s="15"/>
      <c r="L195" s="15"/>
      <c r="M195" s="15"/>
      <c r="N195" s="15"/>
      <c r="O195" s="15"/>
      <c r="P195" s="15"/>
      <c r="Q195" s="15"/>
      <c r="R195" s="15"/>
      <c r="S195" s="15"/>
      <c r="T195" s="15"/>
      <c r="U195" s="15"/>
      <c r="V195" s="15"/>
      <c r="W195" s="15"/>
      <c r="X195" s="15"/>
      <c r="Y195" s="15"/>
      <c r="Z195" s="15"/>
    </row>
    <row r="196">
      <c r="A196" s="13">
        <v>1593.0</v>
      </c>
      <c r="B196" s="13">
        <v>1593.0</v>
      </c>
      <c r="C196" s="14"/>
      <c r="D196" s="15"/>
      <c r="E196" s="14"/>
      <c r="F196" s="15"/>
      <c r="G196" s="15"/>
      <c r="H196" s="15"/>
      <c r="I196" s="15"/>
      <c r="J196" s="15"/>
      <c r="K196" s="15"/>
      <c r="L196" s="15"/>
      <c r="M196" s="15"/>
      <c r="N196" s="15"/>
      <c r="O196" s="15"/>
      <c r="P196" s="15"/>
      <c r="Q196" s="15"/>
      <c r="R196" s="15"/>
      <c r="S196" s="15"/>
      <c r="T196" s="15"/>
      <c r="U196" s="15"/>
      <c r="V196" s="15"/>
      <c r="W196" s="15"/>
      <c r="X196" s="15"/>
      <c r="Y196" s="15"/>
      <c r="Z196" s="15"/>
    </row>
    <row r="197">
      <c r="A197" s="13">
        <v>1601.0</v>
      </c>
      <c r="B197" s="13">
        <v>1601.0</v>
      </c>
      <c r="C197" s="14"/>
      <c r="D197" s="15"/>
      <c r="E197" s="14"/>
      <c r="F197" s="15"/>
      <c r="G197" s="15"/>
      <c r="H197" s="15"/>
      <c r="I197" s="15"/>
      <c r="J197" s="15"/>
      <c r="K197" s="15"/>
      <c r="L197" s="15"/>
      <c r="M197" s="15"/>
      <c r="N197" s="15"/>
      <c r="O197" s="15"/>
      <c r="P197" s="15"/>
      <c r="Q197" s="15"/>
      <c r="R197" s="15"/>
      <c r="S197" s="15"/>
      <c r="T197" s="15"/>
      <c r="U197" s="15"/>
      <c r="V197" s="15"/>
      <c r="W197" s="15"/>
      <c r="X197" s="15"/>
      <c r="Y197" s="15"/>
      <c r="Z197" s="15"/>
    </row>
    <row r="198">
      <c r="A198" s="13">
        <v>1605.0</v>
      </c>
      <c r="B198" s="13">
        <v>1605.0</v>
      </c>
      <c r="C198" s="14"/>
      <c r="D198" s="15"/>
      <c r="E198" s="14"/>
      <c r="F198" s="15"/>
      <c r="G198" s="15"/>
      <c r="H198" s="15"/>
      <c r="I198" s="15"/>
      <c r="J198" s="15"/>
      <c r="K198" s="15"/>
      <c r="L198" s="15"/>
      <c r="M198" s="15"/>
      <c r="N198" s="15"/>
      <c r="O198" s="15"/>
      <c r="P198" s="15"/>
      <c r="Q198" s="15"/>
      <c r="R198" s="15"/>
      <c r="S198" s="15"/>
      <c r="T198" s="15"/>
      <c r="U198" s="15"/>
      <c r="V198" s="15"/>
      <c r="W198" s="15"/>
      <c r="X198" s="15"/>
      <c r="Y198" s="15"/>
      <c r="Z198" s="15"/>
    </row>
    <row r="199">
      <c r="A199" s="13">
        <v>1608.0</v>
      </c>
      <c r="B199" s="13">
        <v>1608.0</v>
      </c>
      <c r="C199" s="14"/>
      <c r="D199" s="15"/>
      <c r="E199" s="14"/>
      <c r="F199" s="15"/>
      <c r="G199" s="15"/>
      <c r="H199" s="15"/>
      <c r="I199" s="15"/>
      <c r="J199" s="15"/>
      <c r="K199" s="15"/>
      <c r="L199" s="15"/>
      <c r="M199" s="15"/>
      <c r="N199" s="15"/>
      <c r="O199" s="15"/>
      <c r="P199" s="15"/>
      <c r="Q199" s="15"/>
      <c r="R199" s="15"/>
      <c r="S199" s="15"/>
      <c r="T199" s="15"/>
      <c r="U199" s="15"/>
      <c r="V199" s="15"/>
      <c r="W199" s="15"/>
      <c r="X199" s="15"/>
      <c r="Y199" s="15"/>
      <c r="Z199" s="15"/>
    </row>
    <row r="200">
      <c r="A200" s="13">
        <v>1619.0</v>
      </c>
      <c r="B200" s="13">
        <v>1619.0</v>
      </c>
      <c r="C200" s="14"/>
      <c r="D200" s="15"/>
      <c r="E200" s="14"/>
      <c r="F200" s="15"/>
      <c r="G200" s="15"/>
      <c r="H200" s="15"/>
      <c r="I200" s="15"/>
      <c r="J200" s="15"/>
      <c r="K200" s="15"/>
      <c r="L200" s="15"/>
      <c r="M200" s="15"/>
      <c r="N200" s="15"/>
      <c r="O200" s="15"/>
      <c r="P200" s="15"/>
      <c r="Q200" s="15"/>
      <c r="R200" s="15"/>
      <c r="S200" s="15"/>
      <c r="T200" s="15"/>
      <c r="U200" s="15"/>
      <c r="V200" s="15"/>
      <c r="W200" s="15"/>
      <c r="X200" s="15"/>
      <c r="Y200" s="15"/>
      <c r="Z200" s="15"/>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62</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75</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75</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70</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77</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79</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78</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71</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49</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2" t="s">
        <v>120</v>
      </c>
      <c r="B3" s="2">
        <v>182.0</v>
      </c>
      <c r="C3" s="2">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122</v>
      </c>
      <c r="B1" s="2" t="s">
        <v>123</v>
      </c>
      <c r="C1" s="2" t="s">
        <v>124</v>
      </c>
      <c r="D1" s="2" t="s">
        <v>125</v>
      </c>
      <c r="E1" s="2" t="s">
        <v>126</v>
      </c>
      <c r="F1" s="2" t="s">
        <v>127</v>
      </c>
      <c r="G1" s="2" t="s">
        <v>128</v>
      </c>
      <c r="H1" s="2" t="s">
        <v>129</v>
      </c>
      <c r="I1" s="2" t="s">
        <v>130</v>
      </c>
      <c r="J1" s="2" t="s">
        <v>131</v>
      </c>
      <c r="K1" s="2" t="s">
        <v>132</v>
      </c>
      <c r="L1" s="2" t="s">
        <v>133</v>
      </c>
      <c r="M1" s="2" t="s">
        <v>134</v>
      </c>
      <c r="N1" s="2" t="s">
        <v>135</v>
      </c>
      <c r="O1" s="2" t="s">
        <v>136</v>
      </c>
      <c r="P1" s="2" t="s">
        <v>137</v>
      </c>
      <c r="Q1" s="2" t="s">
        <v>138</v>
      </c>
      <c r="R1" s="2" t="s">
        <v>139</v>
      </c>
      <c r="S1" s="2" t="s">
        <v>140</v>
      </c>
      <c r="T1" s="2" t="s">
        <v>141</v>
      </c>
      <c r="U1" s="2" t="s">
        <v>142</v>
      </c>
      <c r="V1" s="2" t="s">
        <v>143</v>
      </c>
      <c r="W1" s="2" t="s">
        <v>144</v>
      </c>
      <c r="X1" s="2" t="s">
        <v>145</v>
      </c>
      <c r="Y1" s="2" t="s">
        <v>146</v>
      </c>
    </row>
    <row r="2">
      <c r="A2" s="2" t="s">
        <v>147</v>
      </c>
      <c r="B2" s="2">
        <v>171.0</v>
      </c>
      <c r="C2" s="2">
        <v>7.0</v>
      </c>
      <c r="D2" s="2">
        <v>15.0</v>
      </c>
      <c r="E2" s="2">
        <v>6.0</v>
      </c>
      <c r="F2" s="2">
        <v>9.0</v>
      </c>
      <c r="G2" s="2">
        <v>3.0</v>
      </c>
      <c r="H2" s="2">
        <v>12.0</v>
      </c>
      <c r="I2" s="2">
        <v>9.0</v>
      </c>
      <c r="J2" s="2">
        <v>9.0</v>
      </c>
      <c r="K2" s="2">
        <v>14.0</v>
      </c>
      <c r="L2" s="2">
        <v>9.0</v>
      </c>
      <c r="M2" s="2">
        <v>6.0</v>
      </c>
      <c r="N2" s="2">
        <v>9.0</v>
      </c>
      <c r="O2" s="2">
        <v>9.0</v>
      </c>
      <c r="P2" s="2">
        <v>6.0</v>
      </c>
      <c r="Q2" s="2">
        <v>10.0</v>
      </c>
      <c r="R2" s="2">
        <v>7.0</v>
      </c>
      <c r="S2" s="2">
        <v>8.0</v>
      </c>
      <c r="T2" s="2">
        <v>3.0</v>
      </c>
      <c r="U2" s="2">
        <v>8.0</v>
      </c>
      <c r="V2" s="2">
        <v>3.0</v>
      </c>
      <c r="W2" s="2">
        <v>4.0</v>
      </c>
      <c r="X2" s="2">
        <v>4.0</v>
      </c>
      <c r="Y2" s="2">
        <v>1.0</v>
      </c>
    </row>
    <row r="3">
      <c r="A3" s="2" t="s">
        <v>148</v>
      </c>
      <c r="B3" s="2">
        <v>171.0</v>
      </c>
      <c r="C3" s="2">
        <v>7.0</v>
      </c>
      <c r="D3" s="2">
        <v>15.0</v>
      </c>
      <c r="E3" s="2">
        <v>6.0</v>
      </c>
      <c r="F3" s="2">
        <v>9.0</v>
      </c>
      <c r="G3" s="2">
        <v>3.0</v>
      </c>
      <c r="H3" s="2">
        <v>12.0</v>
      </c>
      <c r="I3" s="2">
        <v>9.0</v>
      </c>
      <c r="J3" s="2">
        <v>9.0</v>
      </c>
      <c r="K3" s="2">
        <v>14.0</v>
      </c>
      <c r="L3" s="2">
        <v>11.0</v>
      </c>
      <c r="M3" s="2">
        <v>6.0</v>
      </c>
      <c r="N3" s="2">
        <v>10.0</v>
      </c>
      <c r="O3" s="2">
        <v>9.0</v>
      </c>
      <c r="P3" s="2">
        <v>6.0</v>
      </c>
      <c r="Q3" s="2">
        <v>7.0</v>
      </c>
      <c r="R3" s="2">
        <v>7.0</v>
      </c>
      <c r="S3" s="2">
        <v>9.0</v>
      </c>
      <c r="T3" s="2">
        <v>2.0</v>
      </c>
      <c r="U3" s="2">
        <v>8.0</v>
      </c>
      <c r="V3" s="2">
        <v>3.0</v>
      </c>
      <c r="W3" s="2">
        <v>4.0</v>
      </c>
      <c r="X3" s="2">
        <v>4.0</v>
      </c>
      <c r="Y3" s="2">
        <v>1.0</v>
      </c>
    </row>
    <row r="4">
      <c r="B4" s="92">
        <v>342.0</v>
      </c>
      <c r="C4" s="92">
        <v>14.0</v>
      </c>
      <c r="D4" s="92">
        <v>30.0</v>
      </c>
      <c r="E4" s="92">
        <v>12.0</v>
      </c>
      <c r="F4" s="92">
        <v>18.0</v>
      </c>
      <c r="G4" s="92">
        <v>6.0</v>
      </c>
      <c r="H4" s="92">
        <v>24.0</v>
      </c>
      <c r="I4" s="92">
        <v>18.0</v>
      </c>
      <c r="J4" s="92">
        <v>18.0</v>
      </c>
      <c r="K4" s="92">
        <v>28.0</v>
      </c>
      <c r="L4" s="92">
        <v>20.0</v>
      </c>
      <c r="M4" s="92">
        <v>12.0</v>
      </c>
      <c r="N4" s="92">
        <v>19.0</v>
      </c>
      <c r="O4" s="92">
        <v>18.0</v>
      </c>
      <c r="P4" s="92">
        <v>12.0</v>
      </c>
      <c r="Q4" s="92">
        <v>17.0</v>
      </c>
      <c r="R4" s="92">
        <v>14.0</v>
      </c>
      <c r="S4" s="92">
        <v>17.0</v>
      </c>
      <c r="T4" s="92">
        <v>5.0</v>
      </c>
      <c r="U4" s="92">
        <v>16.0</v>
      </c>
      <c r="V4" s="92">
        <v>6.0</v>
      </c>
      <c r="W4" s="92">
        <v>8.0</v>
      </c>
      <c r="X4" s="92">
        <v>8.0</v>
      </c>
      <c r="Y4" s="92">
        <v>2.0</v>
      </c>
    </row>
    <row r="12">
      <c r="A12" s="93" t="s">
        <v>122</v>
      </c>
      <c r="B12" s="2" t="s">
        <v>147</v>
      </c>
      <c r="C12" s="2" t="s">
        <v>148</v>
      </c>
      <c r="D12" s="2" t="s">
        <v>121</v>
      </c>
      <c r="E12" s="2"/>
      <c r="F12" s="93"/>
      <c r="G12" s="2"/>
      <c r="H12" s="2"/>
      <c r="I12" s="2"/>
    </row>
    <row r="13">
      <c r="A13" s="94" t="s">
        <v>123</v>
      </c>
      <c r="B13" s="95">
        <f t="shared" ref="B13:C13" si="1">SUM(B14:B36)</f>
        <v>171</v>
      </c>
      <c r="C13" s="95">
        <f t="shared" si="1"/>
        <v>171</v>
      </c>
      <c r="D13" s="92">
        <f t="shared" ref="D13:D36" si="2">B13+C13</f>
        <v>342</v>
      </c>
      <c r="E13" s="2"/>
      <c r="F13" s="94" t="s">
        <v>122</v>
      </c>
      <c r="G13" s="95" t="s">
        <v>147</v>
      </c>
      <c r="H13" s="95" t="s">
        <v>148</v>
      </c>
      <c r="I13" s="2" t="s">
        <v>149</v>
      </c>
    </row>
    <row r="14">
      <c r="A14" s="96">
        <v>45413.0</v>
      </c>
      <c r="B14" s="88">
        <v>7.0</v>
      </c>
      <c r="C14" s="88">
        <v>7.0</v>
      </c>
      <c r="D14" s="92">
        <f t="shared" si="2"/>
        <v>14</v>
      </c>
      <c r="E14" s="2"/>
      <c r="F14" s="96">
        <v>45413.0</v>
      </c>
      <c r="G14" s="88">
        <v>7.0</v>
      </c>
      <c r="H14" s="88">
        <v>7.0</v>
      </c>
      <c r="I14" s="92">
        <f t="shared" ref="I14:I36" si="3">G14+H14</f>
        <v>14</v>
      </c>
    </row>
    <row r="15">
      <c r="A15" s="96">
        <v>45444.0</v>
      </c>
      <c r="B15" s="88">
        <v>15.0</v>
      </c>
      <c r="C15" s="88">
        <v>15.0</v>
      </c>
      <c r="D15" s="92">
        <f t="shared" si="2"/>
        <v>30</v>
      </c>
      <c r="F15" s="96">
        <v>45444.0</v>
      </c>
      <c r="G15" s="88">
        <v>15.0</v>
      </c>
      <c r="H15" s="88">
        <v>15.0</v>
      </c>
      <c r="I15" s="92">
        <f t="shared" si="3"/>
        <v>30</v>
      </c>
    </row>
    <row r="16">
      <c r="A16" s="96">
        <v>45474.0</v>
      </c>
      <c r="B16" s="88">
        <v>6.0</v>
      </c>
      <c r="C16" s="88">
        <v>6.0</v>
      </c>
      <c r="D16" s="92">
        <f t="shared" si="2"/>
        <v>12</v>
      </c>
      <c r="F16" s="96">
        <v>45474.0</v>
      </c>
      <c r="G16" s="88">
        <v>6.0</v>
      </c>
      <c r="H16" s="88">
        <v>6.0</v>
      </c>
      <c r="I16" s="92">
        <f t="shared" si="3"/>
        <v>12</v>
      </c>
    </row>
    <row r="17">
      <c r="A17" s="96">
        <v>45505.0</v>
      </c>
      <c r="B17" s="88">
        <v>9.0</v>
      </c>
      <c r="C17" s="88">
        <v>9.0</v>
      </c>
      <c r="D17" s="92">
        <f t="shared" si="2"/>
        <v>18</v>
      </c>
      <c r="F17" s="96">
        <v>45505.0</v>
      </c>
      <c r="G17" s="88">
        <v>9.0</v>
      </c>
      <c r="H17" s="88">
        <v>9.0</v>
      </c>
      <c r="I17" s="92">
        <f t="shared" si="3"/>
        <v>18</v>
      </c>
    </row>
    <row r="18">
      <c r="A18" s="96">
        <v>45536.0</v>
      </c>
      <c r="B18" s="88">
        <v>3.0</v>
      </c>
      <c r="C18" s="88">
        <v>3.0</v>
      </c>
      <c r="D18" s="92">
        <f t="shared" si="2"/>
        <v>6</v>
      </c>
      <c r="F18" s="96">
        <v>45536.0</v>
      </c>
      <c r="G18" s="88">
        <v>3.0</v>
      </c>
      <c r="H18" s="88">
        <v>3.0</v>
      </c>
      <c r="I18" s="92">
        <f t="shared" si="3"/>
        <v>6</v>
      </c>
    </row>
    <row r="19">
      <c r="A19" s="96">
        <v>45566.0</v>
      </c>
      <c r="B19" s="97">
        <v>12.0</v>
      </c>
      <c r="C19" s="97">
        <v>12.0</v>
      </c>
      <c r="D19" s="92">
        <f t="shared" si="2"/>
        <v>24</v>
      </c>
      <c r="F19" s="96">
        <v>45566.0</v>
      </c>
      <c r="G19" s="97">
        <v>12.0</v>
      </c>
      <c r="H19" s="97">
        <v>12.0</v>
      </c>
      <c r="I19" s="92">
        <f t="shared" si="3"/>
        <v>24</v>
      </c>
    </row>
    <row r="20">
      <c r="A20" s="96">
        <v>45597.0</v>
      </c>
      <c r="B20" s="97">
        <v>9.0</v>
      </c>
      <c r="C20" s="97">
        <v>9.0</v>
      </c>
      <c r="D20" s="92">
        <f t="shared" si="2"/>
        <v>18</v>
      </c>
      <c r="F20" s="96">
        <v>45597.0</v>
      </c>
      <c r="G20" s="97">
        <v>9.0</v>
      </c>
      <c r="H20" s="97">
        <v>9.0</v>
      </c>
      <c r="I20" s="92">
        <f t="shared" si="3"/>
        <v>18</v>
      </c>
    </row>
    <row r="21">
      <c r="A21" s="96">
        <v>45627.0</v>
      </c>
      <c r="B21" s="97">
        <v>9.0</v>
      </c>
      <c r="C21" s="97">
        <v>9.0</v>
      </c>
      <c r="D21" s="92">
        <f t="shared" si="2"/>
        <v>18</v>
      </c>
      <c r="F21" s="96">
        <v>45627.0</v>
      </c>
      <c r="G21" s="97">
        <v>9.0</v>
      </c>
      <c r="H21" s="97">
        <v>9.0</v>
      </c>
      <c r="I21" s="92">
        <f t="shared" si="3"/>
        <v>18</v>
      </c>
    </row>
    <row r="22">
      <c r="A22" s="96">
        <v>45658.0</v>
      </c>
      <c r="B22" s="97">
        <v>14.0</v>
      </c>
      <c r="C22" s="97">
        <v>14.0</v>
      </c>
      <c r="D22" s="92">
        <f t="shared" si="2"/>
        <v>28</v>
      </c>
      <c r="F22" s="96">
        <v>45658.0</v>
      </c>
      <c r="G22" s="97">
        <v>14.0</v>
      </c>
      <c r="H22" s="97">
        <v>14.0</v>
      </c>
      <c r="I22" s="92">
        <f t="shared" si="3"/>
        <v>28</v>
      </c>
    </row>
    <row r="23">
      <c r="A23" s="96">
        <v>45689.0</v>
      </c>
      <c r="B23" s="97">
        <v>9.0</v>
      </c>
      <c r="C23" s="97">
        <v>11.0</v>
      </c>
      <c r="D23" s="92">
        <f t="shared" si="2"/>
        <v>20</v>
      </c>
      <c r="F23" s="96">
        <v>45689.0</v>
      </c>
      <c r="G23" s="97">
        <v>9.0</v>
      </c>
      <c r="H23" s="97">
        <v>11.0</v>
      </c>
      <c r="I23" s="92">
        <f t="shared" si="3"/>
        <v>20</v>
      </c>
    </row>
    <row r="24">
      <c r="A24" s="96">
        <v>45717.0</v>
      </c>
      <c r="B24" s="97">
        <v>6.0</v>
      </c>
      <c r="C24" s="97">
        <v>6.0</v>
      </c>
      <c r="D24" s="92">
        <f t="shared" si="2"/>
        <v>12</v>
      </c>
      <c r="F24" s="96">
        <v>45717.0</v>
      </c>
      <c r="G24" s="97">
        <v>6.0</v>
      </c>
      <c r="H24" s="97">
        <v>6.0</v>
      </c>
      <c r="I24" s="92">
        <f t="shared" si="3"/>
        <v>12</v>
      </c>
    </row>
    <row r="25">
      <c r="A25" s="96">
        <v>45748.0</v>
      </c>
      <c r="B25" s="97">
        <v>9.0</v>
      </c>
      <c r="C25" s="97">
        <v>10.0</v>
      </c>
      <c r="D25" s="92">
        <f t="shared" si="2"/>
        <v>19</v>
      </c>
      <c r="F25" s="96">
        <v>45748.0</v>
      </c>
      <c r="G25" s="97">
        <v>9.0</v>
      </c>
      <c r="H25" s="97">
        <v>10.0</v>
      </c>
      <c r="I25" s="92">
        <f t="shared" si="3"/>
        <v>19</v>
      </c>
    </row>
    <row r="26">
      <c r="A26" s="96">
        <v>45778.0</v>
      </c>
      <c r="B26" s="97">
        <v>9.0</v>
      </c>
      <c r="C26" s="97">
        <v>9.0</v>
      </c>
      <c r="D26" s="92">
        <f t="shared" si="2"/>
        <v>18</v>
      </c>
      <c r="F26" s="96">
        <v>45778.0</v>
      </c>
      <c r="G26" s="97">
        <v>9.0</v>
      </c>
      <c r="H26" s="97">
        <v>9.0</v>
      </c>
      <c r="I26" s="92">
        <f t="shared" si="3"/>
        <v>18</v>
      </c>
    </row>
    <row r="27">
      <c r="A27" s="96">
        <v>45809.0</v>
      </c>
      <c r="B27" s="97">
        <v>6.0</v>
      </c>
      <c r="C27" s="97">
        <v>6.0</v>
      </c>
      <c r="D27" s="92">
        <f t="shared" si="2"/>
        <v>12</v>
      </c>
      <c r="F27" s="96">
        <v>45809.0</v>
      </c>
      <c r="G27" s="97">
        <v>6.0</v>
      </c>
      <c r="H27" s="97">
        <v>6.0</v>
      </c>
      <c r="I27" s="92">
        <f t="shared" si="3"/>
        <v>12</v>
      </c>
    </row>
    <row r="28">
      <c r="A28" s="96">
        <v>45839.0</v>
      </c>
      <c r="B28" s="97">
        <v>10.0</v>
      </c>
      <c r="C28" s="97">
        <v>7.0</v>
      </c>
      <c r="D28" s="92">
        <f t="shared" si="2"/>
        <v>17</v>
      </c>
      <c r="F28" s="96">
        <v>45839.0</v>
      </c>
      <c r="G28" s="97">
        <v>10.0</v>
      </c>
      <c r="H28" s="97">
        <v>7.0</v>
      </c>
      <c r="I28" s="92">
        <f t="shared" si="3"/>
        <v>17</v>
      </c>
    </row>
    <row r="29">
      <c r="A29" s="96">
        <v>45870.0</v>
      </c>
      <c r="B29" s="97">
        <v>7.0</v>
      </c>
      <c r="C29" s="97">
        <v>7.0</v>
      </c>
      <c r="D29" s="92">
        <f t="shared" si="2"/>
        <v>14</v>
      </c>
      <c r="F29" s="96">
        <v>45870.0</v>
      </c>
      <c r="G29" s="97">
        <v>7.0</v>
      </c>
      <c r="H29" s="97">
        <v>7.0</v>
      </c>
      <c r="I29" s="92">
        <f t="shared" si="3"/>
        <v>14</v>
      </c>
    </row>
    <row r="30">
      <c r="A30" s="96">
        <v>45901.0</v>
      </c>
      <c r="B30" s="97">
        <v>8.0</v>
      </c>
      <c r="C30" s="97">
        <v>9.0</v>
      </c>
      <c r="D30" s="92">
        <f t="shared" si="2"/>
        <v>17</v>
      </c>
      <c r="F30" s="96">
        <v>45901.0</v>
      </c>
      <c r="G30" s="97">
        <v>8.0</v>
      </c>
      <c r="H30" s="97">
        <v>9.0</v>
      </c>
      <c r="I30" s="92">
        <f t="shared" si="3"/>
        <v>17</v>
      </c>
    </row>
    <row r="31">
      <c r="A31" s="96">
        <v>45931.0</v>
      </c>
      <c r="B31" s="98">
        <v>3.0</v>
      </c>
      <c r="C31" s="98">
        <v>2.0</v>
      </c>
      <c r="D31" s="92">
        <f t="shared" si="2"/>
        <v>5</v>
      </c>
      <c r="F31" s="96">
        <v>45931.0</v>
      </c>
      <c r="G31" s="98">
        <v>3.0</v>
      </c>
      <c r="H31" s="98">
        <v>2.0</v>
      </c>
      <c r="I31" s="92">
        <f t="shared" si="3"/>
        <v>5</v>
      </c>
    </row>
    <row r="32">
      <c r="A32" s="96">
        <v>45962.0</v>
      </c>
      <c r="B32" s="98">
        <v>8.0</v>
      </c>
      <c r="C32" s="98">
        <v>8.0</v>
      </c>
      <c r="D32" s="92">
        <f t="shared" si="2"/>
        <v>16</v>
      </c>
      <c r="F32" s="96">
        <v>45962.0</v>
      </c>
      <c r="G32" s="98">
        <v>8.0</v>
      </c>
      <c r="H32" s="98">
        <v>8.0</v>
      </c>
      <c r="I32" s="92">
        <f t="shared" si="3"/>
        <v>16</v>
      </c>
    </row>
    <row r="33">
      <c r="A33" s="96">
        <v>45992.0</v>
      </c>
      <c r="B33" s="98">
        <v>3.0</v>
      </c>
      <c r="C33" s="98">
        <v>3.0</v>
      </c>
      <c r="D33" s="99">
        <f t="shared" si="2"/>
        <v>6</v>
      </c>
      <c r="F33" s="96">
        <v>45992.0</v>
      </c>
      <c r="G33" s="98">
        <v>3.0</v>
      </c>
      <c r="H33" s="98">
        <v>3.0</v>
      </c>
      <c r="I33" s="99">
        <f t="shared" si="3"/>
        <v>6</v>
      </c>
    </row>
    <row r="34">
      <c r="A34" s="96">
        <v>46023.0</v>
      </c>
      <c r="B34" s="100">
        <v>4.0</v>
      </c>
      <c r="C34" s="100">
        <v>4.0</v>
      </c>
      <c r="D34" s="99">
        <f t="shared" si="2"/>
        <v>8</v>
      </c>
      <c r="F34" s="96">
        <v>46023.0</v>
      </c>
      <c r="G34" s="100">
        <v>4.0</v>
      </c>
      <c r="H34" s="100">
        <v>4.0</v>
      </c>
      <c r="I34" s="99">
        <f t="shared" si="3"/>
        <v>8</v>
      </c>
    </row>
    <row r="35">
      <c r="A35" s="96">
        <v>46054.0</v>
      </c>
      <c r="B35" s="101">
        <v>4.0</v>
      </c>
      <c r="C35" s="100">
        <v>4.0</v>
      </c>
      <c r="D35" s="99">
        <f t="shared" si="2"/>
        <v>8</v>
      </c>
      <c r="F35" s="96">
        <v>46054.0</v>
      </c>
      <c r="G35" s="101">
        <v>4.0</v>
      </c>
      <c r="H35" s="100">
        <v>4.0</v>
      </c>
      <c r="I35" s="99">
        <f t="shared" si="3"/>
        <v>8</v>
      </c>
    </row>
    <row r="36">
      <c r="A36" s="96">
        <v>46082.0</v>
      </c>
      <c r="B36" s="98">
        <v>1.0</v>
      </c>
      <c r="C36" s="98">
        <v>1.0</v>
      </c>
      <c r="D36" s="99">
        <f t="shared" si="2"/>
        <v>2</v>
      </c>
      <c r="F36" s="96">
        <v>46082.0</v>
      </c>
      <c r="G36" s="98">
        <v>1.0</v>
      </c>
      <c r="H36" s="98">
        <v>1.0</v>
      </c>
      <c r="I36" s="99">
        <f t="shared" si="3"/>
        <v>2</v>
      </c>
    </row>
    <row r="37">
      <c r="F37" s="2" t="s">
        <v>150</v>
      </c>
      <c r="G37" s="2">
        <v>171.0</v>
      </c>
      <c r="H37" s="2">
        <v>171.0</v>
      </c>
      <c r="I37" s="2">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151</v>
      </c>
      <c r="B1" s="102" t="s">
        <v>152</v>
      </c>
      <c r="C1" s="102" t="s">
        <v>153</v>
      </c>
      <c r="D1" s="102" t="s">
        <v>154</v>
      </c>
      <c r="E1" s="102" t="s">
        <v>155</v>
      </c>
      <c r="F1" s="102" t="s">
        <v>156</v>
      </c>
      <c r="G1" s="102" t="s">
        <v>157</v>
      </c>
    </row>
    <row r="2">
      <c r="A2" s="103">
        <v>45413.0</v>
      </c>
      <c r="B2" s="2">
        <v>7.0</v>
      </c>
      <c r="C2" s="2">
        <v>7.0</v>
      </c>
      <c r="D2" s="2">
        <v>7.0</v>
      </c>
      <c r="E2" s="2">
        <v>7.0</v>
      </c>
      <c r="F2" s="2">
        <v>14.0</v>
      </c>
      <c r="G2" s="2">
        <v>374.0</v>
      </c>
    </row>
    <row r="3">
      <c r="A3" s="103">
        <v>45444.0</v>
      </c>
      <c r="B3" s="2">
        <v>15.0</v>
      </c>
      <c r="C3" s="2">
        <v>15.0</v>
      </c>
      <c r="D3" s="2">
        <v>22.0</v>
      </c>
      <c r="E3" s="2">
        <v>22.0</v>
      </c>
      <c r="F3" s="2">
        <v>44.0</v>
      </c>
      <c r="G3" s="2">
        <v>374.0</v>
      </c>
    </row>
    <row r="4">
      <c r="A4" s="103">
        <v>45474.0</v>
      </c>
      <c r="B4" s="2">
        <v>6.0</v>
      </c>
      <c r="C4" s="2">
        <v>6.0</v>
      </c>
      <c r="D4" s="2">
        <v>28.0</v>
      </c>
      <c r="E4" s="2">
        <v>28.0</v>
      </c>
      <c r="F4" s="2">
        <v>56.0</v>
      </c>
      <c r="G4" s="2">
        <v>374.0</v>
      </c>
    </row>
    <row r="5">
      <c r="A5" s="103">
        <v>45505.0</v>
      </c>
      <c r="B5" s="2">
        <v>9.0</v>
      </c>
      <c r="C5" s="2">
        <v>9.0</v>
      </c>
      <c r="D5" s="2">
        <v>37.0</v>
      </c>
      <c r="E5" s="2">
        <v>37.0</v>
      </c>
      <c r="F5" s="2">
        <v>74.0</v>
      </c>
      <c r="G5" s="2">
        <v>374.0</v>
      </c>
    </row>
    <row r="6">
      <c r="A6" s="103">
        <v>45536.0</v>
      </c>
      <c r="B6" s="2">
        <v>3.0</v>
      </c>
      <c r="C6" s="2">
        <v>3.0</v>
      </c>
      <c r="D6" s="2">
        <v>40.0</v>
      </c>
      <c r="E6" s="2">
        <v>40.0</v>
      </c>
      <c r="F6" s="2">
        <v>80.0</v>
      </c>
      <c r="G6" s="2">
        <v>374.0</v>
      </c>
    </row>
    <row r="7">
      <c r="A7" s="103">
        <v>45566.0</v>
      </c>
      <c r="B7" s="2">
        <v>12.0</v>
      </c>
      <c r="C7" s="2">
        <v>12.0</v>
      </c>
      <c r="D7" s="2">
        <v>52.0</v>
      </c>
      <c r="E7" s="2">
        <v>52.0</v>
      </c>
      <c r="F7" s="2">
        <v>104.0</v>
      </c>
      <c r="G7" s="2">
        <v>374.0</v>
      </c>
    </row>
    <row r="8">
      <c r="A8" s="103">
        <v>45597.0</v>
      </c>
      <c r="B8" s="2">
        <v>9.0</v>
      </c>
      <c r="C8" s="2">
        <v>9.0</v>
      </c>
      <c r="D8" s="2">
        <v>61.0</v>
      </c>
      <c r="E8" s="2">
        <v>61.0</v>
      </c>
      <c r="F8" s="2">
        <v>122.0</v>
      </c>
      <c r="G8" s="2">
        <v>374.0</v>
      </c>
    </row>
    <row r="9">
      <c r="A9" s="103">
        <v>45627.0</v>
      </c>
      <c r="B9" s="2">
        <v>9.0</v>
      </c>
      <c r="C9" s="2">
        <v>9.0</v>
      </c>
      <c r="D9" s="2">
        <v>70.0</v>
      </c>
      <c r="E9" s="2">
        <v>70.0</v>
      </c>
      <c r="F9" s="2">
        <v>140.0</v>
      </c>
      <c r="G9" s="2">
        <v>374.0</v>
      </c>
    </row>
    <row r="10">
      <c r="A10" s="103">
        <v>45658.0</v>
      </c>
      <c r="B10" s="2">
        <v>14.0</v>
      </c>
      <c r="C10" s="2">
        <v>14.0</v>
      </c>
      <c r="D10" s="2">
        <v>84.0</v>
      </c>
      <c r="E10" s="2">
        <v>84.0</v>
      </c>
      <c r="F10" s="2">
        <v>168.0</v>
      </c>
      <c r="G10" s="2">
        <v>374.0</v>
      </c>
    </row>
    <row r="11">
      <c r="A11" s="103">
        <v>45689.0</v>
      </c>
      <c r="B11" s="2">
        <v>9.0</v>
      </c>
      <c r="C11" s="2">
        <v>11.0</v>
      </c>
      <c r="D11" s="2">
        <v>93.0</v>
      </c>
      <c r="E11" s="2">
        <v>95.0</v>
      </c>
      <c r="F11" s="2">
        <v>188.0</v>
      </c>
      <c r="G11" s="2">
        <v>374.0</v>
      </c>
    </row>
    <row r="12">
      <c r="A12" s="103">
        <v>45717.0</v>
      </c>
      <c r="B12" s="2">
        <v>6.0</v>
      </c>
      <c r="C12" s="2">
        <v>6.0</v>
      </c>
      <c r="D12" s="2">
        <v>99.0</v>
      </c>
      <c r="E12" s="2">
        <v>101.0</v>
      </c>
      <c r="F12" s="2">
        <v>200.0</v>
      </c>
      <c r="G12" s="2">
        <v>374.0</v>
      </c>
    </row>
    <row r="13">
      <c r="A13" s="103">
        <v>45748.0</v>
      </c>
      <c r="B13" s="2">
        <v>9.0</v>
      </c>
      <c r="C13" s="2">
        <v>10.0</v>
      </c>
      <c r="D13" s="2">
        <v>108.0</v>
      </c>
      <c r="E13" s="2">
        <v>111.0</v>
      </c>
      <c r="F13" s="2">
        <v>219.0</v>
      </c>
      <c r="G13" s="2">
        <v>374.0</v>
      </c>
    </row>
    <row r="14">
      <c r="A14" s="103">
        <v>45778.0</v>
      </c>
      <c r="B14" s="2">
        <v>9.0</v>
      </c>
      <c r="C14" s="2">
        <v>9.0</v>
      </c>
      <c r="D14" s="2">
        <v>117.0</v>
      </c>
      <c r="E14" s="2">
        <v>120.0</v>
      </c>
      <c r="F14" s="2">
        <v>237.0</v>
      </c>
      <c r="G14" s="2">
        <v>374.0</v>
      </c>
    </row>
    <row r="15">
      <c r="A15" s="103">
        <v>45809.0</v>
      </c>
      <c r="B15" s="2">
        <v>6.0</v>
      </c>
      <c r="C15" s="2">
        <v>6.0</v>
      </c>
      <c r="D15" s="2">
        <v>123.0</v>
      </c>
      <c r="E15" s="2">
        <v>126.0</v>
      </c>
      <c r="F15" s="2">
        <v>249.0</v>
      </c>
      <c r="G15" s="2">
        <v>374.0</v>
      </c>
    </row>
    <row r="16">
      <c r="A16" s="103">
        <v>45839.0</v>
      </c>
      <c r="B16" s="2">
        <v>10.0</v>
      </c>
      <c r="C16" s="2">
        <v>7.0</v>
      </c>
      <c r="D16" s="2">
        <v>133.0</v>
      </c>
      <c r="E16" s="2">
        <v>133.0</v>
      </c>
      <c r="F16" s="2">
        <v>266.0</v>
      </c>
      <c r="G16" s="2">
        <v>374.0</v>
      </c>
    </row>
    <row r="17">
      <c r="A17" s="103">
        <v>45870.0</v>
      </c>
      <c r="B17" s="2">
        <v>7.0</v>
      </c>
      <c r="C17" s="2">
        <v>7.0</v>
      </c>
      <c r="D17" s="2">
        <v>140.0</v>
      </c>
      <c r="E17" s="2">
        <v>140.0</v>
      </c>
      <c r="F17" s="2">
        <v>280.0</v>
      </c>
      <c r="G17" s="2">
        <v>374.0</v>
      </c>
    </row>
    <row r="18">
      <c r="A18" s="103">
        <v>45901.0</v>
      </c>
      <c r="B18" s="2">
        <v>8.0</v>
      </c>
      <c r="C18" s="2">
        <v>9.0</v>
      </c>
      <c r="D18" s="2">
        <v>148.0</v>
      </c>
      <c r="E18" s="2">
        <v>149.0</v>
      </c>
      <c r="F18" s="2">
        <v>297.0</v>
      </c>
      <c r="G18" s="2">
        <v>374.0</v>
      </c>
    </row>
    <row r="19">
      <c r="A19" s="103">
        <v>45931.0</v>
      </c>
      <c r="B19" s="2">
        <v>3.0</v>
      </c>
      <c r="C19" s="2">
        <v>2.0</v>
      </c>
      <c r="D19" s="2">
        <v>151.0</v>
      </c>
      <c r="E19" s="2">
        <v>151.0</v>
      </c>
      <c r="F19" s="2">
        <v>302.0</v>
      </c>
      <c r="G19" s="2">
        <v>374.0</v>
      </c>
    </row>
    <row r="20">
      <c r="A20" s="103">
        <v>45962.0</v>
      </c>
      <c r="B20" s="2">
        <v>8.0</v>
      </c>
      <c r="C20" s="2">
        <v>8.0</v>
      </c>
      <c r="D20" s="2">
        <v>159.0</v>
      </c>
      <c r="E20" s="2">
        <v>159.0</v>
      </c>
      <c r="F20" s="2">
        <v>318.0</v>
      </c>
      <c r="G20" s="2">
        <v>374.0</v>
      </c>
    </row>
    <row r="21">
      <c r="A21" s="103">
        <v>45992.0</v>
      </c>
      <c r="B21" s="2">
        <v>3.0</v>
      </c>
      <c r="C21" s="2">
        <v>3.0</v>
      </c>
      <c r="D21" s="2">
        <v>162.0</v>
      </c>
      <c r="E21" s="2">
        <v>162.0</v>
      </c>
      <c r="F21" s="2">
        <v>324.0</v>
      </c>
      <c r="G21" s="2">
        <v>374.0</v>
      </c>
    </row>
    <row r="22">
      <c r="A22" s="103">
        <v>46023.0</v>
      </c>
      <c r="B22" s="2">
        <v>4.0</v>
      </c>
      <c r="C22" s="2">
        <v>4.0</v>
      </c>
      <c r="D22" s="2">
        <v>166.0</v>
      </c>
      <c r="E22" s="2">
        <v>166.0</v>
      </c>
      <c r="F22" s="2">
        <v>332.0</v>
      </c>
      <c r="G22" s="2">
        <v>374.0</v>
      </c>
    </row>
    <row r="23">
      <c r="A23" s="103">
        <v>46054.0</v>
      </c>
      <c r="B23" s="2">
        <v>4.0</v>
      </c>
      <c r="C23" s="2">
        <v>4.0</v>
      </c>
      <c r="D23" s="2">
        <v>170.0</v>
      </c>
      <c r="E23" s="2">
        <v>170.0</v>
      </c>
      <c r="F23" s="2">
        <v>340.0</v>
      </c>
      <c r="G23" s="2">
        <v>374.0</v>
      </c>
    </row>
    <row r="24">
      <c r="A24" s="103">
        <v>46082.0</v>
      </c>
      <c r="B24" s="2">
        <v>1.0</v>
      </c>
      <c r="C24" s="2">
        <v>1.0</v>
      </c>
      <c r="D24" s="2">
        <v>171.0</v>
      </c>
      <c r="E24" s="2">
        <v>171.0</v>
      </c>
      <c r="F24" s="2">
        <v>342.0</v>
      </c>
      <c r="G24" s="2">
        <v>374.0</v>
      </c>
    </row>
    <row r="33">
      <c r="A33" s="2" t="s">
        <v>158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02" t="s">
        <v>151</v>
      </c>
      <c r="B1" s="102" t="s">
        <v>152</v>
      </c>
      <c r="C1" s="102" t="s">
        <v>153</v>
      </c>
      <c r="D1" s="102" t="s">
        <v>154</v>
      </c>
      <c r="E1" s="102" t="s">
        <v>155</v>
      </c>
      <c r="F1" s="102" t="s">
        <v>515</v>
      </c>
      <c r="G1" s="102" t="s">
        <v>516</v>
      </c>
    </row>
    <row r="2">
      <c r="A2" s="103">
        <v>45413.0</v>
      </c>
      <c r="B2" s="129">
        <v>7.0</v>
      </c>
      <c r="C2" s="129">
        <v>7.0</v>
      </c>
      <c r="D2" s="132">
        <f t="shared" ref="D2:E2" si="1">B2</f>
        <v>7</v>
      </c>
      <c r="E2" s="132">
        <f t="shared" si="1"/>
        <v>7</v>
      </c>
      <c r="F2" s="132">
        <f t="shared" ref="F2:F24" si="3">D2+E2</f>
        <v>14</v>
      </c>
      <c r="G2" s="132">
        <f>14</f>
        <v>14</v>
      </c>
    </row>
    <row r="3">
      <c r="A3" s="103">
        <v>45444.0</v>
      </c>
      <c r="B3" s="129">
        <v>15.0</v>
      </c>
      <c r="C3" s="129">
        <v>15.0</v>
      </c>
      <c r="D3" s="132">
        <f t="shared" ref="D3:E3" si="2">B3+D2</f>
        <v>22</v>
      </c>
      <c r="E3" s="132">
        <f t="shared" si="2"/>
        <v>22</v>
      </c>
      <c r="F3" s="132">
        <f t="shared" si="3"/>
        <v>44</v>
      </c>
      <c r="G3" s="132">
        <f>28</f>
        <v>28</v>
      </c>
    </row>
    <row r="4">
      <c r="A4" s="103">
        <v>45474.0</v>
      </c>
      <c r="B4" s="129">
        <v>6.0</v>
      </c>
      <c r="C4" s="129">
        <v>6.0</v>
      </c>
      <c r="D4" s="132">
        <f t="shared" ref="D4:E4" si="4">B4+D3</f>
        <v>28</v>
      </c>
      <c r="E4" s="132">
        <f t="shared" si="4"/>
        <v>28</v>
      </c>
      <c r="F4" s="132">
        <f t="shared" si="3"/>
        <v>56</v>
      </c>
      <c r="G4" s="132">
        <f>42</f>
        <v>42</v>
      </c>
    </row>
    <row r="5">
      <c r="A5" s="103">
        <v>45505.0</v>
      </c>
      <c r="B5" s="129">
        <v>9.0</v>
      </c>
      <c r="C5" s="129">
        <v>9.0</v>
      </c>
      <c r="D5" s="132">
        <f t="shared" ref="D5:E5" si="5">B5+D4</f>
        <v>37</v>
      </c>
      <c r="E5" s="132">
        <f t="shared" si="5"/>
        <v>37</v>
      </c>
      <c r="F5" s="132">
        <f t="shared" si="3"/>
        <v>74</v>
      </c>
      <c r="G5" s="132">
        <f>56</f>
        <v>56</v>
      </c>
    </row>
    <row r="6">
      <c r="A6" s="103">
        <v>45536.0</v>
      </c>
      <c r="B6" s="129">
        <v>3.0</v>
      </c>
      <c r="C6" s="129">
        <v>3.0</v>
      </c>
      <c r="D6" s="132">
        <f t="shared" ref="D6:E6" si="6">B6+D5</f>
        <v>40</v>
      </c>
      <c r="E6" s="132">
        <f t="shared" si="6"/>
        <v>40</v>
      </c>
      <c r="F6" s="132">
        <f t="shared" si="3"/>
        <v>80</v>
      </c>
      <c r="G6" s="132">
        <f>70</f>
        <v>70</v>
      </c>
    </row>
    <row r="7">
      <c r="A7" s="103">
        <v>45566.0</v>
      </c>
      <c r="B7" s="129">
        <v>12.0</v>
      </c>
      <c r="C7" s="129">
        <v>12.0</v>
      </c>
      <c r="D7" s="132">
        <f t="shared" ref="D7:E7" si="7">B7+D6</f>
        <v>52</v>
      </c>
      <c r="E7" s="132">
        <f t="shared" si="7"/>
        <v>52</v>
      </c>
      <c r="F7" s="132">
        <f t="shared" si="3"/>
        <v>104</v>
      </c>
      <c r="G7" s="132">
        <f>84</f>
        <v>84</v>
      </c>
    </row>
    <row r="8">
      <c r="A8" s="103">
        <v>45597.0</v>
      </c>
      <c r="B8" s="129">
        <v>9.0</v>
      </c>
      <c r="C8" s="129">
        <v>9.0</v>
      </c>
      <c r="D8" s="132">
        <f t="shared" ref="D8:E8" si="8">B8+D7</f>
        <v>61</v>
      </c>
      <c r="E8" s="132">
        <f t="shared" si="8"/>
        <v>61</v>
      </c>
      <c r="F8" s="132">
        <f t="shared" si="3"/>
        <v>122</v>
      </c>
      <c r="G8" s="132">
        <f>98</f>
        <v>98</v>
      </c>
    </row>
    <row r="9">
      <c r="A9" s="103">
        <v>45627.0</v>
      </c>
      <c r="B9" s="129">
        <v>9.0</v>
      </c>
      <c r="C9" s="129">
        <v>9.0</v>
      </c>
      <c r="D9" s="132">
        <f t="shared" ref="D9:E9" si="9">B9+D8</f>
        <v>70</v>
      </c>
      <c r="E9" s="132">
        <f t="shared" si="9"/>
        <v>70</v>
      </c>
      <c r="F9" s="132">
        <f t="shared" si="3"/>
        <v>140</v>
      </c>
      <c r="G9" s="132">
        <f>112</f>
        <v>112</v>
      </c>
    </row>
    <row r="10">
      <c r="A10" s="103">
        <v>45658.0</v>
      </c>
      <c r="B10" s="129">
        <v>14.0</v>
      </c>
      <c r="C10" s="129">
        <v>14.0</v>
      </c>
      <c r="D10" s="132">
        <f t="shared" ref="D10:E10" si="10">B10+D9</f>
        <v>84</v>
      </c>
      <c r="E10" s="132">
        <f t="shared" si="10"/>
        <v>84</v>
      </c>
      <c r="F10" s="132">
        <f t="shared" si="3"/>
        <v>168</v>
      </c>
      <c r="G10" s="132">
        <f>126</f>
        <v>126</v>
      </c>
    </row>
    <row r="11">
      <c r="A11" s="103">
        <v>45689.0</v>
      </c>
      <c r="B11" s="129">
        <v>9.0</v>
      </c>
      <c r="C11" s="129">
        <v>11.0</v>
      </c>
      <c r="D11" s="132">
        <f t="shared" ref="D11:E11" si="11">B11+D10</f>
        <v>93</v>
      </c>
      <c r="E11" s="132">
        <f t="shared" si="11"/>
        <v>95</v>
      </c>
      <c r="F11" s="132">
        <f t="shared" si="3"/>
        <v>188</v>
      </c>
      <c r="G11" s="132">
        <f>140</f>
        <v>140</v>
      </c>
    </row>
    <row r="12">
      <c r="A12" s="103">
        <v>45717.0</v>
      </c>
      <c r="B12" s="129">
        <v>6.0</v>
      </c>
      <c r="C12" s="129">
        <v>6.0</v>
      </c>
      <c r="D12" s="132">
        <f t="shared" ref="D12:E12" si="12">B12+D11</f>
        <v>99</v>
      </c>
      <c r="E12" s="132">
        <f t="shared" si="12"/>
        <v>101</v>
      </c>
      <c r="F12" s="132">
        <f t="shared" si="3"/>
        <v>200</v>
      </c>
      <c r="G12" s="132">
        <f>154</f>
        <v>154</v>
      </c>
    </row>
    <row r="13">
      <c r="A13" s="103">
        <v>45748.0</v>
      </c>
      <c r="B13" s="129">
        <v>9.0</v>
      </c>
      <c r="C13" s="129">
        <v>10.0</v>
      </c>
      <c r="D13" s="132">
        <f t="shared" ref="D13:E13" si="13">B13+D12</f>
        <v>108</v>
      </c>
      <c r="E13" s="132">
        <f t="shared" si="13"/>
        <v>111</v>
      </c>
      <c r="F13" s="132">
        <f t="shared" si="3"/>
        <v>219</v>
      </c>
      <c r="G13" s="132">
        <f>168</f>
        <v>168</v>
      </c>
    </row>
    <row r="14">
      <c r="A14" s="103">
        <v>45778.0</v>
      </c>
      <c r="B14" s="129">
        <v>9.0</v>
      </c>
      <c r="C14" s="129">
        <v>9.0</v>
      </c>
      <c r="D14" s="132">
        <f t="shared" ref="D14:E14" si="14">B14+D13</f>
        <v>117</v>
      </c>
      <c r="E14" s="132">
        <f t="shared" si="14"/>
        <v>120</v>
      </c>
      <c r="F14" s="132">
        <f t="shared" si="3"/>
        <v>237</v>
      </c>
      <c r="G14" s="132">
        <f>182</f>
        <v>182</v>
      </c>
    </row>
    <row r="15">
      <c r="A15" s="103">
        <v>45809.0</v>
      </c>
      <c r="B15" s="129">
        <v>6.0</v>
      </c>
      <c r="C15" s="129">
        <v>6.0</v>
      </c>
      <c r="D15" s="132">
        <f t="shared" ref="D15:E15" si="15">B15+D14</f>
        <v>123</v>
      </c>
      <c r="E15" s="132">
        <f t="shared" si="15"/>
        <v>126</v>
      </c>
      <c r="F15" s="132">
        <f t="shared" si="3"/>
        <v>249</v>
      </c>
      <c r="G15" s="132">
        <f>196</f>
        <v>196</v>
      </c>
    </row>
    <row r="16">
      <c r="A16" s="103">
        <v>45839.0</v>
      </c>
      <c r="B16" s="129">
        <v>10.0</v>
      </c>
      <c r="C16" s="129">
        <v>7.0</v>
      </c>
      <c r="D16" s="132">
        <f t="shared" ref="D16:E16" si="16">B16+D15</f>
        <v>133</v>
      </c>
      <c r="E16" s="132">
        <f t="shared" si="16"/>
        <v>133</v>
      </c>
      <c r="F16" s="132">
        <f t="shared" si="3"/>
        <v>266</v>
      </c>
      <c r="G16" s="132">
        <f>210</f>
        <v>210</v>
      </c>
    </row>
    <row r="17">
      <c r="A17" s="103">
        <v>45870.0</v>
      </c>
      <c r="B17" s="129">
        <v>7.0</v>
      </c>
      <c r="C17" s="129">
        <v>7.0</v>
      </c>
      <c r="D17" s="132">
        <f t="shared" ref="D17:E17" si="17">B17+D16</f>
        <v>140</v>
      </c>
      <c r="E17" s="132">
        <f t="shared" si="17"/>
        <v>140</v>
      </c>
      <c r="F17" s="132">
        <f t="shared" si="3"/>
        <v>280</v>
      </c>
      <c r="G17" s="132">
        <f>224</f>
        <v>224</v>
      </c>
    </row>
    <row r="18">
      <c r="A18" s="103">
        <v>45901.0</v>
      </c>
      <c r="B18" s="129">
        <v>8.0</v>
      </c>
      <c r="C18" s="129">
        <v>9.0</v>
      </c>
      <c r="D18" s="132">
        <f t="shared" ref="D18:E18" si="18">B18+D17</f>
        <v>148</v>
      </c>
      <c r="E18" s="132">
        <f t="shared" si="18"/>
        <v>149</v>
      </c>
      <c r="F18" s="132">
        <f t="shared" si="3"/>
        <v>297</v>
      </c>
      <c r="G18" s="132">
        <f>238</f>
        <v>238</v>
      </c>
    </row>
    <row r="19">
      <c r="A19" s="103">
        <v>45931.0</v>
      </c>
      <c r="B19" s="129">
        <v>3.0</v>
      </c>
      <c r="C19" s="129">
        <v>2.0</v>
      </c>
      <c r="D19" s="132">
        <f t="shared" ref="D19:E19" si="19">B19+D18</f>
        <v>151</v>
      </c>
      <c r="E19" s="132">
        <f t="shared" si="19"/>
        <v>151</v>
      </c>
      <c r="F19" s="132">
        <f t="shared" si="3"/>
        <v>302</v>
      </c>
      <c r="G19" s="132">
        <f>252</f>
        <v>252</v>
      </c>
    </row>
    <row r="20">
      <c r="A20" s="103">
        <v>45962.0</v>
      </c>
      <c r="B20" s="129">
        <v>8.0</v>
      </c>
      <c r="C20" s="129">
        <v>8.0</v>
      </c>
      <c r="D20" s="132">
        <f t="shared" ref="D20:E20" si="20">B20+D19</f>
        <v>159</v>
      </c>
      <c r="E20" s="132">
        <f t="shared" si="20"/>
        <v>159</v>
      </c>
      <c r="F20" s="132">
        <f t="shared" si="3"/>
        <v>318</v>
      </c>
      <c r="G20" s="132">
        <f>266</f>
        <v>266</v>
      </c>
    </row>
    <row r="21">
      <c r="A21" s="103">
        <v>45992.0</v>
      </c>
      <c r="B21" s="129">
        <v>3.0</v>
      </c>
      <c r="C21" s="129">
        <v>3.0</v>
      </c>
      <c r="D21" s="132">
        <f t="shared" ref="D21:E21" si="21">B21+D20</f>
        <v>162</v>
      </c>
      <c r="E21" s="132">
        <f t="shared" si="21"/>
        <v>162</v>
      </c>
      <c r="F21" s="132">
        <f t="shared" si="3"/>
        <v>324</v>
      </c>
      <c r="G21" s="132">
        <f>280</f>
        <v>280</v>
      </c>
    </row>
    <row r="22">
      <c r="A22" s="103">
        <v>46023.0</v>
      </c>
      <c r="B22" s="129">
        <v>4.0</v>
      </c>
      <c r="C22" s="129">
        <v>4.0</v>
      </c>
      <c r="D22" s="132">
        <f t="shared" ref="D22:E22" si="22">B22+D21</f>
        <v>166</v>
      </c>
      <c r="E22" s="132">
        <f t="shared" si="22"/>
        <v>166</v>
      </c>
      <c r="F22" s="132">
        <f t="shared" si="3"/>
        <v>332</v>
      </c>
      <c r="G22" s="132">
        <f>294</f>
        <v>294</v>
      </c>
    </row>
    <row r="23">
      <c r="A23" s="103">
        <v>46054.0</v>
      </c>
      <c r="B23" s="129">
        <v>4.0</v>
      </c>
      <c r="C23" s="129">
        <v>4.0</v>
      </c>
      <c r="D23" s="132">
        <f t="shared" ref="D23:E23" si="23">B23+D22</f>
        <v>170</v>
      </c>
      <c r="E23" s="132">
        <f t="shared" si="23"/>
        <v>170</v>
      </c>
      <c r="F23" s="132">
        <f t="shared" si="3"/>
        <v>340</v>
      </c>
      <c r="G23" s="132">
        <f>308</f>
        <v>308</v>
      </c>
    </row>
    <row r="24">
      <c r="A24" s="103">
        <v>46082.0</v>
      </c>
      <c r="B24" s="129">
        <v>1.0</v>
      </c>
      <c r="C24" s="129">
        <v>1.0</v>
      </c>
      <c r="D24" s="132">
        <f t="shared" ref="D24:E24" si="24">B24+D23</f>
        <v>171</v>
      </c>
      <c r="E24" s="132">
        <f t="shared" si="24"/>
        <v>171</v>
      </c>
      <c r="F24" s="132">
        <f t="shared" si="3"/>
        <v>342</v>
      </c>
      <c r="G24" s="132">
        <f>322</f>
        <v>322</v>
      </c>
    </row>
  </sheetData>
  <drawing r:id="rId1"/>
</worksheet>
</file>