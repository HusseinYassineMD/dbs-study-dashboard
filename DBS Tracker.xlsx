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 Location" sheetId="1" r:id="rId5"/>
    <sheet state="visible" name="Completed Visits" sheetId="2" r:id="rId6"/>
    <sheet state="visible" name="MRI Dates Available" sheetId="3" r:id="rId7"/>
    <sheet state="visible" name="3rd Yr Scheduling Notes " sheetId="4" r:id="rId8"/>
    <sheet state="visible" name="4th Yr Scheduling Notes" sheetId="5" r:id="rId9"/>
    <sheet state="visible" name="LabsMRNs" sheetId="6" r:id="rId10"/>
    <sheet state="visible" name="ClinCard" sheetId="7" r:id="rId11"/>
    <sheet state="visible" name="Stool Samples" sheetId="8" r:id="rId12"/>
    <sheet state="visible" name="Study Partner" sheetId="9" r:id="rId13"/>
    <sheet state="visible" name="DropoutsNo longer eligible" sheetId="10" r:id="rId14"/>
    <sheet state="visible" name="Dropouts Y1-4" sheetId="11" r:id="rId15"/>
    <sheet state="visible" name="Study Progress" sheetId="12" r:id="rId16"/>
    <sheet state="visible" name="2nd Yr Scheduling Notes" sheetId="13" r:id="rId17"/>
    <sheet state="visible" name="Baseline Scheduling Notes" sheetId="14" r:id="rId18"/>
    <sheet state="visible" name="Screening Visits" sheetId="15" r:id="rId19"/>
    <sheet state="visible" name="Genotype" sheetId="16" r:id="rId20"/>
    <sheet state="visible" name="Consent to Share " sheetId="17" r:id="rId21"/>
    <sheet state="visible" name="Lab Results Requests" sheetId="18" r:id="rId22"/>
    <sheet state="visible" name="MRI CD Requests" sheetId="19" r:id="rId23"/>
    <sheet state="visible" name="NP Results Requests" sheetId="20" r:id="rId24"/>
    <sheet state="visible" name="Sample Drop Off" sheetId="21" r:id="rId25"/>
    <sheet state="visible" name="Synopsis Forms" sheetId="22" r:id="rId26"/>
    <sheet state="visible" name="uds_id_200" sheetId="23" r:id="rId27"/>
    <sheet state="visible" name="All active IDs" sheetId="24" r:id="rId28"/>
  </sheets>
  <definedNames>
    <definedName hidden="1" localSheetId="1" name="_xlnm._FilterDatabase">'Completed Visits'!$E$1:$E$997</definedName>
    <definedName hidden="1" localSheetId="9" name="_xlnm._FilterDatabase">'DropoutsNo longer eligible'!$D$38:$D$125</definedName>
    <definedName hidden="1" localSheetId="10" name="_xlnm._FilterDatabase">'Dropouts Y1-4'!$C$1:$C$1002</definedName>
    <definedName hidden="1" localSheetId="12" name="_xlnm._FilterDatabase">'2nd Yr Scheduling Notes'!$A$1:$A$997</definedName>
    <definedName name="MY_FUNCTION1">LAMBDA(SUMPRODUCT(--(range="color")))</definedName>
  </definedNames>
  <calcPr/>
</workbook>
</file>

<file path=xl/sharedStrings.xml><?xml version="1.0" encoding="utf-8"?>
<sst xmlns="http://schemas.openxmlformats.org/spreadsheetml/2006/main" count="13165" uniqueCount="3886">
  <si>
    <t>ID</t>
  </si>
  <si>
    <t>SECOND YEAR</t>
  </si>
  <si>
    <t>Cabinet Location</t>
  </si>
  <si>
    <t>Binder #</t>
  </si>
  <si>
    <t xml:space="preserve">IPAD </t>
  </si>
  <si>
    <t>Month</t>
  </si>
  <si>
    <t>THIRD YEAR</t>
  </si>
  <si>
    <t>last verified 10/14</t>
  </si>
  <si>
    <t xml:space="preserve">important to stick to 2yr mri protocol </t>
  </si>
  <si>
    <t>MRI Dates</t>
  </si>
  <si>
    <t>DBS-0044</t>
  </si>
  <si>
    <t>MRI Times</t>
  </si>
  <si>
    <t>FOURTH YEAR</t>
  </si>
  <si>
    <t>last verified: 10/14</t>
  </si>
  <si>
    <t xml:space="preserve">important to document np date for a 1yr gap </t>
  </si>
  <si>
    <t>COMPLETED</t>
  </si>
  <si>
    <t>2 ENGLISH</t>
  </si>
  <si>
    <t>Participant Assigned to</t>
  </si>
  <si>
    <t>Scheduling Month</t>
  </si>
  <si>
    <t>Notes</t>
  </si>
  <si>
    <t xml:space="preserve">SCAN COST </t>
  </si>
  <si>
    <t>Diabetes Status</t>
  </si>
  <si>
    <t>DBS-0053</t>
  </si>
  <si>
    <t>1 SPANISH</t>
  </si>
  <si>
    <t xml:space="preserve"> </t>
  </si>
  <si>
    <t>DBS-0219</t>
  </si>
  <si>
    <t>Month/ Year</t>
  </si>
  <si>
    <t>DBS-0007</t>
  </si>
  <si>
    <t>GT</t>
  </si>
  <si>
    <t>2 SPANISH</t>
  </si>
  <si>
    <t>May '25</t>
  </si>
  <si>
    <t>D</t>
  </si>
  <si>
    <t>DBS-0349</t>
  </si>
  <si>
    <t>DBS-0382</t>
  </si>
  <si>
    <t>DBS-0008</t>
  </si>
  <si>
    <t xml:space="preserve">1 SPANISH </t>
  </si>
  <si>
    <t xml:space="preserve">Scan: 8am-9am </t>
  </si>
  <si>
    <t>Cancelled. Kat out of office.</t>
  </si>
  <si>
    <t>DBS-0299</t>
  </si>
  <si>
    <t>scheduled/ taken</t>
  </si>
  <si>
    <t>LC</t>
  </si>
  <si>
    <t>DBS-0360</t>
  </si>
  <si>
    <t>LP pending</t>
  </si>
  <si>
    <t>DBS-0322</t>
  </si>
  <si>
    <t xml:space="preserve">Scan: 11am-12pm </t>
  </si>
  <si>
    <t xml:space="preserve"> Ghost date. Slot not filled.</t>
  </si>
  <si>
    <t>DBS-0028</t>
  </si>
  <si>
    <t>LP Pending</t>
  </si>
  <si>
    <t>pending</t>
  </si>
  <si>
    <t>DBS-0183</t>
  </si>
  <si>
    <t>DBS-0180</t>
  </si>
  <si>
    <t>DBS-0432</t>
  </si>
  <si>
    <t>1 ENGLISH</t>
  </si>
  <si>
    <t>DBS-0073</t>
  </si>
  <si>
    <t>Scan: 11am-12pm</t>
  </si>
  <si>
    <t>DBS-0221</t>
  </si>
  <si>
    <t>cancelled</t>
  </si>
  <si>
    <t>DBS-0169</t>
  </si>
  <si>
    <t>DBS-0404</t>
  </si>
  <si>
    <t>DBS-0139</t>
  </si>
  <si>
    <t>Scan: 8am-9am</t>
  </si>
  <si>
    <t>ND</t>
  </si>
  <si>
    <t>DBS-0054</t>
  </si>
  <si>
    <t xml:space="preserve">came in but did not comnplete scan - rescheduled </t>
  </si>
  <si>
    <t xml:space="preserve"> Ghost date. Slot not filled. </t>
  </si>
  <si>
    <t>DBS-0063</t>
  </si>
  <si>
    <t>DBS-0419</t>
  </si>
  <si>
    <t>DBS-0154</t>
  </si>
  <si>
    <t>1 SPANISH (2024) and 2 SPANISH (2024)</t>
  </si>
  <si>
    <t>DBS-0268</t>
  </si>
  <si>
    <t>DBS-0381</t>
  </si>
  <si>
    <t>DBS-0013</t>
  </si>
  <si>
    <t xml:space="preserve"> Cancelled. Not filled. </t>
  </si>
  <si>
    <t>DBS-0352</t>
  </si>
  <si>
    <t>DBS-0512</t>
  </si>
  <si>
    <t>DBS-0235</t>
  </si>
  <si>
    <t>June '25</t>
  </si>
  <si>
    <t xml:space="preserve">Cancelled. Participant drop out. </t>
  </si>
  <si>
    <t>DBS-0430</t>
  </si>
  <si>
    <t xml:space="preserve">Scan: 10am-11am </t>
  </si>
  <si>
    <t xml:space="preserve">Participant rescheduled. </t>
  </si>
  <si>
    <t>DBS-0586</t>
  </si>
  <si>
    <t>DBS-0108</t>
  </si>
  <si>
    <t>Scan: 9:30am-10:30am</t>
  </si>
  <si>
    <t>DBS-0502</t>
  </si>
  <si>
    <t>DBS-0450</t>
  </si>
  <si>
    <t>DBS-0442</t>
  </si>
  <si>
    <t>DBS-0499</t>
  </si>
  <si>
    <t>DBS-0379</t>
  </si>
  <si>
    <t>DBS-0199</t>
  </si>
  <si>
    <t>DBS-0429</t>
  </si>
  <si>
    <t>DBS-0414</t>
  </si>
  <si>
    <t xml:space="preserve">MRI + BD Visits </t>
  </si>
  <si>
    <t>DBS-0055</t>
  </si>
  <si>
    <t xml:space="preserve">*have him sign front page of DE4 consent </t>
  </si>
  <si>
    <t>NP + CV Visits</t>
  </si>
  <si>
    <t>DBS-0569</t>
  </si>
  <si>
    <t xml:space="preserve">Old Scheduling Notes </t>
  </si>
  <si>
    <t xml:space="preserve">Scan: 8am-9am  </t>
  </si>
  <si>
    <t>1 SPANISH (2024) and 2 SPANISH (2024,2025)</t>
  </si>
  <si>
    <t>Cancelled ahead of time. Not filled.</t>
  </si>
  <si>
    <t>MRI/BD Scheduling Notes</t>
  </si>
  <si>
    <t>MRI Date</t>
  </si>
  <si>
    <t>BD Date</t>
  </si>
  <si>
    <t>MRI Scan Time</t>
  </si>
  <si>
    <t>NP/CV Scheduling Notes</t>
  </si>
  <si>
    <t>NP Date</t>
  </si>
  <si>
    <t>CV Date</t>
  </si>
  <si>
    <t xml:space="preserve">MRI Scheduling Notes </t>
  </si>
  <si>
    <t>July</t>
  </si>
  <si>
    <t xml:space="preserve">BD Notes </t>
  </si>
  <si>
    <t xml:space="preserve">CV Scheduling Notes </t>
  </si>
  <si>
    <t xml:space="preserve">Cancelled ahead of time. Ghost date -not filled. </t>
  </si>
  <si>
    <t>Completed</t>
  </si>
  <si>
    <t>DBS-0658</t>
  </si>
  <si>
    <t>July '25</t>
  </si>
  <si>
    <t>DBS-0498</t>
  </si>
  <si>
    <t>DBS-0772</t>
  </si>
  <si>
    <t>May</t>
  </si>
  <si>
    <t>June Participatn cancelled ahead of time.</t>
  </si>
  <si>
    <t>DBS-0216</t>
  </si>
  <si>
    <t>DBS-0432*</t>
  </si>
  <si>
    <t>DBS-0676</t>
  </si>
  <si>
    <t xml:space="preserve">Scan: 9:30am-10:30am </t>
  </si>
  <si>
    <t>DROPPED JULY 2025 ;; Responded to email. He is in mex and does not anticipate returning till 3-4 yrs from now. No longer able to participate. 7/23/25 JE ;; No answer. 7/14/25 JE ;; LC 04/03: Out of country. F/u in 3 months</t>
  </si>
  <si>
    <t>DBS-0613</t>
  </si>
  <si>
    <t>DBS-0418</t>
  </si>
  <si>
    <t>DBS-0620</t>
  </si>
  <si>
    <t>DBS-0830</t>
  </si>
  <si>
    <t>Left vm and sent email 7/23/25 JE ;; Left vm and sent text. 7/14/25 JE ;; Was able to leave vm. 7/3/25 JE ;; Operator message, "subscriber not in service." Will try again 6/2/25 JE ;; LC 04/03: Out of country. F/u in 3 months</t>
  </si>
  <si>
    <t xml:space="preserve">skipped a year- never came in for 2nd year </t>
  </si>
  <si>
    <t xml:space="preserve">Scan: 8:30am-9:30am </t>
  </si>
  <si>
    <t>0028 came in but did not start scan - rescheduled for 7/21/26</t>
  </si>
  <si>
    <t>DBS-0745</t>
  </si>
  <si>
    <t>Scan: 10:30am-11:30am</t>
  </si>
  <si>
    <t>DBS-0657</t>
  </si>
  <si>
    <t>Scan: 8:00am-9:00am</t>
  </si>
  <si>
    <t>June</t>
  </si>
  <si>
    <t>DBS-0884</t>
  </si>
  <si>
    <t>May Participatn cancelled ahead of time.</t>
  </si>
  <si>
    <t xml:space="preserve">562-250-6793 new number starting June. Cell ending in 7879 will no longer be in service after may </t>
  </si>
  <si>
    <t>DBS-0542</t>
  </si>
  <si>
    <t>Scan: 8:30am-9:30am</t>
  </si>
  <si>
    <t>Would like to combine visits if possible. Schedule a bit complicated but she is flexible. -JE 4/16/25</t>
  </si>
  <si>
    <t>August</t>
  </si>
  <si>
    <t>DBS-0705</t>
  </si>
  <si>
    <t>Scan: 9:00am-10:00am</t>
  </si>
  <si>
    <t>DBS-0597</t>
  </si>
  <si>
    <t>DBS-0587</t>
  </si>
  <si>
    <t xml:space="preserve">BD needed to be moved to MRI date bc labs need to be reordered. 5/15/25 -JE ;; IV 5/2: needs uber LC 04/03: Call back tomorrow </t>
  </si>
  <si>
    <t>August '25</t>
  </si>
  <si>
    <t>DBS-0800</t>
  </si>
  <si>
    <t>DBS-0599</t>
  </si>
  <si>
    <t>DBS-0741</t>
  </si>
  <si>
    <t>DBS-0757</t>
  </si>
  <si>
    <t>Scan: 10am-11am</t>
  </si>
  <si>
    <t xml:space="preserve">June pt -  0169 came in but did not start scan. </t>
  </si>
  <si>
    <t>DBS-0790</t>
  </si>
  <si>
    <t xml:space="preserve">Scan: 11:30am-12:30pm </t>
  </si>
  <si>
    <t xml:space="preserve">June pt - 0073 came in but did not start scan. </t>
  </si>
  <si>
    <t>*stool</t>
  </si>
  <si>
    <t>Participant is back. Apt is pending atm. CIA showing as insufficent funding att. but dbs grant was approved. Will follow up. 9/4/25 JE ;; Let me know that she had to go out of country for an emergency and that she will reach back out when she is back to rescheduled. Cancelled scan for 7/28/25 on 7/23/25 JE ;; Asked to reschedule again bc she broke a toe and cant walk. Was scheduled for June 9th at 8 am. New date for July. 5/30/25 JE ;; Asked to change originally set date of may 27th to june 9th instead. 5/2/25 -JE ;; Left vm and sent text 4/17/25 -JE ;; LC 04/03: Schedule MRI for end of month</t>
  </si>
  <si>
    <t>DBS-0693</t>
  </si>
  <si>
    <t>LP failed</t>
  </si>
  <si>
    <t>DBS-0715</t>
  </si>
  <si>
    <t xml:space="preserve">LC 04/03: Left vm </t>
  </si>
  <si>
    <t>Scan:8:00am-9:00am</t>
  </si>
  <si>
    <t xml:space="preserve">IV 5/13: moved to mri day bc it was missed </t>
  </si>
  <si>
    <t>DBS-0924</t>
  </si>
  <si>
    <t>DBS-0808</t>
  </si>
  <si>
    <t>DROPPED MAY 2025 ;; Letter mailed out. All forms of contact exhausted. No answer 5/15/25 JE</t>
  </si>
  <si>
    <t xml:space="preserve">July </t>
  </si>
  <si>
    <t xml:space="preserve">PSQI uncompleted </t>
  </si>
  <si>
    <t xml:space="preserve">Left vm and sent text. 7/3/35 JE ;; Mailed out letter. 5/15/25 -JE ;; No answer. 5/6/25 -JE ;; Left vm and sent email.5/1/25 -JE ;; Left vm. 4/24/25 -JE ;; No answer. Sent text.4/16/25 -JE </t>
  </si>
  <si>
    <t>Scan: 9:00am-10:00am scan rescheduled bc kat out</t>
  </si>
  <si>
    <t xml:space="preserve">IV 5/2: left vm, sent text LC 04/03: Left vm </t>
  </si>
  <si>
    <t>DBS-0822</t>
  </si>
  <si>
    <t>Scan: 10:30am-11:30am scan rescheduled bc kat out</t>
  </si>
  <si>
    <t>DBS-0652</t>
  </si>
  <si>
    <t xml:space="preserve">Scan:8:00am-9:00am </t>
  </si>
  <si>
    <t>DBS-0855</t>
  </si>
  <si>
    <t>Able to schedule over the phone during his NP visit 6/2/25 -JE ;; MJ 05/22:Would like to reschedule for a wk after CV on 06/11/25 ;; Called to reschedule bc Kat will be out Fri (5/16/25). No answer, left vm. New date TBD. 5/14/25 -JE ;; No answer. Sent text. 4/16/25 -JE</t>
  </si>
  <si>
    <t xml:space="preserve">MJ 05/22: Uber needed MJ 05/21: Left VM + sent text &amp; email IV 5/2: left vm, sent text LC 04/03: Left vm </t>
  </si>
  <si>
    <t>DBS-0763</t>
  </si>
  <si>
    <t>DBS-0805</t>
  </si>
  <si>
    <t>MRI and BD are in Jan 2026</t>
  </si>
  <si>
    <t>DBS-0935</t>
  </si>
  <si>
    <t>Cancelled by Kat</t>
  </si>
  <si>
    <t>DBS-0824</t>
  </si>
  <si>
    <t xml:space="preserve">Scan: 10:00am-11:00am  </t>
  </si>
  <si>
    <t>DBS-0818</t>
  </si>
  <si>
    <t>MRI in oct- do np,cv,bd ~ in dec/jan, came 10 months late</t>
  </si>
  <si>
    <t>DBS-0771</t>
  </si>
  <si>
    <t>DBS-0614</t>
  </si>
  <si>
    <t xml:space="preserve">DROPPED MAY 2025 ;; Lead messaged that she is moving to mexico and is no longer able to continue with study. Was supposed to come in on 06/08/25. 5/28/25 -JE  </t>
  </si>
  <si>
    <t>DBS-0879</t>
  </si>
  <si>
    <t>DBS-0653</t>
  </si>
  <si>
    <t xml:space="preserve">Lead messaged that she is moving to mexico and is no longer able to continue with study. 5/28/25 -JE  </t>
  </si>
  <si>
    <t xml:space="preserve">MJ 05/21: Uber needed </t>
  </si>
  <si>
    <t>Scan:8:00am-9:00am Participant no-showed</t>
  </si>
  <si>
    <t>September '25</t>
  </si>
  <si>
    <t xml:space="preserve">Sent checkin message. 8/4/25 JE ;; Husband will reach out when ready. Check in in aug. 7/21/25 JE ;; Let IV know they need to cancel, needs reschedule... 7/8/25 JE ;; IV 7/1: rescheduled bd other day </t>
  </si>
  <si>
    <t xml:space="preserve">Scan:8:00am-9:00am Blocked out by Kat. Cancelled due to funding </t>
  </si>
  <si>
    <t xml:space="preserve">SP completed in person. Missing questionairre. </t>
  </si>
  <si>
    <r>
      <rPr>
        <rFont val="Arial"/>
        <b/>
        <strike/>
        <color rgb="FFFFFFFF"/>
      </rPr>
      <t>1 SPANISH</t>
    </r>
    <r>
      <rPr>
        <rFont val="Arial"/>
        <b/>
        <color rgb="FFFFFFFF"/>
      </rPr>
      <t>/ 1 ENGLISH</t>
    </r>
  </si>
  <si>
    <t>MJ 02/18/26: did eng np in baseline and esp np in 2nd yr,,pt feels more comfortable in eng</t>
  </si>
  <si>
    <t>IV and JE tag teaming on MRI day. 8/4/25 JE ;; See MRI note. 7/8/25 JE ;; Husband wife duo. Would like to combine all visits if possible. -JE 4/28/25</t>
  </si>
  <si>
    <t>DBS-0981</t>
  </si>
  <si>
    <t xml:space="preserve">Scan:8:00am-9:00am pending funding Cancelled due to funding </t>
  </si>
  <si>
    <t>DBS-0987</t>
  </si>
  <si>
    <t xml:space="preserve">Scan: 9:30am-10:30am pending funding Cancelled due to funding </t>
  </si>
  <si>
    <t>DBS-0781</t>
  </si>
  <si>
    <t xml:space="preserve">Husband wife duo. Needs new date. Was originally scheduled for 7/9/25. Urgent matter had to be cancelled. MRI and NP and CV together 7/8/25 JE ;; Open conversation through text re schdeuleding for him and partner. 4/25/25 -JE ;; Sent text.4/24/25 -JE ;; Left vm 4/17/25 -JE </t>
  </si>
  <si>
    <t>2 spanish- under 0617</t>
  </si>
  <si>
    <t>Husband said he has a surgery and will reach back out when ready to reschedule. 7/21/25  JE ;; Will complete NP day of the MRI. Wife jusband duo. 6/30/25 JE ;; IV 6/17: couldnt make it, app for surgery end of july  IV 6/12: will drive</t>
  </si>
  <si>
    <t>DBS-0617</t>
  </si>
  <si>
    <t>DBS-0756</t>
  </si>
  <si>
    <t>DBS-1016</t>
  </si>
  <si>
    <t>Scan:8:00am-9:00am *</t>
  </si>
  <si>
    <t xml:space="preserve">Can't do Tuesday or Friday. And needs morning appointments. 8/20/25 JE ;; IV 7/30: had to reschedule again , doctors visits 7/22/25 MRI got moved up to 7:30am and had to move NP to CV day bc he has a doc visit tomorrow. He mentioned that that he got an extension on PT. His apointments are Tue and Fri's. Confirmed that visit on the 31st still works ok. JE ;; IV 7/1: wanted to add np tp mri day and cv+bd other day Would like to schedule for July. Was in a car accident and has a neck brace at the moment. 6/2/25 -JE </t>
  </si>
  <si>
    <t>MRI on Nov 2025</t>
  </si>
  <si>
    <t>October '25</t>
  </si>
  <si>
    <t>$40,000 added to our acct</t>
  </si>
  <si>
    <t>See schdeuling notes. JE ;; Same day as MRI</t>
  </si>
  <si>
    <t xml:space="preserve">missed cv, couldnt come back, no changes filled it out </t>
  </si>
  <si>
    <t>Same day but time moved up. 7/22/25 JE ;; New date for July 23rd. 6/2/25 JE ;; Participant canceled needs to reschedule. Car accident w/ neck brace at the moment. 5/30/25 JE ;; Has surgery 28th of April. Still open to scheduling for June. 4/17/25 -JE</t>
  </si>
  <si>
    <t>IV 6/23: left vm sent text IV 5/29: left vm, sent text</t>
  </si>
  <si>
    <t>DBS-0789</t>
  </si>
  <si>
    <t>DBS-0838</t>
  </si>
  <si>
    <t>DBS-0770</t>
  </si>
  <si>
    <t xml:space="preserve">IV 5/29: Np, cv same as mri day, bd other day will drive </t>
  </si>
  <si>
    <t>DBS-0956</t>
  </si>
  <si>
    <t xml:space="preserve">Might get a new phone # - email to get in touch or house mail if you are not able to reach </t>
  </si>
  <si>
    <t xml:space="preserve">Scan:8:00am-9:00am ... </t>
  </si>
  <si>
    <t>double booked 9:30</t>
  </si>
  <si>
    <t xml:space="preserve">DROPPED JAN 2026 ;; No answer to calls or text 1/29/26 ;; No answer. Sent text. 1/27/26 JE ;; Checking in. No answer. Left vm. 12/2/25 JE ;; IV 5/29: had an accident, asked to be removed bc she has alot of physical therapy andrecovery process, maybe contact in a few months </t>
  </si>
  <si>
    <t>DBS-0978</t>
  </si>
  <si>
    <t>908 wife</t>
  </si>
  <si>
    <t>Would like to combine all visits if possible. -JE 4/17/25</t>
  </si>
  <si>
    <t xml:space="preserve">Scan:8:00am-9:00am * </t>
  </si>
  <si>
    <t xml:space="preserve">Had an accident but should be better by June. 4/17/25 -JE </t>
  </si>
  <si>
    <t xml:space="preserve">Participant cancelled last min </t>
  </si>
  <si>
    <t xml:space="preserve">Scan:9:30am-10:30am * </t>
  </si>
  <si>
    <t>DBS-0878</t>
  </si>
  <si>
    <t>DBS-1039</t>
  </si>
  <si>
    <t>November '25</t>
  </si>
  <si>
    <t xml:space="preserve">IV 5/29: will drive </t>
  </si>
  <si>
    <t>Sceduled for 0657. Filled by 0924</t>
  </si>
  <si>
    <t>Might want to do LP...</t>
  </si>
  <si>
    <t>Tuesdays or Friday (days off)</t>
  </si>
  <si>
    <t>Scan:9:30am-10:30am *</t>
  </si>
  <si>
    <t>NP in feb &amp; MRI in jan</t>
  </si>
  <si>
    <t>Open conversation through text re scheduling. 4/25/25 -JE ;; Sent text. 4/24/25 -JE ;; Left vm 4/17/25 -JE</t>
  </si>
  <si>
    <t xml:space="preserve">IV 5/29: will call me back today </t>
  </si>
  <si>
    <t>DBS-0916</t>
  </si>
  <si>
    <t>DBS-1019</t>
  </si>
  <si>
    <t>DBS-1030</t>
  </si>
  <si>
    <t xml:space="preserve">Scan:9:00am-10am </t>
  </si>
  <si>
    <t>Date confirmed. 4/23/25 -JE ;; Lead called back. Confirmation pending for 6/11 @7:30 am. Would drive. 4/21/25 -JE ;; Left vm 4/17/25 -JE</t>
  </si>
  <si>
    <t>DBS-0901</t>
  </si>
  <si>
    <t>DBS-0971</t>
  </si>
  <si>
    <t xml:space="preserve">Scan:1:00pm-2:00pm </t>
  </si>
  <si>
    <t>DBS-1032</t>
  </si>
  <si>
    <t>DBS-0982</t>
  </si>
  <si>
    <t>Needs to reschedule. Moved from oct 28 to first week of dec. 10/6/25 JE ;; Tentative apt. set 9/17/25 JE ;; MRI TBD due to funding. Husband was notified and will let wife know. Reschedule as soon as able to book scans again. 9/2/25 JE ;; Ventura couple. Was scheduled for 8/4/25 and came in but had breakfast so could not scan. New date for Sept 8th. 8/4/25 pending (funding not available att). Follow up on cia. JE ;; Scheduled for Aug. -JE 4/24/25 ;; Left vm -JE 4/17/25</t>
  </si>
  <si>
    <t>IV 5/22: will drive, with wife Couple from Ventura. Will be out of country June-July. -JE 4/24/25</t>
  </si>
  <si>
    <t>very difficult might not come back</t>
  </si>
  <si>
    <t xml:space="preserve">Might leave to mex at the end of the year. Willing to come in before dec to complete 4th year </t>
  </si>
  <si>
    <r>
      <rPr>
        <rFont val="Arial"/>
        <b/>
        <color rgb="FFFFFF00"/>
      </rPr>
      <t xml:space="preserve">1 SPANISH (2024) </t>
    </r>
    <r>
      <rPr>
        <rFont val="Arial"/>
        <b/>
        <color rgb="FFFFFFFF"/>
      </rPr>
      <t>and (error 2 SPANISH(2024): wrong ID)</t>
    </r>
  </si>
  <si>
    <t xml:space="preserve"> Scan:8:00am-9:00am *</t>
  </si>
  <si>
    <t xml:space="preserve">   </t>
  </si>
  <si>
    <t xml:space="preserve"> Scan:8:00am-9:00am </t>
  </si>
  <si>
    <t>DBS-0843</t>
  </si>
  <si>
    <t>IV and JE tag teaming on MRI day. 8/4/25 JE ;; See MRI note on DBS-0404. 7/8/25 JE ;; Husband wife duo. Would like to combine all visits if possible. -JE 4/28/25</t>
  </si>
  <si>
    <t>DBS-0876</t>
  </si>
  <si>
    <t>Wife and husband coming together. 4/28/25 - JE ;; Sent text. 4/24/25 -JE ;; Left vm 4/17/25 -JE</t>
  </si>
  <si>
    <t xml:space="preserve">Husband said he has a surgery and will reach back out when ready to reschedule. 7/21/25 JE ;; Will complete NP day of the MRI. Wife jusband duo. 6/30/25 JE ;; IV 6/17: couldnt make it, app for surgery end of july  IV 6/12: will drive </t>
  </si>
  <si>
    <t>DBS-1047</t>
  </si>
  <si>
    <t>DBS-0908</t>
  </si>
  <si>
    <t>DBS-0918</t>
  </si>
  <si>
    <t xml:space="preserve"> Scan:8:00am-9:00am</t>
  </si>
  <si>
    <t xml:space="preserve"> Participant cancelled w advance notice </t>
  </si>
  <si>
    <t>Scan: 9:30am-10:30pm</t>
  </si>
  <si>
    <t>DBS-1008</t>
  </si>
  <si>
    <t xml:space="preserve">Needs to reschedule. Moved from oct 28 to first week of dec. 10/6/25 JE ;; Tentative apt. set 9/17/25 JE ;; Left message with husband 9/2/25 JE ;; Ventura couple. Was scheduled for 8/4/25 and came in but had breakfast so could not scan. New date for Sept 8th. 8/4/25 JE ;; Scheduled for Aug. 4/24/25 -JE ;; Left vm 4/17/25 -JE </t>
  </si>
  <si>
    <t>IV 5/22: will drive, with husband Couple from Ventura. Will be out of country June-July. -JE 4/24/25</t>
  </si>
  <si>
    <t>DBS-1096</t>
  </si>
  <si>
    <t>DBS-0940</t>
  </si>
  <si>
    <t>December '25</t>
  </si>
  <si>
    <t>Fridays preferred. Open to combining visits if possible. -JE 4/17/25</t>
  </si>
  <si>
    <t>-needs to fill out reproductive form, *stool</t>
  </si>
  <si>
    <t xml:space="preserve">IV 5/22: will drive, or might need uber </t>
  </si>
  <si>
    <t>Would like to combine visits if possible. -JE 4/17/25</t>
  </si>
  <si>
    <t xml:space="preserve">978 husband </t>
  </si>
  <si>
    <t xml:space="preserve">IV 5/22: needs uber </t>
  </si>
  <si>
    <t xml:space="preserve">no blood , done at keck </t>
  </si>
  <si>
    <t>DBS-1071</t>
  </si>
  <si>
    <t xml:space="preserve">Scan:8:30am-9:30am </t>
  </si>
  <si>
    <t>shifted to start at 8am</t>
  </si>
  <si>
    <t>Will need new clincard 4/24/25 -JE ;; Left vm 4/17/25 -JE</t>
  </si>
  <si>
    <t>*Stool</t>
  </si>
  <si>
    <t>DBS-1152</t>
  </si>
  <si>
    <t xml:space="preserve">Scan:9:00am-10:00am </t>
  </si>
  <si>
    <t xml:space="preserve">IV 6/23: bd+np, will drive </t>
  </si>
  <si>
    <t>DBS-1076</t>
  </si>
  <si>
    <t xml:space="preserve">Cheking Aug dates with Kat. Green light to book back to back. New date 8/11/25. 7/14/25 JE ;; Needs new date. Waiting on call back from second MRI visit that week to possible swap dates. Otherwise will be schedueld for Aug. Was scheduled for 7/21/25. 7/11/25 -JE ;; </t>
  </si>
  <si>
    <t xml:space="preserve">New date. Was scheduled for 7/21/25. 7/11/25 -JE ;; IV 6/23: mri+ cv, will drive </t>
  </si>
  <si>
    <t>DBS-1000</t>
  </si>
  <si>
    <t>Scan:9:30am-10:30am</t>
  </si>
  <si>
    <t xml:space="preserve"> no blood, done at keck</t>
  </si>
  <si>
    <t xml:space="preserve">DROPPED NOV 2025 ;; Waiting for reply - sent follow up group text 11/19/25 JE ;; Said she needs to talk to her sis and then will call back. 11/12/25 JE ;; Asked for more time before scheduling anything. Check back next month. 10/3/25 JE ;; Follow up in October. 0414 expressed that 0379 shared she may not want to cont. bc they have fam problems att. BUT opened to beinging contacted again in a few months... 8/4/25 JE ;; Contact 0379 to schedule they want visits to be together. 0414 is ok with any day 0379 is able to do. </t>
  </si>
  <si>
    <t>DBS-0969</t>
  </si>
  <si>
    <t>MRI done on 06/02/26</t>
  </si>
  <si>
    <t xml:space="preserve"> no blood , done at keck </t>
  </si>
  <si>
    <t>DBS-0798</t>
  </si>
  <si>
    <t>DBS-1106</t>
  </si>
  <si>
    <t>Shared that due to family matters no longer able to continue. And her sis either. 11/21/25 JE ;;  No answer. Called back and said she might still be interested but her sis no. Will call back. 11/19/25 JE ;; Said she will call back. 11/12/25 JE ;; Asked for more time before scheduling anything. Check back next month. 10/3/25 JE ;; Asked to set up schedule with 0379 (related) to be the same day. 5/22/25 -JE</t>
  </si>
  <si>
    <t>DBS-1119</t>
  </si>
  <si>
    <t>January '26</t>
  </si>
  <si>
    <t>DBS-1092</t>
  </si>
  <si>
    <t xml:space="preserve">DROPPED NOV 2025 ;; Waiting for reply - sent follow up group text 11/19/25 JE ;; Follow up in October. 0414 expressed that 0379 shared she may not want to cont. bc they have fam problems att. BUT opened to beinging contacted again in a few months... 8/4/25 JE ;; MJ 07/30:Will talk to sister,,texted MRI dates available Takes care of kids and will bedifficult to schedule long visits in July. Schedule for late August. Visit will be w/ sister. day 1 - MRI, NP / day 2- CV, BD 5/22/25 -JE </t>
  </si>
  <si>
    <t xml:space="preserve">Never answered but sis shared she will likely not cont. 11/21/25 JE ;; No answer. 11/19/25 JE ;; Left vm. 10/3/25 JE ;; Has not set up date. Left vm. 7/23/25 JE ;; Days offered are august 25, 27, 29. Asked to give her a call back. Needs to check her dates 7/3/25 JE ;; Not able to scheduel till IRB renewal is cleared. 5/22/25 -JE </t>
  </si>
  <si>
    <t>DBS-1134</t>
  </si>
  <si>
    <t>last min switch 0981 original to 1016 fill in</t>
  </si>
  <si>
    <t>MJ 06/25: Driving</t>
  </si>
  <si>
    <t xml:space="preserve">Scan:8:00am-9:00am  </t>
  </si>
  <si>
    <t>last min switch 0916 original to 0935 fill in</t>
  </si>
  <si>
    <t>DBS-1263</t>
  </si>
  <si>
    <t>No vmb. Sent text. Open conversation through text. 6/2/25 JE ;; No vmb. Will try again. 5/22/25 -JE</t>
  </si>
  <si>
    <t xml:space="preserve">MJ 06/25: call failed,,sent text IV 6/24: call cannot go thru </t>
  </si>
  <si>
    <t xml:space="preserve">Participant cancelled last min no fill in available </t>
  </si>
  <si>
    <t xml:space="preserve">MJ 06/25: May need an Uber </t>
  </si>
  <si>
    <t>Scan:8:30am-9:30am</t>
  </si>
  <si>
    <t xml:space="preserve"> arrived a little late, started ASAP </t>
  </si>
  <si>
    <t xml:space="preserve">New MRI date 7/21/25. Does not need to draw blood. 7/16/25 JE ;; Came in for MRI on 7/14/25 but was not able to complete scan due to feeling dizzy (blood sugar may have been low). Would like to reschedule. New date TBD. 7/14/25 JE </t>
  </si>
  <si>
    <t>DBS-1143</t>
  </si>
  <si>
    <t>DBS-1012</t>
  </si>
  <si>
    <t>DBS-1246</t>
  </si>
  <si>
    <t>MJ 07/22: Left VM + sent text 6/25 NC Mailed Letter ;; Was on vacation but is back now and ready to schedule. JE</t>
  </si>
  <si>
    <t>Spot was not filled</t>
  </si>
  <si>
    <t>DBS-1085</t>
  </si>
  <si>
    <t>DBS-1167</t>
  </si>
  <si>
    <t xml:space="preserve">Scan:10:30am-11:30am </t>
  </si>
  <si>
    <t xml:space="preserve">Blocked out by kat for us to schedule once IRB clears. 7/3/35 JE;; Left vm and sent text. 6/24/25 JE ;; Left vm. 6/5/25 JE </t>
  </si>
  <si>
    <t>MJ 07/22: Uber needed</t>
  </si>
  <si>
    <t>DBS-1276</t>
  </si>
  <si>
    <t xml:space="preserve">  </t>
  </si>
  <si>
    <t>DBS-0928</t>
  </si>
  <si>
    <t>DBS-1392</t>
  </si>
  <si>
    <t xml:space="preserve">IV 07/1: wanted to add cv mri day, bd+np other date Prefers Tuesdays if possible. Advance notice opens availability. JE </t>
  </si>
  <si>
    <t>Can't continue, MRI incomplete</t>
  </si>
  <si>
    <t xml:space="preserve">Scan:9:30am-10:30am </t>
  </si>
  <si>
    <t xml:space="preserve">due jan. cam in late </t>
  </si>
  <si>
    <t>DBS-0985</t>
  </si>
  <si>
    <t xml:space="preserve">Left vm. 6/5/25 JE </t>
  </si>
  <si>
    <t>Needs new date. Will get his schedule for September Aug 30th. New date TBD BD and NP combined. 8/14/25 JE ;; MJ 07/31: Rescheduled visit for 08/18</t>
  </si>
  <si>
    <t>2nd year came late in july</t>
  </si>
  <si>
    <t xml:space="preserve">MJ 01/23: Pt DBS-0789 canceled ahead of time on 1/23/26. Removed from CIA and Perry notified. </t>
  </si>
  <si>
    <t>DBS-1079</t>
  </si>
  <si>
    <t>no mri</t>
  </si>
  <si>
    <t>Open to schedule. excpt will be going out of the country Aug 22 (or sooner) for about two weeks. JE</t>
  </si>
  <si>
    <t xml:space="preserve">cancelled day prior no fill in found </t>
  </si>
  <si>
    <t>DBS-1190</t>
  </si>
  <si>
    <t xml:space="preserve">Participant moved. Originally scheduled for 8/7. New date 7/28. 7/23/25 JE </t>
  </si>
  <si>
    <t>DBS-1059</t>
  </si>
  <si>
    <t>DBS-1218</t>
  </si>
  <si>
    <t>Some pain walking. Needs to move slowly. Had shoulder surgery. In rehab but should be better by August. Ok to schedule. Not working att. Open. JE</t>
  </si>
  <si>
    <t xml:space="preserve">MJ 1/30: pt could not complete scan,,no sequences done. ;; Started but felt claustrophobic. Did not reschedule. </t>
  </si>
  <si>
    <t>DBS-1142</t>
  </si>
  <si>
    <t>Scan: 08:30am-10:30am</t>
  </si>
  <si>
    <t xml:space="preserve">Originally scheduled for 8/13/25 but changed to 8/25/25 due to kat being out. 7/23/25 JE ;; Left vm. 6/5/25 JE </t>
  </si>
  <si>
    <t xml:space="preserve">Originally schedued for aug 4 but has an appointment she forgot about. Will come in on the 7 instead. 7/31/25 JE </t>
  </si>
  <si>
    <t>DBS-1231</t>
  </si>
  <si>
    <t>Febuary '26</t>
  </si>
  <si>
    <t xml:space="preserve"> Scan:8:00am-9:00am  </t>
  </si>
  <si>
    <t>DBS-1160</t>
  </si>
  <si>
    <t xml:space="preserve">Originally scheduled for 8/13/25 but changed to 8/22/25 due to kat being out. 7/23/25 JE </t>
  </si>
  <si>
    <t xml:space="preserve"> Scan:9:30am-10:30am</t>
  </si>
  <si>
    <t>DBS-1004</t>
  </si>
  <si>
    <t>6/25 NC Mailed Letter ;; Busy with church. But flexible-ish.... JE</t>
  </si>
  <si>
    <t>DBS-1133</t>
  </si>
  <si>
    <t xml:space="preserve">Kat out sick. New date needed. Funding pending... TBD... 8/20/25 JE ;; Blocked out by kat for us to schedule once IRB clears. 7/3/35 JE ;; Left vm and sent text. 6/24/25 JE ;; Left vm. 6/5/25 JE </t>
  </si>
  <si>
    <t>DBS-1095</t>
  </si>
  <si>
    <t>MJ 07/24: Would like a call back tomorrow to schedule</t>
  </si>
  <si>
    <t>DBS-1387</t>
  </si>
  <si>
    <t>DBS-1303</t>
  </si>
  <si>
    <t xml:space="preserve">Pref Friday , but open </t>
  </si>
  <si>
    <t xml:space="preserve">DROPPED DEC 2025 ;; Lost contact. All forms of contact exhausted. No reply. 12/3/25 ;;  DV 09/18: Mailed letter ;; Scheduled for 9/10/25 but has not been answering. Left vm, text and email. 9/8/25 JE ;; MJ 07/28: Left VM MJ 07/24: Left VM + sent text Would like to combine visits if possible. Needs to ask for permision at work. But flexible. </t>
  </si>
  <si>
    <t>Participant cancelled ahead of time. Removed from CIA.</t>
  </si>
  <si>
    <t xml:space="preserve">Did not answer or show for MRI. Waiting to hear back. Called, sent text, and email. 8/27/25 JE ;; Originally scheduled for 8/6/25 but asked to reschedule. New date 8/27/25. JE 8/4/25 ;; </t>
  </si>
  <si>
    <t>MJ 09/18: St to vm,,left vm</t>
  </si>
  <si>
    <t>DBS-1241</t>
  </si>
  <si>
    <t xml:space="preserve">MJ 2/4: Replaced by DBS-0770  </t>
  </si>
  <si>
    <t xml:space="preserve">2 SPANISH (2024), 2 SPANISH (2025, under 1276 for 6/30/25 #2)  </t>
  </si>
  <si>
    <t>DBS-1009</t>
  </si>
  <si>
    <t>September</t>
  </si>
  <si>
    <t>MRI done in 05/26</t>
  </si>
  <si>
    <t>IV 09/3: will drive MJ 09/02: left vm IV 8/28: left vm, sent text</t>
  </si>
  <si>
    <t>CTS 02/16 Canceled; was sick all wekend</t>
  </si>
  <si>
    <t xml:space="preserve">Tentative apt. set 9/19/25 JE ;; Open conversation through text. 7/23/25 JE ;; Left vm 7/22/25 JE </t>
  </si>
  <si>
    <t>DBS-1373</t>
  </si>
  <si>
    <t>IV 9/24: needs uber  MJ 09/15: Left VM + sent text MJ 09/08: Left VM + sent text IV 8/28: left vm, sent text</t>
  </si>
  <si>
    <t>DBS-1388</t>
  </si>
  <si>
    <t xml:space="preserve">Call if there is a cancellation this week. Has to reschedulde nov 18. New date dec 19. 11/10/25 JE ;; Scheduled during 3rd yr visit w/ IV. 10/3/25 JE ;; Sent follow up text. 10/1/25 JE ;; Is open and ready to schedule in November. She will send over date options to coordinate. 9/26/25 JE ;; Frw to vm. Sent text. 8/4/25 JE ;; Left vm 7/22/25 JE </t>
  </si>
  <si>
    <t>CTS 02/19 DBS-0916: Cancelled before 24hrs due to work constrains, removed from CIA and notified Perry</t>
  </si>
  <si>
    <t xml:space="preserve">IV 8/28: needs uber Thursday's prefered in the morning. 7/22/25 JE </t>
  </si>
  <si>
    <t>DBS-1318</t>
  </si>
  <si>
    <t>DBS-1523</t>
  </si>
  <si>
    <t>TOP</t>
  </si>
  <si>
    <t>IV 10/2: available Oct. 16,17,30,31, if we have any cancellations Left vm. 9/26/25 JE ;; IV 8/28: has to be after the 7th ;; Blocked for us by Kat. 7/23/25 JE</t>
  </si>
  <si>
    <t>DBS-1368</t>
  </si>
  <si>
    <t>October</t>
  </si>
  <si>
    <t>March '26</t>
  </si>
  <si>
    <t>MJ 09/18: Left VM + sent text</t>
  </si>
  <si>
    <t>Changed from 13 and 16</t>
  </si>
  <si>
    <t>DBS-1202</t>
  </si>
  <si>
    <t>DBS-1341</t>
  </si>
  <si>
    <t>Scan: 7:30-8:30am</t>
  </si>
  <si>
    <t xml:space="preserve">2 ENGLISH </t>
  </si>
  <si>
    <t xml:space="preserve">DROPPPED NOV 2025 ;; Spouse called in after receiving letter. Informed that participant passed Dec 2024 11/10/25 JE ;; Letter mailed out. All forms of contact exhausted. No answer 11/4/25 JE ;; MJ 10/28: Left VM + sent text IV 10/3: left vm, sent text  IV 9/23: left vm, sent text </t>
  </si>
  <si>
    <t xml:space="preserve">Straight to vm. Left message and notified of letter going out in mail. 10/31/25 JE ;; Again to vm. No response to text. Sent email to one on file and w edit. 10/22/25 JE ;; Straight to vm again. Left vm and sent text. 10/15/25 JE ;; Stright to vm. Left vm. 10/1/25 JE </t>
  </si>
  <si>
    <t xml:space="preserve">came late in august, contact via email in case in guatemala </t>
  </si>
  <si>
    <t>Scan: 9:00am - 10:00am</t>
  </si>
  <si>
    <t xml:space="preserve">came late in august, lives in bakersfield needs to bus to LA, might need uber to location near us </t>
  </si>
  <si>
    <t>DBS-1347</t>
  </si>
  <si>
    <t>Scan: 10:00am-11:00am</t>
  </si>
  <si>
    <t xml:space="preserve">1 SPANISH (2024), 2 SPANISH (2025 #1) [Ignore #2 that is for 1241] </t>
  </si>
  <si>
    <t>MJ 09/18: Left VM + could not send text</t>
  </si>
  <si>
    <t>DBS-1455</t>
  </si>
  <si>
    <t xml:space="preserve"> Cancelled by Perry. 3/9/26  JE</t>
  </si>
  <si>
    <t>Got a new phone. Reminder of her other visits. MRI also set. 10/1/25 JE</t>
  </si>
  <si>
    <t>DBS-1491</t>
  </si>
  <si>
    <t>CTS 03/26, DBS-0916 Cancelled morning of, was not able to fill.</t>
  </si>
  <si>
    <t>IV 9/24: needs uber MJ 09/18: Would like a call back later, Called, no answer, left text message asking to confirm for 10/20 CTS. (Confirmed 10/17) -CTS</t>
  </si>
  <si>
    <t>DBS-1480</t>
  </si>
  <si>
    <t>April '26</t>
  </si>
  <si>
    <t xml:space="preserve">Needs after 8am bc drops off kids at school. Not able to do Fridays. 10/3/25 JE ;; IV 9/24: mentioned she's kind of scared of MRI, recently had bad experience </t>
  </si>
  <si>
    <t>DBS-1063</t>
  </si>
  <si>
    <t>DBS-1521</t>
  </si>
  <si>
    <t>MJ 09/19: Could not leave VM + sent text</t>
  </si>
  <si>
    <t xml:space="preserve"> Scan:9:00am-10:00am  </t>
  </si>
  <si>
    <t xml:space="preserve">Answered but is busy att and wants to look at dates to plan around husbands dc apt. Will call back. 10/22/25 JE ;; Left vm and sent text. 10/15/25 JE ;; Straight to vm, box full. 10/3/25 JE </t>
  </si>
  <si>
    <t>lives near MJ 09/19: Left VM + sent text</t>
  </si>
  <si>
    <t>DBS-1497</t>
  </si>
  <si>
    <t>Started but did not complete scan. Returned 05/18/26</t>
  </si>
  <si>
    <t>Called to see if she could fill in but na. Keeps original date 10/28/25 JE ;; Left vm. Ended up schdeuling in person. 10/3/25 JE</t>
  </si>
  <si>
    <t>DBS-1415</t>
  </si>
  <si>
    <t>MJ 09/19: work bad hours,, off of work at 2:30 pm,,cannot do Mondays AM</t>
  </si>
  <si>
    <t>DBS-1156</t>
  </si>
  <si>
    <t xml:space="preserve">Canceled in advance on CIA </t>
  </si>
  <si>
    <t xml:space="preserve"> Scan:8:30am-9:30am  </t>
  </si>
  <si>
    <t>LAB Error</t>
  </si>
  <si>
    <t>Scehduled for jan , update cia with id number 11/17/25 IV ;; Left vm. 11/12/25 JE ;; Interested in december to request day off. 10/23/25 IV ;; Sent text to try and coordinate date. 10/15/25 JE ;; MJ 09/19: work bad hours,, off of work at 2:30 pm,,cannot do Mondays AM</t>
  </si>
  <si>
    <t>IV 10/23: confirmed MJ 09/19: Pending date w/ Dr Harrington</t>
  </si>
  <si>
    <t>DBS-1418</t>
  </si>
  <si>
    <t xml:space="preserve">IV:needs uber, new date confirmed 10/10: needs to reschedulem had to work IV 9/23: left vm, sent text , answered </t>
  </si>
  <si>
    <t>DBS-1385</t>
  </si>
  <si>
    <t>Called to see if avai for fill in but na. 11/4/25 JE ;; Not availabe wednesdays. 10/3/25 JE</t>
  </si>
  <si>
    <t>MRI scanner down. Not charged. New date 4/30/26</t>
  </si>
  <si>
    <t xml:space="preserve">IV 9/23: will drive </t>
  </si>
  <si>
    <t>Rescheduled for 05/19,,MRI down</t>
  </si>
  <si>
    <t>1 SPANISH (2024) and 2 SPANISH (2025-2026)</t>
  </si>
  <si>
    <t>DBS-1187</t>
  </si>
  <si>
    <t xml:space="preserve">Answered - needs wednesdays. 12/18/25 JE ;; Not answering. Sent follow up text. Responded not ready yet...11/19/25 ;; Seemed more open but would like more time. Call after nov 5th 10/22/25 JE ;; IV 9/23: not comfortable coming rn, immigration, call back in a month </t>
  </si>
  <si>
    <t>Cancelled by Perry on 4/20/26. New date June 11th</t>
  </si>
  <si>
    <t>Needs Uber. 1/14/26 JE</t>
  </si>
  <si>
    <t xml:space="preserve">Needs wednesdays. 12/18/25 JE ;; Sent check in text. 12/1/25 JE ;; Sent to vm. Followed up with text. Responded that she did not feel safe to come in yet. I offered scheduling out for Jan. She said she will be in touch. 11/19/25 JE ;; Left vm. 11/12/25 JE ;; Seemed more open but would like more time. Call after nov 5th 10/22/25 JE ;; IV 9/23: not comfortable coming rn, immigration, call back in a month </t>
  </si>
  <si>
    <t>DBS-1462</t>
  </si>
  <si>
    <t xml:space="preserve">IV 10/14: moved to 10/21,  rescheduling due to rain IV 9/23: will drive </t>
  </si>
  <si>
    <t xml:space="preserve"> Scan:9:00am-10:00am </t>
  </si>
  <si>
    <t>Rescheduled for 06/16 ,,MRI down</t>
  </si>
  <si>
    <t xml:space="preserve">Avai this fri makeup 11/10/25 JE ;; Cancelled last min bacuse she had high temp fever. New date TBD.11/4/25 JE ;; Left vm. Called back. Needs Tuesdays. 10/3/25 JE </t>
  </si>
  <si>
    <t>Rescheduled for 06/02,,MRI down</t>
  </si>
  <si>
    <t xml:space="preserve">DROPPED DEC 2025 ;; All forms of contact exhausted. No answer. 12/3/2025 ;; Letter mailed out. All forms of contact exhausted. No answer. 11/4/25 JE ;; MJ 10/21: left vm + sent text IV 10/03: left vm sent text IV 9/23: left vm, sent text </t>
  </si>
  <si>
    <t>DBS-1622</t>
  </si>
  <si>
    <t>DBS-1335</t>
  </si>
  <si>
    <t xml:space="preserve">Left vm and notified of card going out in mail. 10/31/25 JE ;; Straight to vm. No reply to text. Sent email. 10/22/25 JE ;; Straight to oppperator. Left vm and sent text. 10/15/25 JE ;; Left vm. 10/3/25 JE </t>
  </si>
  <si>
    <t>came dec. 2025 due to hand injury</t>
  </si>
  <si>
    <t>May '26</t>
  </si>
  <si>
    <t>IV 10/14: prefers to wait to january Will be traveling end of october till mid-end of december ;; MRI in oct - do np,cv,bd ~ in dec/jan, came 10 months late</t>
  </si>
  <si>
    <t>SP completed in person, Don't have forms + consent. Ask to recomplete?</t>
  </si>
  <si>
    <t>regular bd no h or extra tubes</t>
  </si>
  <si>
    <t>DBS-1396</t>
  </si>
  <si>
    <t>came yr late, treat as a 3rd year</t>
  </si>
  <si>
    <t>DBS-1315</t>
  </si>
  <si>
    <t>DBS-1605</t>
  </si>
  <si>
    <t>did MRI April 2025</t>
  </si>
  <si>
    <t xml:space="preserve">DBS-0916 rescheduled from the 22nd to the 6th </t>
  </si>
  <si>
    <t xml:space="preserve">Sent text. Open convo. Veterans day may work. 10/15/25 JE ;; Busy at work. Complicated scheduled. Will call back. 10/6/25 JE Canceled BD on 11/26/25, will call back. CTS </t>
  </si>
  <si>
    <t>DBS-1139</t>
  </si>
  <si>
    <t>DBS-1079 inelligible due to Medtronic implant; cancelled ahead of time. 04/30</t>
  </si>
  <si>
    <t>MJ 10/21: uber needed</t>
  </si>
  <si>
    <t>LP pending, *Stool</t>
  </si>
  <si>
    <t>DBS-1530</t>
  </si>
  <si>
    <t xml:space="preserve">Avail lun martes, or fri nov 7th. Not avai today 11/4/25 JE  </t>
  </si>
  <si>
    <t xml:space="preserve">Replacement found: DBS-1218; working on </t>
  </si>
  <si>
    <t>DBS-1508</t>
  </si>
  <si>
    <t>MJ 10/21: Uber needed from home address //Left VM + sent text</t>
  </si>
  <si>
    <t xml:space="preserve">notified Perry to cancel. no fill in avai -JE </t>
  </si>
  <si>
    <t xml:space="preserve">*omit logical memory, gets emotional </t>
  </si>
  <si>
    <t xml:space="preserve">Needs uber (home address) 10/6/25 JE </t>
  </si>
  <si>
    <t>LP maybe, *Stool</t>
  </si>
  <si>
    <t>DBS-1601</t>
  </si>
  <si>
    <t>DBS-1515</t>
  </si>
  <si>
    <t xml:space="preserve">Works. Only availabe Fridays. 10/6/25 JE </t>
  </si>
  <si>
    <t>DBS-1593</t>
  </si>
  <si>
    <t>Need Fridays. 10/6/25 JE</t>
  </si>
  <si>
    <t>DBS-1575</t>
  </si>
  <si>
    <t xml:space="preserve">MJ 11/07: Will give me a call back,,she was at work and busy all day Works three part time jobs 7 days. </t>
  </si>
  <si>
    <t>DBS-1629</t>
  </si>
  <si>
    <t xml:space="preserve"> Scan:1:00pm-2:00pm  </t>
  </si>
  <si>
    <t xml:space="preserve">DBS-1160 scan. On CIA calendar note: DBS-1218. DBS-1218 filled 5/13 for DBS-1160. 5/19/26 JE ;; Replacemend needed, ask DBS-1009 </t>
  </si>
  <si>
    <t>DBS-1505</t>
  </si>
  <si>
    <t>MRI Failed, *Stool</t>
  </si>
  <si>
    <t xml:space="preserve">Left vm and sent text. Paerticipant reponded. Is very busy. She requested to come in pm even though it is fasting. 10/15/25 JE ;; Left vm. 10/6/25 JE </t>
  </si>
  <si>
    <t>LP maybe, *stool</t>
  </si>
  <si>
    <t>MJ 10/22: Would like a call back in 30 minutes</t>
  </si>
  <si>
    <t>DBS-1579</t>
  </si>
  <si>
    <t>DBS-1674</t>
  </si>
  <si>
    <t xml:space="preserve">Cancelled short notice bc not feeling well. New day tbd. 10/28/25 JE </t>
  </si>
  <si>
    <t>DBS-1284</t>
  </si>
  <si>
    <t>MJ 11/25: Would like a call back in 15 min MJ 10/22: could not leave vm + text sent Open to schedule but will be traveling to mex. Dates tbd around nov 20th 10/7/25 JE</t>
  </si>
  <si>
    <t>Vmb full. Participant sent text to text instead. Asked for availability tomorrow or nov. Open convo. 10/6/25</t>
  </si>
  <si>
    <t>Cancelled ahead of time on CIA. DBS-1059 moved to June 23 -JE</t>
  </si>
  <si>
    <t>***</t>
  </si>
  <si>
    <t>Works every other friday has oct 17 off and so forth</t>
  </si>
  <si>
    <t>June '26</t>
  </si>
  <si>
    <t xml:space="preserve">Scan:11:00am-12:00pm </t>
  </si>
  <si>
    <t>DBS-1664</t>
  </si>
  <si>
    <t>Did intro. Call suddenly ended. Sent follow up text to call back. 10/15/25 JE ;; No ring, no vm. Phoen temp unavai. 10/6/25 JE</t>
  </si>
  <si>
    <t>DBS-1619</t>
  </si>
  <si>
    <t xml:space="preserve">MJ 10/28: Left VM + sent text She is a teacher and would like to come in dec if possible closer to holiday </t>
  </si>
  <si>
    <t>Canceled ahead of time on CIA. DBS-1202 new date pending -MJ</t>
  </si>
  <si>
    <t>DBS-1608</t>
  </si>
  <si>
    <t>CV Pending, *Stool</t>
  </si>
  <si>
    <t>Nov may not work. She is a teacher and would like to come in dec instead. Open convo through text. 10/9/25 JE ;; Driving. Follow up with a text to confirm. 10/6/25 JE</t>
  </si>
  <si>
    <t>DBS-1734</t>
  </si>
  <si>
    <t>DBS-1705</t>
  </si>
  <si>
    <t>DBS-1556</t>
  </si>
  <si>
    <t>DBS-1625</t>
  </si>
  <si>
    <t>DBS-1662</t>
  </si>
  <si>
    <t>MRI incomplete, *Stool</t>
  </si>
  <si>
    <t>DBS-1727</t>
  </si>
  <si>
    <r>
      <rPr>
        <rFont val="Arial"/>
        <color theme="1"/>
      </rPr>
      <t xml:space="preserve">Booked </t>
    </r>
    <r>
      <rPr>
        <rFont val="Arial"/>
        <b/>
        <color theme="1"/>
      </rPr>
      <t>DBS-1392</t>
    </r>
    <r>
      <rPr>
        <rFont val="Arial"/>
        <color theme="1"/>
      </rPr>
      <t xml:space="preserve"> on 05/26/26 CTS</t>
    </r>
  </si>
  <si>
    <t>DBS-1576</t>
  </si>
  <si>
    <t xml:space="preserve"> Scan:9:30am-10:30am </t>
  </si>
  <si>
    <t>MJ 11/25: Scheduled 01/12/26  MJ 10/22: left vm + sent text Needs Mondays time 10am preferred. Book MRI as soon as possible</t>
  </si>
  <si>
    <t>Cancelled ahead of time on CIA. Participant 0798 dropped out 5/22/26 JE</t>
  </si>
  <si>
    <t>Left vm. Called back and scheduled. Needs Mondays. 2/6/26 JE ;; Cancelled again feb 2nd. Said she needed to take husband to doc. New date TBD. 2/1/26 ;; Cancelled jan 12. New date set 1/9/25 JE</t>
  </si>
  <si>
    <t>DBS-1554</t>
  </si>
  <si>
    <t>Left vm and sent text. Participant called back but did not answer on time. Will try again. 10/15/25 JE ;; Left vm. 10/3/25</t>
  </si>
  <si>
    <t>DBS-1735</t>
  </si>
  <si>
    <t xml:space="preserve">Participant called in to cancel. Needs new date. Available Mondays. Emailed MJ to update 11/12/25 JE </t>
  </si>
  <si>
    <t>DBS-1695</t>
  </si>
  <si>
    <t>IV 12/9: will do everything mri day, needed to reschdule IV 11/25: np,cv, will drive</t>
  </si>
  <si>
    <t>DBS-1703</t>
  </si>
  <si>
    <t>LP maybe</t>
  </si>
  <si>
    <t>DBS-1725</t>
  </si>
  <si>
    <t>Rescheduled to july 16th ahead of time. JE 6/22/26</t>
  </si>
  <si>
    <t xml:space="preserve">Responded to text that he was in mex. Still interested and open to schedule. Open text convo. Avai 2,9,16,23,30 of Jan 11/7/25 JE ;; Vmb not set up. No respod to text. Sent email. 11/5/25 JE ;; Same operator message. Sent text. 10/31/25 JE ;; Vmb not set up. Will try again. 10/24/25 JE </t>
  </si>
  <si>
    <t xml:space="preserve">bd on mri day </t>
  </si>
  <si>
    <t>No answer. Sent text. Available to come in Jan for other visits. 12/17/25 JE ;; MJ 12/02: Could not leave vm,, sent text New phone update on redcap. MRI scheduled for feb but may be able to come to other visits sooner. 12/1/25 JE ;; IV 12/1: left vm, sent text &amp; email MJ 11/25: Couldnt leave vm + sent text</t>
  </si>
  <si>
    <t>July '26</t>
  </si>
  <si>
    <t xml:space="preserve">Shared new num preference - update on redcap. Needs 9am apt bc she does school am drop off. Call if cancelation on wed pref 12/1/25 JE ;; No answer. No vm. 11/19/25 JE ;; Left vm, sent text and email. 11/12/25 JE ;; Straight to vm. Sent text. 10/31/25 JE ;; Left vm. 10/24/25 JE </t>
  </si>
  <si>
    <t xml:space="preserve">-needs to fill out reproductive form </t>
  </si>
  <si>
    <t xml:space="preserve">Cancelled ahead of time on the CIA. </t>
  </si>
  <si>
    <t>August '26</t>
  </si>
  <si>
    <t>IV 12/1: doing everything in one day, needs uber  IV 11/24: will call me back, Started a new job about a month ago. Goes in at 7am-4pm. Has the week off dec 22nd off. 10/24/25 JE</t>
  </si>
  <si>
    <t>1373 fill in for 1187;; Blocked by Perry. 6/15/26 JE ;; Emailed perry to block. Reply pending. JE 6/12/26</t>
  </si>
  <si>
    <t>Started a new job about a month ago. Goes in at 7am-4pm. 10/24/25 JE</t>
  </si>
  <si>
    <t>DROPPED DEC 2025 ;; MJ 12/02: Text message sent bc he's at work. Messaged he is moving to OK- no longer able to cont. MJ 11/26: (pronounced Nahoom) will give me a call back on his lunch break Wednesdays day off. Works. Call around 5pm</t>
  </si>
  <si>
    <t>DBS-1388 Rescheduled by CT - covered cancellation by DBS-1063 on the aug 13;; Cancelled by Kat last min. 8/10/26 JE ;; Scheduled  ;; Perry will put it on hold until continuing review is approved - CTS</t>
  </si>
  <si>
    <t>Scan:10:30am-11:30am</t>
  </si>
  <si>
    <t xml:space="preserve">Busy again. Will call back...Gets home late. Requested 10am apt.10/31/25 JE ;; Busy at work. Will call back 10/24/25 JE </t>
  </si>
  <si>
    <t>Confirmed on CIA CTS 08/10; Perry will put it on hold until continuing review is approved -MJ</t>
  </si>
  <si>
    <t xml:space="preserve">MJ 11/25: Offered 12/10  Left VM,,sent text </t>
  </si>
  <si>
    <t>Rescheduled from 08/10/26: CTS 08/11/26 Confirmed on CIA CTS 08/10; Perry will put it on hold until continuing review is approved -MJ</t>
  </si>
  <si>
    <t>pending time</t>
  </si>
  <si>
    <t xml:space="preserve">She responded to text. Open convo through text 11/08/25 JE ;; Followed up 11/5/25 JE ;; Vmb full. Sent text...Replied. Open covo. 10/31/25 JE ;; Left vm. 10/24/25 JE </t>
  </si>
  <si>
    <t xml:space="preserve">Scan:11:30 pm-12:30pm </t>
  </si>
  <si>
    <t>MJ 08/16: pt canceled,,I cannot remove it from CIA,,sent email Confirmed on CIA CTS 08/10; Scheduled  ;; Asked Kat to put it on hold -MJ</t>
  </si>
  <si>
    <t>Confirmed on CIA CTS 08/10; Emailed perry to block. Confirmed. JE 6/16/26</t>
  </si>
  <si>
    <t>IV 11/24: will drive Fridays day off. Arrived at 8:30am, did MRI first then everything else. CTS 01/9/26</t>
  </si>
  <si>
    <t>Confirmed on CIA CTS 08/10; Emailed perry to block. Confirmed. JE 7/15/26</t>
  </si>
  <si>
    <t xml:space="preserve">Available fridays. Open to fill in if any cancellations. 10/31/25 JE ;; Vmb full. 10/28/25 JE </t>
  </si>
  <si>
    <t>IV 12/1: seemed like call dropped, sent text, responded with a date, will drive   MJ 11/25: Left VM and sent text</t>
  </si>
  <si>
    <t>Confirmed on CIA CTS 08/10;Called and confirmed with Kat for afternoon CTS 07/22</t>
  </si>
  <si>
    <t xml:space="preserve">Left vm. Lead called back and scheduled for nov. Call if there is a cancellation. 10/28/25 JE </t>
  </si>
  <si>
    <t>MJ 12/10: texted to rescheduled bc she is sick MJ 11/25: Driving to visit,,off on Thursday and Fridays</t>
  </si>
  <si>
    <t>MJ 02/04: Pt went to urgent care and needed to reschedule MJ 2/2: Scheduled for 2/4 MJ 1/27: Follow up</t>
  </si>
  <si>
    <t>Participant cancelled due to cough. Moved to jan. 12/18/25 JE ;; New date dec 19. 11/21/25 ;; Reminder text sent. Participant said she needs to reschedule. Needs Thursday or Friday. New day TBD. 11/20/25 JE</t>
  </si>
  <si>
    <t>DBS-1684</t>
  </si>
  <si>
    <t>MRI Did not start</t>
  </si>
  <si>
    <t>MJ 12/17: uber needed Answered letter. Called in and let us know he got a new num. Updated redcap. 12/4/25 JE ;; Letter mailed out. 12/2/25 JE ;; MJ 11/25: Left VM + sent text No answer since oct. No email on red cap</t>
  </si>
  <si>
    <t>DBS-1630</t>
  </si>
  <si>
    <t xml:space="preserve">Filled in last min for scan tomorrow. 12/18/25 JE ;; Called in after receiving letter. Date TBD. 12/4/25 JE ;; Left vm and sent text. 12/1/25 JE ;; Answers and hangs up. 11/19/25 JE ;; Straight to vm. Sent text. 11/12/25 JE ;; Answered but hung up. When I called back, was sent to vm. Left vm adn sent text. 11/5/25 JE ;; Left vm and sent text. 10/31/25 JE ;; Left vm. 10/28/25 JE </t>
  </si>
  <si>
    <t>MRI Failed</t>
  </si>
  <si>
    <t>DBS-1053</t>
  </si>
  <si>
    <t>Missed MRI</t>
  </si>
  <si>
    <t>DBS-1199</t>
  </si>
  <si>
    <t>DBS-1492</t>
  </si>
  <si>
    <t>September '26</t>
  </si>
  <si>
    <t xml:space="preserve">Missed MRI, *stool </t>
  </si>
  <si>
    <r>
      <rPr>
        <rFont val="Arial"/>
        <color theme="1"/>
      </rPr>
      <t xml:space="preserve">IV 2/6: needs uber IV 2/3: left vm, sent text, will schedule friday  IV 1/30: left vm IV 1/23: </t>
    </r>
    <r>
      <rPr>
        <rFont val="Arial"/>
        <b/>
        <color theme="1"/>
      </rPr>
      <t>CALL AFTER TUESDAY</t>
    </r>
    <r>
      <rPr>
        <rFont val="Arial"/>
        <color theme="1"/>
      </rPr>
      <t xml:space="preserve">  went over visits &amp; compensation, interested, follow up after trip. JE He expressed dissatisfaction with compensation and may not cont. 10/31/25 JE  </t>
    </r>
  </si>
  <si>
    <t>DBS-1645</t>
  </si>
  <si>
    <t>MRI is down, canceled by Kat; Participant is rescheduled. CTS 09/10</t>
  </si>
  <si>
    <t>DBS-1677</t>
  </si>
  <si>
    <t xml:space="preserve">Will call back if he decides to cont? 10/31/25 JE ;; Left vm and sent text. 10/31/25 JE ;; Left vm. 10/28/25 JE </t>
  </si>
  <si>
    <t xml:space="preserve">MJ 02/04: booked for open space on feb 12 CTS 01/26 Wants to reschedule MRI IV 12/22: will drive MJ 12/11: Left VM + sent text </t>
  </si>
  <si>
    <t>IV Was originally scheduled for jan 26 new date tbd</t>
  </si>
  <si>
    <t xml:space="preserve">Left vm and sent email. 11/19/25 JE ;; Straight to vm again. Sent text. 11/12/25 JE ;; Straight to vm. Left message. 11/5/25 JE </t>
  </si>
  <si>
    <t>bd on MRI day</t>
  </si>
  <si>
    <t>Called in to request sooner date. Moved from the 22nd of may to the 6th 4/30/36 JE ;; All day requested. Schedueld for may 22nd. 4/22/26 JE ;; Left vm. 3/31/26 JE ;; CTS 03/26: Cancelled morning of due to car troubles; will reschedule CTS 03/10: Texted reminder. CTS 02/20: Texted to ask for reschedule for March. CTS 02/19 Texted back to cancel, wants to come in March MJ 12/17: Left VM + sent text; Texted back to cancel; needs to be rescheduled for 01/15/26 if possible CTS 01/6/26 Called, sent to voicemail - CTS 01/13/26. MRI originally scheduled for jan 7th; Scheduled for February</t>
  </si>
  <si>
    <t>Called in to request sooner date. Moved from the 22nd of may to the 6th 4/30/36 JE ;; Left vm to check in. 3/31/26 JE ;; Carina notified that participant cancelled. New date pending... 3/26/26 JE ;; IV 2/3: left vm sent text, wants to do evrythign same day IV 1/5: left vm, confirming mri visit and if she wnats to add np/cv</t>
  </si>
  <si>
    <t xml:space="preserve">Called in to request sooner date. Moved from the 22nd of may to the 6th 4/30/36 JE ;; CTS 02/19 Called, texted, replied back needing to cancel due to work constrains CTS 01/14/26 Send MRI availability for February. Straight to vm. left message and sent text. Lead responded 11/12/25 JE ;; Followed up through text. 11/5/25 JE ;; Called to see if fill in but na. Will follow up will check her work schedule... 11/4/25 JE </t>
  </si>
  <si>
    <r>
      <rPr>
        <rFont val="Arial"/>
        <i val="0"/>
        <color theme="1"/>
      </rPr>
      <t xml:space="preserve">MRI is down, canceled by Kat; Participant is rescheduled. CTS 09/14 </t>
    </r>
    <r>
      <rPr>
        <rFont val="Arial"/>
        <i/>
        <color theme="1"/>
      </rPr>
      <t>09/10: Possible rescheduling, pending Kat's notification</t>
    </r>
  </si>
  <si>
    <t>MJ 12/17: Driving; Moved from jan 15 to jan 7th to cover cancellation CTS 01/06/27</t>
  </si>
  <si>
    <t>MRI down, participand unresponsive, Kat cancelled 09/16 CTS</t>
  </si>
  <si>
    <t>Pref thursdays. 11/5/25 JE ;; Called to see if fill in but na. Will follow up 11/4/25 JE  Offer Stool Kit and Study oartner survey 01/07/26 CTS</t>
  </si>
  <si>
    <t>Has Obama phone so phone number may change. But he remains interested in study. Please try alternative forms of contact if no answer. 2/3/26 JE ;; Rescheduled MRI to feb 3 but still coming in for cv and np tomorrow. 1/7/26 JE ;; IV 12/10: needs uber, everything same day, got new number, emailed me from diff email, updated Redcap 12/2 Phone not in service? No response. Letter mailed out. 12/2/25 JE</t>
  </si>
  <si>
    <t xml:space="preserve">Card mailed was returned today "return to sender", but IV was able to reach and schedule. 12/10/25 JE ;; Not able to reach. No response to email. 12/1/25 JE ;; Operator- "The person you have dialed is not availabe to receive calls at this time".... sent email. 11/19/25 JE ;; Operator again. Sent text. 11/12/25 JE ;; Operator. No vmb. Will try again. 11/5/25 JE </t>
  </si>
  <si>
    <t>MJ 12/17: Driving</t>
  </si>
  <si>
    <r>
      <rPr>
        <rFont val="Arial"/>
        <color theme="1"/>
      </rPr>
      <t>Cancelled ahead of time, needs to reschedule due to work conflicts (</t>
    </r>
    <r>
      <rPr>
        <rFont val="Arial"/>
        <b/>
        <color theme="1"/>
      </rPr>
      <t>DBS-1523</t>
    </r>
    <r>
      <rPr>
        <rFont val="Arial"/>
        <color theme="1"/>
      </rPr>
      <t>) CTS 09/29</t>
    </r>
  </si>
  <si>
    <t xml:space="preserve">DROPPED APRIL 2026 ;; No answer. No reply to previous attempts to contact. 4/23/26 JE ;; Letter sent out. 4/1/26 JE ;; MJ 02/17:OPTED OUT OF MRI Left VM + sent text  MJ 2/5: Called to schedule for feb 24,,mri available CTS 01/26/26 Called, might be available, call back at 5pm Needs to be rescheduled if she replies - CTS 01/14/26 MJ 12/17: was busy so will give a call back another day Wed or Fri avai, Cancelled last min. </t>
  </si>
  <si>
    <t>Letter sent out. 4/1/26 JE ;; MJ 03/11: Left VM + sent text Sent follow up text. ;; No reply to previous. 3/9/26 JE ;; Sent to vm. Left message and sent text. 3/5/26 JE ;; MJ 03/02: Left VM + sent text Sent check in text. 2/9/26 JE ;; No answer. Left vm. 1/27/26 JE ;; Was originally scheduled for jan 21 but cancelled.</t>
  </si>
  <si>
    <t>JE</t>
  </si>
  <si>
    <t xml:space="preserve">Participant communicated that she had been at the hospital. Will message to confirm avalibility. 1/16/26 JE </t>
  </si>
  <si>
    <t>October '26</t>
  </si>
  <si>
    <t xml:space="preserve">MJ 12/17: Could not leave VM + sent text Uber requested </t>
  </si>
  <si>
    <r>
      <rPr>
        <rFont val="Arial"/>
        <color theme="1"/>
      </rPr>
      <t>Cancelled, participant was injured and could not come (</t>
    </r>
    <r>
      <rPr>
        <rFont val="Arial"/>
        <b/>
        <color theme="1"/>
      </rPr>
      <t>DBS-1063</t>
    </r>
    <r>
      <rPr>
        <rFont val="Arial"/>
        <color theme="1"/>
      </rPr>
      <t>) CTS 10/06</t>
    </r>
  </si>
  <si>
    <t>IIv 1/23: reschelued IV 1/20: cancelled bc of stomach flu MJ 12/17: Might go to MX unsure of dates,. will follow up via text after the 12/20/25</t>
  </si>
  <si>
    <t>Vm. Text convo open. Scheduled 4/1/26 JE ;; Straight to vm but vmb not set up.Followed up with text. Still interested. Will call tomorrow. 3/31/26 JE ;; Cancelled due to work. New date pending... 3.25.26 JE ;; Might need Uber. 3/16/26 JE ;; Currently in Mex. Brother is sick. Should be back in about a week. Still interested. 3/5/25 JE ;;  IV 2/18: sent follow up text IV 2/11: waiting to hear back on available dates IV 1/23: a reschedule (originally for jan 21), moved to feb but dr. h wont be here, find a date for cv or??? MJ 01/05: Doing all visits in one day,, Follow up text sent</t>
  </si>
  <si>
    <r>
      <rPr>
        <rFont val="Arial"/>
        <color theme="1"/>
      </rPr>
      <t xml:space="preserve">Actual scan: </t>
    </r>
    <r>
      <rPr>
        <rFont val="Arial"/>
        <b/>
        <color theme="1"/>
      </rPr>
      <t>10:30am-11:30am</t>
    </r>
    <r>
      <rPr>
        <rFont val="Arial"/>
        <color theme="1"/>
      </rPr>
      <t>; Uber was late CTS 10/08</t>
    </r>
  </si>
  <si>
    <t xml:space="preserve">MJ 12/17: gave dates,,may want to do all visits in one day </t>
  </si>
  <si>
    <t>all visits in one day</t>
  </si>
  <si>
    <t>Left vm and sent text. She replied and is interested. Open convo through text... tentative jan 30...11/19/25 JE ;; Left vm. 11/12/25</t>
  </si>
  <si>
    <t>MJ 12/17:driving</t>
  </si>
  <si>
    <t>Scan:8:30am - 9:30am</t>
  </si>
  <si>
    <t xml:space="preserve">Last min fill in for 0657 11/4/25 JE </t>
  </si>
  <si>
    <t>CTS 01/26/26 Called to schedule for tomorrow, left VM; Is scheduled for Feb. MJ 1/23: Canceled in advance was scheduled for jan 26. MJ 12/17: doing all visits in one day Left VM + sent text</t>
  </si>
  <si>
    <t>Left vm. Called back to schedule. NP and CV diff days. 1/27/26 JE</t>
  </si>
  <si>
    <t>Vmb full. Will try again. 11/12/25</t>
  </si>
  <si>
    <t>November '26</t>
  </si>
  <si>
    <t>CTS 01/14/26 Moved up from scheduled visit on 02/06/26</t>
  </si>
  <si>
    <t xml:space="preserve">Left vm.Called back and scheduled. 12/16/25 JE </t>
  </si>
  <si>
    <t>JE: May be traveling in Feb but no set date yet...</t>
  </si>
  <si>
    <t>JE: May be traveling in Feb but no set date yet...IV 1/6: scheduled at mri</t>
  </si>
  <si>
    <t xml:space="preserve">CALL IF CANCELLATION SOONER...Left vm. Called back and scheduled. 12/16/25 JE </t>
  </si>
  <si>
    <t xml:space="preserve">                                                                                                                                                                                                                                                                                                                                                                                                                                                                                                                                                                                                                                                              </t>
  </si>
  <si>
    <t>MJ</t>
  </si>
  <si>
    <t xml:space="preserve">MJ 01/02: needs to confirm if her husband can bring her </t>
  </si>
  <si>
    <t xml:space="preserve">Left vm. Called back and scheduled. 12/16/25 JE </t>
  </si>
  <si>
    <t>December '26</t>
  </si>
  <si>
    <t xml:space="preserve">IV: Monday requested...pref following mon from MRI. Coming from bakersfield - lives there 5 days of the week. </t>
  </si>
  <si>
    <t xml:space="preserve">IV 2/2: scheduled at mri, will drive IV 1/28: spoke with, will schedule day of her mri IV 1/23: left vm, V 1/5: left vm, attentping to schedule np/cv ,  Monday requested...pref following mon from MRI. Coming from bakersfield - lives there 5 days of the week. </t>
  </si>
  <si>
    <t xml:space="preserve">Needs to leave right after MRI to go back to work. Coming from bakersfield. Asked and provided with levels and weight of past years. 12/16/25 JE  </t>
  </si>
  <si>
    <t>DROPPED JAN 2026 ;; Called in to drop out. No time and too far. No longer interested. 1/14/26 JE ;; Called, left VM: CTS 01/5/26</t>
  </si>
  <si>
    <t>MJ 01/13: Left VM MJ 01/02: Left VM + sent text</t>
  </si>
  <si>
    <t xml:space="preserve">Left vm. 12/16/25 JE </t>
  </si>
  <si>
    <t>Called and scheduled for 02/04/26 - CTS 1/5/26</t>
  </si>
  <si>
    <t>Scan: 8:00am-9:00AM</t>
  </si>
  <si>
    <t xml:space="preserve">IV 2/4: completed cv, except neuro exam ; IV 1/30: approved to fill out medical history forms, leave nerological exam blank, if dr. H cant see her or evalauate IV 1/5: called me wanting to do everything same day, can only do np, dr. h out, will ask if he can do virtual </t>
  </si>
  <si>
    <t xml:space="preserve">Sent text to inform she is dropping out.Reason not provided. Scan scheduled for 6/16 cancelled on CIA 5/22/26 JE ;; martes y miercoles - will be in mex but open to fill in if date available next week 5/13/26 JE ;; Rescheduled due to machine maintenance. Original date for 4/28 new date 6/16. 4/23/26 JE ;; Scheduled. All all day visit. 3/18/26 JE ;; WAIT. GIVE SOME TIME. Sent check in text. 3/16/26 JE ;; CTS 03/10: Called, left VM CTS 03/04 Called, left VM, text. CALL BK IN MARCH ;; Family and work busy. Check in with her next month to plan for march visits all in one day. 1/21/26 JE ;; IV 1/20: left vm, Called, left VM: CTS 01/8/26, 01/14/26, </t>
  </si>
  <si>
    <t>New date. 4/23/26 JE ;; Scheduled. All all day visit. 3/18/26 JEParticipant sent hi text. Open convo... 3/17/26 JE ;; Follow up text sent. No reply to previous. 3/16/26 JE ;; Sent check in text. 3/5/26 JE ;; She would like to continue but is not sure when she will have time. Her son is in the middle of moving bk to ca. Family and work busy. Check in with her next month to plan for march visits all in one day. 1/21/26 JE ;; Left vm. 1/12/26 JE</t>
  </si>
  <si>
    <t xml:space="preserve"> DBS-0978</t>
  </si>
  <si>
    <t>Husband ;; Perry cancelled scan for the week due to scanner being down. New date set for June 11th. Scheduled with wife 4/20/26 JE Scheduled with wife. Will come in together next month. 3/9/26 JE ;; No answer. Sent check in text. 2/26/25 JE ;; MJ 02/23: Sent follow up text MJ 02/17: Left VM + sent text CTS 2/6 Was originally scheduled for feb 10th but cancelled due to accident, unable to come in the foreseeable future. Call back maybe March/April MJ 2/6: Left VM + sent text CTS 02/26 Called the wife, left VM CTS 02/5 Called, left VM Husband</t>
  </si>
  <si>
    <t xml:space="preserve"> Scan:9:30-10:30am </t>
  </si>
  <si>
    <t>MJ 01/02: Wanted to schedule for Jan 2026,,uber needed</t>
  </si>
  <si>
    <t xml:space="preserve">Left vm. Wife answered and programed his visit. Coming in feb 12/16/25 JE </t>
  </si>
  <si>
    <t xml:space="preserve">Wife ;; Perry cancelled scan for the week due to scanner being down. New date set for June 11th. 4/20/26 JE ;; Perry cancelled scan on 3/10. Rescheduled for 4/23. Will still come in for other visits. 3/9/26 JE  </t>
  </si>
  <si>
    <t>IV 2/11: wants to do everything all day IV schedule in march</t>
  </si>
  <si>
    <t>Traveling to tj. Will be see by docs in feb and would like to program for march instead. 12/16/25 JE</t>
  </si>
  <si>
    <t>CTS 2/17: Requested name change</t>
  </si>
  <si>
    <t>IV 1/5: everything same day</t>
  </si>
  <si>
    <t xml:space="preserve">Left vm. Called back. Martes oh Jueves pref.  12/17/25 JE </t>
  </si>
  <si>
    <t xml:space="preserve"> DBS-1039</t>
  </si>
  <si>
    <t>JE Called in to reschedule. Moved from feb 13 to feb 5th. 1/15/26</t>
  </si>
  <si>
    <t xml:space="preserve">MJ 01/02: Driving </t>
  </si>
  <si>
    <t xml:space="preserve">Request fri 12/23/25 JE ;; Left vm. 12/17/25 JE </t>
  </si>
  <si>
    <r>
      <rPr>
        <rFont val="Arial"/>
        <b/>
        <color theme="1"/>
      </rPr>
      <t>Original BD: 04/13/2026 Redraw: 06/01/26 ;;</t>
    </r>
    <r>
      <rPr>
        <rFont val="Arial"/>
        <color theme="1"/>
      </rPr>
      <t xml:space="preserve"> CTS 05/29/26: Coming in for blood draw again; per Borzage/Harrington request MJ 02/26: Pt called in and scheduled for Apr CTS 02/26: Called, left VM, text CTS 02/19: Contacted, left  vm/text to offer new dates CTS 02/16: LABS ORDERED, keep until next visit (per IV) Called, had been sick all weekend and can't make it tomorrow</t>
    </r>
  </si>
  <si>
    <t>MJ 02/23: Left VM + sent text MJ 01/13: Doing all in one day Uber needed MJ 01/02: Would like a call back after the 7th</t>
  </si>
  <si>
    <t>Uber will be needed. 12/17/25</t>
  </si>
  <si>
    <t>IV 1/5: confirm whether shes driving or ubering</t>
  </si>
  <si>
    <t>IV 1/5: doing np, cv diff day</t>
  </si>
  <si>
    <t xml:space="preserve">IV 1/6: will do mri/bd its own day </t>
  </si>
  <si>
    <t>Email out jan</t>
  </si>
  <si>
    <t>DROPPED JAN 2026 ;; No answer. No reply to text. 1/29/26 JE ;; Did not reply to my last text. Left vm. 1/27/26 JE ;; Left vm and sent text. Replied that she wants an open MRI... may drop out :( convo open trhough text... 1/21/26 JE ;; Left vm. 1/14/26 JE</t>
  </si>
  <si>
    <t xml:space="preserve">MJ 1/13: All in one day Left VM + sent text </t>
  </si>
  <si>
    <t>Called, left VM: CTS 01/8/26 Scheduled, but will confirm with employer, call back to confirm with us 01/13/26 - CTS</t>
  </si>
  <si>
    <t>Scan: 9:30am - 10:30am</t>
  </si>
  <si>
    <t>IV 3/13: needs to reschedule ahead of time IV 2/2: scheduled during mri</t>
  </si>
  <si>
    <t>CTS</t>
  </si>
  <si>
    <t>CTS 03/04 Called to confirm, would like uber Called 01/13/26, call him back March (2nd week) - CTS</t>
  </si>
  <si>
    <t>CT</t>
  </si>
  <si>
    <t>Will be traveling to Peru in February/March. Call back 2nd week of March to schedule. CTS 01/13/26</t>
  </si>
  <si>
    <r>
      <rPr>
        <rFont val="Arial"/>
        <b val="0"/>
        <color theme="1"/>
      </rPr>
      <t>CTS 02/27: Called, confirmed MJ 02/26:Confirmed to do it all in one day</t>
    </r>
    <r>
      <rPr>
        <rFont val="Arial"/>
        <b/>
        <color theme="1"/>
      </rPr>
      <t xml:space="preserve"> Wife; </t>
    </r>
    <r>
      <rPr>
        <rFont val="Arial"/>
        <b val="0"/>
        <color theme="1"/>
      </rPr>
      <t xml:space="preserve">Left voicemeail but booked her and </t>
    </r>
    <r>
      <rPr>
        <rFont val="Arial"/>
        <b/>
        <color theme="1"/>
      </rPr>
      <t xml:space="preserve">husband </t>
    </r>
    <r>
      <rPr>
        <rFont val="Arial"/>
        <b val="0"/>
        <color theme="1"/>
      </rPr>
      <t>on 01/13/26 - CTS</t>
    </r>
  </si>
  <si>
    <t>Scan: 6:30am-7:30am</t>
  </si>
  <si>
    <t>IV 2/23: called me syaing they want to sschedule for following tuesday early MJ 2/23: Call did not go through MJ 02/17: Left VM + sent text MJ 02/4: Call could not go through,,called husband</t>
  </si>
  <si>
    <r>
      <rPr>
        <rFont val="Arial"/>
        <color theme="1"/>
      </rPr>
      <t>CTS 02/27: Called, confirmed MJ 02/26:Confirmed to do it all in one day</t>
    </r>
    <r>
      <rPr>
        <rFont val="Arial"/>
        <b/>
        <color theme="1"/>
      </rPr>
      <t xml:space="preserve"> Husband</t>
    </r>
    <r>
      <rPr>
        <rFont val="Arial"/>
        <color theme="1"/>
      </rPr>
      <t xml:space="preserve">; Called and confirmed double book visit w/ </t>
    </r>
    <r>
      <rPr>
        <rFont val="Arial"/>
        <b/>
        <color theme="1"/>
      </rPr>
      <t xml:space="preserve">wife </t>
    </r>
    <r>
      <rPr>
        <rFont val="Arial"/>
        <color theme="1"/>
      </rPr>
      <t>on 01/13/26 - CTS</t>
    </r>
  </si>
  <si>
    <t xml:space="preserve">MJ 02/23: Will call be back at 3 PM to schedule,,has been busy MJ 02/17: Left VM + sent text MJ 02/04: Left VM + sent text </t>
  </si>
  <si>
    <t xml:space="preserve">IV 2/25: needs uber IV 2/17: left vm sent text, responded with preferred dates, sent her options </t>
  </si>
  <si>
    <t>IV 2/25: all in one day</t>
  </si>
  <si>
    <t>06/19/26 CTS: Called and confirmed 6/2/26 CTS: Monthly reminder text sent. Confirmed day after. Rescheduled for tuesday june 23rd. 5/28/26 JE ;; Participant sent text to cancel due to having a test. New date tbd. 5/27/26 JE ;; Rescheduled for may 29th. All visits in one day 4/24/26 JE ; IV 2/17: will drive , vm full, sent text , responded</t>
  </si>
  <si>
    <t xml:space="preserve">New date. All day visit. 5/28/26 JE ;; Originally scheduled 4/10 called in to reschedule. New date may 29th. 4/24/26 JE ;; MJ 04/09: Needs to be rescheduled IV 2/17: all one day </t>
  </si>
  <si>
    <t xml:space="preserve">MJ 02/04:L Left VM + sent text </t>
  </si>
  <si>
    <t>MJ: tues preferred</t>
  </si>
  <si>
    <t>MJ 02/04: All visits in one day,,driving</t>
  </si>
  <si>
    <t>Called in to drop out but is willing to come in for everything in one day. Has a new boss that is more strict with time off. 2/5/26</t>
  </si>
  <si>
    <t xml:space="preserve">Scheduled. Requested to come in May. Wants everything the same day. 3/5/26 JE ;; CTS 03/04 Called, left VM and text. Left vm. Returned call but busy at work. Will call later. 2/9/26 JE </t>
  </si>
  <si>
    <t xml:space="preserve">Monday or Friday preferred. 3/5/26 JE   </t>
  </si>
  <si>
    <t>CTS 02/05 Called to confirm</t>
  </si>
  <si>
    <t>Scheduled. 3/9/26 JE ;; Left vm and sent text. 3/5/26 JE ;; Left vm. 2/9/26 JE</t>
  </si>
  <si>
    <t>CTS 02/25 - Opted out of MRI, wants to do everything else</t>
  </si>
  <si>
    <t>MRI OPT OUT</t>
  </si>
  <si>
    <t xml:space="preserve">MJ 03/18: Left VM MJ 03/11: Left VM + sent text MJ 03/02: Wants to check dates available b4 scheduling,,no MRI MJ 02/17: Left VM + sent text </t>
  </si>
  <si>
    <t>CTS 04/21: Requested for 05/18, needs to clear with Borzage. CTS 04/14: Reached out to reschedule. Seen with CT. Started but did not complete scan. Open to rescheduling. JE 4/8/26 ;; CTS 2/17: Called back, wants to do full day visit, left  vm CTS 2/10 Sent text message to notify of Y3 Visit CTS 02/05 Called, left vm</t>
  </si>
  <si>
    <t>Scan: 8:30 - 9:30am</t>
  </si>
  <si>
    <t>Left vm. Participant called bk and scheduled. 2/9/26 JE</t>
  </si>
  <si>
    <t xml:space="preserve">IV 2/17: will drive, left vm, sent text </t>
  </si>
  <si>
    <t xml:space="preserve">IV 2/17: will drive, all in onde day </t>
  </si>
  <si>
    <t>No longer able to do MRI. He hurt his neck and feels anxiety. Is not able to sit/lay without pain. Has also been feeling very dizzy and is not able to drive. Is ok with cont with NP and CV rescheduled for next month. 05/13/26 JE ;; CTS 03/11 Called back, confirmed for May (full day); Mom has FTD Called, VM is full, sent text</t>
  </si>
  <si>
    <t xml:space="preserve">Pt msg that he is sick and would like to reschedule. New date TBD. Tentative july 23rd. 7/9/26 JE ;; Asked to reschedule bc he is not well. Requested friday in about 15 days / three weeks from now. Early. New date july 10 6/17/26 JE ;; Rescheduled from may 14 to june 18. 5/13/26 JE ;; Vmb full. Will try again. 3/6/26 JE </t>
  </si>
  <si>
    <t>EMAIL SENT 3/3/26</t>
  </si>
  <si>
    <t>Lunes martes o mircoles avail. Everything same day. 3/6/26 JE</t>
  </si>
  <si>
    <t>Her bday this month may, 55!! Broke her ankle but should be fine by then. 3/6/26</t>
  </si>
  <si>
    <t>Left vm. Called back to schedule. 3/6/26 JE</t>
  </si>
  <si>
    <r>
      <rPr>
        <rFont val="Arial"/>
        <color theme="1"/>
      </rPr>
      <t xml:space="preserve">CTS 04/30: Confirmed to still retain date for CV, NP, BD. Contacted Perry about the implant, is inelligible to continue with MRI scan. CTS 03/11 Is moving, call/text week the week before but has confirmed (Medtronic implant in bladder), caring for mom who has </t>
    </r>
    <r>
      <rPr>
        <rFont val="Arial"/>
        <b/>
        <color theme="1"/>
      </rPr>
      <t>Stage 2 Alzheimers</t>
    </r>
    <r>
      <rPr>
        <rFont val="Arial"/>
        <color theme="1"/>
      </rPr>
      <t xml:space="preserve"> </t>
    </r>
  </si>
  <si>
    <t>Inelligible</t>
  </si>
  <si>
    <t>CTS 03/11 Is moving, call/text week the week before but has confirmed (Medtronic implant in bladder), all day participant</t>
  </si>
  <si>
    <r>
      <rPr>
        <rFont val="Arial"/>
        <b/>
        <color theme="1"/>
      </rPr>
      <t>Original draw: 5/20/26, New draw: 6/4/26</t>
    </r>
    <r>
      <rPr>
        <rFont val="Arial"/>
        <color theme="1"/>
      </rPr>
      <t xml:space="preserve"> ;; 06/03 CTS: HC3 new hire did not register lab results, so results got lost; had to reschedule. Rescheduled by CT yesterday. 5/19/26 JE ;; CTS 05/12: </t>
    </r>
    <r>
      <rPr>
        <rFont val="Arial"/>
        <b/>
        <color theme="1"/>
      </rPr>
      <t xml:space="preserve">make sure pt is back from MEX before rescheduling </t>
    </r>
    <r>
      <rPr>
        <rFont val="Arial"/>
        <color theme="1"/>
      </rPr>
      <t>Still in mexico, cannot make it, free following week CTS 03/11 Called, VM full, sent text, answered back, would like all day; still undecided about transportation</t>
    </r>
  </si>
  <si>
    <t xml:space="preserve">Rescheduled by CT yesterday. 5/19/26 JE ;; CTS 05/12: make sure pt is back from MEX before rescheduling Still in mexico, cannot make it, free following week </t>
  </si>
  <si>
    <t>CTS 03/11 Called, VM full, sent text, answered back, would like all day; still undecided about transportation</t>
  </si>
  <si>
    <t>CTS:05/11: Called left VM; CTS: 05/06: Weekly reminder sent, confirmed 05/08.; CTS 05/01/26: Monthly text reminder sent.CTS 03/16: Wants to split visits up. CTS 03/13 Called, left vm and text; texted back, wants the first available tuesday (05/12 possibky)</t>
  </si>
  <si>
    <t>MJ 05/11: Wanted visits for after 07/24/26,,Communicating dates through text MJ 04/28:Left VM MJ 04/20: Left VM + sent text MJ 04/15: Left VM + sent text MJ 04/06: # temp unavailable,,will call back later</t>
  </si>
  <si>
    <t>CTS 03/16 Wants earliest Tuesday in May available, might be for 05/12/26 (tent.)</t>
  </si>
  <si>
    <t>CTS 05/20/26: Called and confirmed; will drive. CTS 05/14: Texted and confirmed; will drive CTS 05/01/26: Monthly text reminder sent.</t>
  </si>
  <si>
    <t>IV</t>
  </si>
  <si>
    <t>IV 3/13: will drive everythig in one day, pending uber or drive left vm, sent text, responded firguring out dates via text</t>
  </si>
  <si>
    <t>IV 3/13: everything in one day</t>
  </si>
  <si>
    <r>
      <rPr>
        <rFont val="Arial"/>
        <color theme="1"/>
      </rPr>
      <t xml:space="preserve">IV 4/21: rescheduled due t mri being down IV 3/13: </t>
    </r>
    <r>
      <rPr>
        <rFont val="Arial"/>
        <b/>
        <color theme="1"/>
      </rPr>
      <t>if anything earlier mon-thurs opens up call him</t>
    </r>
    <r>
      <rPr>
        <rFont val="Arial"/>
        <color theme="1"/>
      </rPr>
      <t xml:space="preserve"> will drivve, eft vm, sent text , responded figuring out dates, needs to come in sooner </t>
    </r>
  </si>
  <si>
    <t>Mondays perf. New address- redcap updated. Wants to do everything same day. 3/6/26 JE</t>
  </si>
  <si>
    <t>Mon pref. 3/6/26 JE</t>
  </si>
  <si>
    <t>MJ 03/11: Driving,,all visits in one day</t>
  </si>
  <si>
    <r>
      <rPr>
        <rFont val="Arial"/>
        <b val="0"/>
        <color theme="1"/>
      </rPr>
      <t>MJ 04/28: All in one day + uber needed CTS 04/22: Called, left VM (</t>
    </r>
    <r>
      <rPr>
        <rFont val="Arial"/>
        <b/>
        <color theme="1"/>
      </rPr>
      <t>ESP)</t>
    </r>
  </si>
  <si>
    <t xml:space="preserve">MJ 04/22: Left VM + sent text </t>
  </si>
  <si>
    <t>EMAIL SENT 4/1/26</t>
  </si>
  <si>
    <r>
      <rPr>
        <rFont val="Arial"/>
        <b/>
        <color theme="1"/>
      </rPr>
      <t xml:space="preserve">ENG//MRI may be taken over by Sahar, depending on her comfortability by this point - </t>
    </r>
    <r>
      <rPr>
        <rFont val="Arial"/>
        <b val="0"/>
        <color theme="1"/>
      </rPr>
      <t xml:space="preserve">No answer straight to operator. Num not in service. MJ has sent out letter. 5/13/26 JE  </t>
    </r>
  </si>
  <si>
    <t>MJ 05/19: No updates from particiant post letter MJ 05/05: Letter mailed out MJ 04 /28: Sent another email MJ 04/22: # out of service,, sent email</t>
  </si>
  <si>
    <r>
      <rPr>
        <rFont val="Arial"/>
        <b val="0"/>
        <color theme="1"/>
      </rPr>
      <t xml:space="preserve">CTS 10/14: Called, left VM + Text CTS 10/06: Ca;lled, left VM and text 10/01: </t>
    </r>
    <r>
      <rPr>
        <rFont val="Arial"/>
        <b/>
        <color theme="1"/>
      </rPr>
      <t xml:space="preserve">Call back 1st week of October </t>
    </r>
    <r>
      <rPr>
        <rFont val="Arial"/>
        <b val="0"/>
        <color theme="1"/>
      </rPr>
      <t>MJ 08/15: pt canceled bc of mom's surgery,,wants visit for late sept  Her mom has surgery aug 13th - not available till after that date ;; MJ 07/01: Could not leave vm (mailbox full) + sent text MJ 06/02: Pt's mom was diagnosed w/ cancer and had to take her to an appt tomorrow,,may be open to schedule in Jul or Aug MJ 04/23: Driving,,scheduled everything for one day</t>
    </r>
    <r>
      <rPr>
        <rFont val="Arial"/>
        <b/>
        <color theme="1"/>
      </rPr>
      <t xml:space="preserve"> ENG//MRI may be taken over by Sahar, depending on her comfortability by this point</t>
    </r>
  </si>
  <si>
    <t>TBD</t>
  </si>
  <si>
    <r>
      <rPr>
        <rFont val="Arial"/>
        <b val="0"/>
        <color theme="1"/>
      </rPr>
      <t xml:space="preserve">CTS 05/29: Called and confirmed, Uber needed. CTS 04/22: </t>
    </r>
    <r>
      <rPr>
        <rFont val="Arial"/>
        <b/>
        <color theme="1"/>
      </rPr>
      <t xml:space="preserve">All day visit. </t>
    </r>
    <r>
      <rPr>
        <rFont val="Arial"/>
        <b val="0"/>
        <color theme="1"/>
      </rPr>
      <t>Called back, confirmed; would like uber. Called; left VM +text  (</t>
    </r>
    <r>
      <rPr>
        <rFont val="Arial"/>
        <b/>
        <color theme="1"/>
      </rPr>
      <t>ESP)</t>
    </r>
  </si>
  <si>
    <t>All visits in one day</t>
  </si>
  <si>
    <r>
      <rPr>
        <rFont val="Arial"/>
        <b val="0"/>
        <color theme="1"/>
      </rPr>
      <t>CTS 04/27/26: Would like to split visits. 04/22 CTS: Called, confirmed (</t>
    </r>
    <r>
      <rPr>
        <rFont val="Arial"/>
        <b/>
        <color theme="1"/>
      </rPr>
      <t>All day visit</t>
    </r>
    <r>
      <rPr>
        <rFont val="Arial"/>
        <b val="0"/>
        <color theme="1"/>
      </rPr>
      <t>), will drive. (</t>
    </r>
    <r>
      <rPr>
        <rFont val="Arial"/>
        <b/>
        <color theme="1"/>
      </rPr>
      <t>ESP)</t>
    </r>
  </si>
  <si>
    <t>Split visits.</t>
  </si>
  <si>
    <r>
      <rPr>
        <rFont val="Arial"/>
        <b val="0"/>
        <color theme="1"/>
      </rPr>
      <t xml:space="preserve">CTS 05/12: </t>
    </r>
    <r>
      <rPr>
        <rFont val="Arial"/>
        <b/>
        <color theme="1"/>
      </rPr>
      <t xml:space="preserve">Moved up from 05/20 </t>
    </r>
    <r>
      <rPr>
        <rFont val="Arial"/>
        <b val="0"/>
        <color theme="1"/>
      </rPr>
      <t xml:space="preserve">CTS 04/22: Texted that she preffered earliest May availability. </t>
    </r>
    <r>
      <rPr>
        <rFont val="Arial"/>
        <b/>
        <color theme="1"/>
      </rPr>
      <t>Would like all day</t>
    </r>
    <r>
      <rPr>
        <rFont val="Arial"/>
        <b val="0"/>
        <color theme="1"/>
      </rPr>
      <t xml:space="preserve">. Is confirmed. Called, left VM + txt </t>
    </r>
    <r>
      <rPr>
        <rFont val="Arial"/>
        <b/>
        <color theme="1"/>
      </rPr>
      <t>ESP</t>
    </r>
  </si>
  <si>
    <t xml:space="preserve">08/20 CTS: Called, left VM + text. New date in aug. 7/15/26 JE ;; Wants to reschedule full visit to just come one day. Date tbd. 7/9/26 JE ;; Cancelled june 24th bc she got a new job. Reschedule for july 16th. But is going to send confirmation once her job approves. Check in as date gets closer. 6/22/26 JE ;; 6/19/26 CTS: Called, left VM and text Replied and requested all day visits. 5/15/26 JE ;; Straight to vm again and did not answer text. Sent follow up. 5/13/26 JE ;; Has not responded. Follow up call strigth to vm. Sent text. 5/7/26 JE ;;  Open convo through text... 4/29/26 JE ;; CTS 04/27: Called, left VM, text CTS 04/22: Called; left VM +text  (ESP)Wants to reschedule full visit to just come one day. Date tbd. 7/9/26 JE </t>
  </si>
  <si>
    <t>Wants to reschedule full visit to just come one day. Date tbd. 7/9/26 JE ;; Dr H not avai. Called but got vm. Waiting for call back to decide if visit cont with only CV reschedule.... 7/6/26 JE ;; Double check w/ Dr. Harrington if this day is open... Cancelled june 24th bc she got a new job. Reschedule for july 16th. But is going to send confirmation once her job approves. 6/22/26 JE ;; All day visits. 5/15/26 JE ;; Straight to vm again and did not answer text. Sent follow up. 5/13/26 JE ;; Has not responded. Follow up call strigth to vm. Sent text. 5/7/26 JE ;; Straight to vm. Sent text. Open convo 4/29/26 JE</t>
  </si>
  <si>
    <t xml:space="preserve">CTS 06/26: Called and confirmed, will drive. MJ 05/11: Wanted to do separate days,,will be driving </t>
  </si>
  <si>
    <t xml:space="preserve">MJ 09/03: Pt wanted a monday in oct,,split visit btwn CTS and IV IV 9/3: need to reschdule per dr. h MJ 07/13: Pt had to reschedule </t>
  </si>
  <si>
    <t>EMAIL SENT 5/1/26</t>
  </si>
  <si>
    <t xml:space="preserve">CTS 07/09: Called to confirm for 07/09 date day of, wanted to reschedule instead. Confirmed for Monday 07/13. Send text day before to confirm again. CTS 07/06: Called and confirmed, will drive. MJ 05/26: Doing everything separate,,driving  MJ 05/11: Left VM + sent text </t>
  </si>
  <si>
    <t>Called early morning day of to let me know work things came up and cant make the visit. Would like to reschedule for next week tues. 8/28/26 JE ;; Back. Requested call backs around 11am any day or text to schedule. Availbe to come in fri or next week mon/tues pref. 8/24/26 JE ;; IV 7/23: need to reschulde, contact after 8/10 Asked to rescheduel np from tuesday to fri. IV able to help cover. 7/21/26 JE ;;  Called to reschedule. No answer. Left vm. Will try again... Confirmed. Rescheduled from July 8th at 12pm to July 22nd. Prefers wed 7/2/26 JE</t>
  </si>
  <si>
    <t xml:space="preserve">05/26 CTS: Called to offer 06/16. Wanted to book date and will doublecheck her grandkids schedule in mean time. Would like to split visits. Wants to come in June for NP and CV. Is going to talk to daughter to determine when kids are out of school in July. Made aware that CT will call to schedule MRI and BD. 5/13/26 JE </t>
  </si>
  <si>
    <t xml:space="preserve">Would like to split visits. Wants to come in June for NP and CV. Is going to talk to daughter to determine when kids are out of school in July. Made aware that CT will call to schedule MRI and BD. 5/13/26 JE </t>
  </si>
  <si>
    <r>
      <rPr>
        <rFont val="Arial"/>
        <color theme="1"/>
      </rPr>
      <t xml:space="preserve">07/22/26 CTS: Called and confirmed; will do Study Partner in person 07/20/26 CTS: Texted/called and communicated hesitancy about Study Partner forms. Will call back. MRI+BD still pending 6/12/26 JE Called but vm. MRI not availabe for tentative date. When scheduing new date plase make note if afternoon scan is necessary - otherwise schedule for morning. ;; 06/03 CTS: Called, left VM + text; answered back and </t>
    </r>
    <r>
      <rPr>
        <rFont val="Arial"/>
        <b/>
        <color theme="1"/>
      </rPr>
      <t>would like separate visits</t>
    </r>
    <r>
      <rPr>
        <rFont val="Arial"/>
        <color theme="1"/>
      </rPr>
      <t xml:space="preserve"> in the afternoon, was advised that it has to be 8HRs minimum fasted</t>
    </r>
  </si>
  <si>
    <t>Scan: 11:30am - 12:30pm</t>
  </si>
  <si>
    <t>IV 8/6: needs uber 06/03 CTS: Called, left VM + text; answered back Let him know Ivett would contact when she comes back.</t>
  </si>
  <si>
    <t xml:space="preserve">*follow up re study partner during visit to help clarify </t>
  </si>
  <si>
    <t>EMAIL SENT 6/1/26</t>
  </si>
  <si>
    <t>09/08 CTS: Will do all day visit to new date: NEW DATE: 10/20/2026 09/08 CTS: NEEDS TO BE RESCHEDULED. MRI is down. Is coming back for NP later on this week so ask if he wants to keep separate or come all day some other day Participant cancelled. Will not return till 2 weeks from now. New date swapped with 1373. 8/4/26 JE ;; Blocked by Perry. CT not availabe. JE Cover. 6/15/26 JE ;; Tentative date for Aug 6th. If CT not avi JE cover. 6/12/26 JE ;; 06/03 CTS: Called, left VM + text</t>
  </si>
  <si>
    <t xml:space="preserve">Participant cancelled. Will not return till 2 weeks from now. New date TBD 8/4/26 JE ;; Would like visits all in one day. Sent email to check re MIR 6/12/26 JE ;; Left vm. JE 6/12/26 </t>
  </si>
  <si>
    <t>CTS 08/25: Had to reschedule CV; Dr. H was not available 09/14</t>
  </si>
  <si>
    <r>
      <rPr>
        <rFont val="Arial"/>
        <color theme="1"/>
      </rPr>
      <t>06/03 CTS: Called and confirmed, wants to split visits.</t>
    </r>
    <r>
      <rPr>
        <rFont val="Arial"/>
        <b/>
        <color theme="1"/>
      </rPr>
      <t xml:space="preserve"> Prefers Tues/Thurs.</t>
    </r>
  </si>
  <si>
    <t>Wants earliest apt bc she works.Sent text with details of both days with visits. 6/12/26 JE ;; Left vm. 6/12/26 JE ;; 06/03 CTS: Called and confirmed, wants to split visits. Prefers Tues/Thurs.</t>
  </si>
  <si>
    <t>08/20 CTS:  Called and confirmed, will drive. All day visit request. Emailed perry to block out scan. 6/16/26 JE ;; Will call back busy at work. 6/15/26 JE ;; 06/03 CTS: Called, left text</t>
  </si>
  <si>
    <t xml:space="preserve">Will call back busy at work. 6/15/26 JE ;; Left vm. 6/12/26 JE </t>
  </si>
  <si>
    <t>Moved to 08/13/26 CTS 08/11/26 Kat cancelled MRI last min. CT will follow up for new date TBD 8/10/26 JE ;; MJ 06/03: Driving, everything in one day</t>
  </si>
  <si>
    <r>
      <rPr>
        <rFont val="Arial"/>
        <color theme="1"/>
      </rPr>
      <t xml:space="preserve">CTS 10/06: </t>
    </r>
    <r>
      <rPr>
        <rFont val="Arial"/>
        <b/>
        <color theme="1"/>
      </rPr>
      <t>Call back last week of October!</t>
    </r>
    <r>
      <rPr>
        <rFont val="Arial"/>
        <color theme="1"/>
      </rPr>
      <t xml:space="preserve"> canceled earlier date due to injury. CTS 08/27: Confirmed via text that 10/06 is ok, will double check with work schedule, would like all day visit. CTS 08/19: Is waiting on new schedule, text back Monday 08/24 CTS 08/11/26: Called/Left VM to reschedule. MJ 06/03: Separated visits, Left VM + sent text, scheduled through text</t>
    </r>
  </si>
  <si>
    <r>
      <rPr>
        <rFont val="Arial"/>
        <color theme="1"/>
      </rPr>
      <t xml:space="preserve">CTS 10/06: Called and confirmed date, wants to split visit. CTS 09/29/26: </t>
    </r>
    <r>
      <rPr>
        <rFont val="Arial"/>
        <b/>
        <color theme="1"/>
      </rPr>
      <t xml:space="preserve">Call back first week of October. </t>
    </r>
    <r>
      <rPr>
        <rFont val="Arial"/>
        <color theme="1"/>
      </rPr>
      <t xml:space="preserve">Needs to reschedule due to work conflicts. CTS 09/08: MRI down all week, needs to reschedule. IV 8/3: everythign same day, will drive V 7/29: left vm, sent text </t>
    </r>
  </si>
  <si>
    <t xml:space="preserve">CTS 10/06: Prefers Mon/Fri afternoons. The later the better. CTS 09/08: MRI down; wanted all day so rescheduled to new day. </t>
  </si>
  <si>
    <t>EMAIL SENT 7/2/26</t>
  </si>
  <si>
    <t xml:space="preserve">Filling in for cancelled visit. 8/4/26 JE ;; CTS 07/21: Called and confirmed, will drive. also expressed that she does want to eat after MRI. </t>
  </si>
  <si>
    <t>Filling in for cancelled visit. 8/4/26 JE</t>
  </si>
  <si>
    <t>CTS 09/10: Confirmed 10/07, will drive. CTS 09/08: MRI down all week, needs to reschedule. CTS 07/21: Called/texted, VM full. Would like to split visits</t>
  </si>
  <si>
    <t>IV 7/28: will drive, doing DE4</t>
  </si>
  <si>
    <t>08/20 CTS: Called to ask if she can move her apts. Cannot make it before 10:30am due to her mom's senior day care situation. Requested late morning on 10/09/2024 (New date). CTS 07/21: Called and confirmed, would like to split visits, will drive</t>
  </si>
  <si>
    <t>Scan:10:30am - 11:30am</t>
  </si>
  <si>
    <t>Split visits. Needs to come in aug for cv and np bc Dr h on vacation start of Sept and she will be on vacation mid Sept. 7/28/26 JE ;; Busy but she said she will call back. 7/24/26 JE Left vm. 7/22/26 JE</t>
  </si>
  <si>
    <t>CTS 09/14: Called to reschedule due to MRI maitenance, confirmed new date on 10/22. CTS 07/21: Called and confirmed, will like all day visit and wants Uber</t>
  </si>
  <si>
    <t>Visits in one day</t>
  </si>
  <si>
    <t>CTS 07/21: Would like all day, is driving. Called and confirm.Called/left vm</t>
  </si>
  <si>
    <r>
      <rPr>
        <rFont val="Arial"/>
        <b/>
        <color theme="1"/>
      </rPr>
      <t>Prefers Mon</t>
    </r>
    <r>
      <rPr>
        <rFont val="Arial"/>
        <color theme="1"/>
      </rPr>
      <t xml:space="preserve"> Left vm and sent text cheking on interest to cont with study. Answered - still interested and would like all in one visit. 8/28/26 JE ;; CTS 08/25: Called, left VM + text. MJ 08/18: Could not leave VM + sent text MJ 08/05: Left VM + sent text</t>
    </r>
  </si>
  <si>
    <t>CTS 09/17: Wants to split up all visits, can only do Thursdays. CTS 09/15: MRI down, reschedule to: CTS 08/19: Called and confirmed, wants to split visits. MJ 08/18: Left VM + sent text MJ 08/05: Left VM + sent text</t>
  </si>
  <si>
    <t xml:space="preserve">CTS 09/17: Wants to split up all visits, can only do Thursdays. IV 9/9: cancelled np, offered to do it cv day IV 9/3: splitting them CTS 08/19: Split visits. </t>
  </si>
  <si>
    <t xml:space="preserve">09/10: CTS MRI canceled by kat due to MRI maitenance. New date confirmed. ORIGINAL DATE: 09/15/2026.  08/19 CTS: Would like all day and would like uber ordered. Prefered September. Pending on Marlene approval for NP availability. </t>
  </si>
  <si>
    <t>Visit in one day</t>
  </si>
  <si>
    <t>EMAIL SENT 8/4/26</t>
  </si>
  <si>
    <t>Prefers text. Still interested. All visits in one day requested. 8/28/26 JE ;; CTS 08/28: Called and left VM but is still not answering. CTS 08/25: Called left VM CTS 08/19: Called, left VM + text</t>
  </si>
  <si>
    <t>09/11 CTS: Would like to do all day visit. Will drive.</t>
  </si>
  <si>
    <t>EMAIL SENT 9/1/26</t>
  </si>
  <si>
    <t>CTS 09/11: Called and confirmed, will drive. Prefers half days.</t>
  </si>
  <si>
    <r>
      <rPr>
        <rFont val="Arial"/>
        <color theme="1"/>
      </rPr>
      <t xml:space="preserve">Split visits, </t>
    </r>
    <r>
      <rPr>
        <rFont val="Arial"/>
        <b/>
        <color theme="1"/>
      </rPr>
      <t>is interested in DE4</t>
    </r>
  </si>
  <si>
    <t>CTS 09/14: Called, phone disconnected, email sent CTS 09/11: Called, number not in service?</t>
  </si>
  <si>
    <t>CTS 09/14: Called and confirmed, will drive. Schedule us dependant on daughter's school schedule but willing to change if necessary. All day. CTS 09/11: Called, left VM and text.</t>
  </si>
  <si>
    <t>all day</t>
  </si>
  <si>
    <t>CTS 09/17: Texted back, says she now has 2 jobs and will be difficult for her to continue. CTS 09/11: Called, left VM and text.</t>
  </si>
  <si>
    <t>CTS 09/16: Called and confirmed, will need uber CTS 09/11: Call back Monday (any time), would prefer November.</t>
  </si>
  <si>
    <t>Split visits</t>
  </si>
  <si>
    <r>
      <rPr>
        <rFont val="Arial"/>
        <color theme="1"/>
      </rPr>
      <t xml:space="preserve">CTS 09/11: Called and confirmed, prefers split visits. Is leaving for trip on </t>
    </r>
    <r>
      <rPr>
        <rFont val="Arial"/>
        <b/>
        <color theme="1"/>
      </rPr>
      <t>11/11/26</t>
    </r>
  </si>
  <si>
    <t>CTS 09/11: Called and confirmed, will drive, but might consider Uber</t>
  </si>
  <si>
    <t>All day</t>
  </si>
  <si>
    <r>
      <rPr>
        <rFont val="Arial"/>
        <color theme="1"/>
      </rPr>
      <t xml:space="preserve">CTS 10/14: Called and confirmed, will drive. </t>
    </r>
    <r>
      <rPr>
        <rFont val="Arial"/>
        <b/>
        <color theme="1"/>
      </rPr>
      <t>Call if a FRIDAY MRI opens up</t>
    </r>
  </si>
  <si>
    <t>EMAIL SENT 10/01/26</t>
  </si>
  <si>
    <t>Move to October if possible 09/30/26 CTS</t>
  </si>
  <si>
    <t>CTS 10/14: Called, left VM +txt</t>
  </si>
  <si>
    <t>CTS 10/14: VM full, left text</t>
  </si>
  <si>
    <t xml:space="preserve">wait for reminder email to be sent before scheduling </t>
  </si>
  <si>
    <t>NP + CV + BD Visits</t>
  </si>
  <si>
    <t xml:space="preserve">Thank you cards prepped up to 8/21/26 : NC </t>
  </si>
  <si>
    <t>3RD YR COMPLETE</t>
  </si>
  <si>
    <t>Thank you Card?</t>
  </si>
  <si>
    <t>MJ 04/06: Left VM + sent text</t>
  </si>
  <si>
    <t>IV 4/1: sent</t>
  </si>
  <si>
    <t>MJ 05/04: New dates pending,,pt had to reschedule MJ 04/15: uber needed, new address on red cap MJ 04/06: Left VM + sent text</t>
  </si>
  <si>
    <t>IV 5/4: needs uber, pending confirmation with dr. h</t>
  </si>
  <si>
    <t>Returns from mex tomorrow. Set for all visits in one day. 5/19/26 JE ;; Left vm. 5/13/26 JE ;; Out of the country. Requested call back in about two weeks. 4/23/26 JE</t>
  </si>
  <si>
    <t>husband - Scheduled with his wife. Coming in same day/time. 4/23/26 JE</t>
  </si>
  <si>
    <t>wife - Coming in with husband same day/time. 4/23/26 JE</t>
  </si>
  <si>
    <t>MJ 05/05:Driving</t>
  </si>
  <si>
    <t>MJ 5/5:Sent</t>
  </si>
  <si>
    <t>MJ 05/05: Uber needed</t>
  </si>
  <si>
    <t xml:space="preserve">Dr.H cancelled CV. Pt notified and offered full reschedule or to return for CV another day. She would like to keep BD and NP and schedule a new date for CV. Let her know that MJ will be in touch. 6/12/26 JE ;; MJ 05/05: Left vm + sent text </t>
  </si>
  <si>
    <t xml:space="preserve">MJ 05/11: Driving MJ 05/05: Left vm + sent text </t>
  </si>
  <si>
    <t xml:space="preserve">Will need Uber. 4/29/26 JE ;; Left vm. 4/23/26 JE </t>
  </si>
  <si>
    <t>Reminder text sent. Participant cancelled - asked for Saturdays. Let him know only mon-fri. Only other day he can come in is next week the 11th. 5/29/26 JE ;; Coming from th OC. 4/23/26 JE</t>
  </si>
  <si>
    <t>Will drive. 4/23/26 JE</t>
  </si>
  <si>
    <t xml:space="preserve">Left vm. 4/23/26 JE </t>
  </si>
  <si>
    <t xml:space="preserve">MJ 07/08: Pt had to reschedule his BD &amp; CV MJ 06/22:uber needed, doing NP one day and then CV/BD the followng wk MJ 06/02: Left VM + sent text </t>
  </si>
  <si>
    <t>MJ 6/2: Sent</t>
  </si>
  <si>
    <t>IV 9/16: sent follow up , left vm IV 9/9: sent follow up to confirm lunes as early as possible... 8:30am?... Tentative date set up - I let him know I would confirm w/ MJ to make sure date/time work ok. Needs follow up text with confirmation details 8/28/26 JE ;; He answered and shared he is still interested just very busy with work but will call back to set up new date. 8/24/26 JE ;; MJ 08/05: Letter sent via mail No answer. Sent text. 8/4/26 JE ;; No answer. 7/29 JE ;; MJ 07/13: Pt no showed,,unresponsive to texts + calls MJ 06/22: pt had to reschedule,,moved it to 07/13 MJ 06/02: May or may not need uber</t>
  </si>
  <si>
    <t>Rescheduled. Will be seen July 24th instead. 7/13/26 JE ;; Had lost his phone. Still intrested. Scheduled all visits one day. 6/25/26 JE ;; Could not leave vm, sent text + email,,response pending. MJ 06/22 ;; No answer. Sent text. 6/15/26 JE ;; No answer. No vm. WIll try again. 6/12/26 JE</t>
  </si>
  <si>
    <t xml:space="preserve">No show on 7/15/26 but answered call and rescheduled JE ;; Texted back saying she has to go out of country for emergency but will be back Monday night. Rescheduling 7/9 visit to 7/15. 7/6/26 JE ;; Left message w/ sister. 6/12/26 JE </t>
  </si>
  <si>
    <t xml:space="preserve">IV 8/6: traveling, reserving potential date, call 8/17 to confirm if still possible IV 7/22: left vm, sent text, followed up via text, date pending </t>
  </si>
  <si>
    <t>MJ 7/1: Sent</t>
  </si>
  <si>
    <t xml:space="preserve">IV 9/25: rescheduled IV 8/13: rescheduled, IV 7/22: will drive </t>
  </si>
  <si>
    <t xml:space="preserve">IV 7/22: will drive </t>
  </si>
  <si>
    <t xml:space="preserve">IV 7/13: rescheduled Dr. H unavailableIV 7/22: will drive </t>
  </si>
  <si>
    <t xml:space="preserve">IV 8/14: needs to reschedule due to dr. app, IV 7/21: needs uber, all in 1 day </t>
  </si>
  <si>
    <t>Will need Uber. 7/9/26 JE ;; Left vm. 7/7/26 JE</t>
  </si>
  <si>
    <t>All day visit. Needs uber. De4 pt. 7/7/26 JE</t>
  </si>
  <si>
    <t>Wants erliest visit. 7/7/26 JE</t>
  </si>
  <si>
    <t xml:space="preserve">MJ 08/04: Sent text MJ 07/07: Call couldn't go through + sent text </t>
  </si>
  <si>
    <t xml:space="preserve">MJ 08/04: Left VM +sent text MJ 07/07: Left VM + sent text </t>
  </si>
  <si>
    <t>MJ 07/07: Driving</t>
  </si>
  <si>
    <t xml:space="preserve">MJ 07/07: Left VM + sent text </t>
  </si>
  <si>
    <t xml:space="preserve">IV 9/3: will drive </t>
  </si>
  <si>
    <t>MJ 8/4: Sent</t>
  </si>
  <si>
    <t xml:space="preserve">IV 9/3: called back,needs uber left vm, sent text </t>
  </si>
  <si>
    <t xml:space="preserve">IV 9/16: needs uber </t>
  </si>
  <si>
    <t>IV 9/4: Sent</t>
  </si>
  <si>
    <t>IV 9/16: left vm, sent text</t>
  </si>
  <si>
    <t xml:space="preserve">IV 9/17: needs uber IV 9/16: wants a call back later </t>
  </si>
  <si>
    <t xml:space="preserve">IV 9/16: will drive </t>
  </si>
  <si>
    <t>IV 9/16: couldnt leave vm, sent text</t>
  </si>
  <si>
    <t>DBS-ID</t>
  </si>
  <si>
    <t>MRN</t>
  </si>
  <si>
    <t xml:space="preserve">LAB DATE </t>
  </si>
  <si>
    <t xml:space="preserve">LABS YEAR </t>
  </si>
  <si>
    <t>LABS EMAILED/Texted</t>
  </si>
  <si>
    <t xml:space="preserve">LABS PRINTED </t>
  </si>
  <si>
    <t xml:space="preserve">MRI HCT </t>
  </si>
  <si>
    <t>notes</t>
  </si>
  <si>
    <t>Yr 3</t>
  </si>
  <si>
    <t>004642687</t>
  </si>
  <si>
    <t>5/19/25 (MRI) 
5/13/25 (Full Blood Panel)</t>
  </si>
  <si>
    <t>7/1 TB</t>
  </si>
  <si>
    <t xml:space="preserve">6/30 NC </t>
  </si>
  <si>
    <t>last extract batch (to keckCap + eden HCT): 07/16/26 CTS/NC</t>
  </si>
  <si>
    <t>004636389</t>
  </si>
  <si>
    <t>5/22/25 (MRI) 
5/19/25 (Full Blood Panel)</t>
  </si>
  <si>
    <t>last extract batch: 9/2/26 NC</t>
  </si>
  <si>
    <t>004644039</t>
  </si>
  <si>
    <t>7/14 NC</t>
  </si>
  <si>
    <t>IV: won't find by name, search MRN for labs</t>
  </si>
  <si>
    <t xml:space="preserve">last batch sent to choo phei: 05/12/26 IV </t>
  </si>
  <si>
    <t>004644045</t>
  </si>
  <si>
    <t xml:space="preserve">7/1 IV </t>
  </si>
  <si>
    <t>004638839</t>
  </si>
  <si>
    <t>004656098</t>
  </si>
  <si>
    <t>004637725</t>
  </si>
  <si>
    <t xml:space="preserve">7/1 TB </t>
  </si>
  <si>
    <t xml:space="preserve">homo missing </t>
  </si>
  <si>
    <t>004679104</t>
  </si>
  <si>
    <t>004650371</t>
  </si>
  <si>
    <t>6/3/25 (MRI) 
6/5/25 (Full Blood Panel)</t>
  </si>
  <si>
    <t>004645187</t>
  </si>
  <si>
    <t>004645753</t>
  </si>
  <si>
    <t>004650185</t>
  </si>
  <si>
    <t>004687102</t>
  </si>
  <si>
    <t>004645198</t>
  </si>
  <si>
    <t>004642697</t>
  </si>
  <si>
    <t>7/1 IV</t>
  </si>
  <si>
    <t>004706666</t>
  </si>
  <si>
    <t xml:space="preserve">7/14 NC </t>
  </si>
  <si>
    <t>004673009</t>
  </si>
  <si>
    <t xml:space="preserve">8/19 IV </t>
  </si>
  <si>
    <t>8/26 NC</t>
  </si>
  <si>
    <t>004714516</t>
  </si>
  <si>
    <t>004701973</t>
  </si>
  <si>
    <t>004917321</t>
  </si>
  <si>
    <t>004909760</t>
  </si>
  <si>
    <t>004908823</t>
  </si>
  <si>
    <t>004708391</t>
  </si>
  <si>
    <t>004915910</t>
  </si>
  <si>
    <t>004707670</t>
  </si>
  <si>
    <t>004908818</t>
  </si>
  <si>
    <t>004703184</t>
  </si>
  <si>
    <t xml:space="preserve">10/7 IV </t>
  </si>
  <si>
    <t>10/9 CT/IV</t>
  </si>
  <si>
    <t>004679101</t>
  </si>
  <si>
    <t>004668960</t>
  </si>
  <si>
    <t>004715631</t>
  </si>
  <si>
    <t>homo missing</t>
  </si>
  <si>
    <t>004931245</t>
  </si>
  <si>
    <t xml:space="preserve">9/25 IV </t>
  </si>
  <si>
    <t>004943202</t>
  </si>
  <si>
    <t xml:space="preserve">10/1 IV </t>
  </si>
  <si>
    <t>004924505</t>
  </si>
  <si>
    <t>10/7 IV</t>
  </si>
  <si>
    <t>004921829</t>
  </si>
  <si>
    <t>004701983</t>
  </si>
  <si>
    <t>11/7/1015</t>
  </si>
  <si>
    <t>004937176</t>
  </si>
  <si>
    <t xml:space="preserve">10/9  IV </t>
  </si>
  <si>
    <t>004921821</t>
  </si>
  <si>
    <t xml:space="preserve">2/23 IV </t>
  </si>
  <si>
    <t>004926644</t>
  </si>
  <si>
    <t>11/6 AM</t>
  </si>
  <si>
    <t>10/24 CT</t>
  </si>
  <si>
    <t>004933057</t>
  </si>
  <si>
    <t>004934448</t>
  </si>
  <si>
    <t>004940134</t>
  </si>
  <si>
    <t>004940118</t>
  </si>
  <si>
    <t>2/20 CTS</t>
  </si>
  <si>
    <t>1/16/26 NC</t>
  </si>
  <si>
    <t>CTS 02/20/26: email bounced back</t>
  </si>
  <si>
    <t>004970268</t>
  </si>
  <si>
    <t>004942470</t>
  </si>
  <si>
    <t xml:space="preserve">12/2 IV </t>
  </si>
  <si>
    <t>DBS- 0216</t>
  </si>
  <si>
    <t>004905244</t>
  </si>
  <si>
    <t>02/20 CTS</t>
  </si>
  <si>
    <t>004958233</t>
  </si>
  <si>
    <t>004956010</t>
  </si>
  <si>
    <t>004936174</t>
  </si>
  <si>
    <t>004954565</t>
  </si>
  <si>
    <t>12/17 IV</t>
  </si>
  <si>
    <t>004966059</t>
  </si>
  <si>
    <t>004949617</t>
  </si>
  <si>
    <t xml:space="preserve">missing hct, accession didnt include </t>
  </si>
  <si>
    <t>004953196</t>
  </si>
  <si>
    <t>004962959</t>
  </si>
  <si>
    <t>need to text</t>
  </si>
  <si>
    <t xml:space="preserve">MJ: he would like his results mailed </t>
  </si>
  <si>
    <t>004949596</t>
  </si>
  <si>
    <t>004914276</t>
  </si>
  <si>
    <t>Note: Baseline/2nd yr columns hidden, click + above to view</t>
  </si>
  <si>
    <r>
      <rPr>
        <rFont val="Arial"/>
        <color theme="1"/>
      </rPr>
      <t xml:space="preserve">004963046  </t>
    </r>
    <r>
      <rPr>
        <rFont val="Arial"/>
        <strike/>
        <color theme="1"/>
      </rPr>
      <t>004949596</t>
    </r>
  </si>
  <si>
    <t>004990125</t>
  </si>
  <si>
    <t>1/13 IV :sent via text</t>
  </si>
  <si>
    <t>004978021</t>
  </si>
  <si>
    <t>004965602</t>
  </si>
  <si>
    <t>Would like his results mailed (Lab results and CD)</t>
  </si>
  <si>
    <t>004702846</t>
  </si>
  <si>
    <t xml:space="preserve">duplicate got full bd done twice 10/23/25 </t>
  </si>
  <si>
    <t>004962321</t>
  </si>
  <si>
    <t>wants mri cd</t>
  </si>
  <si>
    <t>004987460</t>
  </si>
  <si>
    <t>Baseline</t>
  </si>
  <si>
    <t>004963006</t>
  </si>
  <si>
    <t>02/20/26 CTS</t>
  </si>
  <si>
    <t>004961390</t>
  </si>
  <si>
    <t>004957431</t>
  </si>
  <si>
    <t>004995961</t>
  </si>
  <si>
    <t xml:space="preserve">Year 2 </t>
  </si>
  <si>
    <t xml:space="preserve">Year 3 </t>
  </si>
  <si>
    <t>004994468</t>
  </si>
  <si>
    <t>Year 4</t>
  </si>
  <si>
    <t>Wants MRI CD</t>
  </si>
  <si>
    <t>004978855</t>
  </si>
  <si>
    <t>004941608</t>
  </si>
  <si>
    <t>Card Number/Token #</t>
  </si>
  <si>
    <t>Expiration Date</t>
  </si>
  <si>
    <t>Wants MRI CD for Baseline and Y3</t>
  </si>
  <si>
    <t>Date Requested</t>
  </si>
  <si>
    <t>Staff Requesting</t>
  </si>
  <si>
    <t>004968944</t>
  </si>
  <si>
    <t>General Notes</t>
  </si>
  <si>
    <t>Participant Registered on ClinCard? (Y/N)</t>
  </si>
  <si>
    <t>004993544</t>
  </si>
  <si>
    <t>Card Registered on ClinCard? (Y/N)</t>
  </si>
  <si>
    <t>Mailed or Given? Date?</t>
  </si>
  <si>
    <t>004964518</t>
  </si>
  <si>
    <t>Screening Visit</t>
  </si>
  <si>
    <t xml:space="preserve">BD Credited? </t>
  </si>
  <si>
    <t>Wants MRI CD,,will give results + MRI CD at next visit 02/25/26</t>
  </si>
  <si>
    <t xml:space="preserve">MRI Credited? </t>
  </si>
  <si>
    <t>004965035</t>
  </si>
  <si>
    <t>Would like lab results through email,,Gave MRI CD</t>
  </si>
  <si>
    <t>004917580</t>
  </si>
  <si>
    <t>02/20 CTS: Sent via text</t>
  </si>
  <si>
    <t>Would like lab results through text, gave MRI CD at visit. CTS 02/18/26</t>
  </si>
  <si>
    <t>004990112</t>
  </si>
  <si>
    <t xml:space="preserve">NP Credited? </t>
  </si>
  <si>
    <t>LP Credited? (optional)</t>
  </si>
  <si>
    <t>004982131</t>
  </si>
  <si>
    <t xml:space="preserve">CV Credited? </t>
  </si>
  <si>
    <t>03/04/26 CTS</t>
  </si>
  <si>
    <t>Would like lab results texted</t>
  </si>
  <si>
    <t>Travel Expense Mileage Rate = Roundtrip Miles * 0.70 Mileage cutoff for $50 is 38 miles (oneway) or 76 miles (roundtrip)</t>
  </si>
  <si>
    <t>004949610</t>
  </si>
  <si>
    <t>Year 2 CV</t>
  </si>
  <si>
    <t>03/13 CTS</t>
  </si>
  <si>
    <t>Year 2 NP</t>
  </si>
  <si>
    <t>Travel Expense Mileage Rate = Roundtrip Miles * 0.725 Mileage cutoff for $50 is 38 miles (oneway) or 76 miles (roundtrip)</t>
  </si>
  <si>
    <t>Year 3 BD</t>
  </si>
  <si>
    <t>Year 3 CV</t>
  </si>
  <si>
    <t>Year 3 NP</t>
  </si>
  <si>
    <t>005008512</t>
  </si>
  <si>
    <t>Year 3 MRI</t>
  </si>
  <si>
    <t>3/11 IV</t>
  </si>
  <si>
    <t>Would like lab results through text,,Gave MRI CD</t>
  </si>
  <si>
    <t>004990118</t>
  </si>
  <si>
    <t>Would like lab results through email ,,Gave MRI CD</t>
  </si>
  <si>
    <t>004990123</t>
  </si>
  <si>
    <t>Would like lab results through email,Gave MRI CD</t>
  </si>
  <si>
    <t>004993538</t>
  </si>
  <si>
    <t>05/18 CTS</t>
  </si>
  <si>
    <t>04/29 CTS</t>
  </si>
  <si>
    <t>Would like lab results through text</t>
  </si>
  <si>
    <t>004981164</t>
  </si>
  <si>
    <t>never added</t>
  </si>
  <si>
    <t>Year 4 BD</t>
  </si>
  <si>
    <t>004928979</t>
  </si>
  <si>
    <t>Year 4 CV</t>
  </si>
  <si>
    <t>Year 4 NP</t>
  </si>
  <si>
    <t>004972534</t>
  </si>
  <si>
    <t>005000165</t>
  </si>
  <si>
    <t>DBS-0075</t>
  </si>
  <si>
    <t>005012500</t>
  </si>
  <si>
    <t>No MRI done</t>
  </si>
  <si>
    <t>5462689027584952</t>
  </si>
  <si>
    <t>005015777</t>
  </si>
  <si>
    <t>004962597</t>
  </si>
  <si>
    <t>Would like lab results emailed; Would like MRI CD mailed as well CTS 04/09/26</t>
  </si>
  <si>
    <t>004994085</t>
  </si>
  <si>
    <r>
      <rPr>
        <rFont val="Arial"/>
        <color theme="1"/>
      </rPr>
      <t xml:space="preserve"> 06/01/26 </t>
    </r>
    <r>
      <rPr>
        <rFont val="Arial"/>
        <strike/>
        <color theme="1"/>
      </rPr>
      <t>04/13/26</t>
    </r>
  </si>
  <si>
    <t>06/05/26 CTS</t>
  </si>
  <si>
    <r>
      <rPr>
        <rFont val="Arial"/>
        <b/>
        <color theme="1"/>
        <u/>
      </rPr>
      <t>CTS 05/29: Labs to be done again 06/01/26</t>
    </r>
    <r>
      <rPr>
        <rFont val="Arial"/>
        <b/>
        <color theme="1"/>
      </rPr>
      <t xml:space="preserve"> Would like lab results through email//new email on Redcap ,CTS will mail out MRI disc</t>
    </r>
  </si>
  <si>
    <t>005009558</t>
  </si>
  <si>
    <t xml:space="preserve">MRI Completed 05/18 CTS; was never added,,mri not completed </t>
  </si>
  <si>
    <t>005016186</t>
  </si>
  <si>
    <t>005040451</t>
  </si>
  <si>
    <t>05/14/26 CTS</t>
  </si>
  <si>
    <t>hemolyzed no homo, K+</t>
  </si>
  <si>
    <t>Y</t>
  </si>
  <si>
    <t>005031988</t>
  </si>
  <si>
    <t>Given</t>
  </si>
  <si>
    <t>005022129</t>
  </si>
  <si>
    <t>Would like labs and scans - CTS 05/04/26</t>
  </si>
  <si>
    <t>005039652</t>
  </si>
  <si>
    <t>004972713</t>
  </si>
  <si>
    <t>005005747</t>
  </si>
  <si>
    <t>No MRI done,,would like results via email-MJ</t>
  </si>
  <si>
    <t>005028791</t>
  </si>
  <si>
    <t>MRI disc will be mailed bc Perry is out of CDs atm,,would like blood results</t>
  </si>
  <si>
    <t>Yr 4</t>
  </si>
  <si>
    <t>05/29/26 CTS</t>
  </si>
  <si>
    <t>005014596</t>
  </si>
  <si>
    <t>Would like lab results-MJ</t>
  </si>
  <si>
    <t>005057771</t>
  </si>
  <si>
    <t>Would like results and MRI CD - CTS 05/13/26</t>
  </si>
  <si>
    <t>Mileage Compensation Calculator</t>
  </si>
  <si>
    <t>005019724</t>
  </si>
  <si>
    <t xml:space="preserve">ID's Eligible </t>
  </si>
  <si>
    <t>005014502</t>
  </si>
  <si>
    <t>Status</t>
  </si>
  <si>
    <t>005005717</t>
  </si>
  <si>
    <t>Would like lab results + MRI CD -MJ</t>
  </si>
  <si>
    <t>005018572</t>
  </si>
  <si>
    <t>Date Given or Mailed</t>
  </si>
  <si>
    <r>
      <rPr>
        <rFont val="Arial"/>
        <color theme="1"/>
      </rPr>
      <t xml:space="preserve">06/04/26 </t>
    </r>
    <r>
      <rPr>
        <rFont val="Arial"/>
        <strike/>
        <color theme="1"/>
      </rPr>
      <t>5/20/26</t>
    </r>
  </si>
  <si>
    <t>Tracking Number if mailed</t>
  </si>
  <si>
    <r>
      <rPr>
        <rFont val="Arial"/>
        <color theme="1"/>
      </rPr>
      <t xml:space="preserve">06/04/26 </t>
    </r>
    <r>
      <rPr>
        <rFont val="Arial"/>
        <strike/>
        <color theme="1"/>
      </rPr>
      <t>5/20/26</t>
    </r>
  </si>
  <si>
    <t>Informed about Kit</t>
  </si>
  <si>
    <r>
      <rPr>
        <rFont val="Arial"/>
        <b/>
        <color theme="1"/>
      </rPr>
      <t xml:space="preserve">IV: NO HCT VALUE </t>
    </r>
    <r>
      <rPr>
        <rFont val="Arial"/>
        <color theme="1"/>
      </rPr>
      <t>Would like lab results via text -JE</t>
    </r>
  </si>
  <si>
    <t>KIT Number</t>
  </si>
  <si>
    <t>004998762</t>
  </si>
  <si>
    <t>Follow up notes</t>
  </si>
  <si>
    <r>
      <rPr>
        <rFont val="Arial"/>
        <b/>
        <color theme="1"/>
      </rPr>
      <t>NEW: 15039498</t>
    </r>
    <r>
      <rPr>
        <rFont val="Arial"/>
        <color theme="1"/>
      </rPr>
      <t xml:space="preserve"> 14854855; 5462689024367617</t>
    </r>
  </si>
  <si>
    <t>Would like results via email and her MRI scan - CTS</t>
  </si>
  <si>
    <t>Date Received</t>
  </si>
  <si>
    <t>Would like lab results -MJ</t>
  </si>
  <si>
    <t>005023670</t>
  </si>
  <si>
    <t>Updated on Redcap</t>
  </si>
  <si>
    <t>GT 9/18: Informed $150 added to card for MRI +gas; GT 6/12: Participant informed $100 added for NP&amp;CV</t>
  </si>
  <si>
    <t>07/02/26 CTS</t>
  </si>
  <si>
    <t>Total Consented</t>
  </si>
  <si>
    <t>Would like lab results through email -MJ</t>
  </si>
  <si>
    <t>Opt Out</t>
  </si>
  <si>
    <t>004994180</t>
  </si>
  <si>
    <t>Would like lab results through email + MRI disc -MJ</t>
  </si>
  <si>
    <t>Would like lab results -JE</t>
  </si>
  <si>
    <t>005049200</t>
  </si>
  <si>
    <t>Would like lab results and both MRI CDs - CTS</t>
  </si>
  <si>
    <t>Would like lab results through text + 3rd yr/2025 MRI disc (requested from Perry on 06/08) -MJ</t>
  </si>
  <si>
    <t xml:space="preserve">where we started manual </t>
  </si>
  <si>
    <t>50 - 4 (09/08/23)</t>
  </si>
  <si>
    <t>Requested labs</t>
  </si>
  <si>
    <t>50 - (06/28/24)</t>
  </si>
  <si>
    <t>004977448</t>
  </si>
  <si>
    <t>004977523</t>
  </si>
  <si>
    <t>50 (12/03/25)</t>
  </si>
  <si>
    <t>005057745</t>
  </si>
  <si>
    <t>Would like both Y1, Y3 labs and Y3 MRI CD - CTS 06/15/26</t>
  </si>
  <si>
    <t># Complete:</t>
  </si>
  <si>
    <t>005057784</t>
  </si>
  <si>
    <t>Would like MRI CD - CTS 06/16/26</t>
  </si>
  <si>
    <t>50 (5/27/26)</t>
  </si>
  <si>
    <t>06/29/23 MJ</t>
  </si>
  <si>
    <t xml:space="preserve">Would like results via email-MJ </t>
  </si>
  <si>
    <t>005020576</t>
  </si>
  <si>
    <t xml:space="preserve"> Enter Miles One-way :</t>
  </si>
  <si>
    <t>005019240</t>
  </si>
  <si>
    <t>005053638</t>
  </si>
  <si>
    <t>Would like results and MRI CDs (Y1 and Y3)</t>
  </si>
  <si>
    <t>005061220</t>
  </si>
  <si>
    <t>07/16/26 CTS</t>
  </si>
  <si>
    <t>08/14/26 CTS</t>
  </si>
  <si>
    <r>
      <rPr>
        <rFont val="Arial"/>
        <b/>
        <color theme="1"/>
      </rPr>
      <t xml:space="preserve">NEW:45641655 </t>
    </r>
    <r>
      <rPr>
        <rFont val="Arial"/>
        <b/>
        <strike/>
        <color theme="1"/>
      </rPr>
      <t>NEW: 55015318</t>
    </r>
    <r>
      <rPr>
        <rFont val="Arial"/>
        <strike/>
        <color theme="1"/>
      </rPr>
      <t xml:space="preserve"> 5462 6890 2414 4115: </t>
    </r>
    <r>
      <rPr>
        <rFont val="Arial"/>
        <b/>
        <strike/>
        <color theme="1"/>
      </rPr>
      <t>new card:</t>
    </r>
    <r>
      <rPr>
        <rFont val="Arial"/>
        <strike/>
        <color theme="1"/>
      </rPr>
      <t xml:space="preserve"> 14297481</t>
    </r>
  </si>
  <si>
    <t>Would like labs emailed, handed off Y3 MRI CD</t>
  </si>
  <si>
    <t>04/27 6/24; 11/25</t>
  </si>
  <si>
    <t>005020637</t>
  </si>
  <si>
    <t xml:space="preserve">08/25 IV </t>
  </si>
  <si>
    <t xml:space="preserve">*hct collected but mri not done - opted out </t>
  </si>
  <si>
    <t>GT 5/25: Participant informed $100 included for NP &amp; CV;LC 02/27: Participant lost her clincard. Will provide a new one in next visit scheduled for 03/21</t>
  </si>
  <si>
    <t>Uber</t>
  </si>
  <si>
    <t xml:space="preserve">new card </t>
  </si>
  <si>
    <t xml:space="preserve">uber/ new card </t>
  </si>
  <si>
    <t>005085389</t>
  </si>
  <si>
    <t>Total Compensation:</t>
  </si>
  <si>
    <t>005081720</t>
  </si>
  <si>
    <t xml:space="preserve">wants labs via text </t>
  </si>
  <si>
    <t>005072338</t>
  </si>
  <si>
    <t>Complete</t>
  </si>
  <si>
    <t>Handed off MRI CD and wants labs texted</t>
  </si>
  <si>
    <t>(i dont think they signed new consent)</t>
  </si>
  <si>
    <t xml:space="preserve">Would like results via text-MJ </t>
  </si>
  <si>
    <t>N/A</t>
  </si>
  <si>
    <t>wants bd results</t>
  </si>
  <si>
    <t>Failed to Complete</t>
  </si>
  <si>
    <t>005060644</t>
  </si>
  <si>
    <r>
      <rPr>
        <rFont val="Arial"/>
        <b/>
        <color theme="1"/>
      </rPr>
      <t>NEW: 95641903</t>
    </r>
    <r>
      <rPr>
        <rFont val="Arial"/>
        <strike/>
        <color theme="1"/>
      </rPr>
      <t xml:space="preserve"> 5462689024430894;</t>
    </r>
    <r>
      <rPr>
        <rFont val="Arial"/>
        <color theme="1"/>
      </rPr>
      <t xml:space="preserve"> </t>
    </r>
    <r>
      <rPr>
        <rFont val="Arial"/>
        <b/>
        <color theme="1"/>
      </rPr>
      <t>new card:</t>
    </r>
    <r>
      <rPr>
        <rFont val="Arial"/>
        <color theme="1"/>
      </rPr>
      <t xml:space="preserve"> 94302271</t>
    </r>
  </si>
  <si>
    <r>
      <rPr>
        <rFont val="Arial"/>
        <b/>
        <color theme="1"/>
      </rPr>
      <t>10/28</t>
    </r>
    <r>
      <rPr>
        <rFont val="Arial"/>
        <b/>
        <strike/>
        <color theme="1"/>
      </rPr>
      <t>;</t>
    </r>
    <r>
      <rPr>
        <rFont val="Arial"/>
        <strike/>
        <color theme="1"/>
      </rPr>
      <t xml:space="preserve"> 6/24; 11/25 </t>
    </r>
  </si>
  <si>
    <t>005031172</t>
  </si>
  <si>
    <t>GT 8/1: Informed $100 added for MRI; GT 6/6: Participant informed $100 included for NP &amp; CV; LC 02/27: Participant lost her clincard. Will email new clinicard to home adress</t>
  </si>
  <si>
    <t>(signed updated consent)</t>
  </si>
  <si>
    <t>Would like results emailed when availabe. - JE 8/27/26</t>
  </si>
  <si>
    <t>30.13 (06/06/23)</t>
  </si>
  <si>
    <t>005087260</t>
  </si>
  <si>
    <t>09/11/ CTS</t>
  </si>
  <si>
    <t>1ZND00T10717112124</t>
  </si>
  <si>
    <t>Would like results ASAP - CTS 08/31/26</t>
  </si>
  <si>
    <t>11/11 GT: Informed me he shipped it; 11/8 GT: Will try again soon, paper ripped on him so having issues collecting; 11/1 GT: Confirmed received kit, will do it soon</t>
  </si>
  <si>
    <t>30.82 (06/17/24)</t>
  </si>
  <si>
    <t>005073507</t>
  </si>
  <si>
    <t>Can still offer</t>
  </si>
  <si>
    <t>005090291</t>
  </si>
  <si>
    <t>30.82 (6/11/25)</t>
  </si>
  <si>
    <t>005097271</t>
  </si>
  <si>
    <t>34.37 (6/29/26)</t>
  </si>
  <si>
    <t>Would like blood draw results emailed - CTS 10/01</t>
  </si>
  <si>
    <r>
      <rPr>
        <rFont val="Arial"/>
        <b/>
        <color theme="1"/>
      </rPr>
      <t xml:space="preserve">new card: 75046327 </t>
    </r>
    <r>
      <rPr>
        <rFont val="Arial"/>
        <color theme="1"/>
      </rPr>
      <t>5462689024384497;  85028913</t>
    </r>
  </si>
  <si>
    <r>
      <rPr>
        <rFont val="Arial"/>
        <color theme="1"/>
      </rPr>
      <t xml:space="preserve">6/24/2023; </t>
    </r>
    <r>
      <rPr>
        <rFont val="Arial"/>
        <b/>
        <color theme="1"/>
      </rPr>
      <t>04/27</t>
    </r>
  </si>
  <si>
    <t>005091843</t>
  </si>
  <si>
    <t>1ZND00T10716080107</t>
  </si>
  <si>
    <t>8/1 GT: Informed $150 added for NP &amp; LP; 7/31 GT: Informed $147.16 added for MRI + gas</t>
  </si>
  <si>
    <t>11/1 GT: Will bring it in person day of her MRI 11/21</t>
  </si>
  <si>
    <t xml:space="preserve">Given </t>
  </si>
  <si>
    <t>005103380</t>
  </si>
  <si>
    <t>Declined</t>
  </si>
  <si>
    <t>005091360</t>
  </si>
  <si>
    <t>005118202</t>
  </si>
  <si>
    <t>Would like labs</t>
  </si>
  <si>
    <t>47.16 - (07/31/23)</t>
  </si>
  <si>
    <t>$48.24 (6/06/24)</t>
  </si>
  <si>
    <t>1ZND00T10722525106</t>
  </si>
  <si>
    <t>50 (6/25/25)</t>
  </si>
  <si>
    <t>11/8: Will try to send tomorrow, coming back from mammoth; 11/1 GT: Left vm</t>
  </si>
  <si>
    <t>Consented but dropout</t>
  </si>
  <si>
    <t>50 (6/10/26)</t>
  </si>
  <si>
    <t>NOT PAID</t>
  </si>
  <si>
    <r>
      <rPr>
        <rFont val="Arial"/>
        <b/>
        <color theme="1"/>
      </rPr>
      <t xml:space="preserve">55025512 </t>
    </r>
    <r>
      <rPr>
        <rFont val="Arial"/>
        <color theme="1"/>
      </rPr>
      <t>64878310</t>
    </r>
  </si>
  <si>
    <t>GT 8/24: New card given, $106.68 added for MRI +gas; GT 5/8: New card given, informed active</t>
  </si>
  <si>
    <t>1ZND00T10737439299</t>
  </si>
  <si>
    <t>11/8 GT: Left vm, sent text; 10/31 GT: Confirmed received kit, will do it soon</t>
  </si>
  <si>
    <t>1ZND00T10718955132</t>
  </si>
  <si>
    <t>6.68 -  (8/24/23)</t>
  </si>
  <si>
    <t>11/8 GT: Confirmed received new kit; 11/1 GT: Didn't receive kit, sending new one to work address</t>
  </si>
  <si>
    <t>Send new kit 11/4</t>
  </si>
  <si>
    <t>6.83 (06/19/24)</t>
  </si>
  <si>
    <t>Not offered</t>
  </si>
  <si>
    <t>1ZND00T10731141870</t>
  </si>
  <si>
    <t>11/8 GT: Will do it by next week; 11/1 GT: Confirmed received kit, will do it soon</t>
  </si>
  <si>
    <t>6.83 (8/20/25)</t>
  </si>
  <si>
    <t>7.25 (8/18/26)</t>
  </si>
  <si>
    <t>PAID</t>
  </si>
  <si>
    <r>
      <rPr>
        <rFont val="Arial"/>
        <b/>
        <color theme="1"/>
      </rPr>
      <t>NEW : 74999471</t>
    </r>
    <r>
      <rPr>
        <rFont val="Arial"/>
        <color theme="1"/>
      </rPr>
      <t xml:space="preserve"> 5462689024244485</t>
    </r>
  </si>
  <si>
    <t xml:space="preserve">GT 6/8: Participant informed $100 included for MRI; LC 04/21: Can we re-compensate for BD since they dispatched the first one? </t>
  </si>
  <si>
    <t>1ZND00T10715920086</t>
  </si>
  <si>
    <t>11/19 GT: Pt shipped; 11/13 GT: Called me with questions, will send kit back soon; 11/8 GT: Left vm sent text; 10/31 GT: Confirmed received kit, will do it when gets a chance</t>
  </si>
  <si>
    <t>1ZND00T10715167070</t>
  </si>
  <si>
    <t>UBER</t>
  </si>
  <si>
    <t>10/31 GT: Participant sent it back this date</t>
  </si>
  <si>
    <t>UNSURE</t>
  </si>
  <si>
    <t>DBS-0119</t>
  </si>
  <si>
    <t>1ZND00T10733618263</t>
  </si>
  <si>
    <t>11/8 GT: Wasn't able to do it bc moving but will send next week; 10/31 GT: Left vm; 10/24 GT: Participant confirmed he received it</t>
  </si>
  <si>
    <t>5462 6890 2348 6988</t>
  </si>
  <si>
    <t>1ZND00T10712091095</t>
  </si>
  <si>
    <t>LC 03/27: Participant came to initial visit but decided to no longer continue. Asked about clincard but declined compensation.</t>
  </si>
  <si>
    <t>11/18 UPS still has possession, waiting for delivery date; 11/14 GT: Pt sent kit back; 11/8 GT: Will do it soon; 10/31 GT: Says he will do it soon; 10/25 GT: Confirmed he received it said he'll send it back soon</t>
  </si>
  <si>
    <t>N</t>
  </si>
  <si>
    <t>1ZND00T10723770054</t>
  </si>
  <si>
    <t>11/12: Pt sent kit back; 11/8 GT: Participant says he forgot will do it; 10/31 GT: Says he will do it by Monday; 10/24 GT: Participant confirmed he received it</t>
  </si>
  <si>
    <t>NEEDS ATTENTION</t>
  </si>
  <si>
    <t>5462689027601913</t>
  </si>
  <si>
    <t>9405536208326289980603</t>
  </si>
  <si>
    <t xml:space="preserve">IV 6/24: sent text reminder </t>
  </si>
  <si>
    <t>94318240</t>
  </si>
  <si>
    <t>9405536208326289980689</t>
  </si>
  <si>
    <t>GT 9/29: Informed $124.89 added for MRI &amp; gas; GT 5/4: Replaced previous card</t>
  </si>
  <si>
    <t>24.89 (9/29/23)</t>
  </si>
  <si>
    <t>9405536208326289980740</t>
  </si>
  <si>
    <t>Pre-Screening (Full)</t>
  </si>
  <si>
    <t>9405536208326289980818</t>
  </si>
  <si>
    <t>DBS-0131</t>
  </si>
  <si>
    <t>5462689024198988</t>
  </si>
  <si>
    <t>MJ 12/03: Called me to let me know that she dropped some of the liquid in the vial??Told her we will follow up if the sample is not usuable</t>
  </si>
  <si>
    <t>9405536208326289980863</t>
  </si>
  <si>
    <t>4/25 GT Sent a reminder, says hasn;t been in LA but will be this weekend to do it</t>
  </si>
  <si>
    <t>Pre-Screening (Short)</t>
  </si>
  <si>
    <t>9405536208326289980610</t>
  </si>
  <si>
    <t>4/25 GT Sent reminder, will send it soon</t>
  </si>
  <si>
    <r>
      <rPr>
        <rFont val="Arial"/>
        <b/>
        <color theme="1"/>
      </rPr>
      <t>NEW Card: 35650368</t>
    </r>
    <r>
      <rPr>
        <rFont val="Arial"/>
        <color theme="1"/>
      </rPr>
      <t xml:space="preserve"> 64308753</t>
    </r>
  </si>
  <si>
    <t>7/28 GT: Informed 100 for MRI; 5/12 GT informed of money from LP and NP ( Has card 84313418 in case cant find original) 4/24: Card given during CV; Card not given. Waiting for DBS clincards to come in</t>
  </si>
  <si>
    <t>9405536208326289980696</t>
  </si>
  <si>
    <t>Baseline Medical Exam</t>
  </si>
  <si>
    <t>9405536208326289980771</t>
  </si>
  <si>
    <r>
      <rPr>
        <rFont val="Arial"/>
        <b/>
        <color theme="1"/>
      </rPr>
      <t xml:space="preserve">NEW: 75647106 </t>
    </r>
    <r>
      <rPr>
        <rFont val="Arial"/>
        <strike/>
        <color theme="1"/>
      </rPr>
      <t>NEW CARD:64996574</t>
    </r>
    <r>
      <rPr>
        <rFont val="Arial"/>
        <b/>
        <strike/>
        <color theme="1"/>
      </rPr>
      <t xml:space="preserve"> </t>
    </r>
    <r>
      <rPr>
        <rFont val="Arial"/>
        <color theme="1"/>
      </rPr>
      <t>5462689026916569</t>
    </r>
  </si>
  <si>
    <t>GT 8/16: Informed $100 added for MRI; GT 6/22: Participant informed $75 added for CV and gas; GT 5/31: Participant informed $150 added for NP &amp; LP</t>
  </si>
  <si>
    <t>9405536208326289980832</t>
  </si>
  <si>
    <t>50 - (03/07/23)</t>
  </si>
  <si>
    <t>New Card:64996574/MAILED OUT ON 06/05/25</t>
  </si>
  <si>
    <t>9405536208326289980887</t>
  </si>
  <si>
    <t>50</t>
  </si>
  <si>
    <t>Uber/new card</t>
  </si>
  <si>
    <t>Baseline NP</t>
  </si>
  <si>
    <r>
      <rPr>
        <rFont val="Arial"/>
        <strike/>
        <color theme="1"/>
      </rPr>
      <t>5462689026984930</t>
    </r>
    <r>
      <rPr>
        <rFont val="Arial"/>
        <b/>
        <strike/>
        <color theme="1"/>
      </rPr>
      <t xml:space="preserve"> </t>
    </r>
    <r>
      <rPr>
        <rFont val="Arial"/>
        <strike/>
        <color theme="1"/>
      </rPr>
      <t>New CARD: 95027635</t>
    </r>
    <r>
      <rPr>
        <rFont val="Arial"/>
        <b/>
        <strike/>
        <color theme="1"/>
      </rPr>
      <t xml:space="preserve"> </t>
    </r>
    <r>
      <rPr>
        <rFont val="Arial"/>
        <b/>
        <color theme="1"/>
      </rPr>
      <t xml:space="preserve"> NEW CARD: 35494987</t>
    </r>
  </si>
  <si>
    <r>
      <rPr>
        <rFont val="Arial"/>
        <strike/>
        <color theme="1"/>
      </rPr>
      <t xml:space="preserve">4/24/2025 </t>
    </r>
    <r>
      <rPr>
        <rFont val="Arial"/>
        <color theme="1"/>
      </rPr>
      <t xml:space="preserve"> 05/28</t>
    </r>
  </si>
  <si>
    <t>9405536208326289980634</t>
  </si>
  <si>
    <t xml:space="preserve">discard, got a new one </t>
  </si>
  <si>
    <t>9/30/25 JE: Participant informed total balance $214. New card given in person. ;; 6/12 GT: Participant informed $100 added for MRI; 5/19 GT: Participant informed $75 added for NP &amp; CV</t>
  </si>
  <si>
    <t>IV 6/24: sent text reminder , needs new one, will stop by or ship out</t>
  </si>
  <si>
    <t>NEW CARD: 35494987</t>
  </si>
  <si>
    <t>9405536208326289980719</t>
  </si>
  <si>
    <t>Baseline Blood Draw</t>
  </si>
  <si>
    <t>IV 6/24: sent text reminder 4/25 GT sent reminder</t>
  </si>
  <si>
    <t>DBS-0212</t>
  </si>
  <si>
    <t>5462688013090693</t>
  </si>
  <si>
    <t>9405536106193278577099</t>
  </si>
  <si>
    <t xml:space="preserve">NC 6/30: sent text reminder 6/9/25 NC sent reminder </t>
  </si>
  <si>
    <t>Baseline MRI</t>
  </si>
  <si>
    <t>DBS-0242</t>
  </si>
  <si>
    <t>5462688013271103</t>
  </si>
  <si>
    <t>Baseline LP (Optional)</t>
  </si>
  <si>
    <t>9405536106193278577129</t>
  </si>
  <si>
    <t xml:space="preserve">NC 6/30 In mexico, offer in a month, left in car NC 6/30: sent text reminder  6/9/25 NC sent reminder </t>
  </si>
  <si>
    <t>DBS-0128</t>
  </si>
  <si>
    <t>14317300</t>
  </si>
  <si>
    <t>9405536106193278577167</t>
  </si>
  <si>
    <t xml:space="preserve">NC 6/30 In mexico, offer in a month, left in car NC 6/30: sent text reminder 6/9/25 NC sent reminder </t>
  </si>
  <si>
    <t>50 - Lead no longer answered phone</t>
  </si>
  <si>
    <t>9405536106193278577198</t>
  </si>
  <si>
    <r>
      <rPr>
        <rFont val="Arial"/>
        <b/>
        <color theme="1"/>
      </rPr>
      <t>NEW: 75015660</t>
    </r>
    <r>
      <rPr>
        <rFont val="Arial"/>
        <color theme="1"/>
      </rPr>
      <t xml:space="preserve"> 74850904; 44308551</t>
    </r>
  </si>
  <si>
    <t>9405536106193278577211</t>
  </si>
  <si>
    <t>50 - 3 (09/08/23)</t>
  </si>
  <si>
    <t>9405536106193278577105</t>
  </si>
  <si>
    <t>IV 6/26: picked up new kit IV 6/24: sent text reminder , needs new one, will stop by or ship out</t>
  </si>
  <si>
    <t>9405536106193278577136</t>
  </si>
  <si>
    <r>
      <rPr>
        <rFont val="Arial"/>
        <b/>
        <color theme="1"/>
      </rPr>
      <t xml:space="preserve">New card: 45016282; </t>
    </r>
    <r>
      <rPr>
        <rFont val="Arial"/>
        <color theme="1"/>
      </rPr>
      <t>94306214</t>
    </r>
  </si>
  <si>
    <t xml:space="preserve">NC 7/30 sent reminder AG 7/23 sent follow up text </t>
  </si>
  <si>
    <t>Participant informed $100 added for LP; GT 5/31: Participant informed $125 added for NP,BD, and CV</t>
  </si>
  <si>
    <t>9405536106193278577150</t>
  </si>
  <si>
    <t>13.10 -  (5/31/23)</t>
  </si>
  <si>
    <t>13.4 (6/25/24)</t>
  </si>
  <si>
    <t>9405536106193278577181</t>
  </si>
  <si>
    <t>17.71 (06/11/25)</t>
  </si>
  <si>
    <t>21.46 (06/23/26)</t>
  </si>
  <si>
    <r>
      <rPr>
        <rFont val="Arial"/>
        <color theme="1"/>
      </rPr>
      <t xml:space="preserve">new card: </t>
    </r>
    <r>
      <rPr>
        <rFont val="Arial"/>
        <b/>
        <color theme="1"/>
      </rPr>
      <t>44852062</t>
    </r>
    <r>
      <rPr>
        <rFont val="Arial"/>
        <color theme="1"/>
      </rPr>
      <t>; 14310870</t>
    </r>
  </si>
  <si>
    <t>GT 7/7: Participant informed $100 added for MRI; GT 5/10: Participant informed $75 added for NP &amp;CV</t>
  </si>
  <si>
    <t>9405536106193278577204</t>
  </si>
  <si>
    <t xml:space="preserve">IV 9/23: received </t>
  </si>
  <si>
    <t>37.52 (10/29/24)</t>
  </si>
  <si>
    <t>new card</t>
  </si>
  <si>
    <t>DBS:1167 Checked in through text. Pending response 5/5/26 JE ;; Reminder text sent NC 9/2</t>
  </si>
  <si>
    <t>DBS-0061</t>
  </si>
  <si>
    <t>9405536106193278577112</t>
  </si>
  <si>
    <t>Reminder text sent NC 9/2</t>
  </si>
  <si>
    <t>04292948</t>
  </si>
  <si>
    <t>9405536106193278577143</t>
  </si>
  <si>
    <t>Reminder text send NC 9/9 (responded that she sent it that day)</t>
  </si>
  <si>
    <t>9405536106193283632813</t>
  </si>
  <si>
    <t>9405536106193283632851</t>
  </si>
  <si>
    <r>
      <rPr>
        <rFont val="Arial"/>
        <b/>
        <color theme="1"/>
      </rPr>
      <t xml:space="preserve">NEW: 05630936 </t>
    </r>
    <r>
      <rPr>
        <rFont val="Arial"/>
        <color theme="1"/>
      </rPr>
      <t>04297318</t>
    </r>
  </si>
  <si>
    <t>GT 6/9: Participant informed $125 added for NP,BD, &amp; CV</t>
  </si>
  <si>
    <t>9405536106193283632899</t>
  </si>
  <si>
    <t>5.50 - (7/17/23)</t>
  </si>
  <si>
    <t>9405536106193283632912</t>
  </si>
  <si>
    <t>Given in person after scan on MRI day. JE 9/30/25</t>
  </si>
  <si>
    <t>$6.03 (6/06/24)</t>
  </si>
  <si>
    <t>9405536106193283632943</t>
  </si>
  <si>
    <t>11/11/25 Brought in person day of MRI. JE ;; 10/14 Reminder text sent NC; MJ 09/30:Given in person after NP</t>
  </si>
  <si>
    <t>7.42 (6/10/25)</t>
  </si>
  <si>
    <t>expired</t>
  </si>
  <si>
    <t>7.69 (6/09/26)</t>
  </si>
  <si>
    <t>New card</t>
  </si>
  <si>
    <t>9405536106193283632837</t>
  </si>
  <si>
    <t>64312498</t>
  </si>
  <si>
    <t>10/14 Reminder text sent NC; Given in person after 2nd yr CV. JE 10/3/25</t>
  </si>
  <si>
    <t>GT 10/2: Informed $100 added for MRI; GT 5/10: Participant informed $50 added for NP</t>
  </si>
  <si>
    <t>9405536106193283632875</t>
  </si>
  <si>
    <t>84306353</t>
  </si>
  <si>
    <t xml:space="preserve">Reminded to complete NC 10/21/25 Reminded to complete. JE 10/10/25 </t>
  </si>
  <si>
    <t xml:space="preserve">expired </t>
  </si>
  <si>
    <r>
      <rPr>
        <rFont val="Arial"/>
        <b/>
        <color theme="1"/>
      </rPr>
      <t xml:space="preserve">NEW: 85654380 </t>
    </r>
    <r>
      <rPr>
        <rFont val="Arial"/>
        <color theme="1"/>
      </rPr>
      <t>85037531 24287358 54863241</t>
    </r>
  </si>
  <si>
    <t>9434636106195286568037</t>
  </si>
  <si>
    <t>GT 7/19: Participant informed $100 added for MRI; GT 5/17: Participant informed $125 added for NP, BD, and CV</t>
  </si>
  <si>
    <t>Recived and placed into the frezzer in 123A. 12/11/25 JE;; Reminded to complete NC 11/25/25</t>
  </si>
  <si>
    <t>NEW LABELS ⬇️</t>
  </si>
  <si>
    <t>19.65 -  (4/12/23)</t>
  </si>
  <si>
    <t>9434636106195286568044</t>
  </si>
  <si>
    <t>Reminded to complete NC 1/23/26 Reminded to complete NC 11/25/25</t>
  </si>
  <si>
    <t>DBS-0294</t>
  </si>
  <si>
    <t>64284516</t>
  </si>
  <si>
    <t>9434636106195286568051</t>
  </si>
  <si>
    <t>Received and placed in 123A frezzer. 12/10/25 JE</t>
  </si>
  <si>
    <t>34319219</t>
  </si>
  <si>
    <t>9434636106195286568082</t>
  </si>
  <si>
    <t>GT 9/12: Participant informed $120.96 added for MRI and gas; GT 7/14: Participant informed $120.96 added for LP and gas; GT 6/23: Participant informed $141.92 added for NP,BD, &amp; CV and gas</t>
  </si>
  <si>
    <t>9434636106195286568099</t>
  </si>
  <si>
    <t>20.96 (09/12/23)</t>
  </si>
  <si>
    <t>DBS-0010</t>
  </si>
  <si>
    <t>94305169</t>
  </si>
  <si>
    <t>9434636106195298296751</t>
  </si>
  <si>
    <t>CTS 02/18 Got back this kit on 02/18/2026; no ID</t>
  </si>
  <si>
    <t>3.93 - (4/26/23)</t>
  </si>
  <si>
    <t>9434636106195298296768</t>
  </si>
  <si>
    <t>Reminded to complete NC 1/23/26 Reminded to complete NC 12/18/24</t>
  </si>
  <si>
    <t>34318060</t>
  </si>
  <si>
    <t xml:space="preserve">LC </t>
  </si>
  <si>
    <t>GT 5/30: Participant informed $100 added for NP,BD, and CV; GT 5/10: Participant informed card active</t>
  </si>
  <si>
    <t>9434636106195298296782</t>
  </si>
  <si>
    <t>12.31 (10/30/23)</t>
  </si>
  <si>
    <t>9434636106195298296812</t>
  </si>
  <si>
    <t>Reminded to complete NC 1/23/26</t>
  </si>
  <si>
    <t>13.40 (06/03/24)</t>
  </si>
  <si>
    <t>34308135</t>
  </si>
  <si>
    <t>9434636106195298296850</t>
  </si>
  <si>
    <t>GT 7/24: Participant informed $100 added for MRI; GT 5/19: Participant informed $100 added for NP,BD, and CV; GT 5/4: Participant informed card active</t>
  </si>
  <si>
    <t>9434636106195298296775</t>
  </si>
  <si>
    <r>
      <rPr>
        <rFont val="Arial"/>
        <b/>
        <color theme="1"/>
      </rPr>
      <t>New: 64870590</t>
    </r>
    <r>
      <rPr>
        <rFont val="Arial"/>
        <color theme="1"/>
      </rPr>
      <t xml:space="preserve">      74302037</t>
    </r>
  </si>
  <si>
    <t>Reminded to complete NC 1/23/26 Given day of MRI JE 1/5/26</t>
  </si>
  <si>
    <t>GT 8/8: Informed $102.62 added for MRI + gas; GT 6/14: Participant informed $125 added for NP,BD, and CV; GT 5/17: Participant informed $25 added for BD; GT 5/11 Need to send new card</t>
  </si>
  <si>
    <t>9434636106195298296805</t>
  </si>
  <si>
    <t>2.62 (8/8/23)</t>
  </si>
  <si>
    <t>Received. Was in mailbox upstairs. 2/5/26 JE ;; Reminded to complete NC, said they sent it already 1/23/26 Given day of 2nd yr NP</t>
  </si>
  <si>
    <t>2.68 (08/12/24)</t>
  </si>
  <si>
    <t>9434636106195298296836</t>
  </si>
  <si>
    <t xml:space="preserve">2/6/26 Reminded to Complete NCGiven day of 3rd yr visit </t>
  </si>
  <si>
    <r>
      <rPr>
        <rFont val="Arial"/>
        <b/>
        <color theme="1"/>
      </rPr>
      <t>NEW: 75648458</t>
    </r>
    <r>
      <rPr>
        <rFont val="Arial"/>
        <color theme="1"/>
      </rPr>
      <t xml:space="preserve"> 74855396</t>
    </r>
  </si>
  <si>
    <t>Dropped off in person, in fridge CTS 02/10/26</t>
  </si>
  <si>
    <t>GT 5/30: Participant informed $125 added for NP,BD, and CV; GT 5/10: Participant informed card active</t>
  </si>
  <si>
    <t>9434636106196278179279</t>
  </si>
  <si>
    <t>IV 4/6:didnt collect full sample, gave her another kit  Will bring in for 4/6 Visit, 3/6Reminded to complete NC; CTS 02/20 Called, left VM. Given day of 3rd yr MRI; Call, VM, and text on 02/12/26 CTS</t>
  </si>
  <si>
    <t>6.68 -  (5/30/23)</t>
  </si>
  <si>
    <t>9434636106196278179309</t>
  </si>
  <si>
    <t xml:space="preserve">Given day of 3rd yr MRI. </t>
  </si>
  <si>
    <t>9434636106196278179323</t>
  </si>
  <si>
    <t>Given day of 3rd yr MRI; Reminded to complete 02/10/26 - CTS</t>
  </si>
  <si>
    <t>9434636106196278179330</t>
  </si>
  <si>
    <t>Given day of 3rd yr MRI; Called to remind, Dropped off in mailbox today 02/10/26 CTS</t>
  </si>
  <si>
    <t>6.83 (8/28/25)</t>
  </si>
  <si>
    <t>9434636106196278179361</t>
  </si>
  <si>
    <t>7.25 (08/18/26)</t>
  </si>
  <si>
    <t>4/16/26 JE Said she completed but her son did not mail it out. And would not like to do another one. Opting out ;; 3/6 Reminded to complete NC CTS 02/20: Called and reminded to complete. Given day of 3rd yr MRI; Called to remind 02/10/2026 CTS, Sent reminder text on 02/17/26 CTS;</t>
  </si>
  <si>
    <r>
      <rPr>
        <rFont val="Arial"/>
        <b/>
        <color theme="1"/>
      </rPr>
      <t xml:space="preserve">NEW: 95659693 </t>
    </r>
    <r>
      <rPr>
        <rFont val="Arial"/>
        <color theme="1"/>
      </rPr>
      <t>74319160</t>
    </r>
  </si>
  <si>
    <t>GT 7/18: Participant informed $100 added for MRI; GT 6/1: Participant informed $150 added for NP&amp;LP; GT 5/25: Participant informed $75 included for BD &amp; CV; GT 5/10: Participant informed card active</t>
  </si>
  <si>
    <t>9434636106196278179286</t>
  </si>
  <si>
    <t>Given day of 3rd yr MRI; Called to remind, will send tomorrow morning 2/10/26 CTS</t>
  </si>
  <si>
    <t>16.80 (6/5/25)</t>
  </si>
  <si>
    <t>16.80 (6/1/26)</t>
  </si>
  <si>
    <r>
      <rPr>
        <rFont val="Arial"/>
        <color theme="1"/>
      </rPr>
      <t xml:space="preserve">34864930; </t>
    </r>
    <r>
      <rPr>
        <rFont val="Arial"/>
        <strike/>
        <color theme="1"/>
      </rPr>
      <t>04285594</t>
    </r>
  </si>
  <si>
    <t>9434636106196289209613</t>
  </si>
  <si>
    <t>GT 9/12: Informed $100 added for MRI; GT 6/19: Participant informed $100 added for BD, NP &amp;CV; GT 5/24: Participant informed card active &amp; $25 included for SV</t>
  </si>
  <si>
    <t>CT: (Daughter sent out empty stool kit, expressed interest in still doing sample) MJ 03/05: Kit arrived to office,,does not seemed used CTS 03/04 Would like another stool kit. CTS 03/03 Dropped off empty box w/o sample inside. CTS 02/27 Called, left vm, text to remind. MJ 02/23: Given to pt after NP</t>
  </si>
  <si>
    <t>DBS-0339</t>
  </si>
  <si>
    <t>24291508</t>
  </si>
  <si>
    <t>GT 5/30: Participant informed card active and $25 added for SV</t>
  </si>
  <si>
    <t>NEW: 44857336   74313261</t>
  </si>
  <si>
    <t>GT 9/21: Informed $100 added for MRI: GT 7/24: Participant informed $125 added for BD, NP &amp;CV; GT 6/2: Participant informed $25 added for SV</t>
  </si>
  <si>
    <r>
      <rPr>
        <rFont val="Arial"/>
        <b/>
        <color theme="1"/>
      </rPr>
      <t xml:space="preserve">NEW: 24842638 </t>
    </r>
    <r>
      <rPr>
        <rFont val="Arial"/>
        <color theme="1"/>
      </rPr>
      <t xml:space="preserve">74297611 </t>
    </r>
  </si>
  <si>
    <r>
      <rPr>
        <rFont val="Arial"/>
        <b/>
        <color theme="1"/>
      </rPr>
      <t>new: 11/26</t>
    </r>
    <r>
      <rPr>
        <rFont val="Arial"/>
        <color theme="1"/>
      </rPr>
      <t xml:space="preserve"> 11/25</t>
    </r>
  </si>
  <si>
    <t>GT 9/21: Informed $100 added for MRI; GT 7/24: Participant informed $125 added for BD, NP &amp;CV; GT 6/2: Participant informed $25 added for SV</t>
  </si>
  <si>
    <t>74311938</t>
  </si>
  <si>
    <t>(empty box)</t>
  </si>
  <si>
    <t>GT 8/3: Participant informed $100 added for MRI; GT 6/16: Participant informed $100 added for BD, NP &amp;CV; GT 6/2: Participant informed $25 added for SV</t>
  </si>
  <si>
    <t xml:space="preserve">DBS-1019 </t>
  </si>
  <si>
    <t>28.82 - (06/02/23)</t>
  </si>
  <si>
    <t>9434636106196285628449</t>
  </si>
  <si>
    <t>DBS-0345</t>
  </si>
  <si>
    <t>54307516</t>
  </si>
  <si>
    <t>GT 6/8: Participant informed $25 added for SV</t>
  </si>
  <si>
    <t>Given day of 3rd yr visit , - replaced label good to use</t>
  </si>
  <si>
    <r>
      <rPr>
        <rFont val="Arial"/>
        <color theme="1"/>
      </rPr>
      <t xml:space="preserve">45492949 </t>
    </r>
    <r>
      <rPr>
        <rFont val="Arial"/>
        <strike/>
        <color theme="1"/>
      </rPr>
      <t>14314647</t>
    </r>
  </si>
  <si>
    <r>
      <rPr>
        <rFont val="Arial"/>
        <color theme="1"/>
      </rPr>
      <t xml:space="preserve">05/28 </t>
    </r>
    <r>
      <rPr>
        <rFont val="Arial"/>
        <strike/>
        <color theme="1"/>
      </rPr>
      <t>11/25/2023</t>
    </r>
  </si>
  <si>
    <t>JE 10/23 Participant lost card. New card given. GT 6/19: Participant informed $75 added for SV and Gas</t>
  </si>
  <si>
    <t>Survey Link Sent/Mailed</t>
  </si>
  <si>
    <r>
      <rPr>
        <rFont val="Calibri"/>
        <b/>
        <color rgb="FF000000"/>
        <sz val="11.0"/>
      </rPr>
      <t xml:space="preserve">NEW: 9402236206256001011282 </t>
    </r>
    <r>
      <rPr>
        <rFont val="Calibri"/>
        <strike/>
        <color rgb="FF000000"/>
        <sz val="11.0"/>
      </rPr>
      <t>9434636106196281858796</t>
    </r>
  </si>
  <si>
    <t xml:space="preserve">Completed </t>
  </si>
  <si>
    <t>MJ 03/30: Needs new label,,will email him one to use...confirmed he recived the email CTS 03/10 'Tracking number unavailable' on USPS website? 3/6 Reminded to complete NC CTS 02/27 Called, left vm, text CTS 02/20: Called, left VM MJ 02/12: given after MRI</t>
  </si>
  <si>
    <t xml:space="preserve">Notes </t>
  </si>
  <si>
    <t>50 - 7/25/23</t>
  </si>
  <si>
    <t>9434636106196292961089</t>
  </si>
  <si>
    <t>CTS 03/10 On its way back 3/6 Reminded to complete NC MJ 03/02: Given after MRI</t>
  </si>
  <si>
    <t>50 (7/29/24)</t>
  </si>
  <si>
    <t>DBS-0982 (new one)</t>
  </si>
  <si>
    <t>Record ID/location</t>
  </si>
  <si>
    <t>03/09/26 MAILED by MJ</t>
  </si>
  <si>
    <t>9434636106196296927401</t>
  </si>
  <si>
    <t>Complete =</t>
  </si>
  <si>
    <t>50 (10/23/25)</t>
  </si>
  <si>
    <t xml:space="preserve">JE 10/23/25: NEW CARD ;; IV 8/21: came for mri, got cancelled, did de4 </t>
  </si>
  <si>
    <t>- new one for 0982, being mailed out monday 3/9</t>
  </si>
  <si>
    <t>50 (08/03/26)</t>
  </si>
  <si>
    <t>Virtual CV</t>
  </si>
  <si>
    <t>9434636106196289209675</t>
  </si>
  <si>
    <r>
      <rPr>
        <rFont val="Arial"/>
        <b/>
        <color theme="1"/>
      </rPr>
      <t xml:space="preserve">NEW CARD: 45649749 </t>
    </r>
    <r>
      <rPr>
        <rFont val="Arial"/>
        <color theme="1"/>
      </rPr>
      <t>85489668 NEW CARD: 64875190 ;54310151</t>
    </r>
  </si>
  <si>
    <t>4/10 NC reminded 03/18 CTS Called to remind, still wants to send 3/13 reminded to complete 3/6 Reminded to complete NC Given day of 2nd yr visit. 2/25/26 JE</t>
  </si>
  <si>
    <t>GT 9/22: Participant informed $103.93 added for MRI and gas; GT 7/31: Participant informed $128.93 added for BD,NP,CV and gas; GT 6/20: Participant informed $28.93 added for SV and gas</t>
  </si>
  <si>
    <t xml:space="preserve">DBS-1703 </t>
  </si>
  <si>
    <t>9434636106196300749616</t>
  </si>
  <si>
    <t>4/10 NC reminded CTS 03/24 Called to remind. given on 3/17</t>
  </si>
  <si>
    <t>3.93 - 7/31/23</t>
  </si>
  <si>
    <t>9434636106196292961133</t>
  </si>
  <si>
    <t>4/23 USPS sent unable to locate message</t>
  </si>
  <si>
    <r>
      <rPr>
        <rFont val="Arial"/>
        <b/>
        <color theme="1"/>
      </rPr>
      <t xml:space="preserve">NEW: 05644335 </t>
    </r>
    <r>
      <rPr>
        <rFont val="Arial"/>
        <strike/>
        <color theme="1"/>
      </rPr>
      <t>NEW: 35654159 24298743</t>
    </r>
  </si>
  <si>
    <t>9434636106196308166446</t>
  </si>
  <si>
    <t>8/16 GT: Participant informed $100 added for MRI; GT 6/23: Participant informed $125 added for NP,BD, &amp; CV; GT 6/20: Participant informed $25 added for SV</t>
  </si>
  <si>
    <t xml:space="preserve">04/17 CTS: Called; left VM reminder4/10 Reminded NC MJ 04/01: Given during 3rd yr visit </t>
  </si>
  <si>
    <t>MJ 06/16: Called in and needs a new card</t>
  </si>
  <si>
    <t>MJ 03/18: Mailed out on 03/18,,arriving to pt on 03/21/26 (tracking #:9400136106196340383984)</t>
  </si>
  <si>
    <t>9434636106196302742387</t>
  </si>
  <si>
    <t xml:space="preserve">CTS 03/23 Will send on 04/06, kit arrived as she was departing for Mexico, will send upon return; -final for 0982, will be mailed out this week </t>
  </si>
  <si>
    <r>
      <rPr>
        <rFont val="Arial"/>
        <b/>
        <color theme="1"/>
      </rPr>
      <t>NEW CARDS: 65638599</t>
    </r>
    <r>
      <rPr>
        <rFont val="Arial"/>
        <color theme="1"/>
      </rPr>
      <t xml:space="preserve"> </t>
    </r>
    <r>
      <rPr>
        <rFont val="Arial"/>
        <strike/>
        <color theme="1"/>
      </rPr>
      <t>14307317</t>
    </r>
  </si>
  <si>
    <t>9434636106196311883163</t>
  </si>
  <si>
    <t>GT 9/12: Participant informed $100 added for MRI; GT 8/11: Participant informed $100 added for LP; GT 7/19: Participant informed $100 added for NP, BD, CV; GT 6/26: Participant informed $25 added for SV</t>
  </si>
  <si>
    <t xml:space="preserve"> IV 4/6:didnt collect full sample, gave her another kit, said she'll send out tomorrow </t>
  </si>
  <si>
    <t>Buenas tardes! Soy Noelle del estudio de diabetes y memoria aqui de USC. Estoy haciendo un seguimiento con respecto a la encuesta del compañero del estudio. Como recordatorio, esto es un requisito para el estudio. Su compañero de estudio puede ser cualquier persona que le conozca lo Asegúrese de que su compañero de estudio complete su nombre donde dice el nombre del participante y su nombre donde pide el nombre del compañero de estudio.suficiente como para poder responder a las preguntas de la encuesta relacionadas con su memoria. Por favor NO llene la encuesta usted mismo. Puede acceder al enlace aquí y enviárselo a ellos. https://redcap.link/DiabetesBrainStudyPartner Gracias!</t>
  </si>
  <si>
    <t>9402236206256001046628</t>
  </si>
  <si>
    <t>50 - (06/26/23)</t>
  </si>
  <si>
    <t>MJ 04/13; Given during visit MJ 04/09:Kit prepped</t>
  </si>
  <si>
    <t>Incomplete =</t>
  </si>
  <si>
    <t>MJ- Mailed out on 04/21/26</t>
  </si>
  <si>
    <t>9402236206256001051783</t>
  </si>
  <si>
    <t>NC 4/24 Send reminder MJ 04/13; Given during visit MJ 04/09:Kit prepped</t>
  </si>
  <si>
    <t>Uber (8/11/25)</t>
  </si>
  <si>
    <t>n</t>
  </si>
  <si>
    <t>9402236206256001075185</t>
  </si>
  <si>
    <t>NEW: 04848809;    64281281</t>
  </si>
  <si>
    <t>6/9 NC sent reminder 5/18 NC sent reminder 5/12/NC sent reminder</t>
  </si>
  <si>
    <t>GT 8/14: Participant informed $50 for NP; GT 8/7: Participant informed $75 added for CV and BD; GT 6/29: Participant informed $29.45 added for SV + gas</t>
  </si>
  <si>
    <t>GIven</t>
  </si>
  <si>
    <t>9402236206256001099204</t>
  </si>
  <si>
    <t>4.45 - (06/29/23)</t>
  </si>
  <si>
    <t>5/18 NC sent reminder 5/12 NC sent remindeMJ 05/06: Kit given during Year 3 visit</t>
  </si>
  <si>
    <t>Uber//New card: 35021671</t>
  </si>
  <si>
    <t>LC 02/18 Sent survey Link</t>
  </si>
  <si>
    <t>64301263</t>
  </si>
  <si>
    <t xml:space="preserve">GT 11/30: Informed $100 aded for MRI; GT 8/1: Participant informed $161.53 added for SV, NP, BD, CV + gas </t>
  </si>
  <si>
    <t xml:space="preserve">DBS-1190 </t>
  </si>
  <si>
    <t xml:space="preserve">6/22/26 NC sent reminder 1/26 NC Sent text 9/2 NC sent email NC 8/7 Sent text NC 7/9 Sent text NC 6/2: F/u for survey LC 04/02: F/u for survey; LC 03/12: F/u for survey; LC 02/26: F/u for survey; </t>
  </si>
  <si>
    <t>9402236206256001099211</t>
  </si>
  <si>
    <t>6/9 NC sent reminder 5/18 NC sent reminder 5/12 NC sent reminder MJ 05/07: Kit given during Year 3 visit</t>
  </si>
  <si>
    <t>11.53 - (08/01/23)</t>
  </si>
  <si>
    <t xml:space="preserve">Not Completed </t>
  </si>
  <si>
    <t>9402236206256001099334</t>
  </si>
  <si>
    <t>5/22 arrived. 5/18 NC sent reminder said will send next day;  5/12 NC sent reminder Given day of visit. 5/5/26 -JE</t>
  </si>
  <si>
    <t>12.06 (8/7/24)</t>
  </si>
  <si>
    <t>LC 02/18 Sent survey link</t>
  </si>
  <si>
    <t>9402236206256001140487</t>
  </si>
  <si>
    <t>Given day of visit 05/12/26 CTS</t>
  </si>
  <si>
    <t xml:space="preserve">8/21/26 NC sent text 7/17/26 Email sent NC; 2/3/26 JE Reminder at MRI visit. ;; 1/26 NC Sent text (did not go through) 9/2 NC sent email NC 8/7 Sent text, not delivered. NC 7/9 Sent text NC 6/2: F/u for survey, LC 02/26: Text failed to send; </t>
  </si>
  <si>
    <t>9402236206256001140494</t>
  </si>
  <si>
    <t>5/22 on the way (expected 5/26)  5/18 NC sent reminder Given day of visit 05/13/26 MJ (Replaced DBS-1160 on MRI day)</t>
  </si>
  <si>
    <t>LC 02/18 Sent Survey Link</t>
  </si>
  <si>
    <t xml:space="preserve">NC 6/2: F/u for survey, LC 02/26: F/u for survey; </t>
  </si>
  <si>
    <t>#37</t>
  </si>
  <si>
    <t>9402236206256001140500</t>
  </si>
  <si>
    <t xml:space="preserve">6/16 NC sent reminder 6/9 NC sent reminder Given the day of visit. 5/20/26 JE </t>
  </si>
  <si>
    <t>Says don't have study partner</t>
  </si>
  <si>
    <t>14.70 (08/15/25)</t>
  </si>
  <si>
    <t>9402236206256001140517</t>
  </si>
  <si>
    <t xml:space="preserve">Given day of cv visit and recommended to bring tomorrow to MRI. 5/27/27 JE </t>
  </si>
  <si>
    <t>15.95 (8/21/26)</t>
  </si>
  <si>
    <t xml:space="preserve">9/1/2026 JE Participant is out of town. Relative recently passed. Check back at a later time. ;; 8/21/26 NC sent text; 7/17/26 Email sent NC;6/22/26 NC sent reminder text 4/16/26 JE Still pending. It had been started but never complted. Explained and re shared link. Asked if calling was ok but she shared study partner has limited free time so she will talk to her and ask to complete soon.;;  Following up... 2/4/26 JE Said her sis already completed it. Resent link jic. ;; 1/26 NC Sent text 9/16 sent email (invalid) 8/18 NC sent follow up text NC 7/25 Sent Text TB 6/25: Sent text NC 6/2: invalid email  LC 04/02: F/u for survey; LC 03/12: F/u for survey; LC 02/26: F/u for survey; </t>
  </si>
  <si>
    <t>DBS-0254</t>
  </si>
  <si>
    <t>74307794</t>
  </si>
  <si>
    <t>GT 8/3: Participant informed $123.58 added for LP &amp; gas; GT 7/28: Participant informed $172.16 added for BD,NP,CV +  2 gas; GT 7/10: Participant informed $48.58 added for SV + gas</t>
  </si>
  <si>
    <t>LC 02/26: F/u for survey</t>
  </si>
  <si>
    <t>9402236206256001171504</t>
  </si>
  <si>
    <t>#114</t>
  </si>
  <si>
    <t>Recieved and stored 08/13/26 CTS 6/16 NC sent reminder Given day of 3yr all day visit 6/5/26 JE</t>
  </si>
  <si>
    <t>#97</t>
  </si>
  <si>
    <t>Unknown</t>
  </si>
  <si>
    <t>23.58 (10/13/23)</t>
  </si>
  <si>
    <t>#8</t>
  </si>
  <si>
    <t xml:space="preserve">Lenin Zepeda? </t>
  </si>
  <si>
    <t>#310</t>
  </si>
  <si>
    <t xml:space="preserve">(both zepeda's already filled out by spouses), not for 0918 either </t>
  </si>
  <si>
    <t xml:space="preserve">9/25 NC sent text; 8/21/26 NC sent text; 7/17/26 Email sent NC; 6/22/26 NC sent reminder text 1/28 JE Reminded and resent link at visit. ;; 1/26 NC Sent text 9/2 NC sent email NC 8/7 Sent text NC 7/9 Sent text NC 6/2: F/u for survey; LC 04/02: F/u for survey; LC 03/12: F/u for survey; LC 02/26: F/u for survey; </t>
  </si>
  <si>
    <t>Leticia Gaeta</t>
  </si>
  <si>
    <t>#314</t>
  </si>
  <si>
    <r>
      <rPr>
        <rFont val="Arial"/>
        <color theme="1"/>
      </rPr>
      <t>NEW CARD:</t>
    </r>
    <r>
      <rPr>
        <rFont val="Arial"/>
        <b/>
        <color theme="1"/>
      </rPr>
      <t xml:space="preserve"> 75495957</t>
    </r>
    <r>
      <rPr>
        <rFont val="Arial"/>
        <color theme="1"/>
      </rPr>
      <t xml:space="preserve"> 45015995    ; 34300870</t>
    </r>
  </si>
  <si>
    <t xml:space="preserve">3/17 sent email, sent text </t>
  </si>
  <si>
    <t>GT 10/25: Informed $128.82 added for MRI &amp; gas; GT 10/20: Informed $128.82 added for LP &amp; gas; GT 8/14: Participant informed $78.82 added for NP + gas; GT 7/10: Participant informed $53.82 added for SV + gas</t>
  </si>
  <si>
    <t xml:space="preserve">  AN</t>
  </si>
  <si>
    <t>LC 03/12: F/u for survey; LC 02/26: F/u for survey</t>
  </si>
  <si>
    <t>#85</t>
  </si>
  <si>
    <t>GT 2/13 Sent Survey Link</t>
  </si>
  <si>
    <t xml:space="preserve">NC 6/2/25 Done </t>
  </si>
  <si>
    <t>#79 and #113 (filled out twice)</t>
  </si>
  <si>
    <t>28.82 (10/25/23)</t>
  </si>
  <si>
    <t>SV Date</t>
  </si>
  <si>
    <t>IV Site</t>
  </si>
  <si>
    <t xml:space="preserve">9/25 NC sent text; 8/21/26 NC sent text; 7/17/26 Email sent NC; 6/22/26 NC sent reminder text MJ 03/04: text sent w/ link 1/26 NC Sent text 9/16 NC sent email  8/18 NC sent follow up text  NC 7/25 Sent text TB 6/25 Sent text NC 6/6: invalid email LC 04/02: F/u for survey; LC 03/12: F/u for survey; LC 02/26: F/u for survey </t>
  </si>
  <si>
    <t>29.48 (10/30/24)</t>
  </si>
  <si>
    <t>Initial Visit Date</t>
  </si>
  <si>
    <t>IV Notes</t>
  </si>
  <si>
    <t>BD Notes</t>
  </si>
  <si>
    <t>BD Scheduling Notes</t>
  </si>
  <si>
    <t>31.90 (01/12/26)</t>
  </si>
  <si>
    <t>NP Scheduling Notes</t>
  </si>
  <si>
    <t>#54</t>
  </si>
  <si>
    <r>
      <rPr>
        <rFont val="Arial"/>
        <color theme="1"/>
      </rPr>
      <t xml:space="preserve">NEW CARD: </t>
    </r>
    <r>
      <rPr>
        <rFont val="Arial"/>
        <b/>
        <color theme="1"/>
      </rPr>
      <t xml:space="preserve">95648932 </t>
    </r>
    <r>
      <rPr>
        <rFont val="Arial"/>
        <strike/>
        <color theme="1"/>
      </rPr>
      <t>14299706</t>
    </r>
  </si>
  <si>
    <t>MRI Scheduling Notes</t>
  </si>
  <si>
    <r>
      <rPr>
        <rFont val="Arial"/>
        <color theme="1"/>
      </rPr>
      <t xml:space="preserve">10/28 </t>
    </r>
    <r>
      <rPr>
        <rFont val="Arial"/>
        <strike/>
        <color theme="1"/>
      </rPr>
      <t>11/25/2023</t>
    </r>
  </si>
  <si>
    <t>https://redcap.link/DiabetesBrainStudyPartner</t>
  </si>
  <si>
    <t>LP Date</t>
  </si>
  <si>
    <t>GT 7/19: Participant informed $114.41 added for BD, NP, CV + gas; GT 7/13: Participant informed $114.41 added for MRI + gas; GT 7/11: Participant informed $39.41 added for SV + gas</t>
  </si>
  <si>
    <t>CDR Date</t>
  </si>
  <si>
    <t>CDR Scheduling Notes</t>
  </si>
  <si>
    <t>Conference Date</t>
  </si>
  <si>
    <t>14.41 (07/11/23)</t>
  </si>
  <si>
    <t>14.74 (7/2/24)</t>
  </si>
  <si>
    <t>16.80 (7/15/25)</t>
  </si>
  <si>
    <t>17.40 (07/24/26)</t>
  </si>
  <si>
    <t>Dropout</t>
  </si>
  <si>
    <t>USC</t>
  </si>
  <si>
    <t xml:space="preserve">New Card: NC did 25 for CV by accident, added 25 to gas reimbursement. </t>
  </si>
  <si>
    <t>drop out</t>
  </si>
  <si>
    <t>LC 03/27: Decided to no longer participate. Thought the study was to find preventions for diabetes.</t>
  </si>
  <si>
    <r>
      <rPr>
        <rFont val="Arial"/>
        <b/>
        <color theme="1"/>
      </rPr>
      <t>NEW:</t>
    </r>
    <r>
      <rPr>
        <rFont val="Arial"/>
        <color theme="1"/>
      </rPr>
      <t xml:space="preserve"> </t>
    </r>
    <r>
      <rPr>
        <rFont val="Arial"/>
        <b/>
        <color theme="1"/>
      </rPr>
      <t xml:space="preserve">75642218 </t>
    </r>
    <r>
      <rPr>
        <rFont val="Arial"/>
        <color theme="1"/>
      </rPr>
      <t>04303368</t>
    </r>
  </si>
  <si>
    <t>GT 8/3: Participant informed $136.27 added for BD,CV,NP and gas; GT 7/14: Participant informed $36.27 added for SV + gas</t>
  </si>
  <si>
    <t>Enrolled</t>
  </si>
  <si>
    <t>LC 03/24: No longer elligble. Does not have a study partner</t>
  </si>
  <si>
    <t>11.27 (08/10/23)</t>
  </si>
  <si>
    <t xml:space="preserve">DBS-0128 </t>
  </si>
  <si>
    <t>12.32 (8/6/24)</t>
  </si>
  <si>
    <t>LC 03/22: Call to schedule: LC 04/4: Call to r/s. No response from lead. Unable to reach after several attempts.</t>
  </si>
  <si>
    <t>12.32 (8/28/25)</t>
  </si>
  <si>
    <t>#73</t>
  </si>
  <si>
    <t>RESCHEDULE</t>
  </si>
  <si>
    <t>Could not reach; LC 01/17: Left vm to schedule IV</t>
  </si>
  <si>
    <t>12.62 (08/11/26)</t>
  </si>
  <si>
    <t xml:space="preserve">1/26 NC Sent text 9/2 NC sent email NC 8/7 Sent text NC 7/9 Sent text NC 6/6: F/u for survey; LC 04/02: F/u for survey; LC 03/12: F/u for survey; LC 02/26: F/u for survey </t>
  </si>
  <si>
    <t>IV 8/13: sent new card via mail</t>
  </si>
  <si>
    <t xml:space="preserve">6/8 LC: During SV participant informed us about a stroke they had </t>
  </si>
  <si>
    <r>
      <rPr>
        <rFont val="Arial"/>
        <b/>
        <color theme="1"/>
      </rPr>
      <t>NEW:05008136</t>
    </r>
    <r>
      <rPr>
        <rFont val="Arial"/>
        <color theme="1"/>
      </rPr>
      <t xml:space="preserve"> 74318819</t>
    </r>
  </si>
  <si>
    <t>LC 04/02: F/u for survey; LC 03/12: F/u for survey; LC 02/26: F/u for survey</t>
  </si>
  <si>
    <t>#153</t>
  </si>
  <si>
    <t>LC 06/13: Unable to participate at this time</t>
  </si>
  <si>
    <t>GT 10/12 Informed $140.72 added for NP,CV,BD and gas; GT 7/24: Participant informed $40.72 added for SV + gas</t>
  </si>
  <si>
    <t>#105</t>
  </si>
  <si>
    <t>GT 6/21: No longer interested in the study; GT 5/24: Will call me back currently working; GT 5/16: Asked to be called tomorrow; GT 4/26: emailed ICF</t>
  </si>
  <si>
    <t xml:space="preserve">1/26 NC Sent text 9/2 NC sent email NC 8/7 Sent text, not delivered NC 7/9 Sent text NC 6/6: F/u for survey; LC 03/12: Text not working; LC 02/26: F/u for survey </t>
  </si>
  <si>
    <t>15.72 (10/17/23)</t>
  </si>
  <si>
    <t>LC 05/16: Left vm; LC 05/19: sent txt msg. Out of country. Call back on week of 06/12; LC 06/22: Left vm</t>
  </si>
  <si>
    <t>25.46 (10/3/24)</t>
  </si>
  <si>
    <t>GT 6/21: Left vm; GT 6/15: Left vm and text at 10:47; GT 5/24: Left vm and text at 3:53; GT 5/16: Left vm at 2:09; GT 5/11: Left vm to schedule IV &amp; emailed ICF</t>
  </si>
  <si>
    <t>25.46 (12/15/25)</t>
  </si>
  <si>
    <t>9/25 NC sent text; 8/21/26 NC sent text; 7/17/26 Email sent NC; 6/22/26 NC sent reminder text IV 4/6: surverys not complete sent her each one to do, 1/26 NC Sent text 9/16 NC sent email 8/18 NC sent follow up text NC 7/25 Sent text TB: 6/25 Sent text NC 6/9: invalid email; LC 04/02: F/u for survey; LC 03/12: F/u for survey; LC 02/26: F/u for survey</t>
  </si>
  <si>
    <r>
      <rPr>
        <rFont val="Arial"/>
        <b/>
        <color theme="1"/>
      </rPr>
      <t>NEW: 95648896</t>
    </r>
    <r>
      <rPr>
        <rFont val="Arial"/>
        <color theme="1"/>
      </rPr>
      <t xml:space="preserve"> 84287602</t>
    </r>
  </si>
  <si>
    <r>
      <rPr>
        <rFont val="Arial"/>
        <b/>
        <color theme="1"/>
      </rPr>
      <t>10/28</t>
    </r>
    <r>
      <rPr>
        <rFont val="Arial"/>
        <color theme="1"/>
      </rPr>
      <t xml:space="preserve"> 11/25/2023</t>
    </r>
  </si>
  <si>
    <t>IV 3/11: said she'll have her husband complete today MJ 3/2: Link sent again to pt 1/26 NC Sent text 9/2 NC sent email NC 8/7 Sent text NC 7/9 Sent text NC 6/9: F/u for survey; LC 04/02: F/u for survey; LC 03/12: F/u for survey; LC 02/26: F/u for survey</t>
  </si>
  <si>
    <t>GT 10/4: Informed $103.93 added for MRI &amp; gas; GT 8/23: Informed $78.93 added for NP &amp; CV + gas; GT 8/2: Participant informed $53.93 added for SV, BD + gas</t>
  </si>
  <si>
    <t>#349</t>
  </si>
  <si>
    <t>NC 7/9 Sent text NC 6/9: F/u for survey; LC 04/02: F/u for survey; LC 02/26: Out on vacation. F/u in two weeks</t>
  </si>
  <si>
    <t>#248</t>
  </si>
  <si>
    <t>3.93 (10/4/23)</t>
  </si>
  <si>
    <t>GT 6/21: Left vm at 4:47 PM; GT 5/25 Called left vm; GT 5/16: Left vm to schedule; GT 4/25: Left vm to schedule IV</t>
  </si>
  <si>
    <t>#98</t>
  </si>
  <si>
    <t>Uber (08/18/25)</t>
  </si>
  <si>
    <t>DBS-0612</t>
  </si>
  <si>
    <t>LC 04/02: F/u for survey; LC 02/26: F/u for survey</t>
  </si>
  <si>
    <t>9.28 (8/11/26)</t>
  </si>
  <si>
    <t>#26</t>
  </si>
  <si>
    <t>LC 08/25: Scheduled for NP, BD, CV. No response from lead. Could not reach.</t>
  </si>
  <si>
    <r>
      <rPr>
        <rFont val="Arial"/>
        <b/>
        <color theme="1"/>
      </rPr>
      <t>NEW:</t>
    </r>
    <r>
      <rPr>
        <rFont val="Arial"/>
        <color theme="1"/>
      </rPr>
      <t xml:space="preserve"> </t>
    </r>
    <r>
      <rPr>
        <rFont val="Arial"/>
        <b/>
        <color theme="1"/>
      </rPr>
      <t>15664027</t>
    </r>
    <r>
      <rPr>
        <rFont val="Arial"/>
        <color theme="1"/>
      </rPr>
      <t xml:space="preserve"> </t>
    </r>
    <r>
      <rPr>
        <rFont val="Arial"/>
        <strike/>
        <color theme="1"/>
      </rPr>
      <t>54997031 14852278 74318199</t>
    </r>
  </si>
  <si>
    <r>
      <rPr>
        <rFont val="Arial"/>
        <color theme="1"/>
      </rPr>
      <t xml:space="preserve">10/28 </t>
    </r>
    <r>
      <rPr>
        <rFont val="Arial"/>
        <strike/>
        <color theme="1"/>
      </rPr>
      <t>4/27/2025</t>
    </r>
  </si>
  <si>
    <t xml:space="preserve">LC 04/02: F/u for survey; LC 03/12: F/u for survey; LC 02/26: F/u for survey </t>
  </si>
  <si>
    <t>#122</t>
  </si>
  <si>
    <t>GT 9/22: Informed $100 added for MRI; GT 8/11: Participant informed $75 added for CV &amp; BD;GT 8/9: Participant informed $50 added for NP;GT 8/2: Participant informed $25 added for SV</t>
  </si>
  <si>
    <t xml:space="preserve">(new card) </t>
  </si>
  <si>
    <t>DBS-0545</t>
  </si>
  <si>
    <t>#129</t>
  </si>
  <si>
    <t xml:space="preserve">New Card </t>
  </si>
  <si>
    <t>LC 08/17: No longer proceeding with participant. No interest.  SV BD done</t>
  </si>
  <si>
    <r>
      <rPr>
        <rFont val="Arial"/>
        <b/>
        <color theme="1"/>
      </rPr>
      <t xml:space="preserve">NEW: 35621323 </t>
    </r>
    <r>
      <rPr>
        <rFont val="Arial"/>
        <strike/>
        <color theme="1"/>
      </rPr>
      <t>84843864 84301160</t>
    </r>
  </si>
  <si>
    <r>
      <rPr>
        <rFont val="Arial"/>
        <color theme="1"/>
      </rPr>
      <t xml:space="preserve">10/28 </t>
    </r>
    <r>
      <rPr>
        <rFont val="Arial"/>
        <strike/>
        <color theme="1"/>
      </rPr>
      <t>11/26/2023</t>
    </r>
  </si>
  <si>
    <t>Docusign</t>
  </si>
  <si>
    <t>GT 10/10: Informed $100 added for MRI; GT 9/22: Participant informed $109.56 added for LP + gas;GT 8/9: Participant informed $109.56 added for BD,CV,NP + gas; GT 8/3: Participant informed $34.56 added for SV + gas</t>
  </si>
  <si>
    <t>#100</t>
  </si>
  <si>
    <t xml:space="preserve">LC 10/25: MRI unsuccesful. Considered dropout </t>
  </si>
  <si>
    <t>LP unsuccessful</t>
  </si>
  <si>
    <t>DBS-0539</t>
  </si>
  <si>
    <t>#168</t>
  </si>
  <si>
    <t>9.56 (10/05/23)</t>
  </si>
  <si>
    <t>LC 02/18: Completed on redcap</t>
  </si>
  <si>
    <t>DBS-0738</t>
  </si>
  <si>
    <t>#11</t>
  </si>
  <si>
    <t>9.72 (08/22/24)</t>
  </si>
  <si>
    <t>(new card)</t>
  </si>
  <si>
    <t>GT Enrolled</t>
  </si>
  <si>
    <t>9.72 (8/7/25)</t>
  </si>
  <si>
    <t xml:space="preserve">LC 12/11: Participant has tumor stage 2 or 3; LC 12/06: Sent text; LC 12/04: Text sent to scheduled MRI </t>
  </si>
  <si>
    <t>Thinking</t>
  </si>
  <si>
    <t>DBS-0085</t>
  </si>
  <si>
    <t>10.73 (8/6/26)</t>
  </si>
  <si>
    <t>LC 02/19: Sent survey link</t>
  </si>
  <si>
    <t>LC Enrolled</t>
  </si>
  <si>
    <t>74305710</t>
  </si>
  <si>
    <t>GT 8/10: Participant informed $32.07 added for SV + gas</t>
  </si>
  <si>
    <t>#33</t>
  </si>
  <si>
    <t>NO SHOW LC 12/04: Left vm @10:45am; GT 11/30: Left vm @1pm</t>
  </si>
  <si>
    <t xml:space="preserve">NC 8/7 Sent text NC 7/9 Sent text NC 6/9: F/u for survey; LC 04/02: F/u for survey; LC 03/03: F/u for survey </t>
  </si>
  <si>
    <t>DBS-0778</t>
  </si>
  <si>
    <t>#259</t>
  </si>
  <si>
    <t>7.07 (08/10/23)</t>
  </si>
  <si>
    <t xml:space="preserve">LC 01/05: Unable to complete 2-hour post glucose scan. Felt nauseous after glucose drink </t>
  </si>
  <si>
    <t>54302221</t>
  </si>
  <si>
    <t>GT 9/22: Informed $100 added for LP; GT 8/23: Informed $100 added for IV,BD,NP,CV; GT 8/14: Informed $25 added for SV</t>
  </si>
  <si>
    <t xml:space="preserve">7/17/26 Email sent NC; 6/22/26 NC sent reminder JE 4/6/25 Reminded at MRI. Is going to ask his daughter to complete soon. ;;  1/30/26 Text sent NC 9/2 NC sent email NC 8/7 Sent text NC 7/9 Sent text NC 6/9: F/u for survey; LC 03/03: F/u for survey </t>
  </si>
  <si>
    <t>DBS-0742</t>
  </si>
  <si>
    <t>#376</t>
  </si>
  <si>
    <t>GT: Signed ICF</t>
  </si>
  <si>
    <t>MJ 02/09: Failed MRI, Participant got anxious//Baseline BD was done</t>
  </si>
  <si>
    <t xml:space="preserve">9/1/26 JE Sent link to her son. ;; 8/21/26 NC sent text; 7/17/26 Email sent NC; 6/22/26 NC sent reminder 5/6/26 Sent link again. Said her son would complete. JE ;; 1/30/26 Text sent NC 9/2 NC sent email IV 8/11: reminded at visit, said shed give to son NC 8/7 Sent text NC 7/9 Sent text NC 6/9: F/u for survey; LC 03/03: F/u for survey </t>
  </si>
  <si>
    <t>Reschedule for Jan</t>
  </si>
  <si>
    <t>#387</t>
  </si>
  <si>
    <r>
      <rPr>
        <rFont val="Arial"/>
        <b/>
        <color theme="1"/>
      </rPr>
      <t>NEW CARD: 75658815</t>
    </r>
    <r>
      <rPr>
        <rFont val="Arial"/>
        <color theme="1"/>
      </rPr>
      <t xml:space="preserve"> 74308726</t>
    </r>
  </si>
  <si>
    <t>DBS-0844</t>
  </si>
  <si>
    <t>GT 11/22: Informed $165.61 added for BD,NP,CV +gas; GT 8/15: Informed $65.61 added for SV + gass</t>
  </si>
  <si>
    <t xml:space="preserve">LC 02/25: Participant filled out their information under SP but SP filled out forms and consented </t>
  </si>
  <si>
    <t>#21</t>
  </si>
  <si>
    <t>DBS-0672</t>
  </si>
  <si>
    <t>01/24: Sent email; 12/5 GT: Left vm MJ 12/15: Left VM,sent text &amp; email</t>
  </si>
  <si>
    <t>UNABLE TO CONTACT to schedule visits</t>
  </si>
  <si>
    <t>41.54 (03/22/24)</t>
  </si>
  <si>
    <t>GT 11/30: Left vm @2:50pm MJ 12/15: Left VM,sent text &amp; email</t>
  </si>
  <si>
    <t>1/30/26 Text sent NC 9/2 NC sent email NC 8/7 Sent text NC 7/9 Sent text NC 6/9: F/u for survey; LC 03/03: F/u for survey NC 5/16: Only consent form completed</t>
  </si>
  <si>
    <t>#326</t>
  </si>
  <si>
    <t>41.54 (11/26/24)</t>
  </si>
  <si>
    <t xml:space="preserve">LC 03/03: F/u for survey </t>
  </si>
  <si>
    <t>#164</t>
  </si>
  <si>
    <t xml:space="preserve">NC 8/7 Sent text NC 7/9 Sent text NC 6/9: F/u for survey; LC 03/03: F/u for survey </t>
  </si>
  <si>
    <t>#264</t>
  </si>
  <si>
    <t>44.24(12/23/25)</t>
  </si>
  <si>
    <t>#139</t>
  </si>
  <si>
    <t>DBS-0907</t>
  </si>
  <si>
    <t>94294671</t>
  </si>
  <si>
    <t>IV 4/21: reminded at visit, will resent link 1/30/26 Text sent NC 9/2 NC sent email NC 8/7 Sent text NC 7/9 Sent text NC 6/9: F/u for survey; LC 03/03: F/u for survey; will complete at end of month. Out of country.</t>
  </si>
  <si>
    <t>#352</t>
  </si>
  <si>
    <t>GT 8/16: Informed $75 added for SV + gass</t>
  </si>
  <si>
    <t>#35</t>
  </si>
  <si>
    <t>50.00 (08/16/23)</t>
  </si>
  <si>
    <t>LC 03/01: Sent text to schedule</t>
  </si>
  <si>
    <t>#103</t>
  </si>
  <si>
    <t>04304189</t>
  </si>
  <si>
    <t>#90</t>
  </si>
  <si>
    <t>LC 03/05: Cannot continue at this time</t>
  </si>
  <si>
    <t>GT 8/30: Informed $120.96 added for BD,NP,CV + gas;GT 8/17: Informed $45.96 added for SV + gas</t>
  </si>
  <si>
    <t>DBS-0735</t>
  </si>
  <si>
    <t>#46</t>
  </si>
  <si>
    <t>No show in 3/26/24</t>
  </si>
  <si>
    <t xml:space="preserve">LC 02/27: F/U to schedule visits </t>
  </si>
  <si>
    <t>#76</t>
  </si>
  <si>
    <t>20.96 (08/30/23)</t>
  </si>
  <si>
    <t>#101</t>
  </si>
  <si>
    <t>DBS-0873</t>
  </si>
  <si>
    <r>
      <rPr>
        <rFont val="Arial"/>
        <b/>
        <color theme="1"/>
      </rPr>
      <t>NEW: 15627838</t>
    </r>
    <r>
      <rPr>
        <rFont val="Arial"/>
        <color theme="1"/>
      </rPr>
      <t xml:space="preserve"> 24310877</t>
    </r>
  </si>
  <si>
    <t>GT 2/16: Informed $114.74 added for MIR+gas; GT 9/22: Participant informed $114.41 added for BD,CV,NP + gas;GT 8/18: Informed $39.41 added for SV + gas</t>
  </si>
  <si>
    <t>#47</t>
  </si>
  <si>
    <t>LC 03/13: Completed forms</t>
  </si>
  <si>
    <t>#117</t>
  </si>
  <si>
    <t>#92</t>
  </si>
  <si>
    <t>DBS-1245</t>
  </si>
  <si>
    <t>14.74 (2/16/24)</t>
  </si>
  <si>
    <t>Could not continue bc health issues</t>
  </si>
  <si>
    <t xml:space="preserve">NC 8/7 Sent text NC 7/9 Sent text NC 6/9: F/u for survey; LC 03/03: Check to see if SP has been filled. Consent form signed NC 5/16: only consent form signed </t>
  </si>
  <si>
    <t>#184</t>
  </si>
  <si>
    <t>DBS-1132</t>
  </si>
  <si>
    <t xml:space="preserve">USC </t>
  </si>
  <si>
    <t>NO Showed to IV</t>
  </si>
  <si>
    <t>14.74 (8/16/24</t>
  </si>
  <si>
    <t xml:space="preserve">7/17/26 Email sent NC; 6/22/26 NC sent reminder1/30/26 Text sent NC 9/2 NC sent email NC 8/7 Sent text NC 7/9 Sent text NC 6/9: F/u for survey;LC 03/03: F/u for survey </t>
  </si>
  <si>
    <t>#375</t>
  </si>
  <si>
    <t>DBS-1404</t>
  </si>
  <si>
    <t>9/25/26 NC sent text; 9/1/26 JE Touching base with her co-worker. Will follow up. ;; 8/21/26 NC sent text; 7/17/26 Email sent NC; 6/22/26 NC sent reminder 1/30/26 Text sent NC 9/2 NC sent email NC 8/7 Sent text NC 7/9 Sent text NC 6/9: F/u for survey; NC 5/16: only consent form started</t>
  </si>
  <si>
    <t>14.74 (8/15/25)</t>
  </si>
  <si>
    <t xml:space="preserve">New card 6/22/26 sent out </t>
  </si>
  <si>
    <t>04301606</t>
  </si>
  <si>
    <t>#3</t>
  </si>
  <si>
    <t>GT 11/28: Informed $100 added for MRI; GT 8/22: Informed $43.34 added for SV + gas</t>
  </si>
  <si>
    <t>#82</t>
  </si>
  <si>
    <t>18.34 (08/22/23)</t>
  </si>
  <si>
    <t xml:space="preserve">LC 03/10: F/u for survey </t>
  </si>
  <si>
    <t>#111</t>
  </si>
  <si>
    <t xml:space="preserve">NC 8/7 Sent text NC 7/9 Sent text NC 6/9: F/u for survey; LC 03/10: F/u for survey </t>
  </si>
  <si>
    <t>#260, #261</t>
  </si>
  <si>
    <t>DBS-0910</t>
  </si>
  <si>
    <r>
      <rPr>
        <rFont val="Arial"/>
        <color theme="1"/>
      </rPr>
      <t xml:space="preserve">45643658  </t>
    </r>
    <r>
      <rPr>
        <rFont val="Arial"/>
        <strike/>
        <color theme="1"/>
      </rPr>
      <t>94300012</t>
    </r>
  </si>
  <si>
    <t>DBS-1233</t>
  </si>
  <si>
    <r>
      <rPr>
        <rFont val="Arial"/>
        <color theme="1"/>
      </rPr>
      <t xml:space="preserve">10/28 </t>
    </r>
    <r>
      <rPr>
        <rFont val="Arial"/>
        <strike/>
        <color theme="1"/>
      </rPr>
      <t>11/25/2023</t>
    </r>
  </si>
  <si>
    <t>LC 02/20: Sent survey link</t>
  </si>
  <si>
    <t>GT 12/18: Informed $100 added for MRI; GT 8/23: Informed $25 added for SV</t>
  </si>
  <si>
    <t xml:space="preserve">1/30/26 Text sent NC 9/2 NC sent email NC 8/7 Sent text NC 7/9 Sent text NC 6/9: F/u for survey; LC 03/10: F/u for survey </t>
  </si>
  <si>
    <t>New card 2/25/26</t>
  </si>
  <si>
    <t>Could not complete scan</t>
  </si>
  <si>
    <t>#123</t>
  </si>
  <si>
    <t xml:space="preserve">1/30/26 Text sent NC (invalid) 9/16 NC sent email (invalid) 8/18 NC sent follow up text AG 7/23 message didnt send, NC 6/9: invalid email; LC 03/10: F/u for survey </t>
  </si>
  <si>
    <t>DBS-0803</t>
  </si>
  <si>
    <t>#132</t>
  </si>
  <si>
    <r>
      <rPr>
        <rFont val="Arial"/>
        <b/>
        <color theme="1"/>
      </rPr>
      <t xml:space="preserve">NEW:25652685  </t>
    </r>
    <r>
      <rPr>
        <rFont val="Arial"/>
        <b/>
        <strike/>
        <color theme="1"/>
      </rPr>
      <t xml:space="preserve">95019235 </t>
    </r>
    <r>
      <rPr>
        <rFont val="Arial"/>
        <strike/>
        <color theme="1"/>
      </rPr>
      <t>74296993</t>
    </r>
  </si>
  <si>
    <t>LC 02/23: Sent text to schedule</t>
  </si>
  <si>
    <r>
      <rPr>
        <rFont val="Arial"/>
        <color theme="1"/>
      </rPr>
      <t xml:space="preserve">10/28 </t>
    </r>
    <r>
      <rPr>
        <rFont val="Arial"/>
        <strike/>
        <color theme="1"/>
      </rPr>
      <t>4/27/2025</t>
    </r>
  </si>
  <si>
    <t>#128</t>
  </si>
  <si>
    <t xml:space="preserve">Could not complete scans </t>
  </si>
  <si>
    <t>GT 10/12: Informed $100 added for MRI; GT 8/30: Informed $100 added for BD,NP,CV; GT 8/24: informed $25 added for SV</t>
  </si>
  <si>
    <t xml:space="preserve">Opt Out </t>
  </si>
  <si>
    <t>#27</t>
  </si>
  <si>
    <t>#24</t>
  </si>
  <si>
    <r>
      <rPr>
        <rFont val="Arial"/>
        <b/>
        <color theme="1"/>
      </rPr>
      <t xml:space="preserve">NEW: 05484807 </t>
    </r>
    <r>
      <rPr>
        <rFont val="Arial"/>
        <color theme="1"/>
      </rPr>
      <t>14306699</t>
    </r>
  </si>
  <si>
    <t>DBS-1048</t>
  </si>
  <si>
    <t>GT 11/9: Informed $25 added for CV; GT 11/7: Informed $100 added for MRI; GT 9/28: Informed $75 added for BD&amp;NP; GT 8/30: Informed $25 added for SV</t>
  </si>
  <si>
    <t>LC 02/08: pTau tube needed</t>
  </si>
  <si>
    <t xml:space="preserve">AG 7/23/: sent follow up text, NC 7/9 Sent text NC 6/9: F/u for survey; LC 03/10: F/u for survey </t>
  </si>
  <si>
    <t>#240</t>
  </si>
  <si>
    <r>
      <rPr>
        <rFont val="Arial"/>
        <color theme="1"/>
      </rPr>
      <t xml:space="preserve">NEW: </t>
    </r>
    <r>
      <rPr>
        <rFont val="Arial"/>
        <b/>
        <color theme="1"/>
      </rPr>
      <t>15647320</t>
    </r>
    <r>
      <rPr>
        <rFont val="Arial"/>
        <color theme="1"/>
      </rPr>
      <t xml:space="preserve"> </t>
    </r>
    <r>
      <rPr>
        <rFont val="Arial"/>
        <b/>
        <color theme="1"/>
      </rPr>
      <t>25498709</t>
    </r>
    <r>
      <rPr>
        <rFont val="Arial"/>
        <color theme="1"/>
      </rPr>
      <t xml:space="preserve"> 64301723</t>
    </r>
  </si>
  <si>
    <t>10/28 5/28/2025</t>
  </si>
  <si>
    <t>DBS-1314</t>
  </si>
  <si>
    <t xml:space="preserve">GT 10/24: Informed $25 added; GT 9/12: Informed $25 for SV </t>
  </si>
  <si>
    <t xml:space="preserve">Iv 12/4: reminded at visit, said daughter will complete 9/16 NC sent email  8/18 NC sent follow up text AG 7/23/: sent follow up text, NC 7/9 Sent text NC 6/9: F/u for survey; LC 03/10: F/u for survey </t>
  </si>
  <si>
    <t xml:space="preserve">No showed to visit; LC 06/19: Left vm and stated they will call back on Friday </t>
  </si>
  <si>
    <t>#323</t>
  </si>
  <si>
    <t xml:space="preserve">6/22/26 NC sent reminder 1/30 NC sent text  9/16 NC sent email  8/18 NC sent follow up text AG 7/23/: sent follow up text, NC 7/9 Sent text NC 6/9: F/u for survey; LC 03/10: F/u for survey </t>
  </si>
  <si>
    <t>45.37 (09/26/23)</t>
  </si>
  <si>
    <t>DBS-1174</t>
  </si>
  <si>
    <t>new card//uber</t>
  </si>
  <si>
    <t>GT  ICF signed in person same day as SV</t>
  </si>
  <si>
    <t>uber new vcard</t>
  </si>
  <si>
    <t xml:space="preserve">9/25/26 NC sent text; 8/21/26 NC sent text; 7/17/26 Email sent NC; 6/22/26 NC sent reminder 1/30 NC sent text 9/16 NC sent email  8/18 NC sent follow up text AG 7/23/: sent follow up text, TB: 6/25 Sent text NC 6/9: invalid email; LC 03/10: F/u for survey </t>
  </si>
  <si>
    <t>DBS-0584</t>
  </si>
  <si>
    <t>GT 4/18 sent text to schedule</t>
  </si>
  <si>
    <t>34305295</t>
  </si>
  <si>
    <t>Failed MRI</t>
  </si>
  <si>
    <t xml:space="preserve">GT 9/12: Informed $25 for SV </t>
  </si>
  <si>
    <t xml:space="preserve">IV 9/22: confirmed no study partner, opting out 8/21/26 NC sent text; 7/17/26 Email sent NC; 6/22/26 NC sent reminder 6/10 NC called, said will do. 1/30 NC sent text  9/16 NC sent email  8/18 NC sent follow up text AG 7/23/: sent follow up text, NC 7/9 Sent text NC 6/9: F/u for survey; LC 03/10: F/u for survey </t>
  </si>
  <si>
    <t>DBS-1306</t>
  </si>
  <si>
    <r>
      <rPr>
        <rFont val="Arial"/>
        <b/>
        <color theme="1"/>
      </rPr>
      <t>NEW: 55644799</t>
    </r>
    <r>
      <rPr>
        <rFont val="Arial"/>
        <color theme="1"/>
      </rPr>
      <t xml:space="preserve"> 75491171 94871581 54309824</t>
    </r>
  </si>
  <si>
    <t xml:space="preserve">GT 9/18 Unable to continue bc of work schedule; 9/17: Left vm + Text; LC 07/31: Left vm @9:47am; wants to know about this friday availability </t>
  </si>
  <si>
    <t>GT 1/8: Informed $117.42 added for MRI+gas; GT 11/30: Informed $125 +$17.03 added for LP,CV, gas; GT 9/25: Informed $75 +$17.03 added for NP,BD, gas; GT 9/19: Informed $42.03 for SV  + gas</t>
  </si>
  <si>
    <t>#115</t>
  </si>
  <si>
    <t>#84</t>
  </si>
  <si>
    <t>DBS-1473</t>
  </si>
  <si>
    <t>17.42 (01/08/24)</t>
  </si>
  <si>
    <t>Out of country, never could schedule IV</t>
  </si>
  <si>
    <t xml:space="preserve">NC 7/9 Sent text NC 6/9: F/u for survey; LC 03/10: F/u for survey </t>
  </si>
  <si>
    <t>#133</t>
  </si>
  <si>
    <t>17.42 (9/9/24)</t>
  </si>
  <si>
    <t>DBS-1537</t>
  </si>
  <si>
    <t>^ ID's above include SV</t>
  </si>
  <si>
    <t>17.42 (10/21/25)</t>
  </si>
  <si>
    <t xml:space="preserve">7/17/26 Email sent NC; 6/22/26 NC sent reminder 6/10 NC Called, said will do. 1/30 NC sent text  10/3 JE Reminded to complete in person. ;; 9/16 NC sent email  8/18 NC sent follow up text AG 7/23/: sent follow up text, NC 7/9 Sent text NC 6/9: F/u for survey; LC 03/10: F/u for survey </t>
  </si>
  <si>
    <t>#371</t>
  </si>
  <si>
    <t>20.30 (9/29/26)</t>
  </si>
  <si>
    <t>Noted on Redcap</t>
  </si>
  <si>
    <t>Dropout date</t>
  </si>
  <si>
    <r>
      <rPr>
        <rFont val="Arial"/>
        <b/>
        <color theme="1"/>
      </rPr>
      <t>NEW: 25478681</t>
    </r>
    <r>
      <rPr>
        <rFont val="Arial"/>
        <color theme="1"/>
      </rPr>
      <t xml:space="preserve"> 94314335</t>
    </r>
  </si>
  <si>
    <t>:16 DQ (not "officially" enrolled but on RedCap)</t>
  </si>
  <si>
    <t>#25</t>
  </si>
  <si>
    <t>GT 10/11 Informed $100 added for BD,CV,NP; GT 9/19: Informed $53.82 for SV  + gas</t>
  </si>
  <si>
    <t xml:space="preserve">NC 6/29/26 missing all forms + consent; LC 03/12: Filled out the forms in-person, missing all forms + consent </t>
  </si>
  <si>
    <t>28.82 (09/19/23)</t>
  </si>
  <si>
    <t xml:space="preserve">NC 9/25/26 sent text; 9/1/26 Wife will complete. Link shared. ;; 8/21/26 NC sent text; 7/17/26 Email sent NC; 6/22/26 NC sent reminder1/30 NC sent text  10/28 Ivett reminded in person, said wife will complete 9/16 NC sent email  9/2 NC sent email AG 7/23/: sent follow up text, AG 7/9 sent text; NC 6/9: F/u for survey; LC 03/12: F/u for survey </t>
  </si>
  <si>
    <t>#389</t>
  </si>
  <si>
    <r>
      <rPr>
        <rFont val="Arial"/>
        <b/>
        <color theme="1"/>
      </rPr>
      <t>NEW: 95652925</t>
    </r>
    <r>
      <rPr>
        <rFont val="Arial"/>
        <color theme="1"/>
      </rPr>
      <t xml:space="preserve"> </t>
    </r>
    <r>
      <rPr>
        <rFont val="Arial"/>
        <strike/>
        <color theme="1"/>
      </rPr>
      <t>94316074</t>
    </r>
  </si>
  <si>
    <r>
      <rPr>
        <rFont val="Arial"/>
        <color theme="1"/>
      </rPr>
      <t xml:space="preserve">11/28 </t>
    </r>
    <r>
      <rPr>
        <rFont val="Arial"/>
        <strike/>
        <color theme="1"/>
      </rPr>
      <t>11/25</t>
    </r>
  </si>
  <si>
    <t>LC 02/21: Sent survey link</t>
  </si>
  <si>
    <t>New card recived at MRI visit. 11/26/25 JE ;; GT 10/4: Informed $50 added for CV+BD; GT 9/20 Informed $25 added for SV</t>
  </si>
  <si>
    <t>#32</t>
  </si>
  <si>
    <t>2nd year</t>
  </si>
  <si>
    <t xml:space="preserve">Works full time can no longer participate </t>
  </si>
  <si>
    <t>50 (09/27/23)</t>
  </si>
  <si>
    <t xml:space="preserve">LC 03/12: F/u for survey </t>
  </si>
  <si>
    <t>#169</t>
  </si>
  <si>
    <t>50 (10/23/24)</t>
  </si>
  <si>
    <t xml:space="preserve">6/22/26 NC sent reminder text 1/30 NC sent text  IV 11/6: reminded at visit 9/16 NC sent email  8/18 NC sent follow up text AG 7/23/: sent follow up text, AG 7/9 sent text; NC 6/9: F/u for survey; LC 03/12: F/u for survey </t>
  </si>
  <si>
    <t>50 (11/26/25)</t>
  </si>
  <si>
    <t>#363</t>
  </si>
  <si>
    <t>MJ paid for 11/26/25 visits</t>
  </si>
  <si>
    <t>50 (10/06/26)</t>
  </si>
  <si>
    <t xml:space="preserve">NC 6/23 Filled out names switched NC 6/9: F/u for survey; LC 03/12: F/u for survey </t>
  </si>
  <si>
    <t>#202</t>
  </si>
  <si>
    <t>Baseline MRI not done. Rescheduled April appointment, no more remaining dates</t>
  </si>
  <si>
    <r>
      <rPr>
        <rFont val="Arial"/>
        <b/>
        <color theme="1"/>
      </rPr>
      <t xml:space="preserve">NEW NEW 45633896 </t>
    </r>
    <r>
      <rPr>
        <rFont val="Arial"/>
        <b/>
        <strike/>
        <color theme="1"/>
      </rPr>
      <t>NEW: 75489091</t>
    </r>
    <r>
      <rPr>
        <rFont val="Arial"/>
        <strike/>
        <color theme="1"/>
      </rPr>
      <t xml:space="preserve"> 64868974 74327750</t>
    </r>
  </si>
  <si>
    <t>#48</t>
  </si>
  <si>
    <r>
      <rPr>
        <rFont val="Arial"/>
        <color theme="1"/>
      </rPr>
      <t>10/28</t>
    </r>
    <r>
      <rPr>
        <rFont val="Arial"/>
        <strike/>
        <color theme="1"/>
      </rPr>
      <t xml:space="preserve"> 5/28/2025</t>
    </r>
  </si>
  <si>
    <t>#134</t>
  </si>
  <si>
    <t>New card given at MRI. Lost previous card. JE 11/18/25 ;; GT 10/27: Informed $125 added for NP,BD,CV; GT 9/22: Participant informed $25 added for SV</t>
  </si>
  <si>
    <t>#119</t>
  </si>
  <si>
    <t>New CC 11/18/25</t>
  </si>
  <si>
    <t xml:space="preserve">8/21/26 NC sent text; 7/17/26 Email sent NC; 1/30 NC sent text (invalid) IV 11/18: resent at visit 9/16 NC sent email  8/18 NC sent follow up text AG 7/23/: sent follow up text, AG 7/9 sent text; NC 6/9: F/u for survey; LC 03/12: F/u for survey </t>
  </si>
  <si>
    <r>
      <rPr>
        <rFont val="Arial"/>
        <b/>
        <color theme="1"/>
      </rPr>
      <t>NEW:05495532</t>
    </r>
    <r>
      <rPr>
        <rFont val="Arial"/>
        <color theme="1"/>
      </rPr>
      <t xml:space="preserve"> 44292312</t>
    </r>
  </si>
  <si>
    <t>Failed Baseline MRI. Scan did not start due to difficulty breathing (congestion).</t>
  </si>
  <si>
    <t>10/10 GT: Informed $111.79 added for gas; 9/26 GT: Participant informed $61.79 added for SV,BD, gass</t>
  </si>
  <si>
    <t>8/18 NC sent follow up text AG 7/23/: sent follow up text, AG 7/9 sent text; NC 6/9: F/u for survey;</t>
  </si>
  <si>
    <t>#267</t>
  </si>
  <si>
    <t xml:space="preserve">NC 6/9: F/u for survey; LC 03/03: F/u for survey </t>
  </si>
  <si>
    <t>#200</t>
  </si>
  <si>
    <t>11.79 (12/6/23)</t>
  </si>
  <si>
    <t>IV 8/14: searched up number, foudn they were related AG 7/23/: sent follow up text, AG 7/9 sent text; NC 6/9: F/u for survey; LC 03/12: F/u for survey</t>
  </si>
  <si>
    <t>#130</t>
  </si>
  <si>
    <t>LC 03/12: F/u for survey</t>
  </si>
  <si>
    <t>12.06 (10/24/24)</t>
  </si>
  <si>
    <t>Failed Baseline MRI, could not start 1st scan</t>
  </si>
  <si>
    <t xml:space="preserve">9/1/26 JE Daughter will complete. ;; 8/21/26 NC sent text; 7/17/26 Email sent NC; 6/22/26 NC sent reminder 1/30 NC sent text IV 11/2: reminded at visit, resent link 9/16 NC sent email  8/18 NC sent follow up text AG 7/23/: sent follow up text, AG 7/9 sent text; NC 6/9: F/u for survey; LC 03/13: F/u for survey </t>
  </si>
  <si>
    <t>#385</t>
  </si>
  <si>
    <t>25.2 (11/18/25)</t>
  </si>
  <si>
    <t>new address</t>
  </si>
  <si>
    <t xml:space="preserve">9/25/26 NC sent text; 9/2/26 JE Confirmed linked recived. Mentioend that the person did not live with him anymoe so I explained that he can share the link with anyone who he thinks would have isight on him despite location. ;; 8/21/26 NC sent text; 7/17/26 Email sent NC; 6/22/26 NC sent reminder 1/30 NC sent text, IV 12/8: reminded, sent link 9/16 NC sent email  8/18 NC sent follow up text AG 7/23/: sent follow up text,AG 7/9: sent text; NC 6/9: F/u for survey; LC 03/13: F/u for survey </t>
  </si>
  <si>
    <t>44310524</t>
  </si>
  <si>
    <t>Failed Baseline MRI, could not comfortably fit inside</t>
  </si>
  <si>
    <t>IV 02/21: Done in person by spouse</t>
  </si>
  <si>
    <t>10/18 GT: Participant informed $29.85 added for BD + gas; 9/28 GT: Participant informed $29.85 added for SV + gas</t>
  </si>
  <si>
    <t>#28</t>
  </si>
  <si>
    <t>#29</t>
  </si>
  <si>
    <t>Baseline MRI not done. Did not show to appointment</t>
  </si>
  <si>
    <t>4.85 (10/18/23)</t>
  </si>
  <si>
    <t>LC 02/24 sent link</t>
  </si>
  <si>
    <t xml:space="preserve">9/25/26 NC sent text; 8/21/26 NC sent text; 7/17/26 Email sent NC; 6/22/26 NC sent reminder text 1/30 NC sent text, 9/16 NC sent email  8/18 NC sent follow up text AG 7/23/: sent follow up text, AG 7/9: sent text; NC 6/9: F/u for survey; LC 03/13: F/u for survey </t>
  </si>
  <si>
    <r>
      <rPr>
        <rFont val="Arial"/>
        <color theme="1"/>
      </rPr>
      <t xml:space="preserve">NEW CARD: </t>
    </r>
    <r>
      <rPr>
        <rFont val="Arial"/>
        <b/>
        <color theme="1"/>
      </rPr>
      <t xml:space="preserve">75562322 </t>
    </r>
    <r>
      <rPr>
        <rFont val="Arial"/>
        <color theme="1"/>
      </rPr>
      <t>34316746</t>
    </r>
  </si>
  <si>
    <t xml:space="preserve">6/22/26 NC sent reminder 1/30 NC sent text, 9/16 NC sent email  8/18 NC sent follow up text AG 7/23/: sent follow up text, AG 7/9: sent text; NC 6/9: F/u for survey; LC 03/13: F/u for survey </t>
  </si>
  <si>
    <t>GT 10/6: Informed $125 added for BD, CV, NP; GT 10/2: Informed $25 added for SV</t>
  </si>
  <si>
    <t>Baseline MRI not done; Could not scan due to unknown metal in head</t>
  </si>
  <si>
    <t>NC 6/9: F/u for survey; LC 03/13: F/u for survey NC 5/16: only consent form started</t>
  </si>
  <si>
    <t>#197</t>
  </si>
  <si>
    <t>74298215</t>
  </si>
  <si>
    <t>1/30 NC sent text, 9/16 NC sent email  8/18 NC sent follow up text AG 7/23/: sent follow up text, AG 7/9: sent text; NC 6/9: F/u for survey; LC 03/14: F/u for survey</t>
  </si>
  <si>
    <t>GT 10/27: Informed $128.73 added for BD,CV,NP +gas; GT 10/2: Informed $43.73 added for SV +gas</t>
  </si>
  <si>
    <t>LC 03/14: F/u for survey</t>
  </si>
  <si>
    <t>2nd Year</t>
  </si>
  <si>
    <t>Unable to get in contact with participant to schedule 2nd year visits.Called 8x, emailed, and mailed letter. No response</t>
  </si>
  <si>
    <t>18.73 (10/27/23)</t>
  </si>
  <si>
    <t>8/21/26 NC sent text; 7/17/26 Email sent NC; 6/22/26 NC sent reminder text. 2/13/26 Reminder text sent NC1/29/26 JE Reminded in person at visit. ;; 9/16 NC sent email 8/18 NC sent follow up text AG 7/23/: sent follow up text, AG 7/9: sent text; NC 6/9: F/u for survey; LC 03/14: F/u for survey</t>
  </si>
  <si>
    <t>#384</t>
  </si>
  <si>
    <t>Cannot reach after multiple attempts of phone call, text, email, mailed letter</t>
  </si>
  <si>
    <t>14322547</t>
  </si>
  <si>
    <t>f</t>
  </si>
  <si>
    <t>9/8 Try one more time next time he comes in person but there is nothing there NC; 9/1/26 JE Participant is going to be traveling so may be difficult to reach, but he shared that his brother already completed the form. Brothers name Peter Sanchez. Mightg not be able to get him to do it again. Broher said he did it and if we did not receive it is our system fault ;/ ;; 8/21/26 NC sent text; 7/17/26 Email sent NC; 6/22/26 NC sent reminder 6/10 NC Called, asked to be emailed and sent. 5/6/26 JE Sent reminder text. ;; 4/9/26 JE Reminded at visit. Will ask brother. ;; 2/13/26 Reminder text sent NC9/16 NC sent email 8/18 NC sent follow up text AG 7/23/: sent follow up text, AG 7/9: sent text; NC 6/9: F/u for survey; LC 03/14: F/u for survey</t>
  </si>
  <si>
    <t>GT 10/23: Informed $125 added for BD,CV,NP; GT 10/3: Informed $25 added for SV</t>
  </si>
  <si>
    <t>8/18 NC sent follow up text AG 7/23/: sent follow up text, TB: 6/25 Sent text NC 6/9: invalid email;LC 02/26: Re-sent survey link to resume from where SP left off  NC 5/16: only consent form completed</t>
  </si>
  <si>
    <t>#284</t>
  </si>
  <si>
    <t>Cannot reach after multiple outreach attempts</t>
  </si>
  <si>
    <t>14303058</t>
  </si>
  <si>
    <t>GT 12/8: Informed $120.96 added for MRI + gas; GT 10/11 informed $145.96 added for BD,NP,CV + gas GT 10/4: Informed $45.96 added for SV + gas</t>
  </si>
  <si>
    <t xml:space="preserve">Caring for a sick person. Can no longer participate. Requested to be removed. </t>
  </si>
  <si>
    <t>#55</t>
  </si>
  <si>
    <t>9/25/26 NC sent text; 8/21/26 NC sent text; 7/17/26 Email sent NC; 6/22/26 NC sent reminder 2/13/26 Reminder text sent NC9/16 NC sent email 8/18 NC sent follow up text AG 7/23/: sent follow up text, AG 7/9: sent text; NC 6/9: F/u for survey; LC 03/14: F/u for survey</t>
  </si>
  <si>
    <t>In Mexico, no longer wants to continue with study; Baseline MRI not done</t>
  </si>
  <si>
    <t>20.96 (12/8/23)</t>
  </si>
  <si>
    <r>
      <rPr>
        <rFont val="Arial"/>
        <b/>
        <color theme="1"/>
      </rPr>
      <t xml:space="preserve">NEW 65492560 </t>
    </r>
    <r>
      <rPr>
        <rFont val="Arial"/>
        <color theme="1"/>
      </rPr>
      <t xml:space="preserve">14310771exp  </t>
    </r>
  </si>
  <si>
    <t>9/25/26 NC sent text; 8/21/26 NC sent text; 7/17/26 Email sent NC; 6/22/26 NC sent reminder text 2/13/26 Reminder text sent NC9/16 NC sent email 8/18 NC sent follow up text AG 7/23/: sent follow up text, AG 7/9: sent text; NC 6/9: F/u for survey; LC 03/14: F/u for survey</t>
  </si>
  <si>
    <t>Failed Baseline MRI: Only completed 1st scan MRI. Did not want to continue</t>
  </si>
  <si>
    <r>
      <rPr>
        <rFont val="Arial"/>
        <color theme="1"/>
      </rPr>
      <t xml:space="preserve">05/28 </t>
    </r>
    <r>
      <rPr>
        <rFont val="Arial"/>
        <strike/>
        <color theme="1"/>
      </rPr>
      <t xml:space="preserve">11/25/2023 </t>
    </r>
  </si>
  <si>
    <t>New card mailed out 10/16/25 JE ;; GT 12/4: Informed $127.51 added for MRI + gas; GT 10/20: Informed 152.51 for BD,CV&lt;NP + gas; GT 10/4: Informed $52.51 added for SV + gas</t>
  </si>
  <si>
    <t>#72</t>
  </si>
  <si>
    <t>Can't continue with study; Baseline MRI not done</t>
  </si>
  <si>
    <t xml:space="preserve">9/1/26 JE Son will fill out but lives in Guatamela - may have forgotten. Will send reminder. Pt just asks for patience. ;; 8/21/26 NC sent text; 7/17/26 Email sent NC; 6/22/26 NC sent reminder JE 11/11 Reminded at the MRI.;; MJ 10/06: link resent 9/16 NC sent email 8/18 NC sent follow up text AG 7/23/: sent follow up text, NC 6/9: F/u for survey;LC 03/14: F/u for survey, AG 7/9: sent text </t>
  </si>
  <si>
    <t>#386</t>
  </si>
  <si>
    <t>27.51 (12/04/23)</t>
  </si>
  <si>
    <t>Failed Baseline MRI. Scans did not start. The participant felt overwhelmed when going into the machine.</t>
  </si>
  <si>
    <t>28.14 (10/01/24)</t>
  </si>
  <si>
    <t>#64</t>
  </si>
  <si>
    <t>3rd Year</t>
  </si>
  <si>
    <t>LC 02/26: Sent link</t>
  </si>
  <si>
    <t>#65</t>
  </si>
  <si>
    <t>50 (10/13/25)</t>
  </si>
  <si>
    <t xml:space="preserve">Diff mileage on 10/13/25 bc she was staying in Redlands. Returns back to her regular home this week (30.8mi for future reference). </t>
  </si>
  <si>
    <t>Responded to email. He is in mex and does not anticipate returning till 3-4 yrs from now. No longer able to participate.</t>
  </si>
  <si>
    <t>New card recived 10/20/25</t>
  </si>
  <si>
    <t>74293610</t>
  </si>
  <si>
    <t>Sent check in message. Replied "stop". No reason given but had previously shared she was dealing with a lot of "household issues". 9/22/25 JE</t>
  </si>
  <si>
    <t>GT1/8: Informed $100 added for MRI; GT 11/17: Informed $75 added for CV,BD; GT 11/7 Informed $50 added for NP; GT 10/11: Informed $25 added for SV</t>
  </si>
  <si>
    <t>NC 6/9: F/u for survey;LC 03/14: F/u for survey NC 5/16: only consent form completed</t>
  </si>
  <si>
    <t xml:space="preserve">IV 10/21: moving out of the country :(, can no longer come , interested if anything virtual arises </t>
  </si>
  <si>
    <t xml:space="preserve">9/25/26 NC sent text; 9/11/26 JE Daughter reached out (in the east coast). Sent sq via text. ;; 9/1/26 JE Was out of town and got his phone robbed. But will be in touch with daughter (out of state - CT) to complete. Will share our number with her to call us. If not follow up... ;; 8/21/26 NC sent text; 7/17/26 Email sent NC; 6/22/26 NC sent reminder 2/13/26 Reminder text sent NC, IV 10/23: reminded at visit, sent again 9/16 NC sent email  8/18 NC sent follow up text AG 7/23/: sent follow up text, NC 6/9: F/u for survey; LC 03/14: F/u for survey, AG 7/9: sent text </t>
  </si>
  <si>
    <t xml:space="preserve">Spouse called in after receiving letter. Informed that participant passed Dec 2024 11/10/25 JE ;; Letter mailed out. All forms of contact exhausted. No answer 11/4/25 JE ;; MJ 10/28: Left VM + sent text IV 10/3: left vm, sent text  IV 9/23: left vm, sent text </t>
  </si>
  <si>
    <t>#57</t>
  </si>
  <si>
    <r>
      <rPr>
        <rFont val="Arial"/>
        <b/>
        <color theme="1"/>
      </rPr>
      <t xml:space="preserve">NEW: 25479146 </t>
    </r>
    <r>
      <rPr>
        <rFont val="Arial"/>
        <b/>
        <strike/>
        <color theme="1"/>
      </rPr>
      <t xml:space="preserve">35029278 </t>
    </r>
    <r>
      <rPr>
        <rFont val="Arial"/>
        <strike/>
        <color theme="1"/>
      </rPr>
      <t>04296450</t>
    </r>
  </si>
  <si>
    <r>
      <rPr>
        <rFont val="Arial"/>
        <color theme="1"/>
      </rPr>
      <t xml:space="preserve">05/28 </t>
    </r>
    <r>
      <rPr>
        <rFont val="Arial"/>
        <strike/>
        <color theme="1"/>
      </rPr>
      <t>3/27/2024</t>
    </r>
  </si>
  <si>
    <t xml:space="preserve">LC 03/14: F/u for survey </t>
  </si>
  <si>
    <t>#131</t>
  </si>
  <si>
    <t>GT 1/16 $150 added for MRI&amp;gas; GT 11/14: Informed $175 added for BD,CV,NP + gas; GT 10/11: Informed $75 added for SV+gas</t>
  </si>
  <si>
    <t>#62</t>
  </si>
  <si>
    <r>
      <rPr>
        <rFont val="Arial"/>
        <color rgb="FFFF0000"/>
      </rPr>
      <t>!! NOT DROPPED</t>
    </r>
    <r>
      <rPr>
        <rFont val="Arial"/>
        <color theme="1"/>
      </rPr>
      <t>. ... No response, mailed letter sent back</t>
    </r>
  </si>
  <si>
    <t xml:space="preserve">AG 7/23/: sent follow up text, NC 6/9: F/u for survey; LC 03/14: F/u for survey; AG 7/9: sent text </t>
  </si>
  <si>
    <t>#246</t>
  </si>
  <si>
    <t>No response, mailed letter sent back</t>
  </si>
  <si>
    <t>50 (11/14/23)</t>
  </si>
  <si>
    <t xml:space="preserve">9/25/26 NC sent text; 8/21/26 NC sent text; 7/17/26 Email sent NC; 6/22/26 NC sent reminder 2/13/26 Reminder text sent NC 9/16 NC sent email  8/18 NC sent follow up text AG 7/23/: sent follow up text, NC 6/9: F/u for survey; LC 03/14: F/u for survey; AG 7/9: sent text </t>
  </si>
  <si>
    <t>did not do</t>
  </si>
  <si>
    <t xml:space="preserve">Due to family matters not able to cont. </t>
  </si>
  <si>
    <t>LC 02/26: Completed forms</t>
  </si>
  <si>
    <t>50 (3/6/2025)</t>
  </si>
  <si>
    <t>Due to family matters not able to cont.</t>
  </si>
  <si>
    <t xml:space="preserve">completed in person, on redcap </t>
  </si>
  <si>
    <t>RED CAP</t>
  </si>
  <si>
    <t xml:space="preserve">LC 02/26: Completed forms </t>
  </si>
  <si>
    <t>50 (3/2/2026)</t>
  </si>
  <si>
    <t>Letter mailed out. All forms of contact exhausted. No answer 5/15/25 JE</t>
  </si>
  <si>
    <t>LC 02/28: Completed forms in person</t>
  </si>
  <si>
    <t>04317861</t>
  </si>
  <si>
    <t xml:space="preserve">DV 09/18: Mailed letter ;; Has not been answering. Left vm, text and email. 9/8/25 JE ;; MJ 07/28: Left VM MJ 07/24: Left VM + sent text Would like to combine visits if possible. Needs to ask for permision at work. But flexible. </t>
  </si>
  <si>
    <t>GT 10/24: $89.41 added for NP,CV,gas; GT 10/16: $39.41 added for SV + gas</t>
  </si>
  <si>
    <t>#218</t>
  </si>
  <si>
    <t xml:space="preserve">Letter mailed out. All forms of contact exhausted. No answer. 11/4/25 JE ;; MJ 10/21: left vm + sent text IV 10/03: left vm sent text IV 9/23: left vm, sent text </t>
  </si>
  <si>
    <t xml:space="preserve">MJ 12/02: Text message sent bc he's at work. Messaged he is moving to OK- no longer able to cont. </t>
  </si>
  <si>
    <t>14.74 (02/09/24)</t>
  </si>
  <si>
    <t xml:space="preserve">IV 12/22: apologized he's no longer interested IV 12/1: left vm, sent text MJ 10/28:Left VM + sent text  IV 9/23: left vm , sent text MJ 09/15: Left VM + sent text MJ 09/08: Left VM + Sent text + sent email IV 8/28: left vm, sent text IV 8/19: left vm, sent text </t>
  </si>
  <si>
    <t xml:space="preserve">Call stright to operator. 1/6/26 JE ;; All forms of contact exhausted. Sent check in message. No response. 9/22/25 JE ;; IV 7/14: phone still doesnt ring 6/25 NC Mailed Letter 06/24:Call did not go through IV 6/23: call still wont go throught, sent email  IV 4/23: doesnt go thru, I might be blocked, can someone else try IV 4/3: left vm, no longer answers IV 3/28: left vm, sent text, had sent 2 previous text messages IV 2/21: needs to figure out new day V 2/12: figuring out time for that say IV 2/04: texted me date, will drive LC 02/03: Left vm;  IV 1/30: sent text, LC 01/28: Sent text; IV 1/27: left vm </t>
  </si>
  <si>
    <r>
      <rPr>
        <rFont val="Arial"/>
        <b/>
        <color theme="1"/>
      </rPr>
      <t xml:space="preserve">NEW: 25657647 </t>
    </r>
    <r>
      <rPr>
        <rFont val="Arial"/>
        <color theme="1"/>
      </rPr>
      <t>04312290</t>
    </r>
  </si>
  <si>
    <t>GT 10/16: $39.41 added for SV + gas</t>
  </si>
  <si>
    <t>LC 03/14: Sent link</t>
  </si>
  <si>
    <t>Operator message. Phone no longer in service. 1/6/26 JE ;; All forms of contact exhausted. Straight to vm. Sent follow up check in message. No response. 9/22/25 JE ;; IV 8/28: not in service IV 7/14: straigh to vm, sent text 6/25 NC Mailed Letter IV 6/23: straight to vm, sent, sent email  text IV 5/2: straight to vm, sent text IV 4/23: straight to vm, sent text IV 4/4: left vm sent text V 3/24: left vm, sent text</t>
  </si>
  <si>
    <t>NC; 8/26 sent link JE 04/25: Possible drop-out. MRI not completed ;; LC 04/02: F/u for survey</t>
  </si>
  <si>
    <t>#297</t>
  </si>
  <si>
    <t xml:space="preserve">Does not wish to cont. 1/7/26 JE ;; IV 3/24: said she started working monday-fri, cant take days off right now, will call if she ever can? IV 2/25: texted asking for availability IV 2/13: need to reschedule, asked for dates IV 1/31: left vm @12:25pm IV 1/31: will drive </t>
  </si>
  <si>
    <t xml:space="preserve">NC 6/2 Completed </t>
  </si>
  <si>
    <t>LC 04/02: F/u for survey</t>
  </si>
  <si>
    <t>14.74 (2/2/24)</t>
  </si>
  <si>
    <t>#177, #172, #175, #293</t>
  </si>
  <si>
    <t xml:space="preserve">No answer. Left vm and sent text. Replied no longer able to cont. 1/7/25 JE ;; IV 9/2: texted me that he works 8-6 mon-sat, offered verterans day, or future contact IV 8/28: left vm, sent text IV 8/19: cancelled night before, left vm sent text IV 7/14: will drive </t>
  </si>
  <si>
    <t>15.4 (2/11/25)</t>
  </si>
  <si>
    <t>8/18 NC sent follow up text AG 7/23/: sent follow up text, TB: 6/25 Sent text NC 6/9: invalid email LC 04/02: F/u for survey</t>
  </si>
  <si>
    <t>Called in to drop out. No time and too far. No longer interested. 1/14/26 JE ;; Called, left VM: CTS 01/5/26</t>
  </si>
  <si>
    <t>#287</t>
  </si>
  <si>
    <t>15.95 (02/04/2026)</t>
  </si>
  <si>
    <t xml:space="preserve">Unable to leave vm. No answer. All forms of contact exhausted. 1/21/26 JE ;; Unable to reach. Letter mailed out 1/15/26 JE. Sent text.1/14/26 JE ;; Vmb full. Sent text. 1/7/26 JE ;; MJ 01/02: St to vm + sent text IV 12/1: left vm, sent text, MJ 10/28: Left VM + sent text IV 9/23: left vm , sent text MJ 09/15: St to VM + sent text MJ 09/08: Left VM + sent text + sent email IV 8/28: left vm, sent text IV 8/19: left vm, sent text </t>
  </si>
  <si>
    <t xml:space="preserve">9/25/26 NC sent text; 8/21/26 NC sent text; 7/17/26 Email sent NC; 6/22/26 NC sent reminder. 2/25/26 Reminded at visit and link resent. JE ;; 2/13/26 Reminder text sent NC 9/16 NC sent email 8/18 NC sent follow up text AG 7/23/: sent follow up text, NC 6/9: F/u for survey; LC 04/02: F/u for survey; AG 7/9: sent text </t>
  </si>
  <si>
    <r>
      <rPr>
        <rFont val="Arial"/>
        <b/>
        <strike val="0"/>
        <color theme="1"/>
      </rPr>
      <t xml:space="preserve">NEW: 85039230 </t>
    </r>
    <r>
      <rPr>
        <rFont val="Arial"/>
        <strike/>
        <color theme="1"/>
      </rPr>
      <t>54292121</t>
    </r>
  </si>
  <si>
    <t xml:space="preserve">Busy and not interested. </t>
  </si>
  <si>
    <t>#141</t>
  </si>
  <si>
    <r>
      <rPr>
        <rFont val="Arial"/>
        <color theme="1"/>
      </rPr>
      <t xml:space="preserve">04/27 </t>
    </r>
    <r>
      <rPr>
        <rFont val="Arial"/>
        <strike/>
        <color theme="1"/>
      </rPr>
      <t>11/25/2023</t>
    </r>
  </si>
  <si>
    <t xml:space="preserve">Not interested in doing a closed MRI again. </t>
  </si>
  <si>
    <t xml:space="preserve">11/10/25: New card given to participant, CTS 1/17: Informed $50 added for gas from MRI; 1/16 GT: Informed $100 added for MRI; 11/2 GT: Informed $150 added to card for SV,BD, 2 gas; </t>
  </si>
  <si>
    <t>LC 04/02: F/u for survey NC 5/16: Only consent form started</t>
  </si>
  <si>
    <t>#174</t>
  </si>
  <si>
    <t xml:space="preserve">The patient has been difficult to reach, with no response to multiple contact attempts. A letter was sent on April 1, 2026. They previously opted out of an MRI on February 17. Several calls and messages were made between January and April to schedule or reschedule appointments, but the participant either did not respond, said they would call back, or canceled at the last minute. </t>
  </si>
  <si>
    <t xml:space="preserve">6/22/26 NC sent reminder 2/13/26 Reminder text sent NC 9/2 NC sent email AG 7/23/: sent follow up text, AG 6/9 F/u for survey, LC 04/02: F/u for survey; AG 7/9: sent text </t>
  </si>
  <si>
    <t>#368</t>
  </si>
  <si>
    <t>50 (1/12/24)</t>
  </si>
  <si>
    <t>Contact attempts have been frequent since May 2025, including calls, texts, voicemails, and a mailed letter. Early on, the individual expressed interest but had scheduling issues (e.g., vacation, oversleeping, feeling overwhelmed). By January 2026, she confirmed she was still interested in participating. However, since then, all follow-up attempts (January through March 2026) have received no response despite multiple messages and voicemails. Currently, the individual is unreachable, with no replies to recent outreach efforts.</t>
  </si>
  <si>
    <t>#137</t>
  </si>
  <si>
    <t>50 (11/11/24)</t>
  </si>
  <si>
    <t>MJ 02/25: sent link LC 03/14: Sent link</t>
  </si>
  <si>
    <t xml:space="preserve">Participant sent text that she would like to drop out. Reason not provided. 5/22/26 JE </t>
  </si>
  <si>
    <t xml:space="preserve">MJ 02/25: Pt wants us to send link directly to study partner,,sent her text directly 2/13/26 Reminder text sent NC MJ 2/12: Reminder given,,study partner # updated on redcap 9/16 NC sent email 8/18 NC sent follow up text AG 7/23/: sent follow up text, AG 6/9 F/u for survey, LC 04/02: F/u for survey; AG 7/9: sent text </t>
  </si>
  <si>
    <t>#347</t>
  </si>
  <si>
    <t>50 11/14/25</t>
  </si>
  <si>
    <r>
      <rPr>
        <rFont val="Arial"/>
        <b/>
        <color theme="1"/>
      </rPr>
      <t>new: 15613622</t>
    </r>
    <r>
      <rPr>
        <rFont val="Arial"/>
        <color theme="1"/>
      </rPr>
      <t xml:space="preserve"> 74320972</t>
    </r>
  </si>
  <si>
    <t xml:space="preserve">6/29/26 NC missing questionairre, consent and rest of forms completed. LC 04/02: Forms already completed </t>
  </si>
  <si>
    <r>
      <rPr>
        <rFont val="Arial"/>
        <b/>
        <color theme="1"/>
      </rPr>
      <t xml:space="preserve">10/28 </t>
    </r>
    <r>
      <rPr>
        <rFont val="Arial"/>
        <color theme="1"/>
      </rPr>
      <t>11/25</t>
    </r>
  </si>
  <si>
    <t xml:space="preserve"> DBS-1303</t>
  </si>
  <si>
    <t>1/10 GT: Informed 100 added for MRI; 10/23: Informed $125 for BD,NP,CV; 10/19 GT: Informed $25 added for SV</t>
  </si>
  <si>
    <t>Participant considered a dropout after unsuccessful contact attempts, including disconnected phone number, multiple follow-up emails, and mailed letter, with no response received. 5/26/26 JE</t>
  </si>
  <si>
    <t>#144</t>
  </si>
  <si>
    <t>uber</t>
  </si>
  <si>
    <t>LC 03/17: Completed forms</t>
  </si>
  <si>
    <t>LC 04/03: Sent link</t>
  </si>
  <si>
    <r>
      <rPr>
        <rFont val="Arial"/>
        <color theme="1"/>
      </rPr>
      <t>NEW CARD:</t>
    </r>
    <r>
      <rPr>
        <rFont val="Arial"/>
        <b/>
        <color theme="1"/>
      </rPr>
      <t xml:space="preserve"> 55565041</t>
    </r>
    <r>
      <rPr>
        <rFont val="Arial"/>
        <color theme="1"/>
      </rPr>
      <t xml:space="preserve"> 84302942</t>
    </r>
  </si>
  <si>
    <r>
      <rPr>
        <rFont val="Arial"/>
        <color theme="1"/>
      </rPr>
      <t xml:space="preserve">07/28 </t>
    </r>
    <r>
      <rPr>
        <rFont val="Arial"/>
        <strike/>
        <color theme="1"/>
      </rPr>
      <t>11/25/2023</t>
    </r>
  </si>
  <si>
    <t>12/7 GT: $100 added for LP; 11/2 GT: $128.82 added for BD,CV,NP + gas; 10/24 GT: $53.82 added for SV+gas</t>
  </si>
  <si>
    <t xml:space="preserve">IV 8/18: husband did at visit 8/11/26 NC text before visit 7/17/26 Email sent NC; 6/22/26 NC sent reminder 6/10 NC called, sent to voicemail 2/13/26 Reminder text sent NC 9/16 NC sent email 8/18 NC sent follow up text AG 7/23/: sent follow up text, AG 6/9 F/u for survey; AG 7/9: sent text </t>
  </si>
  <si>
    <t>#382</t>
  </si>
  <si>
    <t xml:space="preserve">2/13/26 Reminder text sent NC (did not go through) 9/16 NC sent email 8/18 NC sent follow up text AG 7/23/: sent follow up text, AG 6/9 F/u for survey; AG 7/9: sent text </t>
  </si>
  <si>
    <t>34.17 (4/04/24)</t>
  </si>
  <si>
    <t xml:space="preserve">8/18 NC sent follow up text AG 7/23/: sent follow up text, AG 6/9 F/u for survey; AG 7/9: sent text </t>
  </si>
  <si>
    <t>#285</t>
  </si>
  <si>
    <t>34.17 (11/08/24)</t>
  </si>
  <si>
    <t xml:space="preserve">MJ 05/05/26: Sent link again,,he is going to have his son do it 2/13/26 Reminder text sent NC 9/16 NC sent email 8/18 NC sent follow up text AG 7/23: double check if not send txt, AG 6/9 F/u for survey; AG 7/9: sent text </t>
  </si>
  <si>
    <t>#353</t>
  </si>
  <si>
    <t xml:space="preserve">AG 6/9 F/u for survey, invalid email </t>
  </si>
  <si>
    <t>#167, #209</t>
  </si>
  <si>
    <t>37.66 12/05/25</t>
  </si>
  <si>
    <t xml:space="preserve">6/22/26 NC sent reminder 2/13/26 Reminder text sent NC 9/16 NC sent email 8/18 NC sent follow up text AG 7/23/: sent follow up text, AG 6/9 F/u for survey; AG 7/9: sent text </t>
  </si>
  <si>
    <r>
      <rPr>
        <rFont val="Arial"/>
        <b/>
        <color theme="1"/>
      </rPr>
      <t xml:space="preserve">NEW: 04858070 </t>
    </r>
    <r>
      <rPr>
        <rFont val="Arial"/>
        <color theme="1"/>
      </rPr>
      <t>04327217</t>
    </r>
  </si>
  <si>
    <t>GT 1/25 Informed $100 added for MRI; GT 10/25: Informed $25 added for SV</t>
  </si>
  <si>
    <t xml:space="preserve">AG 6/9 F/u for survey; AG 7/9: sent text </t>
  </si>
  <si>
    <t>#227</t>
  </si>
  <si>
    <t xml:space="preserve">8/18 NC sent follow up text AG 7/23/: sent follow up text, AG 6/9 F/u for survey: AG 7/9 sent text </t>
  </si>
  <si>
    <r>
      <rPr>
        <rFont val="Arial"/>
        <b/>
        <color theme="1"/>
      </rPr>
      <t>New CARD: 94987359</t>
    </r>
    <r>
      <rPr>
        <rFont val="Arial"/>
        <color theme="1"/>
      </rPr>
      <t xml:space="preserve"> 24840498       ;4898147</t>
    </r>
  </si>
  <si>
    <t>#157</t>
  </si>
  <si>
    <t>1/16: Informed $50 added for NP; 12/15: Informed $50 added for BD,CV; GT 10/25: Informed $25 added for SV</t>
  </si>
  <si>
    <t>IV 9/4: wife did it with him at visit IV 8/21: let him know at a visit, will have daughetr complete, sent link 8/18 NC sent follow up text AG 7/23/: sent follow up text, AG 6/9 F/u for survey; AG 7/9 sent text</t>
  </si>
  <si>
    <t>#301</t>
  </si>
  <si>
    <t>7/27/26 Reminded. Said she will do today. Sister who lives with her will complete it. ;; 7/17/26 Email sent NC; 6/22 NC sent reminder. AG 6/9 F/u for survey, NC 5/16 Only consent form started</t>
  </si>
  <si>
    <t>#374</t>
  </si>
  <si>
    <r>
      <rPr>
        <rFont val="Arial"/>
        <b/>
        <color theme="1"/>
      </rPr>
      <t>NEW: 95634864</t>
    </r>
    <r>
      <rPr>
        <rFont val="Arial"/>
        <color theme="1"/>
      </rPr>
      <t xml:space="preserve"> 74872652; 34992990</t>
    </r>
    <r>
      <rPr>
        <rFont val="Arial"/>
        <b/>
        <color theme="1"/>
      </rPr>
      <t xml:space="preserve">; </t>
    </r>
    <r>
      <rPr>
        <rFont val="Arial"/>
        <color theme="1"/>
      </rPr>
      <t>34296377</t>
    </r>
  </si>
  <si>
    <t>#159</t>
  </si>
  <si>
    <t>2/15 GT: Informed $100 added for MRI; 12/18: Informed $75 added for BD, NP; GT 10/25: Informed $25 added for SV</t>
  </si>
  <si>
    <t>Dont f/u, alreayd filled out 4 times AG 6/9 F/u for survey, NC 5/16 Halfway done</t>
  </si>
  <si>
    <t>#192, #194,#195, #234, #235</t>
  </si>
  <si>
    <t>#154</t>
  </si>
  <si>
    <t>73776599</t>
  </si>
  <si>
    <t>GT 1/8 Informed $100 added for MRI; GT 11/2: Informed $125 added for SV,BD,NP,CV</t>
  </si>
  <si>
    <t>#161</t>
  </si>
  <si>
    <t>9/16 NC sent email 8/18 NC sent follow up text AG 7/23/: sent follow up text, AG 7/9 sent text, AG 6/9 F/u for survey</t>
  </si>
  <si>
    <t>#311</t>
  </si>
  <si>
    <r>
      <rPr>
        <rFont val="Arial"/>
        <b/>
        <color theme="1"/>
      </rPr>
      <t>NEW: 35560934</t>
    </r>
    <r>
      <rPr>
        <rFont val="Arial"/>
        <color theme="1"/>
      </rPr>
      <t xml:space="preserve"> 64313709</t>
    </r>
  </si>
  <si>
    <t>GT 12/20: Informed 131.44 for MRI +gas; GT 11/7: Informed $106.44 added for NP,CV,gas; GT 11/6: Informed $81.44 added for SV,BD,gas</t>
  </si>
  <si>
    <t>AG 6/9 F/u for survey</t>
  </si>
  <si>
    <t>#190</t>
  </si>
  <si>
    <t>8/18 NC sent follow up text AG 7/23/: sent follow up text, TB: 6/25 Sent text AG 6/9 invalid email</t>
  </si>
  <si>
    <t>#270</t>
  </si>
  <si>
    <t xml:space="preserve">6/22/26 NC sent reminder . 2/13 reminder text sent NC 11/26 JE Reminded at MRI and link reshared via text. ;; 9/16 NC sent email 8/18 NC sent follow up text AG 7/23/: sent follow up text, AG 7/9 sent text AG 6/9 F/u for survey; </t>
  </si>
  <si>
    <t>31.44 (12/20/23)</t>
  </si>
  <si>
    <t>#358</t>
  </si>
  <si>
    <t>#186</t>
  </si>
  <si>
    <t>32.16 (11/26/24)</t>
  </si>
  <si>
    <t>NC 6/2 : Sent link</t>
  </si>
  <si>
    <t>IV 9/9: completed over phone 8/18 NC sent follow up text AG 7/23/: sent follow up text, NC 6/30 Sent follow up text</t>
  </si>
  <si>
    <t>#250</t>
  </si>
  <si>
    <t>32.2 (12/23/25)</t>
  </si>
  <si>
    <t>6/22/26 NC sent reminder 2/13 reminder text sent NC 9/16 NC sent email 8/18 NC sent follow up text AG 7/23/: sent follow up text, NC 6/30 Sent follow up text</t>
  </si>
  <si>
    <t>#364</t>
  </si>
  <si>
    <r>
      <rPr>
        <rFont val="Arial"/>
        <b/>
        <color theme="1"/>
      </rPr>
      <t xml:space="preserve">NEW CARD: 85544156 </t>
    </r>
    <r>
      <rPr>
        <rFont val="Arial"/>
        <color theme="1"/>
      </rPr>
      <t>94297333</t>
    </r>
  </si>
  <si>
    <t>11/14 GT: Informed $100 added for BD,NP,CV;11/9 GT: Informed $25 added for SV</t>
  </si>
  <si>
    <t>50 (11/15/24)</t>
  </si>
  <si>
    <t>50 (11/24/24)</t>
  </si>
  <si>
    <t>63758114</t>
  </si>
  <si>
    <t>3/6: Informed $134.84 added for MRI+gas; 11/21 GT: Informed $134.06 added for BD,NP,CV; 11/9 GT: Informed $84.06 added for SV,BD,Gas</t>
  </si>
  <si>
    <t>9/25/26 NC sent text; 8/21/26 NC sent text; 7/17/26 Email sent NC; 6/22/26 NC sent reminder IV 5/18: reminded at 4th year visit, resent link , 2/13 reminder text sent NC 9/16 NC sent email 8/18 NC sent follow up text AG 7/23/: sent follow up text, NC 6/30 Sent follow up text</t>
  </si>
  <si>
    <t>34.84 (3/6/24)</t>
  </si>
  <si>
    <t>8/18 NC sent follow up text AG 7/23/: sent follow up text, NC 6/30 Sent follow up text</t>
  </si>
  <si>
    <t>34.84 (11/13/24)</t>
  </si>
  <si>
    <t>IV 8/18: wife did at visit 8/11/26 NC text before visit 7/17/26 Email sent NC; 6/22/26 NC sent reminder 2/13 reminder text sent NC 9/16 NC sent email 8/18 NC sent follow up text AG 7/23/: sent follow up text, NC 6/30 Sent follow up text</t>
  </si>
  <si>
    <t>#381</t>
  </si>
  <si>
    <t>NC 6/2 : Sent link NC 6/6: Done</t>
  </si>
  <si>
    <t>#182, #204</t>
  </si>
  <si>
    <t>Uber (11/25/25)</t>
  </si>
  <si>
    <t>NC 6/2 : Sent link, sent follow up (6/11)</t>
  </si>
  <si>
    <t xml:space="preserve">AG 7/23/: sent follow up text, 6/11 Sent follow up </t>
  </si>
  <si>
    <t>#237</t>
  </si>
  <si>
    <r>
      <rPr>
        <rFont val="Arial"/>
        <b/>
        <color theme="1"/>
      </rPr>
      <t>NEW: 65005223</t>
    </r>
    <r>
      <rPr>
        <rFont val="Arial"/>
        <color theme="1"/>
      </rPr>
      <t xml:space="preserve"> 94896250</t>
    </r>
  </si>
  <si>
    <t>1/26: Informed $255.56 added for MRI,LP,gas; 11/14 GT: Informed $25 added for SV</t>
  </si>
  <si>
    <t>9/16 NC sent email 8/18 NC sent follow up text AG 7/23/: sent follow up text (Double check), NC 6/30 Sent follow up text</t>
  </si>
  <si>
    <t>#303</t>
  </si>
  <si>
    <t>NC 6/30 Sent follow up text</t>
  </si>
  <si>
    <t>#219</t>
  </si>
  <si>
    <t>22.78 (01/12/24)</t>
  </si>
  <si>
    <t>AG 7/23/: sent follow up text, NC 6/30 Sent follow up text</t>
  </si>
  <si>
    <t>#178</t>
  </si>
  <si>
    <t>22.78 (11/21/24)</t>
  </si>
  <si>
    <t>9/25/26 NC sent text;  9/4/26 JE Reminded in person and link re sent link. Son will complete. ;; 8/21/26 NC sent text; 7/17/26 Email sent NC; 6/22/26 NC sent reminder 6/10 NC Called, said will have her son complete it today. 2/13 reminder text sent NC 10/13 JE Reminded to complete and confirmed access to link in person after MRI visit. ;; 9/16 NC sent email 8/18 NC sent follow up text AG 7/23/: sent follow up text, NC 6/30 Sent follow up text</t>
  </si>
  <si>
    <t>23.8 (1/30/26)</t>
  </si>
  <si>
    <t xml:space="preserve">walked from work, drove from home parked there, went home after, comped gas </t>
  </si>
  <si>
    <t>34520233</t>
  </si>
  <si>
    <t>#243</t>
  </si>
  <si>
    <t>1/17: Informed $75 added for NP,BD; 11/15 GT: Informed $25 added for SV</t>
  </si>
  <si>
    <t>74502924</t>
  </si>
  <si>
    <t>2/14 GT: Informed $100 added fro MRI +gass money; 12/13: Informed $100 + $26.20; 11/15 GT: Informed $76.20 added for SV,BD,gas</t>
  </si>
  <si>
    <t>2/13 reminder text sent NC 9/16 NC sent email 8/18 NC sent follow up text AG 7/23/: sent follow up text</t>
  </si>
  <si>
    <t>26.80 (2/14/23)</t>
  </si>
  <si>
    <t>IV 2/25: completed CTS 02/18/26 Reminder in person, sent link 2/13 reminder text sent NC 9/16 NC sent email 8/18 NC sent follow up textAG 7/23/: sent follow up text, NC 6/30 Sent follow up text</t>
  </si>
  <si>
    <t>#344</t>
  </si>
  <si>
    <t>50 (12/11/24)</t>
  </si>
  <si>
    <t>(moved to palmdale)</t>
  </si>
  <si>
    <t>TB: 6/25 Sent text NC 6/2 : Sent link (Invalid Email)</t>
  </si>
  <si>
    <t>#205</t>
  </si>
  <si>
    <r>
      <rPr>
        <rFont val="Arial"/>
        <color theme="1"/>
      </rPr>
      <t xml:space="preserve">NEW: </t>
    </r>
    <r>
      <rPr>
        <rFont val="Arial"/>
        <b/>
        <color theme="1"/>
      </rPr>
      <t>55618177</t>
    </r>
    <r>
      <rPr>
        <rFont val="Arial"/>
        <color theme="1"/>
      </rPr>
      <t xml:space="preserve"> 94538981</t>
    </r>
  </si>
  <si>
    <t>3/11 GT: Informed $120.10 added for MRI+gas; 12/15 GT: $119.65 added for BD,NP,CV+gas; 11/16 GT: Informed $44.65 added for SV+gas</t>
  </si>
  <si>
    <t>#221</t>
  </si>
  <si>
    <t>20.10 (3/8/24)</t>
  </si>
  <si>
    <t>#216</t>
  </si>
  <si>
    <t>#187</t>
  </si>
  <si>
    <t>29.00 (10/01/25)</t>
  </si>
  <si>
    <t>Paid (2nd yr)</t>
  </si>
  <si>
    <t>#220</t>
  </si>
  <si>
    <t>#291</t>
  </si>
  <si>
    <t>29.00 (12/4/25)</t>
  </si>
  <si>
    <t>didnt get paid for mri on 11/11, paid on 12/4</t>
  </si>
  <si>
    <t>29.00 (10/05/26)</t>
  </si>
  <si>
    <t>NEW CARD</t>
  </si>
  <si>
    <t>34525772</t>
  </si>
  <si>
    <t>9/25/26 NC sent text;  9/1/26 JE Will have her friend complete. ;; 8/21/26 NC sent text; 7/17/26 Email sent NC; 6/22/26 NC sent reminder 2/13 reminder text sent NC IV 10/16: said she thought they filled it out, sent her link again, follow up mri date 9/16 NC sent email 8/18 NC sent follow up text AG 7/23/: sent follow up text, NC 6/30 Sent follow up text</t>
  </si>
  <si>
    <t>12/14: Informed $100 added for BD, NP, CV; 11/21 GT: Informed $25 added for SV</t>
  </si>
  <si>
    <t>9/25/26 NC sent text;  8/21/26 NC sent text; 7/17/26 Email sent NC; 6/22/26 NC sent reminder 2/13 reminder text sent NC JE 11/18: Reminded and shared link via text day of MRI. ;; IV 10/20: resent link, said she'll fill out , 9/16 NC sent email 8/18 NC sent follow up textAG 7/23/: sent follow up text, NC 6/30 Sent follow up text</t>
  </si>
  <si>
    <r>
      <rPr>
        <rFont val="Arial"/>
        <color theme="1"/>
      </rPr>
      <t>NEW:</t>
    </r>
    <r>
      <rPr>
        <rFont val="Arial"/>
        <b/>
        <color theme="1"/>
      </rPr>
      <t xml:space="preserve"> 45546182 </t>
    </r>
    <r>
      <rPr>
        <rFont val="Arial"/>
        <color theme="1"/>
      </rPr>
      <t>24517114; 84987772</t>
    </r>
  </si>
  <si>
    <t>11/21 GT: Informed $25 added for SV</t>
  </si>
  <si>
    <t xml:space="preserve">9/16 said no family or friends 9/16 NC sent email 8/18 NC sent follow up textNC 7/25 sent follow up text </t>
  </si>
  <si>
    <t>$17.55 (2/18/26)</t>
  </si>
  <si>
    <t>9/25/26 NC sent text;  8/21/26 NC sent text; 7/17/26 Email sent NC; 6/22/26 NC sent reminder 2/13 reminder text sent NC Iv 1/30: reminded at visit, said to call her instead bc she started it, ask questions via phone #2459/16 NC sent email 9/2 NC sent emailAG 7/23/: sent follow up text, NC 6/30 Sent follow up text</t>
  </si>
  <si>
    <r>
      <rPr>
        <rFont val="Arial"/>
        <b/>
        <i/>
        <color theme="1"/>
      </rPr>
      <t xml:space="preserve">New card: 15639615 </t>
    </r>
    <r>
      <rPr>
        <rFont val="Arial"/>
        <i/>
        <strike/>
        <color theme="1"/>
      </rPr>
      <t>74554298</t>
    </r>
  </si>
  <si>
    <r>
      <rPr>
        <rFont val="Arial"/>
        <color theme="1"/>
      </rPr>
      <t xml:space="preserve">10/28 </t>
    </r>
    <r>
      <rPr>
        <rFont val="Arial"/>
        <strike/>
        <color theme="1"/>
      </rPr>
      <t>4/26/2023</t>
    </r>
  </si>
  <si>
    <t>11/22 GT: Informed $25 added for SV</t>
  </si>
  <si>
    <t>16.08 (1/24/24)</t>
  </si>
  <si>
    <t>IV 10/01: said found a friend who can fill it out, resent link 8/25/26 Texted NC and said nobody wants to do it. 8/21/26 NC sent text; 7/17/26 Email sent NC; 6/22/26 NC sent reminder 2/13 reminder text sent NC 11/7/25 JE Reminded at MRI. Participant mentioned that study partner did not feel comftorable adding their personal info. I let them know they could put thier initials and out participants phone/email as long as it is the partner that completes the forms. ;; 9/16 NC sent email 8/18 NC sent follow up textAG 7/23/: sent follow up text, NC 6/30 Sent follow up text, Follow up text and link sent again 11/04/25, CTS</t>
  </si>
  <si>
    <t>54531416</t>
  </si>
  <si>
    <t>12/1 GT: Informed $148.58 for BD,CV,NP,gas; 11/22 GT: Informed $48.58 added for SV + gas</t>
  </si>
  <si>
    <t>IV 11/19: called me if we contacted daughter, we didnt but let her know its missing, sent link 9/16 NC sent email 8/18 NC sent follow up textAG 7/23/: sent follow up text, NC 6/30 Sent follow up text</t>
  </si>
  <si>
    <t>#322</t>
  </si>
  <si>
    <t>9/16 NC sent email 8/18 NC sent follow up textAG 7/23/: sent follow up text, NC 6/30 Sent follow up text</t>
  </si>
  <si>
    <t>50 (12/1/23)</t>
  </si>
  <si>
    <t>7/17/26 Email sent NC; 6/22/26 NC sent reminder 6/10 NC called, left voicemail and sent link. 2/13 reminder text sent NC 9/16 NC sent email8/18 NC sent follow up textAG 7/23/: sent follow up text, NC 6/30 Sent follow up text</t>
  </si>
  <si>
    <t>#373</t>
  </si>
  <si>
    <r>
      <rPr>
        <rFont val="Arial"/>
        <b/>
        <color theme="1"/>
      </rPr>
      <t>NEW: 05656939</t>
    </r>
    <r>
      <rPr>
        <rFont val="Arial"/>
        <color theme="1"/>
      </rPr>
      <t xml:space="preserve"> 84544510</t>
    </r>
  </si>
  <si>
    <t>12/14: Informed $100 for LP; 12/6 Informed $100 added for IV; 12/5: Informed $100 for BD,CV,NP; 11/27 GT: Informed $25 added for SV</t>
  </si>
  <si>
    <t>#217</t>
  </si>
  <si>
    <t>#251</t>
  </si>
  <si>
    <t>explained compensation via phone call -mj</t>
  </si>
  <si>
    <t>04546913</t>
  </si>
  <si>
    <t>2/13 Message did not go through NC9/16 NC sent emailAG 7/23: message isnt sending, NC 6/30 Sent follow up text</t>
  </si>
  <si>
    <t>12/6: Informed $100 added for BD,CV,NP; 1/28 GT: Informed $25 added for SV</t>
  </si>
  <si>
    <t>9/25/26 NC sent text;  8/21/26 NC sent text; 7/17/26 Email sent NC; 6/2/26 NC sent reminder 2/13 reminder text sent NC 12/5/25 JE Reminder day of MRI and resent link. ;; 9/16 NC sent email 8/18 NC sent follow up textAG 7/23/: sent follow up text, NC 6/30 Sent follow up text</t>
  </si>
  <si>
    <r>
      <rPr>
        <rFont val="Arial"/>
        <b/>
        <color theme="1"/>
      </rPr>
      <t>NEW CARD: 05654046</t>
    </r>
    <r>
      <rPr>
        <rFont val="Arial"/>
        <color theme="1"/>
      </rPr>
      <t xml:space="preserve"> 84556230</t>
    </r>
  </si>
  <si>
    <t>2/13: Informed $100 added for MRI; 12/15: Informed $147.22 added for BD, NP, CV + gas; 11/29 GT: Informed $47.22 added for SV + gas</t>
  </si>
  <si>
    <t>9/25/26 NC sent text;  9/1/26 JE Will have friend complete. ;; 8/21/26 NC sent text; 7/17/26 Email sent NC; 6/22/26 NC sent reminder 6/10 NC called, left voicemail and sent link. 2/13 reminder text sent 9/16 NC sent email 8/18 NC sent follow up text AG 7/23/: sent follow up text, NC 6/30 Sent follow up text</t>
  </si>
  <si>
    <t>NC 6/2 : Sent link (dropped out)</t>
  </si>
  <si>
    <t>7/23: sent text double check NC 6/30 Sent follow up text</t>
  </si>
  <si>
    <t>22.27 (12/15/23)</t>
  </si>
  <si>
    <t>#265</t>
  </si>
  <si>
    <t>8/18 NC sent follow up textAG 7/23/: sent follow up text, NC 6/30 Sent follow up text</t>
  </si>
  <si>
    <t>64516930</t>
  </si>
  <si>
    <t>#289</t>
  </si>
  <si>
    <t>1/26: Informed $100 added for LP; 12/13 GT: Informed $100 +$17.16 for BD,CV,NP +gas; 11/29 GT: Informed $25 added for SV</t>
  </si>
  <si>
    <t>MJ 08/25: No study partner NC 6/2 : Sent link</t>
  </si>
  <si>
    <t>MJ 08/25: Pt mentioned that she has no study partner 8/11 CTS reminded in person, 9/16 NC sent email 8/18 NC sent follow up textAG 7/23/: sent follow up text, NC 6/30 Sent follow up text</t>
  </si>
  <si>
    <t>17.16 (12/13/23)</t>
  </si>
  <si>
    <t>NC 8/26 Sent link</t>
  </si>
  <si>
    <r>
      <rPr>
        <rFont val="Arial"/>
        <b/>
        <color theme="1"/>
      </rPr>
      <t xml:space="preserve">NEW CARD:75642116 </t>
    </r>
    <r>
      <rPr>
        <rFont val="Arial"/>
        <color theme="1"/>
      </rPr>
      <t>44534437</t>
    </r>
  </si>
  <si>
    <t xml:space="preserve">8/29 Complete </t>
  </si>
  <si>
    <t>#294</t>
  </si>
  <si>
    <t>1/8 GT: Informed $114.74 added for NP,BD,CV +gas; 11/29 GT: Informed $39.41 added for SV+gas</t>
  </si>
  <si>
    <t>14.74 (01/03/24)</t>
  </si>
  <si>
    <t>21 (01/31/25)</t>
  </si>
  <si>
    <t>new home address in redcap</t>
  </si>
  <si>
    <t>22.33 (02/25/26)</t>
  </si>
  <si>
    <t>MJ 05/19: Mailed new card</t>
  </si>
  <si>
    <r>
      <rPr>
        <rFont val="Arial"/>
        <b/>
        <color theme="1"/>
      </rPr>
      <t>NEW CARD</t>
    </r>
    <r>
      <rPr>
        <rFont val="Arial"/>
        <color theme="1"/>
      </rPr>
      <t xml:space="preserve">: </t>
    </r>
    <r>
      <rPr>
        <rFont val="Arial"/>
        <b/>
        <color theme="1"/>
      </rPr>
      <t xml:space="preserve">35653928 </t>
    </r>
    <r>
      <rPr>
        <rFont val="Arial"/>
        <color theme="1"/>
      </rPr>
      <t>04539405</t>
    </r>
  </si>
  <si>
    <t>2/29" Informed MRI + gas added; 1/8 GT: Informed $54.48 added for BD+gas; 12/1 GT: Informed $53.82 added for SV+gas</t>
  </si>
  <si>
    <t>29.48 (02/29/24)</t>
  </si>
  <si>
    <t>30.8 (1/15/25)</t>
  </si>
  <si>
    <t>31.75 (3/5/26)</t>
  </si>
  <si>
    <r>
      <rPr>
        <rFont val="Arial"/>
        <b/>
        <color theme="1"/>
      </rPr>
      <t>New token;15020110</t>
    </r>
    <r>
      <rPr>
        <rFont val="Arial"/>
        <color theme="1"/>
      </rPr>
      <t xml:space="preserve"> 84870095; 74528563</t>
    </r>
  </si>
  <si>
    <t>12/22 GT: Informed $153.82 added for BD,CV,NP + gas</t>
  </si>
  <si>
    <t>18.76 (4/26/24)</t>
  </si>
  <si>
    <t>18.76 (12/6/24)</t>
  </si>
  <si>
    <t>18.85 (01/09/26)</t>
  </si>
  <si>
    <r>
      <rPr>
        <rFont val="Arial"/>
        <b/>
        <color theme="1"/>
      </rPr>
      <t>45006387</t>
    </r>
    <r>
      <rPr>
        <rFont val="Arial"/>
        <color theme="1"/>
      </rPr>
      <t>; 34537814; 04532348</t>
    </r>
  </si>
  <si>
    <t>2/27 GT: Informed $100 added for MRI; 12/18 GT: Informed $84.06 added for NP + gas; 12/11 GT: Informed $84.06 for BD,CV &amp; 12/1 GT: Informed $59.06 added for SV+gas</t>
  </si>
  <si>
    <t>34.06 (12/18/23)</t>
  </si>
  <si>
    <t>34.84 (12/3/24)</t>
  </si>
  <si>
    <t>35.00 (12/12/25)</t>
  </si>
  <si>
    <t>DBS-0898</t>
  </si>
  <si>
    <t>64546173</t>
  </si>
  <si>
    <t>12/5 GT: Informed $75 added for SV + gas</t>
  </si>
  <si>
    <t>50 (12/05/23)</t>
  </si>
  <si>
    <t>84543113</t>
  </si>
  <si>
    <t xml:space="preserve">12/14 GT: Informed $50 added for BD,CV; 12/5 GT: Informed $25 added for SV </t>
  </si>
  <si>
    <t>14536244</t>
  </si>
  <si>
    <t xml:space="preserve">4/15 GT Informed $100 added for MRI; 1/19 GT: Informed $125 added for NP,CV,BD; 12/11 GT: Informed $25 added for SV </t>
  </si>
  <si>
    <t>74536663</t>
  </si>
  <si>
    <t>2/16GT Informed $75 added for BD+gas; 12/13 GT: Informed $75 added for SV + gas</t>
  </si>
  <si>
    <t>50 (7/19/24)</t>
  </si>
  <si>
    <t>04526996</t>
  </si>
  <si>
    <t>2/16 GT: Informed $100 added for MRI; 1/11 GT: Informed $107.90 added for BD,NP,CV + gas; 12/13 GT: Informed $32.73 added for SV + gas</t>
  </si>
  <si>
    <t>7.90 (1/18/24)</t>
  </si>
  <si>
    <t>8.26 (1/30/25)</t>
  </si>
  <si>
    <t>8.70 (1/28/2026)</t>
  </si>
  <si>
    <t>DBS-0932</t>
  </si>
  <si>
    <t>84548262</t>
  </si>
  <si>
    <t>12/14 GT: Informed $25 added for SV</t>
  </si>
  <si>
    <t>74527529</t>
  </si>
  <si>
    <t>12/18 GT: Informed $70.85 added for SV+gas</t>
  </si>
  <si>
    <t>46.90 (05/08/24)</t>
  </si>
  <si>
    <t>49.00 (02/19/25)</t>
  </si>
  <si>
    <r>
      <rPr>
        <rFont val="Arial"/>
        <b/>
        <color theme="1"/>
      </rPr>
      <t>NEW: 55644013</t>
    </r>
    <r>
      <rPr>
        <rFont val="Arial"/>
        <color theme="1"/>
      </rPr>
      <t xml:space="preserve"> 54532863</t>
    </r>
  </si>
  <si>
    <t>GT 4/16: Informed $126.8 added for MRI+gas; 1/23 GT: Informed $126.80 added for NP,CV,BD +gas; 12/19 GT: Informed $51.20 added for SV+gas</t>
  </si>
  <si>
    <t>26.8 (04/16/24)</t>
  </si>
  <si>
    <t>28.00 (1/30/25)</t>
  </si>
  <si>
    <t>28.13 (1/30/26)</t>
  </si>
  <si>
    <t>Did not complete the MRI fully,,only paid $50</t>
  </si>
  <si>
    <t>14547363</t>
  </si>
  <si>
    <t>12/19 GT: Informed $75 added for SV+gas</t>
  </si>
  <si>
    <t>50 (12/19/23)</t>
  </si>
  <si>
    <r>
      <rPr>
        <rFont val="Arial"/>
        <b/>
        <color theme="1"/>
      </rPr>
      <t>Newest: 25644568</t>
    </r>
    <r>
      <rPr>
        <rFont val="Arial"/>
        <color theme="1"/>
      </rPr>
      <t xml:space="preserve"> </t>
    </r>
    <r>
      <rPr>
        <rFont val="Arial"/>
        <strike/>
        <color theme="1"/>
      </rPr>
      <t>NEW: 35037880 04522298</t>
    </r>
  </si>
  <si>
    <r>
      <rPr>
        <rFont val="Arial"/>
        <color theme="1"/>
      </rPr>
      <t xml:space="preserve">10/28 </t>
    </r>
    <r>
      <rPr>
        <rFont val="Arial"/>
        <strike/>
        <color theme="1"/>
      </rPr>
      <t>4/27/2023</t>
    </r>
  </si>
  <si>
    <t>1/19 GT: Informed $125+17.42 for BD,NP,CV+gas; 12/21 GT: Informed $25 added for SV</t>
  </si>
  <si>
    <t>17.42 (03/22/24)</t>
  </si>
  <si>
    <t>18.2 (1/17/24)</t>
  </si>
  <si>
    <t>18.85 (5/6/26)</t>
  </si>
  <si>
    <r>
      <rPr>
        <rFont val="Arial"/>
        <b/>
        <color theme="1"/>
      </rPr>
      <t>NEW: 15027652</t>
    </r>
    <r>
      <rPr>
        <rFont val="Arial"/>
        <color theme="1"/>
      </rPr>
      <t xml:space="preserve"> 04536604; 84891680</t>
    </r>
  </si>
  <si>
    <t>Informed 1/17 GT Informed $112.36 added for BD,CV,NP +gas; 1/8 GT Informed $37.05 added for SV-gas</t>
  </si>
  <si>
    <t>6.30 (05/30/24)</t>
  </si>
  <si>
    <t>13.58 (1/23/25)</t>
  </si>
  <si>
    <r>
      <rPr>
        <rFont val="Arial"/>
        <color theme="1"/>
      </rPr>
      <t xml:space="preserve">NEW CARD: 95632503 </t>
    </r>
    <r>
      <rPr>
        <rFont val="Arial"/>
        <strike/>
        <color theme="1"/>
      </rPr>
      <t>44528559</t>
    </r>
  </si>
  <si>
    <r>
      <rPr>
        <rFont val="Arial"/>
        <color theme="1"/>
      </rPr>
      <t xml:space="preserve">10/28 </t>
    </r>
    <r>
      <rPr>
        <rFont val="Arial"/>
        <strike/>
        <color theme="1"/>
      </rPr>
      <t>4/26/2024</t>
    </r>
  </si>
  <si>
    <t>1/30 GT: Informed $126.80 added for BD,NP,CV+gas; 1/8 GT: Informed $51.80 added for SV+gas</t>
  </si>
  <si>
    <t>14.07 (04/05/24)</t>
  </si>
  <si>
    <t>28.14 (07/11/25)</t>
  </si>
  <si>
    <t>30.45 (6/11/26)</t>
  </si>
  <si>
    <t xml:space="preserve">Transferred to new card. 6/18/26 JE ;; Sent check in text. Pending response. 6/17/26 JE ;; transfer balance to new card once he confirms he received in mail 6/11/26 JE </t>
  </si>
  <si>
    <r>
      <rPr>
        <rFont val="Arial"/>
        <b/>
        <color theme="1"/>
      </rPr>
      <t xml:space="preserve">NEW: 65633557 </t>
    </r>
    <r>
      <rPr>
        <rFont val="Arial"/>
        <strike/>
        <color theme="1"/>
      </rPr>
      <t>64999999 24544861</t>
    </r>
  </si>
  <si>
    <r>
      <rPr>
        <rFont val="Arial"/>
        <b/>
        <color theme="1"/>
      </rPr>
      <t xml:space="preserve">NEW: 10/28 </t>
    </r>
    <r>
      <rPr>
        <rFont val="Arial"/>
        <strike/>
        <color theme="1"/>
      </rPr>
      <t>03/27 4/26</t>
    </r>
  </si>
  <si>
    <t>LC 04/26: Lost clincard. Needs new one;1/30 GT: Informed $126.80 added for BD,NP,CV+gas; 1/8 GT: Informed $51.80 added for SV+gas</t>
  </si>
  <si>
    <t>26.8 (4/11/24)</t>
  </si>
  <si>
    <t xml:space="preserve">Updated card. Funds transfered by MJ. 8/11/26 JE ;; Texted that she lost her card. New one sent in mail. Transfer funds once she confirms received. 6/22/26 JE </t>
  </si>
  <si>
    <r>
      <rPr>
        <rFont val="Arial"/>
        <b/>
        <color theme="1"/>
      </rPr>
      <t xml:space="preserve">New: 55040595; </t>
    </r>
    <r>
      <rPr>
        <rFont val="Arial"/>
        <color theme="1"/>
      </rPr>
      <t>84531273</t>
    </r>
  </si>
  <si>
    <t>2/5 GT: Informed $117.42 added for CV,BD,NP+gas; 1/8 GT: Informed $25 added for SV</t>
  </si>
  <si>
    <t>17.42 (02/05/24)</t>
  </si>
  <si>
    <r>
      <rPr>
        <rFont val="Arial"/>
        <b/>
        <color theme="1"/>
      </rPr>
      <t xml:space="preserve">NEW: 05648404 </t>
    </r>
    <r>
      <rPr>
        <rFont val="Arial"/>
        <b/>
        <strike/>
        <color theme="1"/>
      </rPr>
      <t>NEW: 05038057</t>
    </r>
    <r>
      <rPr>
        <rFont val="Arial"/>
        <strike/>
        <color theme="1"/>
      </rPr>
      <t xml:space="preserve"> 54291387</t>
    </r>
  </si>
  <si>
    <t>1/25: Informed $75 +14.74 added for CV,BD+gas; 1/17 GT: Informed $64.74 added for NP+gas; 1/8 GT informed $39.74 added for SV+gas</t>
  </si>
  <si>
    <t>14.74 (01/31/24)</t>
  </si>
  <si>
    <t>15.40 (1/13/25)</t>
  </si>
  <si>
    <t>15.95 (01/23/2026)</t>
  </si>
  <si>
    <t>CTS 09/29/26: Requested a new one; lost the most recent one. Updated</t>
  </si>
  <si>
    <r>
      <rPr>
        <rFont val="Arial"/>
        <b/>
        <color theme="1"/>
      </rPr>
      <t xml:space="preserve">NEW CARD: 55563500 </t>
    </r>
    <r>
      <rPr>
        <rFont val="Arial"/>
        <color theme="1"/>
      </rPr>
      <t>64314723</t>
    </r>
  </si>
  <si>
    <t>1/18: Informed $125 added for BD,CV,NP; 1/8 Informed $25 added for SV</t>
  </si>
  <si>
    <t>DBS-0946</t>
  </si>
  <si>
    <t>needs clin card/ 5727 magnolia ave whittier</t>
  </si>
  <si>
    <t>drove</t>
  </si>
  <si>
    <t>94873298</t>
  </si>
  <si>
    <t>8.31 (03/18/24</t>
  </si>
  <si>
    <t>8.68 (1/14/25)</t>
  </si>
  <si>
    <t>8.99 (1/22/26)</t>
  </si>
  <si>
    <t>2/1 GT Informed all money and gas added</t>
  </si>
  <si>
    <t>50 (03/28/24)</t>
  </si>
  <si>
    <t>50 (02/07/25)</t>
  </si>
  <si>
    <t>84875939</t>
  </si>
  <si>
    <t>50  (02/12/24)</t>
  </si>
  <si>
    <t>50 (02/03/25)</t>
  </si>
  <si>
    <t>50 (02/09/26)</t>
  </si>
  <si>
    <t>24908216</t>
  </si>
  <si>
    <t>2/16 GT Informed $103.35 added for BD,NP,CV+gas; GT 1/29: Informed $28.35 added for SV+gas</t>
  </si>
  <si>
    <t>3.35 (02/16/24)</t>
  </si>
  <si>
    <t>3.50 (01/14/25)</t>
  </si>
  <si>
    <t>3.50 (01/15/26)</t>
  </si>
  <si>
    <r>
      <rPr>
        <rFont val="Arial"/>
        <b/>
        <color theme="1"/>
      </rPr>
      <t xml:space="preserve">New card: 35561793 </t>
    </r>
    <r>
      <rPr>
        <rFont val="Arial"/>
        <b/>
        <strike/>
        <color theme="1"/>
      </rPr>
      <t>34851876</t>
    </r>
    <r>
      <rPr>
        <rFont val="Arial"/>
        <strike/>
        <color theme="1"/>
      </rPr>
      <t>; 54854187</t>
    </r>
  </si>
  <si>
    <r>
      <rPr>
        <rFont val="Arial"/>
        <color theme="1"/>
      </rPr>
      <t xml:space="preserve">07/28 </t>
    </r>
    <r>
      <rPr>
        <rFont val="Arial"/>
        <strike/>
        <color theme="1"/>
      </rPr>
      <t>11/26/2024</t>
    </r>
  </si>
  <si>
    <t>GT 4/2: Informed $100 added for LP; 2/13: Informed NP,CV,BD money+gas included; 2/6 GT Informed of money</t>
  </si>
  <si>
    <t>10.31 (05/01/24)</t>
  </si>
  <si>
    <t>10.77 (02/13/25)</t>
  </si>
  <si>
    <t>34840256</t>
  </si>
  <si>
    <t>3/5 Gt informed of money; 2/6 GT Informed of money</t>
  </si>
  <si>
    <t>36.18 (05/28/24)</t>
  </si>
  <si>
    <t>40.6 (7/2/25)</t>
  </si>
  <si>
    <t>46.54 (03/03/26)</t>
  </si>
  <si>
    <t>04853017</t>
  </si>
  <si>
    <t>3/5 GT Informed of money 2/6 GT Informed of money</t>
  </si>
  <si>
    <t>24865519</t>
  </si>
  <si>
    <t>2/16 GT: Informed NP,CV,BD+gas money added; 2/6 GT Informed of money</t>
  </si>
  <si>
    <t>16.08 (02/16/24)</t>
  </si>
  <si>
    <t>74865526</t>
  </si>
  <si>
    <t>2/9 GT Informed $50 added for SV+BD</t>
  </si>
  <si>
    <t xml:space="preserve">31.02 (1/28/26) </t>
  </si>
  <si>
    <t xml:space="preserve">IV 1/6: one way trip, uber home
</t>
  </si>
  <si>
    <t>New card: 54865230; 74877601</t>
  </si>
  <si>
    <t>2/6 GT Informed $75 added BD+gas</t>
  </si>
  <si>
    <t>50 (07/11/24)</t>
  </si>
  <si>
    <t>04856269</t>
  </si>
  <si>
    <t>2/16: Informed $175 added for BD, CV, NP+gas; 2/9 GT Informed $75 added SV+gas</t>
  </si>
  <si>
    <t>50 (8/01/24)</t>
  </si>
  <si>
    <t>04864179</t>
  </si>
  <si>
    <t>2/9 GT Informed $49.12 added SV+gas</t>
  </si>
  <si>
    <t>24.12 (2/9/24)</t>
  </si>
  <si>
    <t>DBS-1046</t>
  </si>
  <si>
    <t>14873470</t>
  </si>
  <si>
    <t>2/13 GT Informed $25 added SV</t>
  </si>
  <si>
    <t>94853578</t>
  </si>
  <si>
    <t>2/21 GT: Ifnormed $125 added for BD,NP,Cv +gas; 2/14 GT: Informed $25 added for SV &amp; $38.86 added for gas</t>
  </si>
  <si>
    <t>38.86 (5/1/24)</t>
  </si>
  <si>
    <t>40.60 (03/04/25)</t>
  </si>
  <si>
    <t>41.32 (03/04/26)</t>
  </si>
  <si>
    <r>
      <rPr>
        <rFont val="Arial"/>
        <b/>
        <color theme="1"/>
      </rPr>
      <t>NEW: 95015987</t>
    </r>
    <r>
      <rPr>
        <rFont val="Arial"/>
        <color theme="1"/>
      </rPr>
      <t xml:space="preserve"> 94856006</t>
    </r>
  </si>
  <si>
    <t>Gt 2/14: Informed 39.74 added for gas+SV</t>
  </si>
  <si>
    <t>14.74 (03/13/24)</t>
  </si>
  <si>
    <t>15.4 (2/26/25)</t>
  </si>
  <si>
    <t>15.95 (2/24/26)</t>
  </si>
  <si>
    <t>GT 2/29: Informed $50 added for NP; GT 2/15: Informed $36.92 added for SV+Gas</t>
  </si>
  <si>
    <t>11.92 (02/15/24)</t>
  </si>
  <si>
    <t>25 (for both 04/13 &amp; 06/01)</t>
  </si>
  <si>
    <t>04849064</t>
  </si>
  <si>
    <t>GT 3/15: Informed NP +gas money added; GT 2/15: Informed $36.79 added for SV+Gas</t>
  </si>
  <si>
    <t>11.79 (05/06/24)</t>
  </si>
  <si>
    <t>12.25 (04/07/24)</t>
  </si>
  <si>
    <t>12.91 (6/2/26)</t>
  </si>
  <si>
    <t>44865454</t>
  </si>
  <si>
    <t>GT 2/27 Informed $125 added for BD,CV,NP; GT 2/21: Informed $25 added for SV</t>
  </si>
  <si>
    <t>33.6 (2/6/25)</t>
  </si>
  <si>
    <t>34.80 (2/23/26)</t>
  </si>
  <si>
    <t>DBS-0997</t>
  </si>
  <si>
    <t>74861316</t>
  </si>
  <si>
    <t>24.12 (2/21/24)</t>
  </si>
  <si>
    <t>84861356</t>
  </si>
  <si>
    <t>GT 2/23: Informed $25 added for SV</t>
  </si>
  <si>
    <t>34866098</t>
  </si>
  <si>
    <t>GT 3/15L Informed $100 + gas added for BD,CV,NP; GT 2/27: Informed $25 added for SV</t>
  </si>
  <si>
    <t>18.76 (05/14/24)</t>
  </si>
  <si>
    <t>34892818</t>
  </si>
  <si>
    <t>18.76 (06/11/24)</t>
  </si>
  <si>
    <t>19.6 (5/21/25)</t>
  </si>
  <si>
    <t>20.30 (05/21/26)</t>
  </si>
  <si>
    <r>
      <rPr>
        <rFont val="Arial"/>
        <b/>
        <color theme="1"/>
      </rPr>
      <t>NEW: 95651118</t>
    </r>
    <r>
      <rPr>
        <rFont val="Arial"/>
        <color theme="1"/>
      </rPr>
      <t xml:space="preserve"> 44880880</t>
    </r>
  </si>
  <si>
    <t>3/1 GT: Informed $75 added for SV+gas</t>
  </si>
  <si>
    <t>50 (8/6/24)</t>
  </si>
  <si>
    <t>50 (4/15/25)</t>
  </si>
  <si>
    <t>50 (4/1/26)</t>
  </si>
  <si>
    <t>54857268</t>
  </si>
  <si>
    <t>3/11 GT: Informed $75 added for SV+gas</t>
  </si>
  <si>
    <t>50 (4/15/24)</t>
  </si>
  <si>
    <t>24865713</t>
  </si>
  <si>
    <t>GT 4/16: Informed $75 added for NP,Cv; GT 3/13: Informed $25 added for SV</t>
  </si>
  <si>
    <t>DBS-1098</t>
  </si>
  <si>
    <t>54876239</t>
  </si>
  <si>
    <t>GT 3/15: Informed $25 +$11.12 added for SV + gas</t>
  </si>
  <si>
    <t>11.12 (3/14/24)</t>
  </si>
  <si>
    <t>Year</t>
  </si>
  <si>
    <t>34848036</t>
  </si>
  <si>
    <t>4/11 GT: Informed $50 added for NP</t>
  </si>
  <si>
    <t>New card: 84880692 ; 74868074</t>
  </si>
  <si>
    <t>3/21 GT: Informed $25+13.80 for SV+gas</t>
  </si>
  <si>
    <t>13.80 (05/30/24)</t>
  </si>
  <si>
    <t>15.4 (4/28/25)</t>
  </si>
  <si>
    <t>Dropped Out/DQ</t>
  </si>
  <si>
    <t>14.21 (05/18/26, MRI)</t>
  </si>
  <si>
    <t>Remaining</t>
  </si>
  <si>
    <r>
      <rPr>
        <rFont val="Arial"/>
        <b/>
        <color rgb="FF000000"/>
      </rPr>
      <t xml:space="preserve">NEW:15656397 </t>
    </r>
    <r>
      <rPr>
        <rFont val="Arial"/>
        <color rgb="FF000000"/>
      </rPr>
      <t>14858196</t>
    </r>
  </si>
  <si>
    <t>% Completed (of Total)</t>
  </si>
  <si>
    <t>GT 4/1 Informed of compensation</t>
  </si>
  <si>
    <t>% Completed (of Active)</t>
  </si>
  <si>
    <t>24.79 (10/11/24)</t>
  </si>
  <si>
    <t>25.90 (4/25/25)</t>
  </si>
  <si>
    <t>OPT OUT</t>
  </si>
  <si>
    <t>23.49 (4/7/26)</t>
  </si>
  <si>
    <r>
      <rPr>
        <rFont val="Arial"/>
        <b/>
        <color theme="1"/>
      </rPr>
      <t xml:space="preserve">NEW CARD: 05033891; </t>
    </r>
    <r>
      <rPr>
        <rFont val="Arial"/>
        <color theme="1"/>
      </rPr>
      <t>84867155</t>
    </r>
  </si>
  <si>
    <t>50 (8/16/24)</t>
  </si>
  <si>
    <t>50 (4/18/25)</t>
  </si>
  <si>
    <t>18.50 (5/15/26)</t>
  </si>
  <si>
    <r>
      <rPr>
        <rFont val="Arial"/>
        <b/>
        <color theme="1"/>
      </rPr>
      <t xml:space="preserve">NEW: 95013739 </t>
    </r>
    <r>
      <rPr>
        <rFont val="Arial"/>
        <color theme="1"/>
      </rPr>
      <t>74857280; 24866230</t>
    </r>
  </si>
  <si>
    <t>GT 4/16 Informed $66 added for NP+gas; GT 4/1 Informed of compensation</t>
  </si>
  <si>
    <t>16 (10/01/24)</t>
  </si>
  <si>
    <t>21.00 (5/20/25)</t>
  </si>
  <si>
    <t>14.50 (8/04/26)</t>
  </si>
  <si>
    <t>44871969</t>
  </si>
  <si>
    <t>50 (5/13/24)</t>
  </si>
  <si>
    <t>74852106</t>
  </si>
  <si>
    <t>4/12: Informed $100 added for BD,CV,NP; GT 4/2 Informed $25 added for SV</t>
  </si>
  <si>
    <t>2023 start</t>
  </si>
  <si>
    <t>year 1 close march/april 2026</t>
  </si>
  <si>
    <t>94851308</t>
  </si>
  <si>
    <t>GT 5/7: $100 added for LP; GT 4/23 Informed $100 added for BD,CV,NP; GT 4/3 Informed $25 added for SV</t>
  </si>
  <si>
    <t>29.4 (4/23/25)</t>
  </si>
  <si>
    <t>04850646</t>
  </si>
  <si>
    <t>GT 4/8 Informed $25 added for SV</t>
  </si>
  <si>
    <t>84853556</t>
  </si>
  <si>
    <t>4/18 Informed GT 4/8 Informed $25 added for SV</t>
  </si>
  <si>
    <t>16.08 (04/24/24)</t>
  </si>
  <si>
    <r>
      <rPr>
        <rFont val="Arial"/>
        <color theme="1"/>
      </rPr>
      <t xml:space="preserve">45644639 </t>
    </r>
    <r>
      <rPr>
        <rFont val="Arial"/>
        <strike/>
        <color theme="1"/>
      </rPr>
      <t>64868742</t>
    </r>
  </si>
  <si>
    <r>
      <rPr>
        <rFont val="Arial"/>
        <color theme="1"/>
      </rPr>
      <t xml:space="preserve">10/28 </t>
    </r>
    <r>
      <rPr>
        <rFont val="Arial"/>
        <strike/>
        <color theme="1"/>
      </rPr>
      <t>11/26/2024</t>
    </r>
  </si>
  <si>
    <t>5/8 Informed $100+gas added for BD,CV,NP GT 4/8 Informed $25+gas added for SV</t>
  </si>
  <si>
    <t>year 2 close feb/march 2026</t>
  </si>
  <si>
    <t>27.73 (05/08/24)</t>
  </si>
  <si>
    <t>28.7 (5/8/25)</t>
  </si>
  <si>
    <t>25 (for both 05/20 and 06/04)</t>
  </si>
  <si>
    <t>30.45 (06/04/26)</t>
  </si>
  <si>
    <t>Came back again for lab draws due to clinic errors CTS 06/04/26</t>
  </si>
  <si>
    <t>04850871</t>
  </si>
  <si>
    <t>4/22 GT: Informed; GT 4/9 Informed $25 added for SV</t>
  </si>
  <si>
    <t>DBS-1195</t>
  </si>
  <si>
    <t>GT 4/10 Informed $75 added for SV+gas</t>
  </si>
  <si>
    <t>year 3 closes jan/feb 2027</t>
  </si>
  <si>
    <t>50 (4/10/24)</t>
  </si>
  <si>
    <t>04862555</t>
  </si>
  <si>
    <t>GT 4/10 Informed $25+gas added for SV</t>
  </si>
  <si>
    <t>23.72 (10/25/24)</t>
  </si>
  <si>
    <t>year 4 closes feb 2028</t>
  </si>
  <si>
    <t>24.50 (4/15/25)</t>
  </si>
  <si>
    <t>26.10 (4/6/26)</t>
  </si>
  <si>
    <t>04884358</t>
  </si>
  <si>
    <t>GT 4/10 Informed $25 added for SV</t>
  </si>
  <si>
    <t xml:space="preserve">Ineligible </t>
  </si>
  <si>
    <r>
      <rPr>
        <rFont val="Arial"/>
        <b/>
        <color theme="1"/>
      </rPr>
      <t>NEW CARD: 25028398</t>
    </r>
    <r>
      <rPr>
        <rFont val="Arial"/>
        <color theme="1"/>
      </rPr>
      <t xml:space="preserve"> 14874182</t>
    </r>
  </si>
  <si>
    <t>5/10: $100 added for Np,CV,BD; GT 4/12 Informed $25 added for SV</t>
  </si>
  <si>
    <t>Informed</t>
  </si>
  <si>
    <t>47.57 (8/21/24)</t>
  </si>
  <si>
    <t>49.70 (5/02/25)</t>
  </si>
  <si>
    <t>n/a</t>
  </si>
  <si>
    <t>1 2nd yr jumped to 3rd yr</t>
  </si>
  <si>
    <t>50 (7/23/2026)</t>
  </si>
  <si>
    <r>
      <rPr>
        <rFont val="Arial"/>
        <b/>
        <color theme="1"/>
      </rPr>
      <t xml:space="preserve">NEW: 85653397 </t>
    </r>
    <r>
      <rPr>
        <rFont val="Arial"/>
        <b/>
        <strike/>
        <color theme="1"/>
      </rPr>
      <t>14999896</t>
    </r>
    <r>
      <rPr>
        <rFont val="Arial"/>
        <strike/>
        <color theme="1"/>
      </rPr>
      <t xml:space="preserve"> 74884227</t>
    </r>
  </si>
  <si>
    <r>
      <rPr>
        <rFont val="Arial"/>
        <b/>
        <color theme="1"/>
      </rPr>
      <t xml:space="preserve">10/28 </t>
    </r>
    <r>
      <rPr>
        <rFont val="Arial"/>
        <strike/>
        <color theme="1"/>
      </rPr>
      <t xml:space="preserve"> 4/27/2025</t>
    </r>
  </si>
  <si>
    <t>5/6Informed $125 added BD,CV,NP; Informed</t>
  </si>
  <si>
    <t>5.00 (10/07/24)</t>
  </si>
  <si>
    <t>$50(8/11/25)</t>
  </si>
  <si>
    <t>*bus from bakersfield</t>
  </si>
  <si>
    <t>DBS-1225</t>
  </si>
  <si>
    <t>54861156</t>
  </si>
  <si>
    <t>50 (4/16/24)</t>
  </si>
  <si>
    <r>
      <rPr>
        <rFont val="Arial"/>
        <b/>
        <color theme="1"/>
      </rPr>
      <t>NEW: 7502250</t>
    </r>
    <r>
      <rPr>
        <rFont val="Arial"/>
        <color theme="1"/>
      </rPr>
      <t xml:space="preserve"> 54860037</t>
    </r>
  </si>
  <si>
    <t>Informed 4/18</t>
  </si>
  <si>
    <t>21.44 (10/10/24)</t>
  </si>
  <si>
    <t>21.44 (6/12/25)</t>
  </si>
  <si>
    <t>DBS-1226</t>
  </si>
  <si>
    <t>74886080</t>
  </si>
  <si>
    <r>
      <rPr>
        <rFont val="Arial"/>
        <b/>
        <color theme="1"/>
      </rPr>
      <t xml:space="preserve">New Card: 05664493 </t>
    </r>
    <r>
      <rPr>
        <rFont val="Arial"/>
        <strike/>
        <color theme="1"/>
      </rPr>
      <t>35021260 44853940</t>
    </r>
  </si>
  <si>
    <r>
      <rPr>
        <rFont val="Arial"/>
        <color theme="1"/>
      </rPr>
      <t xml:space="preserve"> New: 10/28 </t>
    </r>
    <r>
      <rPr>
        <rFont val="Arial"/>
        <strike/>
        <color theme="1"/>
      </rPr>
      <t>04/27 11/26/2024</t>
    </r>
  </si>
  <si>
    <t>74863296</t>
  </si>
  <si>
    <t>58 GT: Informed BD,CV+gas; Informed</t>
  </si>
  <si>
    <t>8.71 (9/5/24)</t>
  </si>
  <si>
    <t>9.10 (5/12/25)</t>
  </si>
  <si>
    <t xml:space="preserve"> 8.27(05/07/26)</t>
  </si>
  <si>
    <t>94899680</t>
  </si>
  <si>
    <t>5/7 GT $100 + gas added for CV,BD,NP</t>
  </si>
  <si>
    <t>14.74 (05/07/24)</t>
  </si>
  <si>
    <r>
      <rPr>
        <rFont val="Arial"/>
        <b/>
        <color theme="1"/>
      </rPr>
      <t>NEW: 75649958</t>
    </r>
    <r>
      <rPr>
        <rFont val="Arial"/>
        <color theme="1"/>
      </rPr>
      <t xml:space="preserve"> </t>
    </r>
    <r>
      <rPr>
        <rFont val="Arial"/>
        <strike/>
        <color theme="1"/>
      </rPr>
      <t>54895676</t>
    </r>
  </si>
  <si>
    <r>
      <rPr>
        <rFont val="Arial"/>
        <color theme="1"/>
      </rPr>
      <t xml:space="preserve">10/28 </t>
    </r>
    <r>
      <rPr>
        <rFont val="Arial"/>
        <strike/>
        <color theme="1"/>
      </rPr>
      <t>12/26/2024</t>
    </r>
  </si>
  <si>
    <t>New Card</t>
  </si>
  <si>
    <t>04865780</t>
  </si>
  <si>
    <t>MJ 04/04: Participant asked to be called back in 10 minutes</t>
  </si>
  <si>
    <t>6.56 (11/21/24)</t>
  </si>
  <si>
    <t>7.98 (5/30/25)</t>
  </si>
  <si>
    <t>MJ 04/04: Asked to split NP and CV visits</t>
  </si>
  <si>
    <t>MJ 04/04: MJ N/A,,will ask IV to cover</t>
  </si>
  <si>
    <t>10.73 (05/01/26)</t>
  </si>
  <si>
    <t>3rd yr: medical exam was not available, incorecct year was selected last yr i assume, i added 2nd yr medical exam to pay</t>
  </si>
  <si>
    <t>LC 04/09: Work schedule changed. Available after 4:30pm to schedule visits. Confirmed they can continue with study; IV 4/8: left vm @10am, IV 4/16: left vm, sent text</t>
  </si>
  <si>
    <t>DBS-1254</t>
  </si>
  <si>
    <t>44853906</t>
  </si>
  <si>
    <t>IV 4/8: left vm @9:58am, IV 4/09: Scheduled for 5/06</t>
  </si>
  <si>
    <t>MJ 04/04: Left VM @ 11:41 AM</t>
  </si>
  <si>
    <t>18.76 (5/6/24)</t>
  </si>
  <si>
    <t>MJ 4/23: Needs uber</t>
  </si>
  <si>
    <t>74842909</t>
  </si>
  <si>
    <t>GT 5/9 Informed $25+gas added for SV</t>
  </si>
  <si>
    <t xml:space="preserve">IV 4/8: left vm @9:57am, IV 4/10: left vm sent text @11:43am, IV 4/16: will need uber , </t>
  </si>
  <si>
    <t>9.92 (5/6/24)</t>
  </si>
  <si>
    <t>M 04/04: Asked for a call back after 3pm MJ 05/16: Had to cancel visit bc granddaughter was rushed to ER</t>
  </si>
  <si>
    <t>74858391</t>
  </si>
  <si>
    <t>GT 5/22 Informedd gas + BD,CV,NP added</t>
  </si>
  <si>
    <t>LC 05/30: Left vm &amp; sent text; IV 4/8: left vm @10am, IV 4/10: scheduled 5/07, IV 5/7: particpant is sick needs tp reschdules IV5/8: left vm IV 5/14: left vm 5/22:scehduled 5/28</t>
  </si>
  <si>
    <t>IV 4/8: left vm @10am, IV 4/10: scheduled 5/07</t>
  </si>
  <si>
    <t xml:space="preserve">LC 05/30: Left vm to r/s; IV 4/4: scheduled particpant &amp; wife, sent confirmation text , IV 5/7: husband and wife need to reschedule for june </t>
  </si>
  <si>
    <t>28.14 (10/14/24)</t>
  </si>
  <si>
    <t>IV 4/4: scheduled particpant &amp; wife, sent confirmation text</t>
  </si>
  <si>
    <t>29.40 (5/05/25)</t>
  </si>
  <si>
    <t>36.25 (5/5/26)</t>
  </si>
  <si>
    <r>
      <rPr>
        <rFont val="Arial"/>
        <b/>
        <color theme="1"/>
      </rPr>
      <t xml:space="preserve">NEW: 65042036 </t>
    </r>
    <r>
      <rPr>
        <rFont val="Arial"/>
        <color theme="1"/>
      </rPr>
      <t>84856645</t>
    </r>
  </si>
  <si>
    <t>MJ 04/05: Will drive,MJ 05/13: Participant no-showed and I left two VMs MJ 05/23: Particiipant no showed again and is not responding to texts &amp; VMs</t>
  </si>
  <si>
    <t>GT 5/20 Informed</t>
  </si>
  <si>
    <t>IV 4/4: left vm. IV 4/10: left vm sent @11:47am IV 4/16: left vm sent text IV 4/19: left vm IV 4/24: left vm sent text; LC 04/30: Mailed out a letter MJ 05/13: Left VM @ 8:40 AM; GT 10/21 Was able to get in contact, scheduled visit 10/29, new address</t>
  </si>
  <si>
    <t>17.42 (8/27/24)</t>
  </si>
  <si>
    <t>DROPPED APRIL 2024;; IV 4/4: left vm, V 4/10: left vm sent @11:50 am Iv 4/19: left sent text, IV 4/24: left vm sent text; LC 04/30: Mailed out a letter MJ 05/13: Left VM; LC 05/30: Left vm and sent email; GT 10/21 Left vm, text, and letter</t>
  </si>
  <si>
    <t>17.42 (8/8/25)</t>
  </si>
  <si>
    <t>18.85 4/30/26</t>
  </si>
  <si>
    <t>LC 05/06: Scheduled w/ Marlene</t>
  </si>
  <si>
    <t>34842447</t>
  </si>
  <si>
    <t>GT 5/22 Informed</t>
  </si>
  <si>
    <t xml:space="preserve">IV 5/9: left vm sent text @12:09pm, IV 5/14: sent con firmation text will drive </t>
  </si>
  <si>
    <t>LC 05/06: Scheduled w/ Marlene; Left vm @11:35am</t>
  </si>
  <si>
    <t xml:space="preserve">IV 5/9: NP &amp; CV scheduled </t>
  </si>
  <si>
    <t>12.60 (4/25/25)</t>
  </si>
  <si>
    <t>44858260</t>
  </si>
  <si>
    <t>MJ 05/13: Will drive</t>
  </si>
  <si>
    <t>GT 5/31 Informed</t>
  </si>
  <si>
    <t>IV 5/9: NP &amp; CV scheduled with MJ</t>
  </si>
  <si>
    <t>54894529</t>
  </si>
  <si>
    <t xml:space="preserve">IV 5/1: confirmed, will drive </t>
  </si>
  <si>
    <t>GT 6/4 Informed</t>
  </si>
  <si>
    <t xml:space="preserve">LC 06/20: Sent text; LC 05/30: Email sent; IV 5/14: left vm sent text, IV 5/17: left cm sent text, IV 5/22: might have a new number sent email Iv 5/31; sent text message </t>
  </si>
  <si>
    <t>MJ 05/13: Wife and husband (0169) scheduled for 06/19..need new clincards</t>
  </si>
  <si>
    <t>25.46 (10/22/24)</t>
  </si>
  <si>
    <t>Mj 05/13: Scheculed w/ wife (he was in the background)</t>
  </si>
  <si>
    <t>MJ 06/04: Rescheduled for 08/05//bc he had just gotten out of the hospital</t>
  </si>
  <si>
    <t>25.46 (9/3/25)</t>
  </si>
  <si>
    <t>DROPPED NOV 2024 ;; LC 06/20: Sent text; LC 05/30: Email sent to schedule; MJ 05/13: # is no longer in service,,will send email, Iv 10/18: phone # not in service;  LC 10/29: Sent text &amp; email; GT 11/20 Sent text, mailed letter</t>
  </si>
  <si>
    <t>04862211</t>
  </si>
  <si>
    <t>GT 6/6 Informed</t>
  </si>
  <si>
    <t>IV 5/31: scheduled siblings together, needs uber</t>
  </si>
  <si>
    <t>24.92 (05/03/25)</t>
  </si>
  <si>
    <t>25 for A1C BD</t>
  </si>
  <si>
    <t xml:space="preserve">IV 5/31: sent confirmation text, will drive </t>
  </si>
  <si>
    <t>DBS-1248</t>
  </si>
  <si>
    <t>44868195</t>
  </si>
  <si>
    <t xml:space="preserve">IV 5/31: sent confrimation text, will drive </t>
  </si>
  <si>
    <t xml:space="preserve">IV 5/31: sent confirmation text, needs uber </t>
  </si>
  <si>
    <t>IV 5/31: going to text me dates IV 6/27: asked to call back in an hr, did not answer; LC 07/10: Left vm @9:42am. Sent text. IV 7/15: sent reminder text IV 7/24: left vm, sent text @1:48pm</t>
  </si>
  <si>
    <t>13.40 (06/06/24)</t>
  </si>
  <si>
    <t xml:space="preserve">IV 6/27: needs uber </t>
  </si>
  <si>
    <t>IV 6/27: needs uber</t>
  </si>
  <si>
    <t>94861333</t>
  </si>
  <si>
    <t xml:space="preserve">IV 6/27: left vm sent text IV 7/1: will drive </t>
  </si>
  <si>
    <t>GT 6/10 Informed</t>
  </si>
  <si>
    <t xml:space="preserve">LC 08/01: Sent text to r/s; IV 6/27: left vm sent text </t>
  </si>
  <si>
    <t xml:space="preserve">IV 6/27: left vm sent text; LC 07/10: Left vm @9:46am. Sent text </t>
  </si>
  <si>
    <t>13.40 (06/10/24)</t>
  </si>
  <si>
    <t>3.22 (7/14/25)</t>
  </si>
  <si>
    <t xml:space="preserve">IV 6/27: left vm sent text </t>
  </si>
  <si>
    <t>1.89 (06/29/26)</t>
  </si>
  <si>
    <t>94862438</t>
  </si>
  <si>
    <r>
      <rPr>
        <rFont val="Arial"/>
        <color theme="1"/>
      </rPr>
      <t xml:space="preserve">IV 6/27: leaving the country next week, not sure when he'll be back ,call in august IV 8/8: participant says he works full time now 7am-5pm, can no longer participate, gio said </t>
    </r>
    <r>
      <rPr>
        <rFont val="Arial"/>
        <b/>
        <i/>
        <color theme="1"/>
      </rPr>
      <t xml:space="preserve">give him a call end of october to see if he has veterans day off to come in ; GT 10/17 texted to ask about Veteran's day, </t>
    </r>
    <r>
      <rPr>
        <rFont val="Arial"/>
        <i/>
        <color theme="1"/>
      </rPr>
      <t>GT</t>
    </r>
    <r>
      <rPr>
        <rFont val="Arial"/>
        <color theme="1"/>
      </rPr>
      <t xml:space="preserve"> 10/21: Asked me id he could come in on 11/11 around 3</t>
    </r>
  </si>
  <si>
    <t>IV 7/25: left vm sent text IV 8/14: left vm sent text, scheudled for 8/16</t>
  </si>
  <si>
    <t>54890789</t>
  </si>
  <si>
    <t xml:space="preserve">IV 7/25: left vm sent text IV 8/2: scheduled, needs uber </t>
  </si>
  <si>
    <t>GT 6/11 Informed</t>
  </si>
  <si>
    <t xml:space="preserve">IV 7/25: scheduled, needs uber </t>
  </si>
  <si>
    <t>9.91 (6/11/;24)</t>
  </si>
  <si>
    <t>IV 7/25:scheduled, will drive, needs study partner consent form</t>
  </si>
  <si>
    <t xml:space="preserve">IV 8/26: will drive </t>
  </si>
  <si>
    <t>64858829</t>
  </si>
  <si>
    <t xml:space="preserve">IV 8/26: needs uber </t>
  </si>
  <si>
    <t>Informed 6/18</t>
  </si>
  <si>
    <t xml:space="preserve">IV 8/26: could not leave vm, sent text 2:44pm, texted back she'll call tmr IV 8/28: texted her if she was available to call </t>
  </si>
  <si>
    <t>26.8 (6/17/24)</t>
  </si>
  <si>
    <r>
      <rPr>
        <rFont val="Arial"/>
        <b/>
        <strike val="0"/>
        <color theme="1"/>
      </rPr>
      <t xml:space="preserve">NEW: (75651015) </t>
    </r>
    <r>
      <rPr>
        <rFont val="Arial"/>
        <strike/>
        <color theme="1"/>
      </rPr>
      <t xml:space="preserve"> 34849035</t>
    </r>
  </si>
  <si>
    <t xml:space="preserve">IV 8/26: needs uber, IV 10/18: new date, needs uber </t>
  </si>
  <si>
    <r>
      <rPr>
        <rFont val="Arial"/>
        <b/>
        <color theme="1"/>
      </rPr>
      <t>NEW: 10/28</t>
    </r>
    <r>
      <rPr>
        <rFont val="Arial"/>
        <color theme="1"/>
      </rPr>
      <t xml:space="preserve"> (OLD:11/26)</t>
    </r>
  </si>
  <si>
    <t>IV 8/26: will drive , IV 10/18: no show</t>
  </si>
  <si>
    <t>IV 8/26: will drive IV 10/08: needs to recshedule, asked when, IV 10/15: sent text asking for avialability to reschedule</t>
  </si>
  <si>
    <r>
      <rPr>
        <rFont val="Arial"/>
        <b/>
        <color theme="1"/>
      </rPr>
      <t xml:space="preserve">NEW: 35655310 </t>
    </r>
    <r>
      <rPr>
        <rFont val="Arial"/>
        <strike/>
        <color theme="1"/>
      </rPr>
      <t>14852549</t>
    </r>
  </si>
  <si>
    <r>
      <rPr>
        <rFont val="Arial"/>
        <b/>
        <color theme="1"/>
      </rPr>
      <t xml:space="preserve">NEW: 10/28 </t>
    </r>
    <r>
      <rPr>
        <rFont val="Arial"/>
        <strike/>
        <color theme="1"/>
      </rPr>
      <t>11/26/2024</t>
    </r>
  </si>
  <si>
    <t xml:space="preserve">IV 8/26: left vm sent text @1:28pm IV 8/28: might need uber, confirm before, Iv 10/18: rescheduled </t>
  </si>
  <si>
    <t>DROPPED SEP 2025 ;; Sent check in message. Replied "stop". No reason given. 9/22/25 JE ;; IV 6/23: said shes dealing with household issues, will reach out when available IV 4/23: left vm, sent text IV 8/26: left vm sent text @1:31pm IV 8/28: left vm @12:32pm IV9/12: left vm sent text @1:42pm IV 9/18: VM full, sent text, sent email, IV 10/18: vm full, sent text; LC 10/29: Email sent; LC 10/31: Sent text; LC 12/18: Unable to leave vm;</t>
  </si>
  <si>
    <t>10.85 (10/02/24)</t>
  </si>
  <si>
    <t>10.85 (06/18/25)</t>
  </si>
  <si>
    <r>
      <rPr>
        <rFont val="Arial"/>
        <color theme="1"/>
      </rPr>
      <t>DROPPED APRIL 2024 ;;</t>
    </r>
    <r>
      <rPr>
        <rFont val="Arial"/>
        <b/>
        <color theme="1"/>
      </rPr>
      <t xml:space="preserve"> IV 4/23: DROP OUT, says too busy with work will not be able to continue any visits .</t>
    </r>
    <r>
      <rPr>
        <rFont val="Arial"/>
        <color theme="1"/>
      </rPr>
      <t xml:space="preserve">IV 3/28: sent text IV 8/26: participant says only has sundays off, works 7-6pm, gio said </t>
    </r>
    <r>
      <rPr>
        <rFont val="Arial"/>
        <b/>
        <i/>
        <color theme="1"/>
      </rPr>
      <t xml:space="preserve">give her a call end of october to see if she has veterans day off to come in; </t>
    </r>
    <r>
      <rPr>
        <rFont val="Arial"/>
        <color theme="1"/>
      </rPr>
      <t>GT 10/17 texted to ask about Veteran's day</t>
    </r>
  </si>
  <si>
    <t xml:space="preserve">11.60 (06/15/26) </t>
  </si>
  <si>
    <t xml:space="preserve">CTS 09/29/26: Requested a new one; lost the most recent one. Updated Drove here after overnight shift at Keck Hospital. </t>
  </si>
  <si>
    <t>IV 6/30: emailed me, working to scheudle 6/25 NC Mailed Letter IV 6/23: sent email, vm not set up  IV 4/23: VM not set up, sent text , SENT EMAIL IV 4/23: VM not set up, sent text IV 3/28: sent text IV 8/26: left vm sent text @1:06pm IV 8/28: left vm @12:22pm IV 9/12: left vm sent text @1:39pm IV 9/18: left vm sent text @11:04am, sent email; LC 10/16: left vm. sent text: LC 10/17: Schedule for December</t>
  </si>
  <si>
    <t xml:space="preserve">reproductive History missing </t>
  </si>
  <si>
    <t>04860542</t>
  </si>
  <si>
    <t xml:space="preserve">IV 10/16: will drive </t>
  </si>
  <si>
    <t>6.9 (7/2/24)</t>
  </si>
  <si>
    <t xml:space="preserve">IV 10/16: said she was going to contact us about dropping out, she is doing a weight loss study with medication and has a lot of visits for it, cannot take more days off for our study, she is receiving a larger compensation </t>
  </si>
  <si>
    <t>6.9 (8/27/25)</t>
  </si>
  <si>
    <t>IV 10/16: left vm, sent text (might not deliver)</t>
  </si>
  <si>
    <t>5.36 (06/24/26)</t>
  </si>
  <si>
    <t>DBS-1359</t>
  </si>
  <si>
    <t xml:space="preserve">IV 10/16: needs to review schedule, will text me dates or call back friday, IV 10/18: left vm , IV 10/21: will drive, but offer uber again </t>
  </si>
  <si>
    <t>74872738</t>
  </si>
  <si>
    <t>Informed 6/19</t>
  </si>
  <si>
    <t xml:space="preserve">IV 10/16: left vm, sent text (might not deliver), IV 10/18: left vm sent text @1:32pm IV 10/21: will drive, IV 11/01: needs to reschedule, thought it was 11/5, didnt trxt back new date, IV 11/04: left vm IV 11/6: sent text  IV 11/08: left vm IV 11/12: texted me back asking about 11/25, trying to schedule </t>
  </si>
  <si>
    <t>IV 10/16: call back in 30 mins , IV 10/18: said to call back in 15, called back no answer, left vm, confirmed, will driv e</t>
  </si>
  <si>
    <t>NEW: 05663363 24845028</t>
  </si>
  <si>
    <t>10/28 11/26/2024</t>
  </si>
  <si>
    <t xml:space="preserve">IV 10/16: left vm, sent text (might not deliver) IV 10/18: left vm IV 10/22: left vm, sent text , IV 10/29: left vm, LC 10/31: Email sent, IV 11/12: left vm sent text @2:28pm, he said call back the 19th when hes back IV 11/22: needs uber </t>
  </si>
  <si>
    <t>Informed 6/20</t>
  </si>
  <si>
    <t>Opt out</t>
  </si>
  <si>
    <t xml:space="preserve">IV 10/16: will send me availabilty later, had an appointment Iv 11/16: needs to reschedule , IV 12/04: sent remidner to send dates IV 12/11: sent message Iv 12/13: scheduled IV 1/13: sent message to reschedule IV 1/16: left vm IV 1/30: contacted, said shes been busy will send me dates </t>
  </si>
  <si>
    <t>14.74 (12/09/24)</t>
  </si>
  <si>
    <t>14.14 (08/13/25)</t>
  </si>
  <si>
    <t>IV 2/28: sent a text, asking for avaiablity to come, scheduled  IV 10/16: left vm, sent text (might not deliver) IV 10/18: will drive IV 11/26: 4th cancel, needs to reschedule, lorena will callI</t>
  </si>
  <si>
    <t>17.40 (8/26/26)</t>
  </si>
  <si>
    <t>24861974</t>
  </si>
  <si>
    <t xml:space="preserve">IV 3/6: Dr. Harrington injured knee had to cancel, she had trouble with availability to come and lives far only day she can come, not sure if she'll be able to come back for the CV , no changes to medical history </t>
  </si>
  <si>
    <t xml:space="preserve">IV 11/08: vm not set up, sent text,  IV 11/11: set up time to call today at 2, NP &amp; CV scheduled diff days </t>
  </si>
  <si>
    <t>LC 11/07: will call back</t>
  </si>
  <si>
    <t xml:space="preserve">IV 11/11: will drive </t>
  </si>
  <si>
    <t xml:space="preserve">IV 11/08: left vm sent text @2:55pm IV 11/21: could not leave vm, sent text , needs uber </t>
  </si>
  <si>
    <t xml:space="preserve">IV 11/08: vm full sent text @2:45pm IV 11/12: needs uber </t>
  </si>
  <si>
    <t>23.80 (3/19/25)</t>
  </si>
  <si>
    <t>23.80 (12/4/25)</t>
  </si>
  <si>
    <t xml:space="preserve">IV 11/08: left vm, sent text @2:41pm, IV 11/12: left sent text @2:33pm IV 11/15, new number needs, uber </t>
  </si>
  <si>
    <t>IV 11/08: answered hanged up, sent text , IV 11/19: replied to text, sending over dates to choose from IV 12/4: rs 12/11</t>
  </si>
  <si>
    <r>
      <rPr>
        <rFont val="Arial"/>
        <b/>
        <color theme="1"/>
      </rPr>
      <t xml:space="preserve">NEW: 65639885 </t>
    </r>
    <r>
      <rPr>
        <rFont val="Arial"/>
        <strike/>
        <color theme="1"/>
      </rPr>
      <t>94876747</t>
    </r>
  </si>
  <si>
    <r>
      <rPr>
        <rFont val="Arial"/>
        <color theme="1"/>
      </rPr>
      <t xml:space="preserve"> 10/28</t>
    </r>
    <r>
      <rPr>
        <rFont val="Arial"/>
        <strike/>
        <color theme="1"/>
      </rPr>
      <t xml:space="preserve"> 11/26/2024</t>
    </r>
  </si>
  <si>
    <t>LC 12/04: r/s for different day</t>
  </si>
  <si>
    <t xml:space="preserve">LC 11/07: Left vm, IV 11/22: left vm sent text </t>
  </si>
  <si>
    <t>IV 11/11: needs uber IV 12/13: needs to move IV 1/27: mom is sick, going to visit, will return march</t>
  </si>
  <si>
    <t>17.42 (10/16/24)</t>
  </si>
  <si>
    <t>24.64 (07/30/25)</t>
  </si>
  <si>
    <t>skip</t>
  </si>
  <si>
    <t>JE 9/24: NP good to schedule...@ 4-4:30 mon-wed...works 7-3pm in BH. May be open to holidays ;; Sent check in message. Open conversation through text is open. Requesting afternoon. Working on setting up date. 9/22/25 JE ;; IV 7/14: said she'll call me back later, not sure if she will IV 6/23: said to call back after 5pm IV 4/23: left vm, sent text IV 4/4: IV 3/28: sent text LC 11/07: Got appendix surgery. Call back mid December to schedule for January; Left vm</t>
  </si>
  <si>
    <t>23.93 (09/1/26)</t>
  </si>
  <si>
    <t>New card,,old one expires in 11/26</t>
  </si>
  <si>
    <t>came a year late, treating as a 3rd year</t>
  </si>
  <si>
    <r>
      <rPr>
        <rFont val="Arial"/>
        <strike/>
        <color theme="1"/>
      </rPr>
      <t>54855881</t>
    </r>
    <r>
      <rPr>
        <rFont val="Arial"/>
        <color theme="1"/>
      </rPr>
      <t xml:space="preserve"> /</t>
    </r>
    <r>
      <rPr>
        <rFont val="Arial"/>
        <b/>
        <color theme="1"/>
      </rPr>
      <t xml:space="preserve"> 65011571</t>
    </r>
  </si>
  <si>
    <r>
      <rPr>
        <rFont val="Arial"/>
        <strike/>
        <color theme="1"/>
      </rPr>
      <t xml:space="preserve">11/26/2024 </t>
    </r>
    <r>
      <rPr>
        <rFont val="Arial"/>
        <color theme="1"/>
      </rPr>
      <t xml:space="preserve">/ </t>
    </r>
    <r>
      <rPr>
        <rFont val="Arial"/>
        <b/>
        <color theme="1"/>
      </rPr>
      <t>04/27</t>
    </r>
  </si>
  <si>
    <t xml:space="preserve">IV 12/18: will drive </t>
  </si>
  <si>
    <t>Informed 7/2</t>
  </si>
  <si>
    <t xml:space="preserve">12/15: will drive </t>
  </si>
  <si>
    <t>22.40 (01/17/25)</t>
  </si>
  <si>
    <t xml:space="preserve">IV 12/18: could not leave vm, sent text , IV 12/19: sent text , will drive </t>
  </si>
  <si>
    <t>21.98 (08/08/25)</t>
  </si>
  <si>
    <t>NEW CARD: 55024274</t>
  </si>
  <si>
    <t xml:space="preserve">IV 12/18: old &amp; new # not in service, sent email , IV 1/6: phone # not in service </t>
  </si>
  <si>
    <t>64864910</t>
  </si>
  <si>
    <t xml:space="preserve">IV 12/19: left vm, sent text IV 1/6: will drive </t>
  </si>
  <si>
    <t xml:space="preserve">IV 12/18: call back tmr afternoon IV 1/6: call after 4 </t>
  </si>
  <si>
    <t xml:space="preserve">IV 12/16: left vm Iv 12/19: left vm sent text , will drive </t>
  </si>
  <si>
    <t>IV 12/18: will drive IV 1/13: sent message to reschule IV 1/16: left vm</t>
  </si>
  <si>
    <t>54822615</t>
  </si>
  <si>
    <t xml:space="preserve">IV 12/16: left vm, IV 12/19: left vm , sent text, IV 1/6: will drive </t>
  </si>
  <si>
    <t xml:space="preserve">Milage one way. Single uber ride back </t>
  </si>
  <si>
    <t xml:space="preserve">IV 12/16: will send me avaialble dates IV 12/18: scheduled for her and husband Iv 1/07: needs to rescheduel her and husband, will send me dates IV 1/13: sent message to reschedule for her and hsuband IV 1/22: out of town, schedule for february </t>
  </si>
  <si>
    <t>15.41 (7/8/24)</t>
  </si>
  <si>
    <t xml:space="preserve">IV 6/30: called me responding to the letter, will drive 6/25 NC Mailed Letter MJ 06/23: LEFT VM @ 11:13 AM  IV 4/03: followed up to check if avaialble this month IV 3/12: need to rescheldule bc of work, will let me know a new date, both their schedule changes often, have cancelled a few times </t>
  </si>
  <si>
    <t xml:space="preserve">IV 12/18: scheduled with wife IV 1/07: will reschedule with wife, will send dates IV 1/22: out of town, schedule for february </t>
  </si>
  <si>
    <r>
      <rPr>
        <rFont val="Arial"/>
        <b/>
        <color theme="1"/>
      </rPr>
      <t xml:space="preserve">NEW: 35624663 </t>
    </r>
    <r>
      <rPr>
        <rFont val="Arial"/>
        <color theme="1"/>
      </rPr>
      <t>34866636</t>
    </r>
  </si>
  <si>
    <t xml:space="preserve">IV 6/30: called me responding to the letter, will drive 6/25 NC Mailed Letter MJ 06/23: LEFT VM @ 11:13 AM IV 4/23: texted the husband, since wife didnt answer IV 3/12: need to rescheldule bc of work, will let me know a new date, both their schedule changes often, have cancelled a few times </t>
  </si>
  <si>
    <t>Informed 7/16</t>
  </si>
  <si>
    <t xml:space="preserve">DROPPED FEB 2025 ;; IV 12/16: phone # not in service, sent email , IV 1/6: not in service, mot likely wont come back, gave us trouble last year; LC 02/28: F/u via text </t>
  </si>
  <si>
    <t>LC 01/14: Left vm</t>
  </si>
  <si>
    <t>22.78 (10/15/24)</t>
  </si>
  <si>
    <t xml:space="preserve">IV 1/27: was working, asked to to text her and she'll send dates IV 1/28: will drive </t>
  </si>
  <si>
    <t>22.78 (8/28/25)</t>
  </si>
  <si>
    <t>LC 02/25: Sent text to r/s</t>
  </si>
  <si>
    <t xml:space="preserve">IV 1/27: left vm </t>
  </si>
  <si>
    <t>24.65 (8/13/26)</t>
  </si>
  <si>
    <t>LC 01/28: Sent text; IV 1/27: left vm Iv 1/28: sent confirmation text.</t>
  </si>
  <si>
    <t>DBS-1429</t>
  </si>
  <si>
    <t>24867270</t>
  </si>
  <si>
    <t>Informed 7/17</t>
  </si>
  <si>
    <t xml:space="preserve">IV 1/31: left vm @12:23pm, will drive </t>
  </si>
  <si>
    <t xml:space="preserve">IV 1/27: will drive </t>
  </si>
  <si>
    <t>50 (7/17/24)</t>
  </si>
  <si>
    <r>
      <rPr>
        <rFont val="Arial"/>
        <b/>
        <color theme="1"/>
      </rPr>
      <t>NEW: 15651452</t>
    </r>
    <r>
      <rPr>
        <rFont val="Arial"/>
        <color theme="1"/>
      </rPr>
      <t xml:space="preserve"> 14845815</t>
    </r>
  </si>
  <si>
    <r>
      <rPr>
        <rFont val="Arial"/>
        <b/>
        <color theme="1"/>
      </rPr>
      <t>10/28</t>
    </r>
    <r>
      <rPr>
        <rFont val="Arial"/>
        <color theme="1"/>
      </rPr>
      <t xml:space="preserve"> 11/26/2024</t>
    </r>
  </si>
  <si>
    <t>Informed 7/18</t>
  </si>
  <si>
    <t xml:space="preserve">DROPPED JANUARY 2026 ;; Does not wish to cont. 1/7/26 JE ;; IV 3/24: said she started working monday-fri, cant take days off right now, will call if she ever can? IV 2/25: texted asking for availability IV 2/13: need to reschedule, asked for dates IV 1/31: left vm @12:25pm IV 1/31: will drive </t>
  </si>
  <si>
    <t xml:space="preserve">LC 02/06: sent text; LC 02/03: Left vm @11:12; IV 1/27: left vm IV 1/30: sent text </t>
  </si>
  <si>
    <t>50 (11/19/24)</t>
  </si>
  <si>
    <t xml:space="preserve">DROPPED JANUARY 2026 ;; Call stright to operator. 1/6/26 JE ;; All forms of contact exhausted. Sent check in message. No response. 9/22/25 JE ;; IV 7/14: phone still doesnt ring 6/25 NC Mailed Letter 06/24:Call did not go through IV 6/23: call still wont go throught, sent email  IV 4/23: doesnt go thru, I might be blocked, can someone else try IV 4/3: left vm, no longer answers IV 3/28: left vm, sent text, had sent 2 previous text messages IV 2/21: needs to figure out new day V 2/12: figuring out time for that say IV 2/04: texted me date, will drive LC 02/03: Left vm;  IV 1/30: sent text, LC 01/28: Sent text; IV 1/27: left vm </t>
  </si>
  <si>
    <t>LC 02/06: sent text; LC 02/03: Left vm @11:13am; LC 01/28: Left vm @9:54am</t>
  </si>
  <si>
    <t>50 (9/26/25)</t>
  </si>
  <si>
    <t xml:space="preserve">LC 02/25: Sent text </t>
  </si>
  <si>
    <r>
      <rPr>
        <rFont val="Arial"/>
        <color theme="1"/>
      </rPr>
      <t xml:space="preserve">15029953 </t>
    </r>
    <r>
      <rPr>
        <rFont val="Arial"/>
        <strike/>
        <color theme="1"/>
      </rPr>
      <t>64845027</t>
    </r>
  </si>
  <si>
    <t xml:space="preserve">IV 2/28: texted me was on a trip, is sending me dates LC 02/26: Left vm; LC 02/25: Sent text </t>
  </si>
  <si>
    <r>
      <rPr>
        <rFont val="Arial"/>
        <color theme="1"/>
      </rPr>
      <t xml:space="preserve">04/27 </t>
    </r>
    <r>
      <rPr>
        <rFont val="Arial"/>
        <strike/>
        <color theme="1"/>
      </rPr>
      <t>11/26</t>
    </r>
  </si>
  <si>
    <r>
      <rPr>
        <rFont val="Arial"/>
        <color theme="1"/>
      </rPr>
      <t xml:space="preserve">Informed </t>
    </r>
    <r>
      <rPr>
        <rFont val="Arial"/>
        <strike/>
        <color theme="1"/>
      </rPr>
      <t>7/22</t>
    </r>
    <r>
      <rPr>
        <rFont val="Arial"/>
        <color theme="1"/>
      </rPr>
      <t xml:space="preserve"> 2/14/2025</t>
    </r>
  </si>
  <si>
    <t xml:space="preserve">IV 6/23: scheduled with wife, will drive IV 4/28: sent text, IV 4/23: sent wife text LC 04/03; F/u to r/s; LC 02/25: Sent text </t>
  </si>
  <si>
    <t xml:space="preserve">IV 6/23: will drive IV 5/2: left vm, sent text IV 4/23: left vm, sent text. LC 04/03; F/u to r/s; LC 02/25: Sent text </t>
  </si>
  <si>
    <t>LC 02/25: Left vm. Will be out of town for month of March</t>
  </si>
  <si>
    <t>37.80 (2/14/25)</t>
  </si>
  <si>
    <t>IV 3/28: sent text, wants to schedule for May LC 03/14: F/u via text; LC 02/25: Sent text. Asked to be called back in two weeks. Traveling.</t>
  </si>
  <si>
    <t>37.80 (08/12/25)</t>
  </si>
  <si>
    <t xml:space="preserve">LC 04/03: F/u to schedule; LC 02/26: work schedule conflicts with study visit. will call back later on. f/u in a month; LC 02/25: Sent text </t>
  </si>
  <si>
    <t>NEW CARD: 65038120</t>
  </si>
  <si>
    <t>DROPPED JUN 2025 ;; Says can no longer continue, caring for a sick person since October of last year, maybe contact in a few months</t>
  </si>
  <si>
    <t>40.6(8/25/26)</t>
  </si>
  <si>
    <t>5462688018783425</t>
  </si>
  <si>
    <t xml:space="preserve">IV 3/24: left vm, sent text IV 3/27: will drive </t>
  </si>
  <si>
    <t>Informed 7/23</t>
  </si>
  <si>
    <t xml:space="preserve">IV 3/28: traveling in april, scheudling for may, will drive  IV 3/24: left vm, sent text IV 3/27: will drive </t>
  </si>
  <si>
    <t xml:space="preserve">IV 3/24: said to call back in an hr 1pm IV 3/24: needs uber </t>
  </si>
  <si>
    <t>94855058</t>
  </si>
  <si>
    <t>Informed 7/30</t>
  </si>
  <si>
    <t>DROPPED JANUARY 2026 ;; Operator message. Phone no longer in service. 1/6/26 JE ;; All forms of contact exhausted. Straight to vm. Sent follow up check in message. No response. 9/22/25 JE ;; IV 8/28: not in service IV 7/14: straigh to vm, sent text 6/25 NC Mailed Letter IV 6/23: straight to vm, sent, sent email  text IV 5/2: straight to vm, sent text IV 4/23: straight to vm, sent text IV 4/4: left vm sent text V 3/24: left vm, sent text</t>
  </si>
  <si>
    <t>74867498</t>
  </si>
  <si>
    <t>Informed 8/1</t>
  </si>
  <si>
    <t xml:space="preserve">IV 3/24: will drive </t>
  </si>
  <si>
    <t>IV 4/4: will drive V 4/3: follow up text IV 3/24: left vm, sent text, said he'll check his calendar</t>
  </si>
  <si>
    <t>14.74 (11/20/24)</t>
  </si>
  <si>
    <t xml:space="preserve">IV 4/7: followed up to reschedule V 3/24: needs uber </t>
  </si>
  <si>
    <t>IV 7/: needs uber IV 4/17: uber issues, didnt make cv</t>
  </si>
  <si>
    <t>74844583; 04845357</t>
  </si>
  <si>
    <t>LC 03/18: will schedule</t>
  </si>
  <si>
    <t>Informed 8/5</t>
  </si>
  <si>
    <t xml:space="preserve">IV 4/2: will drive IV 3/27: sent text </t>
  </si>
  <si>
    <t>64869441</t>
  </si>
  <si>
    <t>Informed 8/15</t>
  </si>
  <si>
    <t xml:space="preserve">IV 4/21: will drive now IV 4/4: needs uber IV 3/27: sent text </t>
  </si>
  <si>
    <t xml:space="preserve">IV 4/28: needs uber </t>
  </si>
  <si>
    <t>22.4 (9/11/25)</t>
  </si>
  <si>
    <t>IV 5/2: left vm,  sent text IV 4/28:left vm, sent text</t>
  </si>
  <si>
    <r>
      <rPr>
        <rFont val="Arial"/>
        <b/>
        <color theme="1"/>
      </rPr>
      <t>NEW: 35664592</t>
    </r>
    <r>
      <rPr>
        <rFont val="Arial"/>
        <color theme="1"/>
      </rPr>
      <t xml:space="preserve"> 84848539</t>
    </r>
  </si>
  <si>
    <t>Informed 8/20</t>
  </si>
  <si>
    <r>
      <rPr>
        <rFont val="Arial"/>
        <color theme="1"/>
      </rPr>
      <t>IV 7/14: left vm, sent text IV 7/7: hurt knee, needs to reschdule, IV 6/23: needs uber 230 s soto los angeles IV 4/28:</t>
    </r>
    <r>
      <rPr>
        <rFont val="Arial"/>
        <b/>
        <color theme="1"/>
      </rPr>
      <t xml:space="preserve"> contact after to schedule</t>
    </r>
    <r>
      <rPr>
        <rFont val="Arial"/>
        <color theme="1"/>
      </rPr>
      <t>, will be in Texas all May, I</t>
    </r>
  </si>
  <si>
    <t xml:space="preserve">IV 4/28: will drive </t>
  </si>
  <si>
    <t>74842149</t>
  </si>
  <si>
    <t>Informed 8/22</t>
  </si>
  <si>
    <t>MJ 05/01: Uber needed MJ 04/29: couldn't leave vm + sent text</t>
  </si>
  <si>
    <t>44.22 (8/22/24)</t>
  </si>
  <si>
    <t>IV 6/23: needs uber 6/23: left vm, sent text , sent email MJ 06/16: Left VM + sent text + sent email IV 5/29: left vm sent text MJ 05/16: Left VM at 2:13 PM MJ 05/05:Left VM at 3:03 PM + sent text MJ 04/29: left vm at 3:31 PM</t>
  </si>
  <si>
    <t>54872916</t>
  </si>
  <si>
    <t>MJ 04/29: Driving</t>
  </si>
  <si>
    <t>Informed 8/26</t>
  </si>
  <si>
    <t xml:space="preserve"> MJ 07/31: Trying to schedule for 08/28 MJ 07/24: Left VM +  sent text MJ 06/16:Returning from guatamala in mid-July Left VM + sent text + sent email IV 5/29: left vm sent text MJ 05/16: Left VM at 2:15 PM MJ 05/05:Left VM at 3:08 PM + sent text  MJ 04/29: Left vm at 3:49 PM</t>
  </si>
  <si>
    <t>50 (12/17/24)</t>
  </si>
  <si>
    <t xml:space="preserve">IV 5/29: needs uber </t>
  </si>
  <si>
    <r>
      <rPr>
        <rFont val="Arial"/>
        <color theme="1"/>
      </rPr>
      <t xml:space="preserve">NEW: </t>
    </r>
    <r>
      <rPr>
        <rFont val="Arial"/>
        <b/>
        <color theme="1"/>
      </rPr>
      <t xml:space="preserve">75655718 </t>
    </r>
    <r>
      <rPr>
        <rFont val="Arial"/>
        <color theme="1"/>
      </rPr>
      <t>14859513</t>
    </r>
  </si>
  <si>
    <t>MJ 05/05:Uber needed</t>
  </si>
  <si>
    <r>
      <rPr>
        <rFont val="Arial"/>
        <b/>
        <color theme="1"/>
      </rPr>
      <t xml:space="preserve">10/28 </t>
    </r>
    <r>
      <rPr>
        <rFont val="Arial"/>
        <color theme="1"/>
      </rPr>
      <t>11/26</t>
    </r>
  </si>
  <si>
    <t>MJ 05/05:Debating btwn  Uber and Driving  Left VM at 3:24 PM + sent text</t>
  </si>
  <si>
    <t>MJ 07/09: Needs to reschedule MJ 05/05:Driving</t>
  </si>
  <si>
    <t>35 (03/25/24)</t>
  </si>
  <si>
    <t>IV 6/9: will drive MJ 05/16: Out for 3 weeks,would like a call back around June 7th</t>
  </si>
  <si>
    <t>35 (9/23/25)</t>
  </si>
  <si>
    <t xml:space="preserve">IV 6/30: needed to reschedule V 5/29: , will drive will call me abck today MJ 05/16: Left VM at 2:20 PM </t>
  </si>
  <si>
    <t>Iv 6/27: needs uber 6/25 NC Mailed Letter IV 6/23: left vm sent text, sent email MJ 06/16: Left VM + sent text  IV 6/9: left vm, resent text IV 5/29: left vm, sent text, replied MJ 05/16: Couldn't leave VM + sent text</t>
  </si>
  <si>
    <t>36.25 (09/29/26)</t>
  </si>
  <si>
    <t>34855642</t>
  </si>
  <si>
    <t>Unable to reach. No response to prior attempts. 3/27/26 JE ;; Satraight to vm. Sent follow up text. No response to previous atempts. 3/16/26 JE ;; Followed up - no answer. 3/9/26 JE ;; Left vm and sent text. 3/5/26 ;; Left vm letting her know she can cont as 3rd year. visit would be due April. 1/7/26 JE ;; Answered. Is still interested if still able to participate. Let her know I would follow up... 1/6/26 JE;; All forms of contact exhausted. Sent check in message. No reponse. 9/22/25 JE ;; DV 09/18: Mailed letter IV 8/28: left vm, sent text IV 8/7: left vm, sent  text IV 7/14: reach out in 2-3 weeks, overwhelmed with life right now IV 7/1: no showed her visist, texted me later she overslept, responded called today left vm IV 6/23: will ddrive IV 5/29: on vacation back on june 9th call then, MJ 05/16: Left VM at 2:25 PM</t>
  </si>
  <si>
    <t>CONTACT AFTER MARCH 1st (keep as 2nd yr, mri was april 2025, follow 2year mri protocol, will be on track for 3rd yr 2027)</t>
  </si>
  <si>
    <t>16.08 (10/31/24)</t>
  </si>
  <si>
    <r>
      <rPr>
        <rFont val="Arial"/>
        <b/>
        <color theme="1"/>
      </rPr>
      <t>NEW: 15621574</t>
    </r>
    <r>
      <rPr>
        <rFont val="Arial"/>
        <color theme="1"/>
      </rPr>
      <t xml:space="preserve"> 84853397</t>
    </r>
  </si>
  <si>
    <t xml:space="preserve">IV 7/1: says she doesnt feel safe as of now bc of ICE, check in next month to schedule but still wants to participate, straight to vm, left vm, sent text  IV 6/23: left vm, sent text </t>
  </si>
  <si>
    <r>
      <rPr>
        <rFont val="Arial"/>
        <b/>
        <color theme="1"/>
      </rPr>
      <t>10/28</t>
    </r>
    <r>
      <rPr>
        <rFont val="Arial"/>
        <color theme="1"/>
      </rPr>
      <t xml:space="preserve"> 11/26/2024</t>
    </r>
  </si>
  <si>
    <t>DROPPED NOV 2025 ;; All forms of contact exhausted. No response. Straight to operator. 9/22/25 JE ;; DV 09/18: mailed letter IV 8/28: phone still out of service IV 8/19: sent email, email bounced, does not exist  MJ 07/24: St to VM IV 7/10: phone out of service IV 7/1; phone still out of service 6/25 NC Mailed Letter IV 6/23: "phone not accepting calls", text does not send, sent email</t>
  </si>
  <si>
    <t xml:space="preserve">JE 8/27: Cancelled due to work. New date TBD. IV 7/14: will drive IV 7/14: left vm, sent text </t>
  </si>
  <si>
    <t xml:space="preserve">MJ 07/22: Left VM + sent text IV 7/14: left vm, sent text </t>
  </si>
  <si>
    <t>37.52 (11/27/24)</t>
  </si>
  <si>
    <t xml:space="preserve">DROPPED JANUARY 2026 ;; No answer. Left vm and sent text. Replied no longer able to cont. 1/7/25 JE ;; IV 9/2: texted me that he works 8-6 mon-sat, offered verterans day, or future contact IV 8/28: left vm, sent text IV 8/19: cancelled night before, left vm sent text IV 7/14: will drive </t>
  </si>
  <si>
    <t>37.52 (9/17/25)</t>
  </si>
  <si>
    <t xml:space="preserve">IV 7/14: will drive </t>
  </si>
  <si>
    <t>43.50 (9/23/26)</t>
  </si>
  <si>
    <t>IV 8/26: needs uber IV 8/25: sent text IV 8/18: cancelled night before, sent text to reschedule IV 7/14: needs uber IV 7/1: invalid email</t>
  </si>
  <si>
    <r>
      <rPr>
        <rFont val="Arial"/>
        <b/>
        <color theme="1"/>
      </rPr>
      <t>NEW: 65652297</t>
    </r>
    <r>
      <rPr>
        <rFont val="Arial"/>
        <color theme="1"/>
      </rPr>
      <t xml:space="preserve"> </t>
    </r>
    <r>
      <rPr>
        <rFont val="Arial"/>
        <strike/>
        <color theme="1"/>
      </rPr>
      <t>14842051</t>
    </r>
  </si>
  <si>
    <r>
      <rPr>
        <rFont val="Arial"/>
        <color theme="1"/>
      </rPr>
      <t xml:space="preserve">10/28 </t>
    </r>
    <r>
      <rPr>
        <rFont val="Arial"/>
        <strike/>
        <color theme="1"/>
      </rPr>
      <t>11/26/2024</t>
    </r>
  </si>
  <si>
    <t xml:space="preserve">IV 7/14: left vm, sent text </t>
  </si>
  <si>
    <t xml:space="preserve">MJ 07/22: Driving IV 7/14: left vm,sent text </t>
  </si>
  <si>
    <t xml:space="preserve">MJ 07/22: IV 7/14: left vm,sent text </t>
  </si>
  <si>
    <t xml:space="preserve">IV 12/2: called me back, will drive V 12/1: left vm, sent text MJ 10/28: Left VM + sent text IV 10/03: broke hand, needs to wait, call in 3 weeks to schedule IV 9/23: followed up on text to reschedule IV 8/7: will drive MJ 07/28: Left VM MJ 07/22: Left VM and sent text IV 7/14: left vm,sent text </t>
  </si>
  <si>
    <t xml:space="preserve">IV 8/14: will drive </t>
  </si>
  <si>
    <t>37.80 (1/31/25)</t>
  </si>
  <si>
    <t xml:space="preserve">IV 9/23: left vm, rescehdueld, will drive 09/18 Cancelled, new date needed, MJ 09/08: Left VM + Sent text IV 8/28: left vm, sent text IV 8/14: left vm, sent text </t>
  </si>
  <si>
    <t>37.80 (9/19/25)</t>
  </si>
  <si>
    <t>39.15 (10/9/26</t>
  </si>
  <si>
    <t xml:space="preserve">DROPPED DECEMBER 2025 ;; IV 12/22: apologized he's no longer interested IV 12/1: left vm, sent text MJ 10/28:Left VM + sent text  IV 9/23: left vm , sent text MJ 09/15: Left VM + sent text MJ 09/08: Left VM + Sent text + sent email IV 8/28: left vm, sent text IV 8/19: left vm, sent text </t>
  </si>
  <si>
    <t>74856950</t>
  </si>
  <si>
    <t xml:space="preserve">IV 8/19: will drive </t>
  </si>
  <si>
    <t xml:space="preserve">IV 9/23: split np, cv, will drive MJ 09/15: Left VM + sent text MJ 09/08: Left VM + sent text + sent email IV 8/28: left vm, sent text IV 8/19: left vm, sent text </t>
  </si>
  <si>
    <t>17.42 (9/6/24)</t>
  </si>
  <si>
    <t xml:space="preserve">DROPPED JANUARY 2026 ;; Unable to leave vm. No answer. All forms of contact exhausted. 1/21/26 JE ;; Unable to reach. Letter mailed out 1/15/26 JE. Sent text.1/14/26 JE ;; Vmb full. Sent text. 1/7/26 JE ;; MJ 01/02: St to vm + sent text IV 12/1: left vm, sent text, MJ 10/28: Left VM + sent text IV 9/23: left vm , sent text MJ 09/15: St to VM + sent text MJ 09/08: Left VM + sent text + sent email IV 8/28: left vm, sent text IV 8/19: left vm, sent text </t>
  </si>
  <si>
    <t xml:space="preserve">IV 8/20: will drive IV 8/19: left vm, sent text </t>
  </si>
  <si>
    <t>04851710</t>
  </si>
  <si>
    <t>JE 10/23: Vmb full. Sent text. Open convo... confirmed visit. ;; IV 10/14: followed up again V 10/3: sent follow up text, said he'll text me next week  IV 9/23: left vm, he said to text instead, said he'll get back to us  MJ 09/15: Left VM + sent text</t>
  </si>
  <si>
    <t>MJ 09/15: Uber needed</t>
  </si>
  <si>
    <t>4.90 (1/15/25)</t>
  </si>
  <si>
    <t xml:space="preserve">IV 10/21: will drive </t>
  </si>
  <si>
    <t>04834836</t>
  </si>
  <si>
    <t>IV 10/21: needs uber, ask for address</t>
  </si>
  <si>
    <t xml:space="preserve">DROPPED OCT 2025 ;; IV 10/21: moving out of the country :(, can no longer come , interested if anything virtual arises </t>
  </si>
  <si>
    <t xml:space="preserve">IV 10/21: needs uber, </t>
  </si>
  <si>
    <t>50 (1/27/25)</t>
  </si>
  <si>
    <t xml:space="preserve">IV 10/27: will drive IV 10/21: left vm, sent text </t>
  </si>
  <si>
    <r>
      <rPr>
        <rFont val="Arial"/>
        <b/>
        <color theme="1"/>
      </rPr>
      <t>NEW: 65500629</t>
    </r>
    <r>
      <rPr>
        <rFont val="Arial"/>
        <color theme="1"/>
      </rPr>
      <t xml:space="preserve"> 04840352</t>
    </r>
  </si>
  <si>
    <t>IV 10/21 will drive</t>
  </si>
  <si>
    <t xml:space="preserve">IV 10/27: needs uber IV 10/21: sister answered, said she'll tell her to call us back </t>
  </si>
  <si>
    <t>4.3 (10/4/24)</t>
  </si>
  <si>
    <t>IV 10/27: followed up to confirm a date IV 10/21: left vm, sent text , responded via text</t>
  </si>
  <si>
    <t xml:space="preserve">MJ 12/17: Sent text to follow up on dates,,offered 01/07/26 IV 10/29: will drive, reach out if 11/7 cancels  IV 10/21: In mexico, call next week </t>
  </si>
  <si>
    <t>6.16 (9/3/25)</t>
  </si>
  <si>
    <t>MJ 11/07: Will drive</t>
  </si>
  <si>
    <r>
      <rPr>
        <rFont val="Arial"/>
        <color theme="1"/>
      </rPr>
      <t xml:space="preserve">NEW: </t>
    </r>
    <r>
      <rPr>
        <rFont val="Arial"/>
        <b/>
        <color theme="1"/>
      </rPr>
      <t>05660684</t>
    </r>
    <r>
      <rPr>
        <rFont val="Arial"/>
        <color theme="1"/>
      </rPr>
      <t xml:space="preserve"> 54858367</t>
    </r>
  </si>
  <si>
    <t xml:space="preserve">IV 11/5: needs uber, called to schedule </t>
  </si>
  <si>
    <t xml:space="preserve">Gets weekly work schedule - mon-fri out of work at 3pm. Requesting jan 15. Will get back to us. 1/7/26 JE </t>
  </si>
  <si>
    <t>Uber (11/8/24)</t>
  </si>
  <si>
    <t xml:space="preserve">Requested call back later. 1/7/26 JE </t>
  </si>
  <si>
    <t>8.4 (10/28/25)</t>
  </si>
  <si>
    <t xml:space="preserve">Heart attack and stroke last may-april. Wed picks up kid 1:30 , thurs no afternoons. </t>
  </si>
  <si>
    <t>DBS-1427</t>
  </si>
  <si>
    <t>24873808</t>
  </si>
  <si>
    <t>IV 2/18: scheduled for tmr MJ 02/17: spoke to pt,,told me she will ask for manager for time off rn and will calll back with a date IV 2/3: answered hanged up, sent text IV 1/27: sent meesage that shed, let me know friday,nothignrecievd  IV 1/23: contacted again bc she did not follow up with dates IV 1/2: sent follow up text about dates, said she'll let me know this weel IV 12/22: gave her dates, will confirm with her job</t>
  </si>
  <si>
    <t xml:space="preserve">IV 12/22: will drive </t>
  </si>
  <si>
    <t>50 (9/16/24)</t>
  </si>
  <si>
    <t xml:space="preserve"> MJ 12/22: Uber needed MJ 12/19: Left VM + sent text</t>
  </si>
  <si>
    <t>44867876</t>
  </si>
  <si>
    <t xml:space="preserve">IV 3/4: sent follow up for available dates IV 2/25: No showed, has to reschedule IV 1/7: will drive no email maybe ask at visit </t>
  </si>
  <si>
    <t>wife Open weds or thurs. Want to come in with husband. 1/12/26 JE</t>
  </si>
  <si>
    <t>MJ 01/02: Left VM + sent text IV: husband : redcap note :Contact 1727 wife</t>
  </si>
  <si>
    <t>50 (3/6/24)</t>
  </si>
  <si>
    <t>2nd Year complete on 3/17</t>
  </si>
  <si>
    <t>50 (10/3/25)</t>
  </si>
  <si>
    <t>50 (9/24/26)</t>
  </si>
  <si>
    <t>94823414</t>
  </si>
  <si>
    <t>24870667</t>
  </si>
  <si>
    <t>25.46 (10/23/24)</t>
  </si>
  <si>
    <t>04852194</t>
  </si>
  <si>
    <t>29.48 (10/10/24)</t>
  </si>
  <si>
    <t>54844247</t>
  </si>
  <si>
    <t xml:space="preserve">Uber (2/28/25) </t>
  </si>
  <si>
    <r>
      <rPr>
        <rFont val="Arial"/>
        <b/>
        <color theme="1"/>
      </rPr>
      <t xml:space="preserve">new: 55576108 </t>
    </r>
    <r>
      <rPr>
        <rFont val="Arial"/>
        <color theme="1"/>
      </rPr>
      <t>54845282</t>
    </r>
  </si>
  <si>
    <t>10.58 (2/05/25)</t>
  </si>
  <si>
    <t>10.58 (11/19/25)</t>
  </si>
  <si>
    <t>DBS-1611</t>
  </si>
  <si>
    <t>54845832</t>
  </si>
  <si>
    <t>24980396</t>
  </si>
  <si>
    <t>38.50 (04/30/25)</t>
  </si>
  <si>
    <t>38.50 (11/7/25)</t>
  </si>
  <si>
    <t>39.15 (10/14/26)</t>
  </si>
  <si>
    <t>Study Partner ICF signed</t>
  </si>
  <si>
    <t>45015182</t>
  </si>
  <si>
    <t>MRI</t>
  </si>
  <si>
    <t>LP Notes</t>
  </si>
  <si>
    <t>26.80 (12/12/24)</t>
  </si>
  <si>
    <t>26.80 (11/6/25)</t>
  </si>
  <si>
    <t xml:space="preserve">waiting to confirm if he found his card or needs new one </t>
  </si>
  <si>
    <t>P SV Date</t>
  </si>
  <si>
    <t>Staff Initials</t>
  </si>
  <si>
    <r>
      <rPr>
        <rFont val="Arial"/>
        <b/>
        <color theme="1"/>
      </rPr>
      <t>new :05622692</t>
    </r>
    <r>
      <rPr>
        <rFont val="Arial"/>
        <color theme="1"/>
      </rPr>
      <t xml:space="preserve"> 44862388</t>
    </r>
  </si>
  <si>
    <t xml:space="preserve">SV ICF Signed? (Y/N) </t>
  </si>
  <si>
    <t>PFAQ</t>
  </si>
  <si>
    <t>PHQ-9</t>
  </si>
  <si>
    <t>MIND</t>
  </si>
  <si>
    <t>ECog12</t>
  </si>
  <si>
    <t>Blood Draw Completed?</t>
  </si>
  <si>
    <t xml:space="preserve">11/10:needs new card 11/21: mailed out new card, will confirm when he gets it </t>
  </si>
  <si>
    <t>64841200</t>
  </si>
  <si>
    <t>03/16/23; 04/21/23</t>
  </si>
  <si>
    <t>LC 04/14: Need to redo BD</t>
  </si>
  <si>
    <t>DBSLead- 146</t>
  </si>
  <si>
    <t xml:space="preserve">LC 05/23: Call back tomorrow </t>
  </si>
  <si>
    <t>94999148</t>
  </si>
  <si>
    <t>28.00 (2/14/25)</t>
  </si>
  <si>
    <t>LC:Unable to particpate at this time due to work schedule</t>
  </si>
  <si>
    <r>
      <rPr>
        <rFont val="Arial"/>
        <b/>
        <color theme="1"/>
      </rPr>
      <t>New 45577861</t>
    </r>
    <r>
      <rPr>
        <rFont val="Arial"/>
        <color theme="1"/>
      </rPr>
      <t xml:space="preserve"> 04973644</t>
    </r>
  </si>
  <si>
    <t>DBSLead-8</t>
  </si>
  <si>
    <t>y</t>
  </si>
  <si>
    <t>LC 03/22: Call to schedule; LC 03/28: Left vm</t>
  </si>
  <si>
    <t>44843437</t>
  </si>
  <si>
    <t>DBSLead-73</t>
  </si>
  <si>
    <t>SV BD done</t>
  </si>
  <si>
    <t>DBSLead-75</t>
  </si>
  <si>
    <t>24.12 (12/4/24)</t>
  </si>
  <si>
    <t xml:space="preserve">SV BD done </t>
  </si>
  <si>
    <r>
      <rPr>
        <rFont val="Arial"/>
        <b/>
        <color theme="1"/>
      </rPr>
      <t>NEW CARD:......1761</t>
    </r>
    <r>
      <rPr>
        <rFont val="Arial"/>
        <color theme="1"/>
      </rPr>
      <t xml:space="preserve"> 24860359</t>
    </r>
  </si>
  <si>
    <t>DBSLead-63</t>
  </si>
  <si>
    <t>GT 5/16: rescheduled for 5/17; GT 4/25: Scheduled IV Docusign for 5/1 @ 12pm</t>
  </si>
  <si>
    <t>Mailed on 2/27/24</t>
  </si>
  <si>
    <t>DBSLead-2</t>
  </si>
  <si>
    <t>GT 6/8: Confirmed will drive</t>
  </si>
  <si>
    <t xml:space="preserve">y </t>
  </si>
  <si>
    <t>4.55 (4/7/25)</t>
  </si>
  <si>
    <t>DBSLead-44</t>
  </si>
  <si>
    <t>GT 5/11: emailed ICF</t>
  </si>
  <si>
    <t>5.07 (1/7/26)</t>
  </si>
  <si>
    <t>5/15: GT needs Uber</t>
  </si>
  <si>
    <t>5/31 GT: Confirmed needs Uber</t>
  </si>
  <si>
    <t>DBSLead-53</t>
  </si>
  <si>
    <t>5/15 GT: Needs Uber</t>
  </si>
  <si>
    <r>
      <rPr>
        <rFont val="Arial"/>
        <b/>
        <color theme="1"/>
      </rPr>
      <t>new: 05567101</t>
    </r>
    <r>
      <rPr>
        <rFont val="Arial"/>
        <color theme="1"/>
      </rPr>
      <t xml:space="preserve"> 14871300; 44878269</t>
    </r>
  </si>
  <si>
    <t>SV BB not done</t>
  </si>
  <si>
    <t>GT 4/19: Signed through Docusign</t>
  </si>
  <si>
    <t>DBSLead-7</t>
  </si>
  <si>
    <t>GT 5/15: Confirmed will drive</t>
  </si>
  <si>
    <t>18.2 (03/26/25)</t>
  </si>
  <si>
    <t>DBSLead-169</t>
  </si>
  <si>
    <t>cannot reach</t>
  </si>
  <si>
    <t>SV BD Done</t>
  </si>
  <si>
    <t>LC 05/08: IV completed through docusign</t>
  </si>
  <si>
    <t>DBSLead-154</t>
  </si>
  <si>
    <t>18.2 (11/20/25)</t>
  </si>
  <si>
    <t xml:space="preserve">Need to reschedule </t>
  </si>
  <si>
    <t>04988396</t>
  </si>
  <si>
    <t>GT 06/19: ICF signed in person same day as SV</t>
  </si>
  <si>
    <t>LC 10/25: Need to schedule LP</t>
  </si>
  <si>
    <t>DBSLead-79</t>
  </si>
  <si>
    <r>
      <rPr>
        <rFont val="Arial"/>
        <b/>
        <color theme="1"/>
      </rPr>
      <t>NEW: 35535163</t>
    </r>
    <r>
      <rPr>
        <rFont val="Arial"/>
        <color theme="1"/>
      </rPr>
      <t xml:space="preserve"> 44860648</t>
    </r>
  </si>
  <si>
    <t>GT 4/24: Called to schedule IV</t>
  </si>
  <si>
    <t>GT 5/9: Will drive</t>
  </si>
  <si>
    <t>DBSLead-139</t>
  </si>
  <si>
    <t>GT 5/15: ICF signed; GT 5/11: emailed ICF</t>
  </si>
  <si>
    <t>5/29: GT Confirmed</t>
  </si>
  <si>
    <t>DBSLead-131</t>
  </si>
  <si>
    <t>33.60 (2/13/25)</t>
  </si>
  <si>
    <t>DBSLead-58</t>
  </si>
  <si>
    <t>DBSLead-119</t>
  </si>
  <si>
    <t>33.60 (12/2/25)</t>
  </si>
  <si>
    <t>5/4 GT: Confirmed</t>
  </si>
  <si>
    <r>
      <rPr>
        <rFont val="Arial"/>
        <b/>
        <color theme="1"/>
      </rPr>
      <t>NEW: 05640341</t>
    </r>
    <r>
      <rPr>
        <rFont val="Arial"/>
        <color theme="1"/>
      </rPr>
      <t xml:space="preserve"> 14861609</t>
    </r>
  </si>
  <si>
    <t>GT: Completed SV and IV on same day</t>
  </si>
  <si>
    <t>DBSLead-183</t>
  </si>
  <si>
    <t>LC 01/31: No-showed to visit. Could not reach</t>
  </si>
  <si>
    <t>DBSLead-28</t>
  </si>
  <si>
    <t>50 (1/30/25)</t>
  </si>
  <si>
    <t>GT 4/24: Completed needed labs; GT: Need to redo A1C, PT, INR</t>
  </si>
  <si>
    <t>GT 4/17: Will need Uber at 12:30pm</t>
  </si>
  <si>
    <t>DBSLead-13</t>
  </si>
  <si>
    <t>50 (1/22/26)</t>
  </si>
  <si>
    <t xml:space="preserve">new address - redcap updated </t>
  </si>
  <si>
    <t xml:space="preserve">MJ 03/04: Lives in SD,,no longer interested </t>
  </si>
  <si>
    <r>
      <rPr>
        <rFont val="Arial"/>
        <b/>
        <color theme="1"/>
      </rPr>
      <t>35009243</t>
    </r>
    <r>
      <rPr>
        <rFont val="Arial"/>
        <color theme="1"/>
      </rPr>
      <t>; 64844739</t>
    </r>
  </si>
  <si>
    <t>Need to schedule</t>
  </si>
  <si>
    <t>DBSLead-212</t>
  </si>
  <si>
    <t>LC 05/16: Previously disqualified due to contrast but MRI protocol changed</t>
  </si>
  <si>
    <t>Rescheduled mulriple times; Rescheduled from 3/28/24</t>
  </si>
  <si>
    <t>14862537</t>
  </si>
  <si>
    <t>DBSLead-249</t>
  </si>
  <si>
    <t>LC 06/05: ICF signed through Docusign</t>
  </si>
  <si>
    <t>Disqualified due to MRI concern; SVBD DONE LC 02/12: R/S visit. Will call back following week. Lives in SD</t>
  </si>
  <si>
    <t>DBSLead-180</t>
  </si>
  <si>
    <t>GT 5/16: Scheduled IV for 5/17; GT 5/11: emailed ICF</t>
  </si>
  <si>
    <t>9.24 (02/12/25)</t>
  </si>
  <si>
    <t>DBSlead-250</t>
  </si>
  <si>
    <t>GT 07/14: ICF signed in person same day as SV</t>
  </si>
  <si>
    <t>10 (1/22/26)</t>
  </si>
  <si>
    <t>SV BD not done</t>
  </si>
  <si>
    <t>DBSLead-221</t>
  </si>
  <si>
    <t>24983563</t>
  </si>
  <si>
    <t>LC 03/10: Left vm; LC 03/08: Left vm</t>
  </si>
  <si>
    <t>LC 08/10: MRI originally scheduled on 08/16</t>
  </si>
  <si>
    <t>DBSLead-275</t>
  </si>
  <si>
    <t>LDLC</t>
  </si>
  <si>
    <t>LC 06/22: ICF signed through DocuSign</t>
  </si>
  <si>
    <t>LC 07/10: Called in asked if something sooner comes up to offer either on a Monday or Friday</t>
  </si>
  <si>
    <t>DBSLead-242</t>
  </si>
  <si>
    <t>22.78 (4/25/25)</t>
  </si>
  <si>
    <t>Mailed on 2/27/29</t>
  </si>
  <si>
    <t>DBSLead-128</t>
  </si>
  <si>
    <t>5/5 GT Confirmed</t>
  </si>
  <si>
    <t>IV 4/22: no longer interested, not enough compensation</t>
  </si>
  <si>
    <t>Scheduled</t>
  </si>
  <si>
    <t>DBSLead-219</t>
  </si>
  <si>
    <t>SS</t>
  </si>
  <si>
    <t>LC 07/07: Signed ICF forms on 06/28</t>
  </si>
  <si>
    <t>LC 08/13: r/s. Katherin out sick</t>
  </si>
  <si>
    <t xml:space="preserve">sv bd done </t>
  </si>
  <si>
    <t>DBSLead-261</t>
  </si>
  <si>
    <t>LC 05/24: IV completed through Docusign</t>
  </si>
  <si>
    <t>14.00 (03/14/24)</t>
  </si>
  <si>
    <t>DBSLead-108</t>
  </si>
  <si>
    <t>LC 05/02: R/s for when husband is availble for both to come in</t>
  </si>
  <si>
    <t xml:space="preserve">LC 04/27: r/s. Dr. Harrington not available. </t>
  </si>
  <si>
    <t>DBSLead-201</t>
  </si>
  <si>
    <t>14.00 (11/24/25</t>
  </si>
  <si>
    <t>LC 03/03: Complete mini-cog during IV. Screening done via phone.</t>
  </si>
  <si>
    <t>94977675</t>
  </si>
  <si>
    <t>LC 05/15: Call back in June</t>
  </si>
  <si>
    <t>DBSLead-299</t>
  </si>
  <si>
    <t>LC 08/10: Left vm to move up visit</t>
  </si>
  <si>
    <t>50 (2/04/24)</t>
  </si>
  <si>
    <t>DBSLead-54</t>
  </si>
  <si>
    <t>04863784</t>
  </si>
  <si>
    <t>DBSLead-61</t>
  </si>
  <si>
    <t>GT 6/16: Docusign ICF</t>
  </si>
  <si>
    <t>18.20 (4/2/25)</t>
  </si>
  <si>
    <t>DBSLead-268</t>
  </si>
  <si>
    <t>24962854</t>
  </si>
  <si>
    <t>GT 7/10: Docusign ICF</t>
  </si>
  <si>
    <t>DBSLead-287</t>
  </si>
  <si>
    <t>LC 03/19: Does not qualify. PHQ-9 is elevated. SV BD done</t>
  </si>
  <si>
    <t>DBSLead-85</t>
  </si>
  <si>
    <t>11.46 (3/17/25)</t>
  </si>
  <si>
    <t>GT 06/20: ICF signed in person same day as SV</t>
  </si>
  <si>
    <t>54828044</t>
  </si>
  <si>
    <t>DBSLead-294</t>
  </si>
  <si>
    <t>GT 08/02: ICF signed in person same day as SV</t>
  </si>
  <si>
    <t>DBSLead-205</t>
  </si>
  <si>
    <t>50 (3/24/25)</t>
  </si>
  <si>
    <t>MJ 03/20: No showed to SV,,not responding to text or calls</t>
  </si>
  <si>
    <t>GT 9/25: Consented in person; LC 09/21: Call to schedule</t>
  </si>
  <si>
    <t>DBSLead-314</t>
  </si>
  <si>
    <t>LC 11/30: Need to schedule</t>
  </si>
  <si>
    <t>50 (1/27/26)</t>
  </si>
  <si>
    <t>5/3 GT: Confirmed</t>
  </si>
  <si>
    <r>
      <rPr>
        <rFont val="Arial"/>
        <color theme="1"/>
      </rPr>
      <t xml:space="preserve">65634649 </t>
    </r>
    <r>
      <rPr>
        <rFont val="Arial"/>
        <strike/>
        <color theme="1"/>
      </rPr>
      <t>84867063</t>
    </r>
  </si>
  <si>
    <t xml:space="preserve">LC 09/08: Sent text to participant to ask if available on 09/15 </t>
  </si>
  <si>
    <t>Decided to opt-out. Reason not provided</t>
  </si>
  <si>
    <r>
      <rPr>
        <rFont val="Arial"/>
        <color theme="1"/>
      </rPr>
      <t xml:space="preserve">10/28 </t>
    </r>
    <r>
      <rPr>
        <rFont val="Arial"/>
        <strike/>
        <color theme="1"/>
      </rPr>
      <t>11/26/2024</t>
    </r>
  </si>
  <si>
    <t>DBSLead-10</t>
  </si>
  <si>
    <t>No showed for IV ;SV BD done</t>
  </si>
  <si>
    <t>DBSLead-352</t>
  </si>
  <si>
    <t>LC 04/12: Schedule initial by phone. Will complete IV through docusign</t>
  </si>
  <si>
    <t>30.80 (03/14/25)</t>
  </si>
  <si>
    <t>LC 04/27: Left vm</t>
  </si>
  <si>
    <t>LC 09/01: Need to f/u w/ participant if still interested in study. MRI has been filled w/ another participant. LC 07/12: Participant called and r/s MRI for later time. LC 07/10: Left vm @5pm; LC 07/11: left vm</t>
  </si>
  <si>
    <t>LC 05/16: Left vm</t>
  </si>
  <si>
    <t>DBSLead-360</t>
  </si>
  <si>
    <t>31.90 (2/24/26)</t>
  </si>
  <si>
    <t>New card mailed out 3/4/26 JE</t>
  </si>
  <si>
    <t>DBSLead-300</t>
  </si>
  <si>
    <t>44865231</t>
  </si>
  <si>
    <t>DBSLead-254</t>
  </si>
  <si>
    <t>LR</t>
  </si>
  <si>
    <t>Mailed on 2/27/34</t>
  </si>
  <si>
    <t>14.00 (03/13/25)</t>
  </si>
  <si>
    <t>DBSLead-382</t>
  </si>
  <si>
    <t>20.30 (3/17/26)</t>
  </si>
  <si>
    <t>DBS-1722</t>
  </si>
  <si>
    <t>04995462</t>
  </si>
  <si>
    <t>DBSLead-262</t>
  </si>
  <si>
    <t xml:space="preserve">no show </t>
  </si>
  <si>
    <t>$2.80 (1/7/25)</t>
  </si>
  <si>
    <t>DBSLead-404</t>
  </si>
  <si>
    <t xml:space="preserve">Docusign </t>
  </si>
  <si>
    <r>
      <rPr>
        <rFont val="Arial"/>
        <b/>
        <color theme="1"/>
      </rPr>
      <t xml:space="preserve">NEW CARD: 45658762 </t>
    </r>
    <r>
      <rPr>
        <rFont val="Arial"/>
        <color theme="1"/>
      </rPr>
      <t>24866212</t>
    </r>
  </si>
  <si>
    <t>DBSLead-286</t>
  </si>
  <si>
    <t>Mailed on 2/27/32</t>
  </si>
  <si>
    <t>JE 04/04: Left vm. No answer</t>
  </si>
  <si>
    <t>DBSLead-320</t>
  </si>
  <si>
    <t>GT 08/22: ICF signed in person same day as SV</t>
  </si>
  <si>
    <t>50 (3/10/25)</t>
  </si>
  <si>
    <t>DBSLead-339</t>
  </si>
  <si>
    <t>GT 08/01: ICF signed in person same day as SV</t>
  </si>
  <si>
    <t>50 (1/08/26)</t>
  </si>
  <si>
    <t>MJ 02/23: Mailed new card after she requested one</t>
  </si>
  <si>
    <t>Mailed on 3/6/24</t>
  </si>
  <si>
    <t>DBSLead-379</t>
  </si>
  <si>
    <t>44854441</t>
  </si>
  <si>
    <t>GT 09/26: ICF signed in person same day as SV</t>
  </si>
  <si>
    <t>Mailed on 2/27/30</t>
  </si>
  <si>
    <t>DBSLead-414</t>
  </si>
  <si>
    <t>50 (4/22/24)</t>
  </si>
  <si>
    <t>DBSLead-235</t>
  </si>
  <si>
    <t>50 (2/19/26)</t>
  </si>
  <si>
    <t>GT 10/3: ICF signed in person same day as SV</t>
  </si>
  <si>
    <t>Mailed on 2/27/33</t>
  </si>
  <si>
    <t>DBSLead-419</t>
  </si>
  <si>
    <t>DBS-1728</t>
  </si>
  <si>
    <t>44995497</t>
  </si>
  <si>
    <t>IV 6/5: lead emailed me that for personal reasons can no longer continue</t>
  </si>
  <si>
    <t>LC 10/13: Left vm @2:58pm</t>
  </si>
  <si>
    <t>DBSLead-385</t>
  </si>
  <si>
    <t>LC 11/08: Left vm @2:12pm; LC 11/06: Platelet Count sample was lost; was found by hematology</t>
  </si>
  <si>
    <t>50 (1/23/24)</t>
  </si>
  <si>
    <t>5/3/24 Canceled</t>
  </si>
  <si>
    <t>DBSLead-345</t>
  </si>
  <si>
    <t>LC 08/24: F/u w/ lead about scheduling IV visit in person</t>
  </si>
  <si>
    <t>75005170</t>
  </si>
  <si>
    <t>LC 10/16: will think about it</t>
  </si>
  <si>
    <t>DBSLead-433</t>
  </si>
  <si>
    <t>GT 11/6: ICF signed in person same day as SV</t>
  </si>
  <si>
    <t>4/24/24 No-show. Failed contact attempts.</t>
  </si>
  <si>
    <t>50 (4/28/25)</t>
  </si>
  <si>
    <t>DBSLead-334</t>
  </si>
  <si>
    <t>Will do BD during ICF; LC 03/27: Decided to no longer participate</t>
  </si>
  <si>
    <t>DBSLead-418</t>
  </si>
  <si>
    <t>LC 09/19: left vm LC 09/18: Call to schedule</t>
  </si>
  <si>
    <t>DBSLead-381</t>
  </si>
  <si>
    <t xml:space="preserve">LC 10/17: Need to r/s MRI </t>
  </si>
  <si>
    <t xml:space="preserve">LC 11/30: LP failed </t>
  </si>
  <si>
    <t xml:space="preserve">LC 09/25: Need to reschedule </t>
  </si>
  <si>
    <t>4/11/24 Rescheduled. 4/25/24 No-show.</t>
  </si>
  <si>
    <t>DBSLead-430</t>
  </si>
  <si>
    <t>LC 10/26: Sent text</t>
  </si>
  <si>
    <t>GT 10/11: ICF signed in person same day as SV</t>
  </si>
  <si>
    <t>LC 01/05: Left vm @2:04pm; LC 12/15: Left vm @2:23pm</t>
  </si>
  <si>
    <t>LC 01/17: Originally scheduled for 03/22</t>
  </si>
  <si>
    <t>MJ 01/19: Texted to rescheduled from 02/09 to 02/16</t>
  </si>
  <si>
    <t>DBSLead-432</t>
  </si>
  <si>
    <t>LC 01/12: Left vm @1:54pm</t>
  </si>
  <si>
    <t>LC 01/16: Sent text to schedule</t>
  </si>
  <si>
    <t>DBSLead-55</t>
  </si>
  <si>
    <t>Mailed on 2/27/25</t>
  </si>
  <si>
    <t xml:space="preserve">LC 12/04: Text sent to scheduled MRI </t>
  </si>
  <si>
    <t xml:space="preserve">4th time asking to reschedule. She did not follow up to set up new date/time. </t>
  </si>
  <si>
    <t>DBSLead-216</t>
  </si>
  <si>
    <t>LC 11/27: Participant will call back on Friday</t>
  </si>
  <si>
    <t>DBSLead-450</t>
  </si>
  <si>
    <t>DBSLead-199</t>
  </si>
  <si>
    <t>LC 11/22: Platelet count too low. Wouldn't be able to do LP</t>
  </si>
  <si>
    <t>SV BD not completed</t>
  </si>
  <si>
    <t>LC 11/15: Left vm @12pm</t>
  </si>
  <si>
    <t>DBSLead-349</t>
  </si>
  <si>
    <t>PHQ9 Elevated</t>
  </si>
  <si>
    <t>LC 01/30: Originally scheduled for 03/13</t>
  </si>
  <si>
    <t>DBSLead-501</t>
  </si>
  <si>
    <t>Mailed on 2/27/31</t>
  </si>
  <si>
    <t xml:space="preserve">LC 01/29: Text sent to schedule MRI </t>
  </si>
  <si>
    <t>DBSLead-512</t>
  </si>
  <si>
    <t>GT 10/16: ICF signed in person same day as SV</t>
  </si>
  <si>
    <t>DBSLead-518</t>
  </si>
  <si>
    <t>LC 12/01: Need to r/s. Was sick</t>
  </si>
  <si>
    <t>IV 5/8: mutiple calls, did not answer</t>
  </si>
  <si>
    <t>LC 12/01: Left vm @11:33am. Sent text; LC 11/29: left vm @11:02am</t>
  </si>
  <si>
    <t>DBSLead-553</t>
  </si>
  <si>
    <t>DBSLead-429</t>
  </si>
  <si>
    <t>Mailed on 2/27/27</t>
  </si>
  <si>
    <t>DBSLead-499</t>
  </si>
  <si>
    <t>5/2/24 Rescheduled to 5/6/24</t>
  </si>
  <si>
    <t>DBSLead-568</t>
  </si>
  <si>
    <t>IV 5/20: no longer interested, long study</t>
  </si>
  <si>
    <t>DBSLead-586</t>
  </si>
  <si>
    <t>DBSLead-539</t>
  </si>
  <si>
    <t>LC 12/15: will call to r/s. Mom in hospital LC 12/01: Left vm @11:38am</t>
  </si>
  <si>
    <t>LC 01/11: Will call in afternoon to r/s</t>
  </si>
  <si>
    <t>DBSLead-238</t>
  </si>
  <si>
    <t>LC 02/18 Emailed survey link</t>
  </si>
  <si>
    <t>DBSLead-545</t>
  </si>
  <si>
    <t>LC 01/16: Left vm @10:15am</t>
  </si>
  <si>
    <t>11/30: Left vm to schedule</t>
  </si>
  <si>
    <t>DBSLead-606</t>
  </si>
  <si>
    <t>could not reach</t>
  </si>
  <si>
    <t>DBSLead-442</t>
  </si>
  <si>
    <t>LC 01/31: Sent text to schedule</t>
  </si>
  <si>
    <t>DBSLead-502</t>
  </si>
  <si>
    <t>GT 08/15: ICF signed in person same day as SV</t>
  </si>
  <si>
    <t>4/28 GT: SV BD done; GT: Rescheduled to 4/28; LC: No show; Calling to reschedule</t>
  </si>
  <si>
    <t>DBSLead-612</t>
  </si>
  <si>
    <t>DBSLead-614</t>
  </si>
  <si>
    <t>DBSLead-620</t>
  </si>
  <si>
    <t>Full BD done during ICF</t>
  </si>
  <si>
    <t>DBSLead-505</t>
  </si>
  <si>
    <t>not available/busy schedule</t>
  </si>
  <si>
    <t>DBSLead-498</t>
  </si>
  <si>
    <t>LC 11/16: Need to r/s</t>
  </si>
  <si>
    <t xml:space="preserve">IV 7/17: lead is busy with life sitautions currently not available </t>
  </si>
  <si>
    <t>DBSLead-584</t>
  </si>
  <si>
    <t>SV BD done. Call after WED</t>
  </si>
  <si>
    <t>1 SPANISH (2024) and 2 SPANISH(2024)</t>
  </si>
  <si>
    <t>DBSLead-597</t>
  </si>
  <si>
    <t xml:space="preserve">LC 01/05: Email sent to schedule next visits </t>
  </si>
  <si>
    <t xml:space="preserve">SV BD Done </t>
  </si>
  <si>
    <t>Unable to get CSF</t>
  </si>
  <si>
    <t>DBSLead-420</t>
  </si>
  <si>
    <t xml:space="preserve">LC 01/18: Left vm @3:14pm; LC 01/09: Left vm @11:43am; LC 01/05: Email sent to schedule next visits </t>
  </si>
  <si>
    <t>DBSLead-587</t>
  </si>
  <si>
    <t>DBSLead-613</t>
  </si>
  <si>
    <t>LC 01/05: Call back on Monday; LC 12/15: Left vm @2:22pm</t>
  </si>
  <si>
    <t>DBSLead-569</t>
  </si>
  <si>
    <t>IV 6/11: currently no longer interested</t>
  </si>
  <si>
    <t>DBSLead-672</t>
  </si>
  <si>
    <t>DBSLead-676</t>
  </si>
  <si>
    <t>DBSLead-599</t>
  </si>
  <si>
    <t>Does not have time atm</t>
  </si>
  <si>
    <t>DBSLead-658</t>
  </si>
  <si>
    <t>LC 01/22: Left vm @1:55pm; LC 01/19: Sent text to schedule</t>
  </si>
  <si>
    <t>LC 02/15: Get glucose levels from MRI</t>
  </si>
  <si>
    <t>Lead has decided to opt out att</t>
  </si>
  <si>
    <t>DBSLead-525</t>
  </si>
  <si>
    <t>09/27/23 (Canceled)</t>
  </si>
  <si>
    <t>DBSLead-657</t>
  </si>
  <si>
    <t>IV 7/24: could not reach</t>
  </si>
  <si>
    <t>DBSLead-699</t>
  </si>
  <si>
    <t>LC 02/29: sent text to schedule</t>
  </si>
  <si>
    <t>NO SHOW</t>
  </si>
  <si>
    <t>LC: Signed ICF</t>
  </si>
  <si>
    <t>DBSLead-690</t>
  </si>
  <si>
    <t>LC 01/22: Left vm @1:42pm; LC 01/18: Left vm @3:42pm</t>
  </si>
  <si>
    <t xml:space="preserve">PSQ9 too high (disqualified). SC LC notified and will follow up with lead. </t>
  </si>
  <si>
    <t>DBSLead-738</t>
  </si>
  <si>
    <t>DBSLead-743</t>
  </si>
  <si>
    <t>LC 02/28: Asked to be called on 02/29</t>
  </si>
  <si>
    <t xml:space="preserve">iV 7/17: work schedule got busy, can no longer participate </t>
  </si>
  <si>
    <t>DBSLead-542</t>
  </si>
  <si>
    <t>LC 03/13: F/u to schedule; LC 02/23: Sent text to schedule</t>
  </si>
  <si>
    <t>DBSLead-705</t>
  </si>
  <si>
    <t>DBSLead-745</t>
  </si>
  <si>
    <t xml:space="preserve">Works night shift at Keck. Needs 6:30-7:00am apt. 7:30am the latest. </t>
  </si>
  <si>
    <t>DBSLead-653</t>
  </si>
  <si>
    <t>LC 04/05: Originally scheduled for 04/11; LC 01/31: R/s for 04/11. Original date 03/18</t>
  </si>
  <si>
    <t>3/25 GT Left vm and text</t>
  </si>
  <si>
    <t>DBSLead-741</t>
  </si>
  <si>
    <t>Will do BD during ICF</t>
  </si>
  <si>
    <t>DBSLead-715</t>
  </si>
  <si>
    <t>DBSLead-739</t>
  </si>
  <si>
    <t>GT 12/11: Signed ICF; 11/30: Left vm to schedule</t>
  </si>
  <si>
    <t>busy schedule, not interested right now</t>
  </si>
  <si>
    <t>DBSLead-742</t>
  </si>
  <si>
    <t>GT signed</t>
  </si>
  <si>
    <t>DBSLead-756</t>
  </si>
  <si>
    <t>IB</t>
  </si>
  <si>
    <t xml:space="preserve">Prefers a friday, reserving some ghost dates in Sept bc needs to see her calender </t>
  </si>
  <si>
    <t>New date TBD. Lead shared he is too busy att</t>
  </si>
  <si>
    <t>DBSLead-735</t>
  </si>
  <si>
    <t>*1 water before 1st and 2nd scan</t>
  </si>
  <si>
    <t>DBSLead-514</t>
  </si>
  <si>
    <t>Drank small water before 1st scan Schedule for an earlier friday if available</t>
  </si>
  <si>
    <t>IV 8/14: no showed then 3 followup calls and text , could not reach</t>
  </si>
  <si>
    <t>LC 07/31: Left vm @9:17am; LC 07/11: RESCHEDULE; LC 05/15: Left vm @2:29pm. Sent text.; LC 02/23: Sent text to schedule</t>
  </si>
  <si>
    <t>DBSLead-771</t>
  </si>
  <si>
    <t>LC 05/15: Left vm @2:47pm</t>
  </si>
  <si>
    <t>DBSLead-772</t>
  </si>
  <si>
    <t xml:space="preserve">No show. No answer. </t>
  </si>
  <si>
    <t>DBSLead-652</t>
  </si>
  <si>
    <t>LC 07/25: Originally scheduled for 07/29 but Katherin n/a</t>
  </si>
  <si>
    <t>DBSLead-693</t>
  </si>
  <si>
    <t>5/21: GT signed; LC 05/01: Left vm @3:46pm; LC 04/29: Left vm @2:20pm; SV BD NOT COMPLETE</t>
  </si>
  <si>
    <t xml:space="preserve">Lead followed up re metal on 8/27/24. Kat cleared. </t>
  </si>
  <si>
    <t>DBSLead-763</t>
  </si>
  <si>
    <t>GT Docusign</t>
  </si>
  <si>
    <t>DISQUALIFIED. High PHQ9</t>
  </si>
  <si>
    <t>DBSLead-721</t>
  </si>
  <si>
    <t>Reschedule</t>
  </si>
  <si>
    <t>IV8/9: not interested, compensation low</t>
  </si>
  <si>
    <t>LC 04/12: Unable to leave vm; LC 04/09: Unable to leave vm @12:42pm. Sent text message</t>
  </si>
  <si>
    <t>DBSLead-757</t>
  </si>
  <si>
    <t>cancelled, no additional date provided. No longer interested.</t>
  </si>
  <si>
    <t>DBSLead-778</t>
  </si>
  <si>
    <t>LC 07/25: Originally scheduled for 07/30 but Katherin n/a</t>
  </si>
  <si>
    <t>DBSLead-790</t>
  </si>
  <si>
    <t xml:space="preserve">Also completed Full ICF w GT </t>
  </si>
  <si>
    <t>DBSLead-769</t>
  </si>
  <si>
    <t>Undicided atm 8/27/24</t>
  </si>
  <si>
    <t>DBSLead-718</t>
  </si>
  <si>
    <t>DBSLead-800</t>
  </si>
  <si>
    <t>5/29 GT Left vm/text</t>
  </si>
  <si>
    <t>LC 06/24: Left vm</t>
  </si>
  <si>
    <t xml:space="preserve">Unable to get CSF (info available on CSF sheet and redcap/ may have been error) </t>
  </si>
  <si>
    <t xml:space="preserve">IV 9/23: couldnt make it, asked what day they like to reschedule, no answer, IV /25: called to reschedule, said he would call when he knows IV 10/2: sent text asking if he is still interested IV 10/08: no text answer, called no answer, closed out </t>
  </si>
  <si>
    <t>DBSLead-749</t>
  </si>
  <si>
    <t xml:space="preserve">not interested </t>
  </si>
  <si>
    <t>GT ICF signed in person same day as SV</t>
  </si>
  <si>
    <t>Not interested</t>
  </si>
  <si>
    <t>DBSLead-802</t>
  </si>
  <si>
    <t>GT signed; LC 05/06: Left vm @12:16pm; LC 05/02: Left vm @9:24am</t>
  </si>
  <si>
    <t xml:space="preserve">IV 9/4: lead reached out, no longer interested due to distance lives 1.5 hrs away </t>
  </si>
  <si>
    <t xml:space="preserve">LC 06/24: Left vm </t>
  </si>
  <si>
    <t>Interested</t>
  </si>
  <si>
    <t>Still thinking about it 9/26/24</t>
  </si>
  <si>
    <t>DBSLead-855</t>
  </si>
  <si>
    <t>LC 06/24: If sooner availability comes up for a Friday please r/s</t>
  </si>
  <si>
    <t>DBSLead-781</t>
  </si>
  <si>
    <t>LC 04/02: Text sent to schedule</t>
  </si>
  <si>
    <t>LC 07/11: available for any cancellation in the next three weeksLC 06/03: Left vm @12:30pm</t>
  </si>
  <si>
    <t>DBSLead-811</t>
  </si>
  <si>
    <t xml:space="preserve">Cancelled due to "too little compensation" </t>
  </si>
  <si>
    <t>Needs 6:30-7:00am appointments mon-fri</t>
  </si>
  <si>
    <t>DBSLead-808</t>
  </si>
  <si>
    <t>DBSLead-822</t>
  </si>
  <si>
    <t>DBSLead-830</t>
  </si>
  <si>
    <t>LC 08/19: If Monday appt. becomes available call</t>
  </si>
  <si>
    <t>DBSLead-789</t>
  </si>
  <si>
    <t>LC 05/16: Left vm to r/s</t>
  </si>
  <si>
    <t xml:space="preserve">LC 08/08: Left vm @11:27am; LC 07/11: Left vm </t>
  </si>
  <si>
    <t>2 SPANISH and 2 ENGLISH (2024)</t>
  </si>
  <si>
    <t>DBSLead-799</t>
  </si>
  <si>
    <t xml:space="preserve">IV 9/25: lead is unsure of scheduling, said he would contact us in the future when hes ready, not soon , I let him know recruitment will end soon </t>
  </si>
  <si>
    <t>DBSLead-860</t>
  </si>
  <si>
    <t>5/22 GT Signed; LC 05/16: Left vm @10:18am; prefers mon/tues</t>
  </si>
  <si>
    <t>LC 07/31: Offer a sooner visit on Monday &amp; Tuesday. MRI building closed on original date</t>
  </si>
  <si>
    <t xml:space="preserve">Yes. Mon prefrence. Doc note </t>
  </si>
  <si>
    <t>1 SPANISH (2024), 2 SPANISH (2025)</t>
  </si>
  <si>
    <t>DBSLead-770</t>
  </si>
  <si>
    <t>DBSLead-838</t>
  </si>
  <si>
    <t xml:space="preserve">9/19/24 CANCELLED. Rescheduled date pending...GHOST </t>
  </si>
  <si>
    <t>DBSLead-617</t>
  </si>
  <si>
    <t>GT Signed; LC 04/12: Left vm; 6am availability prefer</t>
  </si>
  <si>
    <t xml:space="preserve">Schedule for Wednesday; LC 08/21: Guy who ate breakfast. Find earliest appt.; 8/14/24 Rescheduled. New date pending ; New date 10/25/24 - fill in for cancellation. </t>
  </si>
  <si>
    <t>GT Signed; GT 9/17: Left vm + text; LC 09/05: Sent text; LC 09/03: Left vm</t>
  </si>
  <si>
    <t>LC 10/23: Left vm; LC 10/03: Left vm @2:53pm</t>
  </si>
  <si>
    <t xml:space="preserve">IV 9/20: lead wanted full body mri scan, specifically to see heart, not interested anymore </t>
  </si>
  <si>
    <t>DBSLead-805</t>
  </si>
  <si>
    <t>LC 08/08: Phone # no longer in service; Email sent</t>
  </si>
  <si>
    <t>NOSHOW... 11/5/24 Still interested in completing. Requesting Wednesday</t>
  </si>
  <si>
    <t>DBSLead-818</t>
  </si>
  <si>
    <t>GT Signed; D</t>
  </si>
  <si>
    <t>JE 11/08 Originally scheduled for 02/12/25. Filled in for DBS-1315 on 11/8/24 @8:30am; LC 11/07: If sooner availability please call; Sent text; LC 11/04: Left vm @3:41pm</t>
  </si>
  <si>
    <t>will do</t>
  </si>
  <si>
    <t>DBSLead-798</t>
  </si>
  <si>
    <t xml:space="preserve">10/03/24 Cancelled - new date tbd. Lead stoped responding. </t>
  </si>
  <si>
    <t>GT Signed: GT 7/25: Scheduled; Left vm @ 2:11 pm; LC 07/22: Left vm @2:40pm</t>
  </si>
  <si>
    <t>9/3 GT Left vm</t>
  </si>
  <si>
    <t>DBSLead-873</t>
  </si>
  <si>
    <t>GT signed; LC 08/05: Left vm @1:22pm</t>
  </si>
  <si>
    <t xml:space="preserve">IV 10/18: no showed 10/09 , left vm sent text, called again no answer, might have been blocked </t>
  </si>
  <si>
    <t xml:space="preserve"> Appt at 8:30</t>
  </si>
  <si>
    <t>DBSLead-879</t>
  </si>
  <si>
    <t>GT 5/29 Left vm and text ; LC 05/02: Left vm @9:27am</t>
  </si>
  <si>
    <t xml:space="preserve">LC 09/25: Left vm @11:29am. </t>
  </si>
  <si>
    <t>rescheduled 8/9 to 8/23</t>
  </si>
  <si>
    <t>DBSLead-876</t>
  </si>
  <si>
    <t>LC 08/21: Unable to leave vm. Sent text; LC 08/19: Left vm @2:40pm</t>
  </si>
  <si>
    <t>Appt at 8:30 am 9:30 scan</t>
  </si>
  <si>
    <t>Still thinking. Asked to be reminded in Jan</t>
  </si>
  <si>
    <t>DBSLead-884</t>
  </si>
  <si>
    <t>Not able to start MRI -JE 11/25/24;;LC 09/10: If sooner appt on Monday call</t>
  </si>
  <si>
    <t>DBSLead-844</t>
  </si>
  <si>
    <t>no blood</t>
  </si>
  <si>
    <t xml:space="preserve">10/28/24 cancelled. Does not wish to reprogram visit att. </t>
  </si>
  <si>
    <t>GT Signed; LC 11/04: Phone # not in service. Email sent.</t>
  </si>
  <si>
    <t>DBSLead-883</t>
  </si>
  <si>
    <t xml:space="preserve">SV date pending due to work scheduel. </t>
  </si>
  <si>
    <t xml:space="preserve">GT signed; LC 06/27: Left vm; LC 06/24: Left vm </t>
  </si>
  <si>
    <t>DBSLead-824</t>
  </si>
  <si>
    <t>LC 09/25: Left vm @11:31am</t>
  </si>
  <si>
    <t>GT signed; GT 7/25 Scheduled IV</t>
  </si>
  <si>
    <t>DBSLead-878</t>
  </si>
  <si>
    <t>LC 09/25: Prefers a tuesday</t>
  </si>
  <si>
    <t>GT Signed</t>
  </si>
  <si>
    <t>DBSLead-881</t>
  </si>
  <si>
    <t xml:space="preserve">Not Interested </t>
  </si>
  <si>
    <t>Request Friday visits. On vacation 11/6-11/17</t>
  </si>
  <si>
    <t>GT Signed; Prefers Monday or Tuesday</t>
  </si>
  <si>
    <t>DBSLead-898</t>
  </si>
  <si>
    <t>MRI Failed. Due to size Prefers Mon or Tues</t>
  </si>
  <si>
    <t xml:space="preserve">IV 11/21: sent text if still interested </t>
  </si>
  <si>
    <t>requests BD results</t>
  </si>
  <si>
    <t>DBSLead-907</t>
  </si>
  <si>
    <t>Hip problem. Worried about MRI</t>
  </si>
  <si>
    <t>DBSLead-901</t>
  </si>
  <si>
    <t>DBSLead-916</t>
  </si>
  <si>
    <t xml:space="preserve">LC 10/02: Book for sooner appt. on a Monday </t>
  </si>
  <si>
    <t>Sent text and called. No answer</t>
  </si>
  <si>
    <t>LC 09/27: Sent text to schedule</t>
  </si>
  <si>
    <t>DBSLead-0803</t>
  </si>
  <si>
    <t xml:space="preserve">10/30/24 cancelled. Cancelled 11/12. Cancelled 11/20. 11/26 no-show, no new date. </t>
  </si>
  <si>
    <t>GT Signed; LC 06/19: Left vm @4:23pm;MJ: Would like to combine her visits</t>
  </si>
  <si>
    <t>DBSLead-803</t>
  </si>
  <si>
    <t>LC 09/25: Reached to scheduled MRI; LC 08/21: Currently out of the country;  Not a friday</t>
  </si>
  <si>
    <t>LC 09/27: Sent text; LC 09/23: Left vm (D)</t>
  </si>
  <si>
    <t xml:space="preserve">LC 10/11: Sent text </t>
  </si>
  <si>
    <t>DBSLead-918</t>
  </si>
  <si>
    <t>Only completed 1st scan. Did not want to cont</t>
  </si>
  <si>
    <t>DBSLead-0910</t>
  </si>
  <si>
    <t>JE 11/08: If sooner avalibility opens call.</t>
  </si>
  <si>
    <t>GT ICF Signed; GT 9/17 Left vm + text</t>
  </si>
  <si>
    <t>DBSLead-843</t>
  </si>
  <si>
    <t xml:space="preserve">GT 1/23/25 Left vm; LC 10/03: Sent text; LC 09/25: Left vm @12:05pm; JE 01/07/25 Participant cancelled. Would like to reschedule. </t>
  </si>
  <si>
    <t>Lead decided to opt out due to distance</t>
  </si>
  <si>
    <t>GT Signed; LC 01/07: LC 01/06: Left vm @3:02pm; GT 12/10: Wants to do all visits in 1 day, call back in Jan bc works in store doesn't know days off yet</t>
  </si>
  <si>
    <t>DBSLead-894</t>
  </si>
  <si>
    <t>1/12/24 Reschedule (sick)</t>
  </si>
  <si>
    <t>GT 1/29 sent text for tomorrow</t>
  </si>
  <si>
    <t>SV BD done, phq9 high</t>
  </si>
  <si>
    <t>DBSLead-924</t>
  </si>
  <si>
    <t>LC 09/09: Left vm</t>
  </si>
  <si>
    <t>LC 1/29 Can actually do 1/31; GT 1/28: Originally scheduled for 1/31 but mom in ICU; LC 10/23: Left vm; LC 10/03: Left vm @2:53pm</t>
  </si>
  <si>
    <t>DBSLead-932</t>
  </si>
  <si>
    <t>8:30 Scan time, arrive 8?</t>
  </si>
  <si>
    <t>DBSLead-928</t>
  </si>
  <si>
    <t>Wants a 8:30 scan time, order uber for 6:30 am</t>
  </si>
  <si>
    <t xml:space="preserve">Would like to schedule </t>
  </si>
  <si>
    <t>DBSLead-908</t>
  </si>
  <si>
    <t xml:space="preserve">Ghost </t>
  </si>
  <si>
    <t>DBSLead-935</t>
  </si>
  <si>
    <t>DBSLead-978</t>
  </si>
  <si>
    <t>GT Signed 12/2 Will call me back to schedule</t>
  </si>
  <si>
    <t>DBSLead-981</t>
  </si>
  <si>
    <t xml:space="preserve">GT 7/22 Sent text; might want to separate and do early mornings </t>
  </si>
  <si>
    <t>GT 2/14 Sent Survey Link</t>
  </si>
  <si>
    <t>LC 10/23: Texted dates; LC 10/11: Sent text to schedule; LC 09/25: Left vm @11:32am; Prefers a Tues or Thurs</t>
  </si>
  <si>
    <t>DBSLead-982</t>
  </si>
  <si>
    <t>DBSLead-956</t>
  </si>
  <si>
    <t>DBSLead-979</t>
  </si>
  <si>
    <r>
      <rPr>
        <rFont val="Arial"/>
        <color theme="1"/>
      </rPr>
      <t xml:space="preserve">2/14/25 Scan not completed. Need confirmation of object showing in scan. -JE ;; Prefers earlier date on friday; LC 12/12: left vm @3:57pm;; 2/13/25 JE Originally scheduled for 02/28/25. A cancellation opened avalibility for 2/14/25. Scheduled by GT.  ;; </t>
    </r>
    <r>
      <rPr>
        <rFont val="Arial"/>
        <color rgb="FFFF0000"/>
      </rPr>
      <t xml:space="preserve">02/14/25 JE Scan not completed. Metal showed in scan. Need confirmation of what the object is before rescheduling. More info added under notes on REDcap MRI section. </t>
    </r>
  </si>
  <si>
    <t>01/12/24 (Canceled)</t>
  </si>
  <si>
    <t xml:space="preserve">IV 1/31: cancelled previous visit, didn't reply to reschedule </t>
  </si>
  <si>
    <t>DBSLead-946</t>
  </si>
  <si>
    <t>pTau</t>
  </si>
  <si>
    <t>HbA1c</t>
  </si>
  <si>
    <t>Diabetic (≥6.5%)</t>
  </si>
  <si>
    <t>DBSLead-948</t>
  </si>
  <si>
    <t>LC 11/07: Left vm @2:25pm. Sent text;LC 11/05: Left vm @11:32am</t>
  </si>
  <si>
    <t>Pre-Diabetic (6–6.4%)</t>
  </si>
  <si>
    <t xml:space="preserve">IV 11/18: lead cancelled and said no longer interested </t>
  </si>
  <si>
    <t>Non-Diabetic (&lt;6%)</t>
  </si>
  <si>
    <t>High AD Risk</t>
  </si>
  <si>
    <t>DBSLead-987</t>
  </si>
  <si>
    <t>GT Signed; LC 10/21: Left vm</t>
  </si>
  <si>
    <t>Low AD Risk</t>
  </si>
  <si>
    <t>Genotype</t>
  </si>
  <si>
    <t>Date Genotyped</t>
  </si>
  <si>
    <t xml:space="preserve">Needs a friday at 9AM so scan at 9:30. ;;2/13/25 JE originally scheduled 2/14/25. Particiapnt messaged LC to cancel. New date TBD. </t>
  </si>
  <si>
    <t>Contact Notes</t>
  </si>
  <si>
    <t>SV Scheduled (Date)(if applicable)</t>
  </si>
  <si>
    <t>DBSLead-1004</t>
  </si>
  <si>
    <t>TOTAL DIABETICS</t>
  </si>
  <si>
    <t>LC 02/03: Unable to leave vm; SV BD pending .Thursday's pref: 1/22 GT couldn't leave vm, sent text</t>
  </si>
  <si>
    <t>3/2/25 Is able to fill cancellation from 1284. The date originally noted is 4/28/25. -JE</t>
  </si>
  <si>
    <t>DBSLead-1008</t>
  </si>
  <si>
    <t xml:space="preserve">stopped responding </t>
  </si>
  <si>
    <t>TOTAL NON-DIABETIC</t>
  </si>
  <si>
    <t>TOTAL HIGH AD RISK</t>
  </si>
  <si>
    <t>3/6/25 Shadow date for 4/14/25 but she is able to come in 3/10/25 as a fill in. -JE ;; 3/2/25 Request 9:30 am for future apt. Lives in Palmdale. Called to try to sub in. Not able to come in tomorrow. -JE</t>
  </si>
  <si>
    <t>DBSLead-1019</t>
  </si>
  <si>
    <t>TOTAL LOW AD RISK</t>
  </si>
  <si>
    <t>LC 11/04: F/u via text; GT 10/29 Sent text to schedule; LC 10/03: Sent text to schedule; LC 06/10: Will call to schedule</t>
  </si>
  <si>
    <t>DBSLead-1033</t>
  </si>
  <si>
    <t>LC 03/10: Sent text to r/s; 3/2/25 Was scheduled to come in tomorrow but cancelled. Needs new date. -JE</t>
  </si>
  <si>
    <t xml:space="preserve">2/4 GT Sent text to reschedule, still interested but currently only one at work; 1/24 GT Called by working, call next week; MJ 12/18: Any days work,,would prefer mornings </t>
  </si>
  <si>
    <t>DBSLead-1047</t>
  </si>
  <si>
    <t xml:space="preserve">3/14/25 Is able to fill in for scan today. Orignially scheduled for 04/11/25. -JE ;; </t>
  </si>
  <si>
    <t xml:space="preserve">Lead stoped responding. Could not confirm metal in body. </t>
  </si>
  <si>
    <t xml:space="preserve">GT Signed </t>
  </si>
  <si>
    <t>DBSLead-0985</t>
  </si>
  <si>
    <t>3/14/25 Called for fill in. NA -JE ;; 3/2/25 Called to ask to fill opening tomorrow. Not availabe. Will keep original date. -JE</t>
  </si>
  <si>
    <t>GT Signed; GT 7/25: IV Scheduled; LC 07/16: Left vm @2:52pm; LC 06/24: Left vm; IV 6/20: ask for np spanish or english</t>
  </si>
  <si>
    <t>DBSLead-1032</t>
  </si>
  <si>
    <t>3/14/25 Called for fill in. NA -JE ;; LC 01/28: Left vm; Prefers a Thursday; originally scheduled 10/31/24</t>
  </si>
  <si>
    <t>DBSLead-1048</t>
  </si>
  <si>
    <t xml:space="preserve">GT Signed; LC 01/08: Will text available dates </t>
  </si>
  <si>
    <t>DBSLead-1016</t>
  </si>
  <si>
    <t>Prefers earlier day if possible 3/14 GT Left vm</t>
  </si>
  <si>
    <t xml:space="preserve">12/5/24 rescheduled for 12/11/24 rescheduled for 12/16/24 rescheduled for 12/19/24 </t>
  </si>
  <si>
    <t>DBSLead-1046</t>
  </si>
  <si>
    <t>3/24/25 Originally scheduled for 04/07/25 but will be filling cancellation tomorrow. -JE ;; 3/14/25 Called for fill in. NA -JE ;; LC 02/26: Sent text to schedule; LC 01/28: Left vm; LC 12/12: New date needed; LC 09/25: Left vm @11:52am; Schedule for Tues</t>
  </si>
  <si>
    <t>12/11/24 rescheduled</t>
  </si>
  <si>
    <t>3/14 GT Not available to replace; 3/2/25 Called to ask to fill opening tomorrow. Not availabe. Will keep original date. -JE</t>
  </si>
  <si>
    <t>DBSLead-0969</t>
  </si>
  <si>
    <t>No response</t>
  </si>
  <si>
    <t>prefers Mon/Wed</t>
  </si>
  <si>
    <t>DBSLead-1000</t>
  </si>
  <si>
    <t>3/26/25 Called for fri fill in. Straight to vm. Phone may be off. Worth trying again.Confirmed for fill in. - JE ;; 3/24/25 Called for fill in for tomorrow but not able to come in. Is still very interested in participating. Call if there is an opening (thurs/fri preffered). -JE ;; LC 03/14: Sent text to r/s; 3/10/25 Cancelled todays scan last min. Would like to reprogram. 3/2/25 Called to ask to fill opening tomorrow. Not availabe. Will keep original date. -JE ;; LC 12/12: Left vm @3:59pm</t>
  </si>
  <si>
    <t xml:space="preserve">IV 1/13: sent message about scheduling </t>
  </si>
  <si>
    <t>GT Signed: LC 12/12: left vm @10:27am</t>
  </si>
  <si>
    <t>DBSLead-1012</t>
  </si>
  <si>
    <t>3/14/25 Called for fill in. NA - JE ;; LC 01/28: Left vm</t>
  </si>
  <si>
    <t>IV 1/13: sent message about scheduling</t>
  </si>
  <si>
    <t>3/24/25 Called for fill in. no answer. Participant reached back out and shared they would still like to participate.Offered 04/07/25 date. -JE ;; 3/14/25 Called for fill in. NA -JE ;; JE: 3/6/24 Originally scheduled for 3/10/25 but messaged LC to cancel. New date TBD</t>
  </si>
  <si>
    <t>DBSLead-821</t>
  </si>
  <si>
    <t xml:space="preserve">IV </t>
  </si>
  <si>
    <t>3/26/25 Participant called to cancel. Was scheduled for (03/28/25). She was in an accident and has a doc apmt fri. Would like to reschedule. Pref Wednesdays.New date (4/9/25) -JE ;;  3/14/25 Called for fill in. NA - JE ;; 1/28/25 GT: Sent dates for Fridays; booked 3/28; 1/23/25 GT: Still prefers a Friday; LC 12/11: Schedule for a Friday; JE 11/08 Originally scheduled for 11/18/24;</t>
  </si>
  <si>
    <t>DBSLead-997</t>
  </si>
  <si>
    <t>GT Signed; LC 01/29: Left vm; LC 01/28: Left vm @10:37am</t>
  </si>
  <si>
    <t>SV BD needs to be done</t>
  </si>
  <si>
    <t>GT 4/2 Sent text offering 4/28; LC 03/14: Sent text; 3/2/25 Called to ask to fill opening tomorrow. Not availabe. -JE</t>
  </si>
  <si>
    <t>DBSLead-940</t>
  </si>
  <si>
    <t xml:space="preserve">GT Signed; LC 06/03: Left vm; 5/28 GT left vm </t>
  </si>
  <si>
    <t>4/24/25 Will fill in for cancelled mri scan. -JE ;; 4/21/25 Called to offer 4/23 slot. No answer. Left vm. -JE ;; 3/14/25 Cancelled last min. Replaced with DBS-1725. -JE ;; 9 am start; GT1/28/25 Sent dates for Fridays; GT 1/23/25; Needs Tuesday or Friday, start scan 9 AM; JE 11/08 Cancelled. Needs to reschedule; Scan is at 9am LC 08/08: Left vm @11:32am; LC 07/11: Left vm</t>
  </si>
  <si>
    <t>DBSLead-1030</t>
  </si>
  <si>
    <t>FOUR GROUPS</t>
  </si>
  <si>
    <t>GT Signed; GT 2/10: Left vm and text; LC 02/03: Left vm; 1/22 GT: Left vm &amp; text to reschedule</t>
  </si>
  <si>
    <t>DBSLead-1041</t>
  </si>
  <si>
    <t>4/25/25 Scans did not start. The participant felt overwhelmed when going into the machine. -JE ;; 3/14/25 Called for fill in. NA. Needs advanced notice -JE ;; LC 03/10: Texted dates available</t>
  </si>
  <si>
    <t>Visit cancelled...requirment full</t>
  </si>
  <si>
    <t>DBSLead-1039</t>
  </si>
  <si>
    <t xml:space="preserve">No T2DM/IR and Low AD risk: HbA1c &lt; 6% and Plasma pTau181 &lt; 2.55 pg/ml </t>
  </si>
  <si>
    <t xml:space="preserve">GT Signed. SV Forms pending - signed </t>
  </si>
  <si>
    <t>Schedule same date as 1727, husband and wife; GT 4/2 Sent text to wife offering 4/28</t>
  </si>
  <si>
    <t>DBSLead-971</t>
  </si>
  <si>
    <t>DBSLead-835</t>
  </si>
  <si>
    <t>4/9/25 Sent text to ask to fill in for fridays scan. Not able to fill. -JE ;; 3/2/25 Called to sub but not able to come in tomorrow. Got a new job and requested to reschedule MRI visit. Also needs new link for partner q's. LC will send -JE ;; LC 12/12: Left vm 3:54pm</t>
  </si>
  <si>
    <t>GT Signed; LC 01/06: LC 12/12: Will call back</t>
  </si>
  <si>
    <t>T2DM/IR and Low AD risk: HbA1c ≥ 6% and Plasma pTau181 &lt; 2.55 pg/ml</t>
  </si>
  <si>
    <t>DBSLead-968</t>
  </si>
  <si>
    <t>no showed/no answer</t>
  </si>
  <si>
    <t>4/3025 Scan did not start due to difficulty breathing (congestion). May be open to rescheduling if future dates open... -JE ;; 4/425 Confirmed visit. Not able to fill in for cancellations. Needs advance notice. -JE ;; LC 03/19: Offered date for 03/25; 3/14 GT: Not available to come today for replacement</t>
  </si>
  <si>
    <t>DBSLead-1085</t>
  </si>
  <si>
    <t xml:space="preserve">LC 05/02: IV was completed during screening visit </t>
  </si>
  <si>
    <t>Mailed on 03/12</t>
  </si>
  <si>
    <t>07/25/23; 10/30/23</t>
  </si>
  <si>
    <t>DBSLead-1092</t>
  </si>
  <si>
    <t xml:space="preserve">GT ICF Signed; LC 09/09: Left vm </t>
  </si>
  <si>
    <t xml:space="preserve">No T2DM/IR and High AD risk: HbA1c &lt; 6% and Plasma pTau181 ≥ 2.55 pg/ml </t>
  </si>
  <si>
    <t>NO-SHOW</t>
  </si>
  <si>
    <t>4/28/25 Did not show -JE ;; 4/27/25 No reply from participant after multiple attempts. - JE ;; 4/9/25 Sent text to ask to fill in fri. Not availabe. -JE ;; 4/2/25 GT Sent our remaining MRI Dates; 3/26/25 Called for fri fill in. No answer. -JE ;; 3/24/25 Called for fill in. No answer. -JE ;; 3/14/25 Called for fill in. No answer. -JE ;; LC 02/26: sent text to schedule; GT 1/23/25 Offered 1/27 will call me tomorrow; Reschedule from 12/12/24</t>
  </si>
  <si>
    <t xml:space="preserve">Participant cancelled and said they would call back in a month </t>
  </si>
  <si>
    <t>Cancelled. Needs new date</t>
  </si>
  <si>
    <t>Visit not completed</t>
  </si>
  <si>
    <t>DBSLead-1076</t>
  </si>
  <si>
    <t>LC 03/19: Left vm @9am</t>
  </si>
  <si>
    <t>LC 03/23: Left vm @8:35m &amp; 8:45am. Texted but no response</t>
  </si>
  <si>
    <t>DBSLead-1098</t>
  </si>
  <si>
    <t>4/21/25 Not responding to schedue MRI. Left vm. -JE ;; 4/10/25 Mssg saying she is hurt. Sent last two available dates to choose from. -JE;; 4/9/25 Asked if she would be availabe to scan fri. No ablle to come -JE ;; 4/2/25 GT Sent our remaining MRI Datesl 3/26/25 Called for fri fill in. No answer. -JE ;; 3/24/25 Calendar notes state that participant asked LC to r/s. Originally scheduled for 3/25/25 -JE;; 3/14/25 Called for fill in. No answer. -JE ;; 8:30 Scan time, arrive 8?; LC 09/10: Find new MRI date originally scheduled for 09/11; LC 06/03: Left vm @12:28pm; 1/23/25 GT Prefers a Tuesday, sending dates for march/april; 1/28/25 GT Sent out dates for Tues</t>
  </si>
  <si>
    <t>T2DM/IR and High AD risk: HbA1c ≥ 6% and Plasma pTau181 ≥ 2.55 pg/ml</t>
  </si>
  <si>
    <t>Most likely, will do on a Fri</t>
  </si>
  <si>
    <t>6/13 GT: Unable to participate due to work schedule; GT 5/16: Call doesn't go through &amp; sent text at 2:41 pm</t>
  </si>
  <si>
    <t>DBSLead-1009</t>
  </si>
  <si>
    <t>4/24/25 Cancelled scan for tomorrow. Call if scan opens up.-JE ;; 4/9/25 Sent text to ask if avai to fill fri. Reply pending... -JE ;; 3/14 GT Not available to replace; 3/2/25 Called to ask to fill opening tomorrow. Not availabe. Will keep original date. -JE ;;LC 02/26: Sent text to schedule; LC 01/28: Left vm @2:57pm</t>
  </si>
  <si>
    <t>DBSLead-1079</t>
  </si>
  <si>
    <t>GT Signed; LC 12/12: left vm @10:28am</t>
  </si>
  <si>
    <t>LC 03/19: won't be back until after the 26th of May; LC 03/14: Sent text; GT 1/29 sent text about tomorrow</t>
  </si>
  <si>
    <t>DBSLead-1053</t>
  </si>
  <si>
    <t>How diabetes is defined amongst groups (pg. 25 Protocol)</t>
  </si>
  <si>
    <t>LC 04/12: r/s</t>
  </si>
  <si>
    <t>TBD?</t>
  </si>
  <si>
    <t>DBSLead-996</t>
  </si>
  <si>
    <t>4/21/25 Sent text asking about coming in on the 23rd. -JE ;; 4/15/25 Particiapnt messaged to communicate not able to come in on last offered dates 17th , 22nd. -JE ;; 4/11/25 Participant scheduled for 4/14 but cancelled due to no babysitter. Last two dates available offered. Pending response -JE ;; 4/2/25 GT Sent our remaining MRI Dates; 3/26/25 Called for fir fill in. No answer. -JE ;; 3/24/25 Called for fill in. No answer. -JE ;; 3/17/25 Overslept. Would like to rescheduel. -JE ;; 3/14/25 Called for fill in. No answer. -JE ;; 8:30 start; LC 11/21: Prefers Monday &amp; Tuesday; LC 05/16: Left vm 9:23am; 1/23/25 GT Left vm &amp; text; 1/28/25 GT Sent MRI dates on Mons</t>
  </si>
  <si>
    <t>DBSLead-1095</t>
  </si>
  <si>
    <t>LC 08/07: Not in country yet; LC 06/03: Return date is possibly in August. JE 1/7/25 Still in mex - health reasons. No return date yet, GT 1/23/25 Still in Mexico, no longer wants to participate in study</t>
  </si>
  <si>
    <t>LC 04/01: Sent text to r/s IV 03/28: Asked to r/s</t>
  </si>
  <si>
    <t>LC Signed</t>
  </si>
  <si>
    <t>DBSLead-1096</t>
  </si>
  <si>
    <t>Schedule for 1/27/25 but can no longer participate in study 1/23/25 GT</t>
  </si>
  <si>
    <t>No T2DM: &lt;6%</t>
  </si>
  <si>
    <t>LC 04/05: F/u on r/s screening visit; LC 05/16: Left vm</t>
  </si>
  <si>
    <t>DBSLead-1025</t>
  </si>
  <si>
    <t>Could not reach</t>
  </si>
  <si>
    <t>DBSLead-992</t>
  </si>
  <si>
    <t>Participant failed Mini-Cog; No longer eligible</t>
  </si>
  <si>
    <t>Prediabetes defined as HbA1c: 6-6.4%</t>
  </si>
  <si>
    <t>DBSLead-1071</t>
  </si>
  <si>
    <t>LC: Joined another clinical trial</t>
  </si>
  <si>
    <t>DBSLead-1042</t>
  </si>
  <si>
    <t>LC 04/07: Left vm and send text. No response from participant. LC 03/17: Call to r/s screening visit</t>
  </si>
  <si>
    <t>T2DM with HbA1c: &gt;6.5%</t>
  </si>
  <si>
    <t>DBSLead-1120</t>
  </si>
  <si>
    <t xml:space="preserve">Reschedule </t>
  </si>
  <si>
    <t>DBSLead-1106</t>
  </si>
  <si>
    <t>GT: CNR after rescheduling SV twice</t>
  </si>
  <si>
    <t>DBSLead-947</t>
  </si>
  <si>
    <t>LC 05/04: Called to ask if showing to visit but no answer</t>
  </si>
  <si>
    <t>DBSLead-1119</t>
  </si>
  <si>
    <t>DBSLead-1134</t>
  </si>
  <si>
    <t>LC 03/23: Call on 03/27 to r/s screening visit; LC 03/28: Left vm: LC 03/31: Unable to participate since she has to take care of her mom who had a recent stroke</t>
  </si>
  <si>
    <t>DBSLead-1142</t>
  </si>
  <si>
    <t>Will do BD during NP</t>
  </si>
  <si>
    <t>DBSLead-1059</t>
  </si>
  <si>
    <t>LC 05/18: Left vm and sent text msg. No response</t>
  </si>
  <si>
    <t>DBSLead-1167</t>
  </si>
  <si>
    <t>LC 04/06: No longer interested</t>
  </si>
  <si>
    <t>DBSLead-1150</t>
  </si>
  <si>
    <t>DBSLead-1174</t>
  </si>
  <si>
    <t>DBSLead-1152</t>
  </si>
  <si>
    <t>LC 05/16: Unable to leave vm</t>
  </si>
  <si>
    <t>DBSLead-1160</t>
  </si>
  <si>
    <t>LC 04/19: Called on 04/18 &amp; left vm. Texted. No response</t>
  </si>
  <si>
    <t>DBSLead-1191</t>
  </si>
  <si>
    <t>LC 05/23: Family emergency and needs to r/s. Follow-up in a week or two</t>
  </si>
  <si>
    <t>DBSLead-1195</t>
  </si>
  <si>
    <t>DBSLead-1143</t>
  </si>
  <si>
    <t xml:space="preserve">LC 06/22: Left vm; LC 06/23: Left vm. No response </t>
  </si>
  <si>
    <t>DBSLead-1199</t>
  </si>
  <si>
    <t xml:space="preserve">Cerner issues; accession # not coming up for phlebotomist </t>
  </si>
  <si>
    <t>DBSLead-1190</t>
  </si>
  <si>
    <t>DBSLead-1201</t>
  </si>
  <si>
    <t>No follow through</t>
  </si>
  <si>
    <t>DBSLead-1202</t>
  </si>
  <si>
    <t>Will do BD during NP visit</t>
  </si>
  <si>
    <t>DBSLead-1226</t>
  </si>
  <si>
    <t>SV BD done; Redo MOCA in spanish for NP</t>
  </si>
  <si>
    <t>DBSLead-1225</t>
  </si>
  <si>
    <t>DBSLead-1069</t>
  </si>
  <si>
    <t>DBSLead-1182</t>
  </si>
  <si>
    <t>CANCELED</t>
  </si>
  <si>
    <t xml:space="preserve">LC 11/30: Left vm @10am </t>
  </si>
  <si>
    <t>DBSLead-1189</t>
  </si>
  <si>
    <t>DBSLead-1244</t>
  </si>
  <si>
    <t>call monday to schedule</t>
  </si>
  <si>
    <t>DBSLead-1233</t>
  </si>
  <si>
    <t>DBSLead-1241</t>
  </si>
  <si>
    <t>DBSLead-1245</t>
  </si>
  <si>
    <t>Not able to participate at this time</t>
  </si>
  <si>
    <t>DBSLead-1254</t>
  </si>
  <si>
    <t>Full BD done</t>
  </si>
  <si>
    <t>DBSLead-1246</t>
  </si>
  <si>
    <t>SV BD Done LC 06/21: R/s screening visit to 06/26 due to daughters appointment</t>
  </si>
  <si>
    <t>DBSLead-1063</t>
  </si>
  <si>
    <t>DBSLead-1127</t>
  </si>
  <si>
    <t>CANCELLED</t>
  </si>
  <si>
    <t>LC 06/14: Left vm and sent txt message @11:33am; LC 06/14: Left vm @5:15pm</t>
  </si>
  <si>
    <t>DBSLead-1263</t>
  </si>
  <si>
    <t>DBSLead-1276</t>
  </si>
  <si>
    <t>DBSLead-1285</t>
  </si>
  <si>
    <t>RESCHEDULED</t>
  </si>
  <si>
    <t>DBSLead-1258</t>
  </si>
  <si>
    <t>DBSLead-1284</t>
  </si>
  <si>
    <t>DBSLead-1286</t>
  </si>
  <si>
    <t>Could'nt reschedule Lost contact</t>
  </si>
  <si>
    <t>DBSLead-1314</t>
  </si>
  <si>
    <t>DBSLead-1133</t>
  </si>
  <si>
    <t xml:space="preserve">LC 09/08: No showed. Unable to reach. </t>
  </si>
  <si>
    <t>DBSLead-1149</t>
  </si>
  <si>
    <t>DBSLead-1315</t>
  </si>
  <si>
    <t>IV 11/07: could not reach, no response</t>
  </si>
  <si>
    <t>DBSLead-1342</t>
  </si>
  <si>
    <t>Not scheduled</t>
  </si>
  <si>
    <t>Unable to participate</t>
  </si>
  <si>
    <t>DBSLead-1132</t>
  </si>
  <si>
    <t>CNR; LC 10/02: Has bump on head. Will f/u in 3 weeks;</t>
  </si>
  <si>
    <t>DBSLead-1144</t>
  </si>
  <si>
    <t>DBSLead-1177</t>
  </si>
  <si>
    <t>DBSLead-1156</t>
  </si>
  <si>
    <t>DBSLead-1303</t>
  </si>
  <si>
    <t>DBSLead-1319</t>
  </si>
  <si>
    <t>DBSLead-1187</t>
  </si>
  <si>
    <t>DBSLead-1312</t>
  </si>
  <si>
    <t>not interested</t>
  </si>
  <si>
    <t>DBSLead-1328</t>
  </si>
  <si>
    <t xml:space="preserve">LC 08/03: Called and said they would call back. Called a second time and left vm. </t>
  </si>
  <si>
    <t>DBSLead-1335</t>
  </si>
  <si>
    <t>DBSLead-1341</t>
  </si>
  <si>
    <t>DBSLead-1343</t>
  </si>
  <si>
    <t>LC 09/11: PHQ-9 was elevated (18). Disqualifies lead. SV BD done</t>
  </si>
  <si>
    <t>DBSLead-1347</t>
  </si>
  <si>
    <t>DBSLead-1351</t>
  </si>
  <si>
    <t xml:space="preserve">could not reach </t>
  </si>
  <si>
    <t>DBSLead-1218</t>
  </si>
  <si>
    <t>DBSLead-1320</t>
  </si>
  <si>
    <t>DBSLead-1359</t>
  </si>
  <si>
    <t>Y...DISQUALIFIED</t>
  </si>
  <si>
    <t>DBSLead-1369</t>
  </si>
  <si>
    <t>not available</t>
  </si>
  <si>
    <t>DBSLead-1387</t>
  </si>
  <si>
    <t>DBSLead-1393</t>
  </si>
  <si>
    <t>DBSLead-1392</t>
  </si>
  <si>
    <t>DBSLead-1354</t>
  </si>
  <si>
    <t>DBSLead-1396</t>
  </si>
  <si>
    <t>DBSLead-1388</t>
  </si>
  <si>
    <t>Call to follow-up</t>
  </si>
  <si>
    <t>DBSLead-1416</t>
  </si>
  <si>
    <t>DBSLead-1404</t>
  </si>
  <si>
    <t>DBSLead-1415</t>
  </si>
  <si>
    <t>DBSLead-1399</t>
  </si>
  <si>
    <t>DBSLead-1427</t>
  </si>
  <si>
    <t>DBSLead-1429</t>
  </si>
  <si>
    <t>DBSLead-1418</t>
  </si>
  <si>
    <t xml:space="preserve">IV 10/19: texted to reschedule, no longer interested </t>
  </si>
  <si>
    <t>6/25/25</t>
  </si>
  <si>
    <t>DBSLead-1306</t>
  </si>
  <si>
    <t>DBSLead-1318</t>
  </si>
  <si>
    <t xml:space="preserve">LC 09/25: Called to cancel. </t>
  </si>
  <si>
    <t>DBSLead-1408</t>
  </si>
  <si>
    <t>DBSLead-1443</t>
  </si>
  <si>
    <t>DBSLead-1310</t>
  </si>
  <si>
    <t>DBSLead-1439</t>
  </si>
  <si>
    <t>DBSLead-1385</t>
  </si>
  <si>
    <t xml:space="preserve">NI; LC 11/29: Left vm @10:54am </t>
  </si>
  <si>
    <t>DBSLead-1462</t>
  </si>
  <si>
    <t>FUll BD done during ICF</t>
  </si>
  <si>
    <t>DBSLead-1373</t>
  </si>
  <si>
    <t>DBSLead-1455</t>
  </si>
  <si>
    <t>DBSLead-1368</t>
  </si>
  <si>
    <t>DBSLead-1473</t>
  </si>
  <si>
    <t>DBSLead-1486</t>
  </si>
  <si>
    <t>DBSLead-1139</t>
  </si>
  <si>
    <t>MJ 04/12: Sent participant text to reschedule, but they havent responded</t>
  </si>
  <si>
    <t>DBSLead-1480</t>
  </si>
  <si>
    <t>DBSLead-1484</t>
  </si>
  <si>
    <t>CNR</t>
  </si>
  <si>
    <t>DBSLead-1483</t>
  </si>
  <si>
    <t xml:space="preserve">Will do BD during ICF </t>
  </si>
  <si>
    <t>Completed Visit</t>
  </si>
  <si>
    <t>DBSLead-1491</t>
  </si>
  <si>
    <t>DBSLead-1492</t>
  </si>
  <si>
    <t>DBSLead-1497</t>
  </si>
  <si>
    <t>DBSLead-1493</t>
  </si>
  <si>
    <t xml:space="preserve">LC 11/10: Could not reach. Unresponsive </t>
  </si>
  <si>
    <t>DBSLead-1505</t>
  </si>
  <si>
    <t>DBSLead-1515</t>
  </si>
  <si>
    <t>DBSLead-1508</t>
  </si>
  <si>
    <t>DBSLead-1521</t>
  </si>
  <si>
    <t>DBSLead-1523</t>
  </si>
  <si>
    <t>DBSLead-1530</t>
  </si>
  <si>
    <t>DBSLead-1532</t>
  </si>
  <si>
    <t xml:space="preserve">Afraid to participate </t>
  </si>
  <si>
    <t>DBSLead-1533</t>
  </si>
  <si>
    <t>DBSLead-1516</t>
  </si>
  <si>
    <t>undecided</t>
  </si>
  <si>
    <t>SV BD Done/Does not want to do LP</t>
  </si>
  <si>
    <t>DBSLead-1537</t>
  </si>
  <si>
    <t>LC 11/22: Participant texted last night letting me know they are out of town due to family emergency and will r/s when back.</t>
  </si>
  <si>
    <t>DBSLead-1541</t>
  </si>
  <si>
    <t>Lead stopped responding</t>
  </si>
  <si>
    <t>DBSLead-1554</t>
  </si>
  <si>
    <t>DBSLead-1553</t>
  </si>
  <si>
    <t>LC 12/07: Unable to attend due to daughter's cancer diagnosis; LC 11/30: Asked to be called before 2pm</t>
  </si>
  <si>
    <t>DBSLead-1562</t>
  </si>
  <si>
    <t xml:space="preserve">CANCELLED </t>
  </si>
  <si>
    <t>DBSLead-1575</t>
  </si>
  <si>
    <t>DBSLead-1579</t>
  </si>
  <si>
    <t xml:space="preserve">SV BD done; LC 11/21: No-showed to ICF visit </t>
  </si>
  <si>
    <t>DBSLead-1556</t>
  </si>
  <si>
    <t>DBSLead-1558</t>
  </si>
  <si>
    <t>No-show</t>
  </si>
  <si>
    <t>DBSLead-1576</t>
  </si>
  <si>
    <t>iv 9/24: old lead, never did sv, updated health/medications, IV 9/26: cancelled, had an emergency, asked what day ltheyd like to rechedule, no asnwer IV 10/2: sent text if still interested to reschdule, said she is focusing on looking for a job</t>
  </si>
  <si>
    <t>DBSLead-1583</t>
  </si>
  <si>
    <t>Not interested att</t>
  </si>
  <si>
    <t>DBSLead-1566</t>
  </si>
  <si>
    <t>Not able to schedule</t>
  </si>
  <si>
    <t>DBSLead-1593</t>
  </si>
  <si>
    <t>DBSLead-1596</t>
  </si>
  <si>
    <t>Rescheduled multiple times</t>
  </si>
  <si>
    <t>DBSLead-1598</t>
  </si>
  <si>
    <t>DBSLead-1601</t>
  </si>
  <si>
    <t>DBSLead-1611</t>
  </si>
  <si>
    <t>DBSLead-1610</t>
  </si>
  <si>
    <t>GT 8/18: SV BD Done; GT 5/16: Left vm &amp; text at 2:35 pm</t>
  </si>
  <si>
    <t>DBSLead-1605</t>
  </si>
  <si>
    <t>DBSLead-1623</t>
  </si>
  <si>
    <t>11/27 Could not reach</t>
  </si>
  <si>
    <t>DBSLead-1625</t>
  </si>
  <si>
    <t>LC 11/27: No-showed</t>
  </si>
  <si>
    <t>DBSLead-1622</t>
  </si>
  <si>
    <t>DBSLead-1582</t>
  </si>
  <si>
    <t>DBSLead-1619</t>
  </si>
  <si>
    <t>DBSLead-1620</t>
  </si>
  <si>
    <t>DBS-1109</t>
  </si>
  <si>
    <t>DBSLead-1629</t>
  </si>
  <si>
    <t>MJ 01/29: Can no longer commit to study</t>
  </si>
  <si>
    <t>DBSLead-1634</t>
  </si>
  <si>
    <t>DBSLead-1645</t>
  </si>
  <si>
    <t>DBSLead-1654</t>
  </si>
  <si>
    <t>JE/GT</t>
  </si>
  <si>
    <t>MJ 02/29: Could not reach</t>
  </si>
  <si>
    <t>DBSLead-1664</t>
  </si>
  <si>
    <t>SV BD done; DQ high PHQ9</t>
  </si>
  <si>
    <t>DBSLead-1674</t>
  </si>
  <si>
    <t>DBSLead-1657</t>
  </si>
  <si>
    <t xml:space="preserve">no longer interested </t>
  </si>
  <si>
    <t>DBSLead-1630</t>
  </si>
  <si>
    <t>DBSLead-1662</t>
  </si>
  <si>
    <t>DBSLead-1680</t>
  </si>
  <si>
    <t>NO RESPONSE</t>
  </si>
  <si>
    <t>DBSLead-1684</t>
  </si>
  <si>
    <t>DBSLead-1677</t>
  </si>
  <si>
    <t>DBSLead-1608</t>
  </si>
  <si>
    <t>SV BD not done//Disqualified due to hysterectomy/FAQ</t>
  </si>
  <si>
    <t>DBSLead-1668</t>
  </si>
  <si>
    <t>DBSLead-1695</t>
  </si>
  <si>
    <t>DBSLead-1703</t>
  </si>
  <si>
    <t>Not interested in full study ;SV BD done</t>
  </si>
  <si>
    <t>DBSLead-1705</t>
  </si>
  <si>
    <t>Participant no showed</t>
  </si>
  <si>
    <t>DBSLead-1709</t>
  </si>
  <si>
    <t>No -show</t>
  </si>
  <si>
    <t>DBSLead-1716</t>
  </si>
  <si>
    <t>DBSLead-1725</t>
  </si>
  <si>
    <t xml:space="preserve">iv 9/20: old lead, never did sv, updated health/medications, IV 10/1: no showed visit, said she had doubts, texted her, left vm sent text again, no answer </t>
  </si>
  <si>
    <t>DBSLead-1721</t>
  </si>
  <si>
    <t>DBSLead-1722</t>
  </si>
  <si>
    <t>DBSLead-1728</t>
  </si>
  <si>
    <t>MJ 01/11: Did not want to continue due to compensation</t>
  </si>
  <si>
    <t>DBSLead-1734</t>
  </si>
  <si>
    <t>DBSLead-1653</t>
  </si>
  <si>
    <t>DBSLead-1727</t>
  </si>
  <si>
    <t>DBSLead-1735</t>
  </si>
  <si>
    <t>LC 03/20: Asked to r/s but did not f/u</t>
  </si>
  <si>
    <t>DBSLead-1730</t>
  </si>
  <si>
    <t>MJ 03/28: Participant no showed and did not respond to texts or vm MJ 03/11: Participant is sick,,he will reach out when he feels better</t>
  </si>
  <si>
    <t>DBSLead-237</t>
  </si>
  <si>
    <t>03/22/23</t>
  </si>
  <si>
    <t xml:space="preserve">Disqualified due to high PHQ9 ; ECog 12; SV BD done </t>
  </si>
  <si>
    <t>DBSLead-322</t>
  </si>
  <si>
    <t>04/06/23</t>
  </si>
  <si>
    <t>04/12/23</t>
  </si>
  <si>
    <t xml:space="preserve">Consent ICF </t>
  </si>
  <si>
    <t xml:space="preserve">Y </t>
  </si>
  <si>
    <t>Blank</t>
  </si>
  <si>
    <t>Name</t>
  </si>
  <si>
    <t>Stopped</t>
  </si>
  <si>
    <t xml:space="preserve">ID </t>
  </si>
  <si>
    <t xml:space="preserve">Date Requested </t>
  </si>
  <si>
    <t>Date Labs Drawn</t>
  </si>
  <si>
    <t>Emailed/Mailed &amp; Date</t>
  </si>
  <si>
    <t xml:space="preserve">Staff Initials </t>
  </si>
  <si>
    <t>Emailed 03/27</t>
  </si>
  <si>
    <t>Emailed 03/29</t>
  </si>
  <si>
    <t>Emailed 04/06</t>
  </si>
  <si>
    <t>03/03/23 &amp; 04/24/23</t>
  </si>
  <si>
    <t>Emailed 05/14</t>
  </si>
  <si>
    <t>Emailed 05/15</t>
  </si>
  <si>
    <t>Emailed 07/19</t>
  </si>
  <si>
    <t>Sent through text 08/29</t>
  </si>
  <si>
    <t>Sent through text 10/17</t>
  </si>
  <si>
    <t>Emailed 02/08</t>
  </si>
  <si>
    <t xml:space="preserve">Sent throught text 1/16 </t>
  </si>
  <si>
    <t>Sent through email 01/24</t>
  </si>
  <si>
    <t>Emailed on 03/22/24</t>
  </si>
  <si>
    <t>Emailed on 03/28/24</t>
  </si>
  <si>
    <t>Emailed on 08/20/24</t>
  </si>
  <si>
    <t>requesting BD results</t>
  </si>
  <si>
    <t>Emailed on 05/16/24</t>
  </si>
  <si>
    <t xml:space="preserve">GT also emailed and sent labs by text. Participant shared she did not receive prior attempt. </t>
  </si>
  <si>
    <t>Emailed on 05/20/24</t>
  </si>
  <si>
    <t xml:space="preserve"> LC</t>
  </si>
  <si>
    <t>Emailed on 06/04/24</t>
  </si>
  <si>
    <t>Emailed on 08/07/24</t>
  </si>
  <si>
    <t xml:space="preserve">requesting BD results -JE </t>
  </si>
  <si>
    <t>Emailed</t>
  </si>
  <si>
    <t>requesting BD / A1C -JE</t>
  </si>
  <si>
    <t xml:space="preserve">would like results </t>
  </si>
  <si>
    <t>Texted on 10/17/24</t>
  </si>
  <si>
    <t>would like results -JE</t>
  </si>
  <si>
    <t>all blood results requested -je</t>
  </si>
  <si>
    <t xml:space="preserve">all blood results (asked for resend if sent already) -je </t>
  </si>
  <si>
    <t>6/28/24 , 5/21/24</t>
  </si>
  <si>
    <t>Sent through text 4/25/25</t>
  </si>
  <si>
    <t xml:space="preserve">12/17 IV: emailed </t>
  </si>
  <si>
    <t>all blood results requested -mj</t>
  </si>
  <si>
    <t>12/02 IV: texted</t>
  </si>
  <si>
    <t>12/17 IV: texted</t>
  </si>
  <si>
    <t>01/23/26; emailed and texted</t>
  </si>
  <si>
    <t>all blood results requested - CTS</t>
  </si>
  <si>
    <t>Request to send via email - CTS</t>
  </si>
  <si>
    <t>sent her text photo on 4/16/26 JE</t>
  </si>
  <si>
    <t>Request via text - CTS</t>
  </si>
  <si>
    <t>DBS-1176</t>
  </si>
  <si>
    <t>Request via email - CTS</t>
  </si>
  <si>
    <t>Mailed? Date?</t>
  </si>
  <si>
    <t>Mailed</t>
  </si>
  <si>
    <t xml:space="preserve">LC 06/12: Awaiting for MRI CD </t>
  </si>
  <si>
    <t>In-person</t>
  </si>
  <si>
    <t>04/05: Emailed Katherin</t>
  </si>
  <si>
    <t xml:space="preserve">JE  </t>
  </si>
  <si>
    <t xml:space="preserve">JE Given to wife </t>
  </si>
  <si>
    <t>Mailed out 8/7/24</t>
  </si>
  <si>
    <t xml:space="preserve">JE </t>
  </si>
  <si>
    <t>JE. Participant forgot CD in locker room. Mailed out 9/10/24</t>
  </si>
  <si>
    <t>Mailed out 9/27/24</t>
  </si>
  <si>
    <t>In-pereson</t>
  </si>
  <si>
    <t xml:space="preserve">JE Mailed out 10/16 </t>
  </si>
  <si>
    <t>Mailed out 11/4/24</t>
  </si>
  <si>
    <t xml:space="preserve">In-person </t>
  </si>
  <si>
    <t>JE... email?</t>
  </si>
  <si>
    <t>Mailed out 1/17/25</t>
  </si>
  <si>
    <t>IV: requested, need to mal</t>
  </si>
  <si>
    <t>IV: requested, need to mail</t>
  </si>
  <si>
    <t>need to mail</t>
  </si>
  <si>
    <t>In-perosn</t>
  </si>
  <si>
    <t xml:space="preserve">Mailed </t>
  </si>
  <si>
    <t xml:space="preserve">JE 3rd yr </t>
  </si>
  <si>
    <t xml:space="preserve">JE 10/16/25 one stop drop off </t>
  </si>
  <si>
    <t xml:space="preserve">JE 1st and 3rd yr </t>
  </si>
  <si>
    <t xml:space="preserve">IV, give at mri visit 11/18. Given. Yr 1 n 2 JE </t>
  </si>
  <si>
    <t>Mailed 11/14</t>
  </si>
  <si>
    <t>JE, MJ</t>
  </si>
  <si>
    <t>CTS , MJ</t>
  </si>
  <si>
    <t>Mailed 12/23</t>
  </si>
  <si>
    <t>MJ requested, JE mailed</t>
  </si>
  <si>
    <t>Mailed 01/09/26</t>
  </si>
  <si>
    <t>CTS requested</t>
  </si>
  <si>
    <t>Mailed 1/26/26</t>
  </si>
  <si>
    <t>1/16 Requested yr 1 and yr 2 - pending collection</t>
  </si>
  <si>
    <t>Mailed 2/3/26</t>
  </si>
  <si>
    <t>Requested 2/3/26 -JE</t>
  </si>
  <si>
    <t>Requested Baseline and 3rd year MRI - CTS</t>
  </si>
  <si>
    <t xml:space="preserve">Requested - yr 1 and yr 2 </t>
  </si>
  <si>
    <t>Given in person at cv visit JE</t>
  </si>
  <si>
    <t>CTS given during MRI</t>
  </si>
  <si>
    <t>Pending</t>
  </si>
  <si>
    <t xml:space="preserve">1st scan lost in transit. Asked Perry for new one.  </t>
  </si>
  <si>
    <t>05/05/26 Perry burned Y1 and Y3 CDs; Mailed JE/CTS Lost in mail transit CTS 04/12/26 Requesting 1st and 3rd year. Let perry know. 4/9/26 JE</t>
  </si>
  <si>
    <t xml:space="preserve">Requested 1st and 3rd year - CTS </t>
  </si>
  <si>
    <t>Requested Y3MRI - CTS</t>
  </si>
  <si>
    <t xml:space="preserve">Requested Y3 MRI -CTS </t>
  </si>
  <si>
    <t>Given in person during visit - CTS</t>
  </si>
  <si>
    <t>Requested Y1 and Y3, Given in person during visit - CTS</t>
  </si>
  <si>
    <t>Emailed/Mailed</t>
  </si>
  <si>
    <t>results requested -je</t>
  </si>
  <si>
    <t>Clinical Team</t>
  </si>
  <si>
    <t>Basic Science Team</t>
  </si>
  <si>
    <t>ID Number:</t>
  </si>
  <si>
    <t>Date Collected:</t>
  </si>
  <si>
    <t>Time (Drop off):</t>
  </si>
  <si>
    <t>Visit Type (SCREENING BD (SBD), MRI BASE (MB), MRI POST (MP), LP)</t>
  </si>
  <si>
    <t>Sample Type (Blood/Serum/CSF):</t>
  </si>
  <si>
    <t>Number of Tubes:</t>
  </si>
  <si>
    <t>Initials:</t>
  </si>
  <si>
    <t>Time (Pick Up):</t>
  </si>
  <si>
    <t>Notes:</t>
  </si>
  <si>
    <t>SBD</t>
  </si>
  <si>
    <t>DB</t>
  </si>
  <si>
    <t>MB</t>
  </si>
  <si>
    <t>AS</t>
  </si>
  <si>
    <t>3:58 PM</t>
  </si>
  <si>
    <t xml:space="preserve">Date of Visit </t>
  </si>
  <si>
    <t xml:space="preserve">Completed? </t>
  </si>
  <si>
    <t>Printed?</t>
  </si>
  <si>
    <t>Calendar Updated?</t>
  </si>
  <si>
    <t>Calendar updated up till 9/25/26</t>
  </si>
  <si>
    <t>uds_id_200</t>
  </si>
  <si>
    <t>Not enrolled</t>
  </si>
  <si>
    <t>DQ</t>
  </si>
  <si>
    <t>9:55 AM</t>
  </si>
  <si>
    <t>-</t>
  </si>
  <si>
    <t>MP</t>
  </si>
  <si>
    <t xml:space="preserve">DBS-1047 </t>
  </si>
  <si>
    <t>LP</t>
  </si>
  <si>
    <t xml:space="preserve">DBS-0299 </t>
  </si>
  <si>
    <t>LA</t>
  </si>
  <si>
    <t>9/25//26</t>
  </si>
  <si>
    <t xml:space="preserve"> DB</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</si>
</sst>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mm/dd/yy"/>
    <numFmt numFmtId="165" formatCode="&quot;$&quot;#,##0"/>
    <numFmt numFmtId="166" formatCode="mmmm yyyy"/>
    <numFmt numFmtId="167" formatCode="m/d/yy"/>
    <numFmt numFmtId="168" formatCode="m/d/yyyy"/>
    <numFmt numFmtId="169" formatCode="mmm yyyy"/>
    <numFmt numFmtId="170" formatCode="mm/dd"/>
    <numFmt numFmtId="171" formatCode="mmmm d"/>
    <numFmt numFmtId="172" formatCode="mm/dd/yyyy"/>
    <numFmt numFmtId="173" formatCode="m/d"/>
    <numFmt numFmtId="174" formatCode="&quot;$&quot;#,##0.00"/>
    <numFmt numFmtId="175" formatCode="&quot;$&quot;#,##0.00_);[Red]\(&quot;$&quot;#,##0.00\)"/>
    <numFmt numFmtId="176" formatCode="h:mm am/pm"/>
    <numFmt numFmtId="177" formatCode="M/d/yyyy"/>
    <numFmt numFmtId="178" formatCode="0.0"/>
  </numFmts>
  <fonts count="49">
    <font>
      <sz val="10.0"/>
      <color rgb="FF000000"/>
      <name val="Arial"/>
      <scheme val="minor"/>
    </font>
    <font>
      <b/>
      <color theme="1"/>
      <name val="Arial"/>
      <scheme val="minor"/>
    </font>
    <font>
      <b/>
      <sz val="12.0"/>
      <color rgb="FFFF0000"/>
      <name val="Calibri"/>
    </font>
    <font>
      <color theme="1"/>
      <name val="Arial"/>
      <scheme val="minor"/>
    </font>
    <font>
      <b/>
      <color rgb="FFFF0000"/>
      <name val="Arial"/>
    </font>
    <font>
      <color theme="1"/>
      <name val="Arial"/>
    </font>
    <font>
      <b/>
      <color theme="1"/>
      <name val="Arial"/>
    </font>
    <font>
      <b/>
      <color rgb="FFFF0000"/>
      <name val="Arial"/>
      <scheme val="minor"/>
    </font>
    <font>
      <b/>
      <color rgb="FF980000"/>
      <name val="Arial"/>
      <scheme val="minor"/>
    </font>
    <font>
      <b/>
      <color rgb="FFFFFFFF"/>
      <name val="Arial"/>
      <scheme val="minor"/>
    </font>
    <font>
      <b/>
      <sz val="13.0"/>
      <color theme="1"/>
      <name val="Arial"/>
    </font>
    <font>
      <b/>
      <color rgb="FF980000"/>
      <name val="Arial"/>
    </font>
    <font>
      <color rgb="FF000000"/>
      <name val="Arial"/>
    </font>
    <font>
      <color rgb="FF333333"/>
      <name val="Arial"/>
    </font>
    <font>
      <i/>
      <color theme="1"/>
      <name val="Arial"/>
    </font>
    <font>
      <b/>
      <color rgb="FF0000FF"/>
      <name val="Arial"/>
    </font>
    <font>
      <sz val="10.0"/>
      <color theme="1"/>
      <name val="Arial"/>
      <scheme val="minor"/>
    </font>
    <font>
      <color rgb="FF000000"/>
      <name val="Arial"/>
      <scheme val="minor"/>
    </font>
    <font>
      <i/>
      <color theme="1"/>
      <name val="Arial"/>
      <scheme val="minor"/>
    </font>
    <font>
      <b/>
      <sz val="21.0"/>
      <color theme="1"/>
      <name val="Arial"/>
      <scheme val="minor"/>
    </font>
    <font>
      <strike/>
      <color theme="1"/>
      <name val="Arial"/>
      <scheme val="minor"/>
    </font>
    <font>
      <b/>
      <sz val="12.0"/>
      <color theme="1"/>
      <name val="Arial"/>
      <scheme val="minor"/>
    </font>
    <font/>
    <font>
      <b/>
      <color rgb="FF000000"/>
      <name val="Arial"/>
      <scheme val="minor"/>
    </font>
    <font>
      <sz val="10.0"/>
      <color theme="1"/>
      <name val="Arial"/>
    </font>
    <font>
      <b/>
      <sz val="11.0"/>
      <color theme="1"/>
      <name val="Arial"/>
    </font>
    <font>
      <sz val="11.0"/>
      <color theme="1"/>
      <name val="Arial"/>
    </font>
    <font>
      <sz val="11.0"/>
      <color theme="1"/>
      <name val="Calibri"/>
    </font>
    <font>
      <sz val="11.0"/>
      <color rgb="FF000000"/>
      <name val="Calibri"/>
    </font>
    <font>
      <sz val="11.0"/>
      <color rgb="FF222222"/>
      <name val="&quot;Google Sans&quot;"/>
    </font>
    <font>
      <strike/>
      <color theme="1"/>
      <name val="Arial"/>
    </font>
    <font>
      <strike/>
      <sz val="11.0"/>
      <color rgb="FF000000"/>
      <name val="Calibri"/>
    </font>
    <font>
      <sz val="10.0"/>
      <color rgb="FF1F1F1F"/>
      <name val="Arial"/>
      <scheme val="minor"/>
    </font>
    <font>
      <strike/>
      <sz val="11.0"/>
      <color theme="1"/>
      <name val="Calibri"/>
    </font>
    <font>
      <sz val="11.0"/>
      <color rgb="FF000000"/>
      <name val="'Times New Roman'"/>
    </font>
    <font>
      <u/>
      <color rgb="FF0000FF"/>
    </font>
    <font>
      <sz val="10.0"/>
      <color rgb="FF1F1F1F"/>
      <name val="Arial"/>
    </font>
    <font>
      <b/>
      <sz val="11.0"/>
      <color rgb="FF000000"/>
      <name val="&quot;Times New Roman&quot;"/>
    </font>
    <font>
      <sz val="11.0"/>
      <color rgb="FF222222"/>
      <name val="&quot;Times New Roman&quot;"/>
    </font>
    <font>
      <color rgb="FF888888"/>
      <name val="Arial"/>
    </font>
    <font>
      <b/>
      <sz val="10.0"/>
      <color rgb="FF1F1F1F"/>
      <name val="Arial"/>
    </font>
    <font>
      <b/>
      <i/>
      <color theme="1"/>
      <name val="Arial"/>
    </font>
    <font>
      <sz val="12.0"/>
      <color theme="1"/>
      <name val="Times New Roman"/>
    </font>
    <font>
      <sz val="12.0"/>
      <color rgb="FF1F1F1F"/>
      <name val="Times New Roman"/>
    </font>
    <font>
      <sz val="12.0"/>
      <color theme="1"/>
      <name val="ArialMT"/>
    </font>
    <font>
      <b/>
      <sz val="11.0"/>
      <color theme="1"/>
      <name val="Calibri"/>
    </font>
    <font>
      <sz val="11.0"/>
      <color rgb="FF000000"/>
      <name val="&quot;Aptos Narrow&quot;"/>
    </font>
    <font>
      <sz val="11.0"/>
      <color rgb="FF000000"/>
      <name val="Arial"/>
    </font>
    <font>
      <sz val="11.0"/>
      <color theme="1"/>
      <name val="Arial"/>
      <scheme val="minor"/>
    </font>
  </fonts>
  <fills count="32">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45818E"/>
        <bgColor rgb="FF45818E"/>
      </patternFill>
    </fill>
    <fill>
      <patternFill patternType="solid">
        <fgColor rgb="FFB7B7B7"/>
        <bgColor rgb="FFB7B7B7"/>
      </patternFill>
    </fill>
    <fill>
      <patternFill patternType="solid">
        <fgColor rgb="FFB6D7A8"/>
        <bgColor rgb="FFB6D7A8"/>
      </patternFill>
    </fill>
    <fill>
      <patternFill patternType="solid">
        <fgColor rgb="FFFF0000"/>
        <bgColor rgb="FFFF0000"/>
      </patternFill>
    </fill>
    <fill>
      <patternFill patternType="solid">
        <fgColor rgb="FFD9D2E9"/>
        <bgColor rgb="FFD9D2E9"/>
      </patternFill>
    </fill>
    <fill>
      <patternFill patternType="solid">
        <fgColor rgb="FFFFFF00"/>
        <bgColor rgb="FFFFFF00"/>
      </patternFill>
    </fill>
    <fill>
      <patternFill patternType="solid">
        <fgColor rgb="FFFF9903"/>
        <bgColor rgb="FFFF9903"/>
      </patternFill>
    </fill>
    <fill>
      <patternFill patternType="solid">
        <fgColor rgb="FFD9D9D9"/>
        <bgColor rgb="FFD9D9D9"/>
      </patternFill>
    </fill>
    <fill>
      <patternFill patternType="solid">
        <fgColor rgb="FF6AA84F"/>
        <bgColor rgb="FF6AA84F"/>
      </patternFill>
    </fill>
    <fill>
      <patternFill patternType="solid">
        <fgColor rgb="FFFFFFFF"/>
        <bgColor rgb="FFFFFFFF"/>
      </patternFill>
    </fill>
    <fill>
      <patternFill patternType="solid">
        <fgColor rgb="FFFFE599"/>
        <bgColor rgb="FFFFE599"/>
      </patternFill>
    </fill>
    <fill>
      <patternFill patternType="solid">
        <fgColor rgb="FFCFE2F3"/>
        <bgColor rgb="FFCFE2F3"/>
      </patternFill>
    </fill>
    <fill>
      <patternFill patternType="solid">
        <fgColor rgb="FFF4CCCC"/>
        <bgColor rgb="FFF4CCCC"/>
      </patternFill>
    </fill>
    <fill>
      <patternFill patternType="solid">
        <fgColor rgb="FFD9EAD3"/>
        <bgColor rgb="FFD9EAD3"/>
      </patternFill>
    </fill>
    <fill>
      <patternFill patternType="solid">
        <fgColor rgb="FFD0E0E3"/>
        <bgColor rgb="FFD0E0E3"/>
      </patternFill>
    </fill>
    <fill>
      <patternFill patternType="solid">
        <fgColor rgb="FF00FFFF"/>
        <bgColor rgb="FF00FFFF"/>
      </patternFill>
    </fill>
    <fill>
      <patternFill patternType="solid">
        <fgColor rgb="FFFF9900"/>
        <bgColor rgb="FFFF9900"/>
      </patternFill>
    </fill>
    <fill>
      <patternFill patternType="solid">
        <fgColor rgb="FFCCCCCC"/>
        <bgColor rgb="FFCCCCCC"/>
      </patternFill>
    </fill>
    <fill>
      <patternFill patternType="solid">
        <fgColor rgb="FFFF00FF"/>
        <bgColor rgb="FFFF00FF"/>
      </patternFill>
    </fill>
    <fill>
      <patternFill patternType="solid">
        <fgColor rgb="FF000000"/>
        <bgColor rgb="FF000000"/>
      </patternFill>
    </fill>
    <fill>
      <patternFill patternType="solid">
        <fgColor rgb="FF00FF00"/>
        <bgColor rgb="FF00FF00"/>
      </patternFill>
    </fill>
    <fill>
      <patternFill patternType="solid">
        <fgColor rgb="FF93C47D"/>
        <bgColor rgb="FF93C47D"/>
      </patternFill>
    </fill>
    <fill>
      <patternFill patternType="solid">
        <fgColor theme="0"/>
        <bgColor theme="0"/>
      </patternFill>
    </fill>
    <fill>
      <patternFill patternType="solid">
        <fgColor rgb="FFE06666"/>
        <bgColor rgb="FFE06666"/>
      </patternFill>
    </fill>
    <fill>
      <patternFill patternType="solid">
        <fgColor rgb="FFFCE5CD"/>
        <bgColor rgb="FFFCE5CD"/>
      </patternFill>
    </fill>
    <fill>
      <patternFill patternType="solid">
        <fgColor rgb="FFEA9999"/>
        <bgColor rgb="FFEA9999"/>
      </patternFill>
    </fill>
    <fill>
      <patternFill patternType="solid">
        <fgColor rgb="FFF3F3F3"/>
        <bgColor rgb="FFF3F3F3"/>
      </patternFill>
    </fill>
    <fill>
      <patternFill patternType="solid">
        <fgColor rgb="FFF9CB9C"/>
        <bgColor rgb="FFF9CB9C"/>
      </patternFill>
    </fill>
  </fills>
  <borders count="14">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rder>
    <border>
      <left style="thin">
        <color rgb="FFBFBFBF"/>
      </left>
      <right style="thin">
        <color rgb="FFBFBFBF"/>
      </right>
      <top style="thin">
        <color rgb="FFBFBFBF"/>
      </top>
      <bottom style="thin">
        <color rgb="FFBFBFBF"/>
      </bottom>
    </border>
    <border>
      <left style="thin">
        <color rgb="FF000000"/>
      </left>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684">
    <xf borderId="0" fillId="0" fontId="0" numFmtId="0" xfId="0" applyAlignment="1" applyFont="1">
      <alignment readingOrder="0" shrinkToFit="0" vertical="bottom" wrapText="0"/>
    </xf>
    <xf borderId="0" fillId="0" fontId="1" numFmtId="0" xfId="0" applyAlignment="1" applyFont="1">
      <alignment horizontal="center" readingOrder="0" vertical="top"/>
    </xf>
    <xf borderId="0" fillId="2" fontId="2" numFmtId="0" xfId="0" applyAlignment="1" applyFill="1" applyFont="1">
      <alignment horizontal="center" readingOrder="0"/>
    </xf>
    <xf borderId="0" fillId="0" fontId="3" numFmtId="0" xfId="0" applyAlignment="1" applyFont="1">
      <alignment horizontal="center"/>
    </xf>
    <xf borderId="0" fillId="3" fontId="1" numFmtId="0" xfId="0" applyAlignment="1" applyFill="1" applyFont="1">
      <alignment horizontal="center" readingOrder="0" vertical="top"/>
    </xf>
    <xf borderId="0" fillId="4" fontId="1" numFmtId="0" xfId="0" applyAlignment="1" applyFill="1" applyFont="1">
      <alignment horizontal="center" readingOrder="0" vertical="top"/>
    </xf>
    <xf borderId="0" fillId="0" fontId="3" numFmtId="0" xfId="0" applyAlignment="1" applyFont="1">
      <alignment vertical="top"/>
    </xf>
    <xf borderId="0" fillId="5" fontId="4" numFmtId="0" xfId="0" applyAlignment="1" applyFill="1" applyFont="1">
      <alignment vertical="bottom"/>
    </xf>
    <xf borderId="0" fillId="2" fontId="4" numFmtId="0" xfId="0" applyAlignment="1" applyFill="1" applyFont="1">
      <alignment horizontal="left" vertical="bottom"/>
    </xf>
    <xf borderId="0" fillId="0" fontId="5" numFmtId="0" xfId="0" applyAlignment="1" applyFont="1">
      <alignment horizontal="center" readingOrder="0" vertical="bottom"/>
    </xf>
    <xf borderId="0" fillId="0" fontId="6" numFmtId="0" xfId="0" applyAlignment="1" applyFont="1">
      <alignment horizontal="center" vertical="bottom"/>
    </xf>
    <xf borderId="0" fillId="0" fontId="5" numFmtId="0" xfId="0" applyAlignment="1" applyFont="1">
      <alignment readingOrder="0" vertical="bottom"/>
    </xf>
    <xf borderId="0" fillId="6" fontId="3" numFmtId="0" xfId="0" applyAlignment="1" applyFill="1" applyFont="1">
      <alignment horizontal="center" readingOrder="0" vertical="top"/>
    </xf>
    <xf borderId="0" fillId="2" fontId="7" numFmtId="0" xfId="0" applyAlignment="1" applyFill="1" applyFont="1">
      <alignment readingOrder="0"/>
    </xf>
    <xf borderId="0" fillId="0" fontId="5" numFmtId="0" xfId="0" applyAlignment="1" applyFont="1">
      <alignment vertical="bottom"/>
    </xf>
    <xf borderId="0" fillId="3" fontId="8" numFmtId="0" xfId="0" applyAlignment="1" applyFill="1" applyFont="1">
      <alignment horizontal="center" readingOrder="0" vertical="top"/>
    </xf>
    <xf borderId="0" fillId="0" fontId="3" numFmtId="0" xfId="0" applyAlignment="1" applyFont="1">
      <alignment readingOrder="0"/>
    </xf>
    <xf borderId="0" fillId="0" fontId="5" numFmtId="0" xfId="0" applyAlignment="1" applyFont="1">
      <alignment vertical="bottom"/>
    </xf>
    <xf borderId="0" fillId="0" fontId="1" numFmtId="0" xfId="0" applyAlignment="1" applyFont="1">
      <alignment horizontal="center" readingOrder="0"/>
    </xf>
    <xf borderId="0" fillId="4" fontId="9" numFmtId="0" xfId="0" applyAlignment="1" applyFill="1" applyFont="1">
      <alignment horizontal="center" readingOrder="0" vertical="top"/>
    </xf>
    <xf borderId="0" fillId="0" fontId="5" numFmtId="164" xfId="0" applyAlignment="1" applyFont="1" applyNumberFormat="1">
      <alignment vertical="bottom"/>
    </xf>
    <xf borderId="0" fillId="0" fontId="6" numFmtId="0" xfId="0" applyAlignment="1" applyFont="1">
      <alignment horizontal="right" readingOrder="0" vertical="bottom"/>
    </xf>
    <xf borderId="0" fillId="5" fontId="6" numFmtId="0" xfId="0" applyAlignment="1" applyFill="1" applyFont="1">
      <alignment horizontal="left" vertical="bottom"/>
    </xf>
    <xf borderId="0" fillId="0" fontId="6" numFmtId="0" xfId="0" applyAlignment="1" applyFont="1">
      <alignment horizontal="left" readingOrder="0" vertical="bottom"/>
    </xf>
    <xf borderId="0" fillId="0" fontId="5" numFmtId="165" xfId="0" applyAlignment="1" applyFont="1" applyNumberFormat="1">
      <alignment horizontal="left" readingOrder="0" vertical="bottom"/>
    </xf>
    <xf borderId="0" fillId="0" fontId="3" numFmtId="0" xfId="0" applyAlignment="1" applyFont="1">
      <alignment readingOrder="0" vertical="top"/>
    </xf>
    <xf borderId="0" fillId="0" fontId="6" numFmtId="0" xfId="0" applyAlignment="1" applyFont="1">
      <alignment horizontal="center" readingOrder="0" vertical="bottom"/>
    </xf>
    <xf borderId="0" fillId="7" fontId="3" numFmtId="0" xfId="0" applyAlignment="1" applyFill="1" applyFont="1">
      <alignment horizontal="center" readingOrder="0" vertical="top"/>
    </xf>
    <xf borderId="0" fillId="3" fontId="3" numFmtId="0" xfId="0" applyAlignment="1" applyFill="1" applyFont="1">
      <alignment horizontal="center" readingOrder="0"/>
    </xf>
    <xf borderId="0" fillId="7" fontId="8" numFmtId="0" xfId="0" applyAlignment="1" applyFill="1" applyFont="1">
      <alignment horizontal="center" readingOrder="0" vertical="top"/>
    </xf>
    <xf borderId="0" fillId="7" fontId="9" numFmtId="0" xfId="0" applyAlignment="1" applyFill="1" applyFont="1">
      <alignment horizontal="center" readingOrder="0" vertical="top"/>
    </xf>
    <xf borderId="0" fillId="3" fontId="3" numFmtId="166" xfId="0" applyAlignment="1" applyFill="1" applyFont="1" applyNumberFormat="1">
      <alignment horizontal="center" readingOrder="0"/>
    </xf>
    <xf borderId="0" fillId="3" fontId="3" numFmtId="0" xfId="0" applyFill="1" applyFont="1"/>
    <xf borderId="0" fillId="5" fontId="5" numFmtId="0" xfId="0" applyAlignment="1" applyFill="1" applyFont="1">
      <alignment vertical="bottom"/>
    </xf>
    <xf borderId="0" fillId="8" fontId="5" numFmtId="0" xfId="0" applyAlignment="1" applyFill="1" applyFont="1">
      <alignment horizontal="center" readingOrder="0" vertical="bottom"/>
    </xf>
    <xf borderId="0" fillId="8" fontId="5" numFmtId="166" xfId="0" applyAlignment="1" applyFill="1" applyFont="1" applyNumberFormat="1">
      <alignment horizontal="left" vertical="bottom"/>
    </xf>
    <xf borderId="0" fillId="8" fontId="5" numFmtId="166" xfId="0" applyAlignment="1" applyFill="1" applyFont="1" applyNumberFormat="1">
      <alignment horizontal="center" vertical="bottom"/>
    </xf>
    <xf borderId="0" fillId="4" fontId="9" numFmtId="0" xfId="0" applyAlignment="1" applyFill="1" applyFont="1">
      <alignment horizontal="center" readingOrder="0" shrinkToFit="0" vertical="top" wrapText="1"/>
    </xf>
    <xf borderId="0" fillId="7" fontId="5" numFmtId="164" xfId="0" applyAlignment="1" applyFill="1" applyFont="1" applyNumberFormat="1">
      <alignment horizontal="center" vertical="bottom"/>
    </xf>
    <xf borderId="0" fillId="0" fontId="5" numFmtId="0" xfId="0" applyAlignment="1" applyFont="1">
      <alignment horizontal="center" vertical="bottom"/>
    </xf>
    <xf borderId="0" fillId="8" fontId="3" numFmtId="0" xfId="0" applyAlignment="1" applyFill="1" applyFont="1">
      <alignment readingOrder="0"/>
    </xf>
    <xf borderId="0" fillId="7" fontId="5" numFmtId="0" xfId="0" applyAlignment="1" applyFill="1" applyFont="1">
      <alignment readingOrder="0" vertical="bottom"/>
    </xf>
    <xf borderId="0" fillId="8" fontId="3" numFmtId="166" xfId="0" applyAlignment="1" applyFill="1" applyFont="1" applyNumberFormat="1">
      <alignment horizontal="center" readingOrder="0"/>
    </xf>
    <xf borderId="0" fillId="0" fontId="5" numFmtId="166" xfId="0" applyAlignment="1" applyFont="1" applyNumberFormat="1">
      <alignment vertical="bottom"/>
    </xf>
    <xf borderId="0" fillId="9" fontId="5" numFmtId="0" xfId="0" applyAlignment="1" applyFill="1" applyFont="1">
      <alignment vertical="bottom"/>
    </xf>
    <xf borderId="0" fillId="0" fontId="5" numFmtId="167" xfId="0" applyAlignment="1" applyFont="1" applyNumberFormat="1">
      <alignment vertical="bottom"/>
    </xf>
    <xf borderId="0" fillId="10" fontId="5" numFmtId="0" xfId="0" applyAlignment="1" applyFill="1" applyFont="1">
      <alignment vertical="bottom"/>
    </xf>
    <xf borderId="0" fillId="0" fontId="3" numFmtId="0" xfId="0" applyAlignment="1" applyFont="1">
      <alignment horizontal="left" readingOrder="0"/>
    </xf>
    <xf borderId="0" fillId="9" fontId="5" numFmtId="164" xfId="0" applyAlignment="1" applyFill="1" applyFont="1" applyNumberFormat="1">
      <alignment horizontal="center" vertical="bottom"/>
    </xf>
    <xf borderId="0" fillId="8" fontId="5" numFmtId="166" xfId="0" applyAlignment="1" applyFill="1" applyFont="1" applyNumberFormat="1">
      <alignment vertical="bottom"/>
    </xf>
    <xf borderId="0" fillId="9" fontId="5" numFmtId="0" xfId="0" applyAlignment="1" applyFill="1" applyFont="1">
      <alignment vertical="bottom"/>
    </xf>
    <xf borderId="0" fillId="7" fontId="5" numFmtId="0" xfId="0" applyAlignment="1" applyFill="1" applyFont="1">
      <alignment vertical="bottom"/>
    </xf>
    <xf borderId="0" fillId="8" fontId="5" numFmtId="166" xfId="0" applyAlignment="1" applyFill="1" applyFont="1" applyNumberFormat="1">
      <alignment horizontal="center" readingOrder="0" vertical="bottom"/>
    </xf>
    <xf borderId="0" fillId="3" fontId="3" numFmtId="0" xfId="0" applyAlignment="1" applyFill="1" applyFont="1">
      <alignment horizontal="center"/>
    </xf>
    <xf borderId="0" fillId="3" fontId="3" numFmtId="0" xfId="0" applyAlignment="1" applyFill="1" applyFont="1">
      <alignment readingOrder="0"/>
    </xf>
    <xf borderId="1" fillId="0" fontId="5" numFmtId="0" xfId="0" applyAlignment="1" applyBorder="1" applyFont="1">
      <alignment vertical="bottom"/>
    </xf>
    <xf borderId="0" fillId="3" fontId="5" numFmtId="166" xfId="0" applyAlignment="1" applyFill="1" applyFont="1" applyNumberFormat="1">
      <alignment horizontal="center" readingOrder="0" vertical="bottom"/>
    </xf>
    <xf borderId="0" fillId="3" fontId="5" numFmtId="166" xfId="0" applyAlignment="1" applyFill="1" applyFont="1" applyNumberFormat="1">
      <alignment horizontal="left" vertical="bottom"/>
    </xf>
    <xf borderId="0" fillId="3" fontId="5" numFmtId="166" xfId="0" applyAlignment="1" applyFill="1" applyFont="1" applyNumberFormat="1">
      <alignment horizontal="center" vertical="bottom"/>
    </xf>
    <xf borderId="0" fillId="7" fontId="9" numFmtId="0" xfId="0" applyAlignment="1" applyFill="1" applyFont="1">
      <alignment horizontal="center" readingOrder="0" shrinkToFit="0" vertical="top" wrapText="1"/>
    </xf>
    <xf borderId="0" fillId="3" fontId="5" numFmtId="0" xfId="0" applyAlignment="1" applyFill="1" applyFont="1">
      <alignment horizontal="center" readingOrder="0" vertical="bottom"/>
    </xf>
    <xf borderId="0" fillId="8" fontId="3" numFmtId="0" xfId="0" applyAlignment="1" applyFill="1" applyFont="1">
      <alignment horizontal="center" readingOrder="0"/>
    </xf>
    <xf borderId="0" fillId="8" fontId="3" numFmtId="0" xfId="0" applyAlignment="1" applyFill="1" applyFont="1">
      <alignment horizontal="center"/>
    </xf>
    <xf borderId="0" fillId="8" fontId="3" numFmtId="0" xfId="0" applyFill="1" applyFont="1"/>
    <xf borderId="0" fillId="6" fontId="5" numFmtId="0" xfId="0" applyAlignment="1" applyFill="1" applyFont="1">
      <alignment readingOrder="0" vertical="bottom"/>
    </xf>
    <xf borderId="0" fillId="7" fontId="5" numFmtId="0" xfId="0" applyAlignment="1" applyFill="1" applyFont="1">
      <alignment vertical="top"/>
    </xf>
    <xf borderId="0" fillId="11" fontId="5" numFmtId="0" xfId="0" applyAlignment="1" applyFill="1" applyFont="1">
      <alignment vertical="bottom"/>
    </xf>
    <xf borderId="0" fillId="3" fontId="5" numFmtId="0" xfId="0" applyAlignment="1" applyFill="1" applyFont="1">
      <alignment vertical="bottom"/>
    </xf>
    <xf borderId="0" fillId="11" fontId="10" numFmtId="0" xfId="0" applyAlignment="1" applyFill="1" applyFont="1">
      <alignment horizontal="center" vertical="bottom"/>
    </xf>
    <xf borderId="0" fillId="0" fontId="1" numFmtId="0" xfId="0" applyAlignment="1" applyFont="1">
      <alignment horizontal="center"/>
    </xf>
    <xf borderId="0" fillId="0" fontId="6" numFmtId="0" xfId="0" applyAlignment="1" applyFont="1">
      <alignment vertical="bottom"/>
    </xf>
    <xf borderId="0" fillId="7" fontId="5" numFmtId="0" xfId="0" applyAlignment="1" applyFill="1" applyFont="1">
      <alignment readingOrder="0" vertical="top"/>
    </xf>
    <xf borderId="0" fillId="0" fontId="6" numFmtId="0" xfId="0" applyAlignment="1" applyFont="1">
      <alignment horizontal="center" vertical="bottom"/>
    </xf>
    <xf borderId="0" fillId="0" fontId="5" numFmtId="166" xfId="0" applyAlignment="1" applyFont="1" applyNumberFormat="1">
      <alignment horizontal="center" readingOrder="0" vertical="bottom"/>
    </xf>
    <xf borderId="0" fillId="12" fontId="1" numFmtId="0" xfId="0" applyAlignment="1" applyFill="1" applyFont="1">
      <alignment horizontal="center" readingOrder="0"/>
    </xf>
    <xf borderId="0" fillId="7" fontId="5" numFmtId="167" xfId="0" applyAlignment="1" applyFill="1" applyFont="1" applyNumberFormat="1">
      <alignment horizontal="center" vertical="bottom"/>
    </xf>
    <xf borderId="0" fillId="2" fontId="5" numFmtId="0" xfId="0" applyAlignment="1" applyFill="1" applyFont="1">
      <alignment horizontal="center" vertical="bottom"/>
    </xf>
    <xf borderId="0" fillId="7" fontId="5" numFmtId="166" xfId="0" applyAlignment="1" applyFill="1" applyFont="1" applyNumberFormat="1">
      <alignment vertical="bottom"/>
    </xf>
    <xf borderId="0" fillId="7" fontId="5" numFmtId="164" xfId="0" applyAlignment="1" applyFill="1" applyFont="1" applyNumberFormat="1">
      <alignment vertical="bottom"/>
    </xf>
    <xf borderId="0" fillId="9" fontId="5" numFmtId="167" xfId="0" applyAlignment="1" applyFill="1" applyFont="1" applyNumberFormat="1">
      <alignment horizontal="center" vertical="bottom"/>
    </xf>
    <xf borderId="0" fillId="7" fontId="5" numFmtId="0" xfId="0" applyAlignment="1" applyFill="1" applyFont="1">
      <alignment vertical="bottom"/>
    </xf>
    <xf borderId="0" fillId="13" fontId="5" numFmtId="0" xfId="0" applyAlignment="1" applyFill="1" applyFont="1">
      <alignment vertical="bottom"/>
    </xf>
    <xf borderId="0" fillId="13" fontId="5" numFmtId="167" xfId="0" applyAlignment="1" applyFill="1" applyFont="1" applyNumberFormat="1">
      <alignment horizontal="center" vertical="bottom"/>
    </xf>
    <xf borderId="0" fillId="3" fontId="5" numFmtId="166" xfId="0" applyAlignment="1" applyFill="1" applyFont="1" applyNumberFormat="1">
      <alignment vertical="bottom"/>
    </xf>
    <xf borderId="0" fillId="6" fontId="5" numFmtId="166" xfId="0" applyAlignment="1" applyFill="1" applyFont="1" applyNumberFormat="1">
      <alignment vertical="bottom"/>
    </xf>
    <xf borderId="0" fillId="11" fontId="5" numFmtId="166" xfId="0" applyAlignment="1" applyFill="1" applyFont="1" applyNumberFormat="1">
      <alignment vertical="bottom"/>
    </xf>
    <xf borderId="0" fillId="0" fontId="5" numFmtId="166" xfId="0" applyAlignment="1" applyFont="1" applyNumberFormat="1">
      <alignment horizontal="center" vertical="bottom"/>
    </xf>
    <xf borderId="0" fillId="6" fontId="5" numFmtId="164" xfId="0" applyAlignment="1" applyFill="1" applyFont="1" applyNumberFormat="1">
      <alignment horizontal="center" vertical="bottom"/>
    </xf>
    <xf borderId="0" fillId="13" fontId="5" numFmtId="0" xfId="0" applyAlignment="1" applyFill="1" applyFont="1">
      <alignment readingOrder="0" vertical="bottom"/>
    </xf>
    <xf borderId="0" fillId="6" fontId="5" numFmtId="0" xfId="0" applyAlignment="1" applyFill="1" applyFont="1">
      <alignment horizontal="center" vertical="bottom"/>
    </xf>
    <xf borderId="0" fillId="6" fontId="5" numFmtId="0" xfId="0" applyAlignment="1" applyFill="1" applyFont="1">
      <alignment vertical="bottom"/>
    </xf>
    <xf borderId="0" fillId="11" fontId="5" numFmtId="164" xfId="0" applyAlignment="1" applyFill="1" applyFont="1" applyNumberFormat="1">
      <alignment vertical="bottom"/>
    </xf>
    <xf borderId="0" fillId="3" fontId="5" numFmtId="0" xfId="0" applyAlignment="1" applyFill="1" applyFont="1">
      <alignment readingOrder="0" vertical="bottom"/>
    </xf>
    <xf borderId="0" fillId="6" fontId="5" numFmtId="0" xfId="0" applyAlignment="1" applyFill="1" applyFont="1">
      <alignment shrinkToFit="0" vertical="bottom" wrapText="0"/>
    </xf>
    <xf borderId="0" fillId="6" fontId="5" numFmtId="0" xfId="0" applyAlignment="1" applyFill="1" applyFont="1">
      <alignment vertical="bottom"/>
    </xf>
    <xf borderId="0" fillId="0" fontId="5" numFmtId="164" xfId="0" applyAlignment="1" applyFont="1" applyNumberFormat="1">
      <alignment horizontal="center" vertical="bottom"/>
    </xf>
    <xf borderId="0" fillId="6" fontId="5" numFmtId="167" xfId="0" applyAlignment="1" applyFill="1" applyFont="1" applyNumberFormat="1">
      <alignment horizontal="center" vertical="bottom"/>
    </xf>
    <xf borderId="0" fillId="8" fontId="5" numFmtId="0" xfId="0" applyAlignment="1" applyFill="1" applyFont="1">
      <alignment readingOrder="0" vertical="bottom"/>
    </xf>
    <xf borderId="0" fillId="6" fontId="5" numFmtId="0" xfId="0" applyAlignment="1" applyFill="1" applyFont="1">
      <alignment horizontal="center" shrinkToFit="0" vertical="bottom" wrapText="0"/>
    </xf>
    <xf borderId="0" fillId="9" fontId="5" numFmtId="168" xfId="0" applyAlignment="1" applyFill="1" applyFont="1" applyNumberFormat="1">
      <alignment horizontal="center" vertical="bottom"/>
    </xf>
    <xf borderId="0" fillId="3" fontId="5" numFmtId="0" xfId="0" applyAlignment="1" applyFill="1" applyFont="1">
      <alignment horizontal="left" readingOrder="0" vertical="bottom"/>
    </xf>
    <xf borderId="0" fillId="5" fontId="3" numFmtId="0" xfId="0" applyFill="1" applyFont="1"/>
    <xf borderId="0" fillId="3" fontId="3" numFmtId="0" xfId="0" applyAlignment="1" applyFill="1" applyFont="1">
      <alignment horizontal="left" readingOrder="0"/>
    </xf>
    <xf borderId="0" fillId="8" fontId="5" numFmtId="0" xfId="0" applyAlignment="1" applyFill="1" applyFont="1">
      <alignment vertical="bottom"/>
    </xf>
    <xf borderId="0" fillId="14" fontId="5" numFmtId="0" xfId="0" applyAlignment="1" applyFill="1" applyFont="1">
      <alignment horizontal="center" vertical="bottom"/>
    </xf>
    <xf borderId="0" fillId="8" fontId="3" numFmtId="0" xfId="0" applyAlignment="1" applyFill="1" applyFont="1">
      <alignment horizontal="left" readingOrder="0"/>
    </xf>
    <xf borderId="0" fillId="7" fontId="5" numFmtId="0" xfId="0" applyAlignment="1" applyFill="1" applyFont="1">
      <alignment horizontal="center" vertical="bottom"/>
    </xf>
    <xf borderId="0" fillId="7" fontId="5" numFmtId="168" xfId="0" applyAlignment="1" applyFill="1" applyFont="1" applyNumberFormat="1">
      <alignment horizontal="center" vertical="bottom"/>
    </xf>
    <xf borderId="0" fillId="0" fontId="3" numFmtId="166" xfId="0" applyAlignment="1" applyFont="1" applyNumberFormat="1">
      <alignment horizontal="center" readingOrder="0"/>
    </xf>
    <xf borderId="0" fillId="8" fontId="5" numFmtId="0" xfId="0" applyAlignment="1" applyFill="1" applyFont="1">
      <alignment horizontal="left" readingOrder="0" vertical="bottom"/>
    </xf>
    <xf borderId="0" fillId="11" fontId="5" numFmtId="167" xfId="0" applyAlignment="1" applyFill="1" applyFont="1" applyNumberFormat="1">
      <alignment vertical="bottom"/>
    </xf>
    <xf borderId="0" fillId="9" fontId="5" numFmtId="0" xfId="0" applyAlignment="1" applyFill="1" applyFont="1">
      <alignment shrinkToFit="0" vertical="bottom" wrapText="0"/>
    </xf>
    <xf borderId="0" fillId="8" fontId="5" numFmtId="0" xfId="0" applyAlignment="1" applyFill="1" applyFont="1">
      <alignment horizontal="left" vertical="bottom"/>
    </xf>
    <xf borderId="0" fillId="3" fontId="11" numFmtId="0" xfId="0" applyAlignment="1" applyFill="1" applyFont="1">
      <alignment horizontal="center" readingOrder="0" vertical="top"/>
    </xf>
    <xf borderId="0" fillId="7" fontId="5" numFmtId="0" xfId="0" applyAlignment="1" applyFill="1" applyFont="1">
      <alignment shrinkToFit="0" vertical="bottom" wrapText="0"/>
    </xf>
    <xf borderId="0" fillId="3" fontId="8" numFmtId="0" xfId="0" applyAlignment="1" applyFill="1" applyFont="1">
      <alignment horizontal="center" readingOrder="0" shrinkToFit="0" vertical="top" wrapText="0"/>
    </xf>
    <xf borderId="0" fillId="8" fontId="3" numFmtId="169" xfId="0" applyAlignment="1" applyFill="1" applyFont="1" applyNumberFormat="1">
      <alignment horizontal="center" readingOrder="0"/>
    </xf>
    <xf borderId="0" fillId="8" fontId="5" numFmtId="0" xfId="0" applyAlignment="1" applyFill="1" applyFont="1">
      <alignment horizontal="center" vertical="bottom"/>
    </xf>
    <xf borderId="0" fillId="7" fontId="3" numFmtId="0" xfId="0" applyAlignment="1" applyFill="1" applyFont="1">
      <alignment horizontal="center" vertical="top"/>
    </xf>
    <xf borderId="0" fillId="3" fontId="5" numFmtId="0" xfId="0" applyAlignment="1" applyFill="1" applyFont="1">
      <alignment horizontal="center" vertical="bottom"/>
    </xf>
    <xf borderId="0" fillId="7" fontId="5" numFmtId="167" xfId="0" applyAlignment="1" applyFill="1" applyFont="1" applyNumberFormat="1">
      <alignment vertical="bottom"/>
    </xf>
    <xf borderId="0" fillId="15" fontId="5" numFmtId="0" xfId="0" applyAlignment="1" applyFill="1" applyFont="1">
      <alignment horizontal="center" readingOrder="0" vertical="bottom"/>
    </xf>
    <xf borderId="0" fillId="6" fontId="5" numFmtId="168" xfId="0" applyAlignment="1" applyFill="1" applyFont="1" applyNumberFormat="1">
      <alignment horizontal="center" vertical="bottom"/>
    </xf>
    <xf borderId="0" fillId="13" fontId="6" numFmtId="0" xfId="0" applyAlignment="1" applyFill="1" applyFont="1">
      <alignment vertical="bottom"/>
    </xf>
    <xf borderId="0" fillId="16" fontId="3" numFmtId="0" xfId="0" applyAlignment="1" applyFill="1" applyFont="1">
      <alignment horizontal="center" readingOrder="0"/>
    </xf>
    <xf borderId="0" fillId="6" fontId="12" numFmtId="0" xfId="0" applyAlignment="1" applyFill="1" applyFont="1">
      <alignment horizontal="center" readingOrder="0" vertical="top"/>
    </xf>
    <xf borderId="0" fillId="16" fontId="3" numFmtId="0" xfId="0" applyAlignment="1" applyFill="1" applyFont="1">
      <alignment readingOrder="0" shrinkToFit="0" wrapText="1"/>
    </xf>
    <xf borderId="0" fillId="0" fontId="6" numFmtId="0" xfId="0" applyAlignment="1" applyFont="1">
      <alignment readingOrder="0" vertical="bottom"/>
    </xf>
    <xf borderId="0" fillId="17" fontId="3" numFmtId="0" xfId="0" applyAlignment="1" applyFill="1" applyFont="1">
      <alignment horizontal="center" readingOrder="0" vertical="top"/>
    </xf>
    <xf borderId="0" fillId="14" fontId="5" numFmtId="166" xfId="0" applyAlignment="1" applyFill="1" applyFont="1" applyNumberFormat="1">
      <alignment horizontal="center" vertical="bottom"/>
    </xf>
    <xf borderId="0" fillId="3" fontId="5" numFmtId="0" xfId="0" applyAlignment="1" applyFill="1" applyFont="1">
      <alignment horizontal="left" vertical="bottom"/>
    </xf>
    <xf borderId="0" fillId="13" fontId="5" numFmtId="164" xfId="0" applyAlignment="1" applyFill="1" applyFont="1" applyNumberFormat="1">
      <alignment horizontal="center" vertical="bottom"/>
    </xf>
    <xf borderId="0" fillId="0" fontId="3" numFmtId="0" xfId="0" applyAlignment="1" applyFont="1">
      <alignment horizontal="center" readingOrder="0"/>
    </xf>
    <xf borderId="0" fillId="0" fontId="3" numFmtId="166" xfId="0" applyAlignment="1" applyFont="1" applyNumberFormat="1">
      <alignment readingOrder="0"/>
    </xf>
    <xf borderId="0" fillId="11" fontId="5" numFmtId="170" xfId="0" applyAlignment="1" applyFill="1" applyFont="1" applyNumberFormat="1">
      <alignment vertical="bottom"/>
    </xf>
    <xf borderId="0" fillId="16" fontId="3" numFmtId="0" xfId="0" applyAlignment="1" applyFill="1" applyFont="1">
      <alignment readingOrder="0"/>
    </xf>
    <xf borderId="0" fillId="2" fontId="5" numFmtId="166" xfId="0" applyAlignment="1" applyFill="1" applyFont="1" applyNumberFormat="1">
      <alignment horizontal="center" vertical="bottom"/>
    </xf>
    <xf borderId="0" fillId="6" fontId="13" numFmtId="0" xfId="0" applyAlignment="1" applyFill="1" applyFont="1">
      <alignment vertical="bottom"/>
    </xf>
    <xf borderId="0" fillId="11" fontId="5" numFmtId="168" xfId="0" applyAlignment="1" applyFill="1" applyFont="1" applyNumberFormat="1">
      <alignment vertical="bottom"/>
    </xf>
    <xf borderId="0" fillId="18" fontId="3" numFmtId="0" xfId="0" applyAlignment="1" applyFill="1" applyFont="1">
      <alignment readingOrder="0"/>
    </xf>
    <xf borderId="0" fillId="18" fontId="3" numFmtId="166" xfId="0" applyAlignment="1" applyFill="1" applyFont="1" applyNumberFormat="1">
      <alignment horizontal="center" readingOrder="0"/>
    </xf>
    <xf borderId="0" fillId="0" fontId="5" numFmtId="169" xfId="0" applyAlignment="1" applyFont="1" applyNumberFormat="1">
      <alignment horizontal="center" vertical="bottom"/>
    </xf>
    <xf borderId="0" fillId="0" fontId="3" numFmtId="0" xfId="0" applyAlignment="1" applyFont="1">
      <alignment horizontal="left"/>
    </xf>
    <xf borderId="0" fillId="0" fontId="5" numFmtId="171" xfId="0" applyAlignment="1" applyFont="1" applyNumberFormat="1">
      <alignment vertical="bottom"/>
    </xf>
    <xf borderId="0" fillId="3" fontId="3" numFmtId="169" xfId="0" applyAlignment="1" applyFill="1" applyFont="1" applyNumberFormat="1">
      <alignment horizontal="center" readingOrder="0"/>
    </xf>
    <xf borderId="0" fillId="6" fontId="5" numFmtId="164" xfId="0" applyAlignment="1" applyFill="1" applyFont="1" applyNumberFormat="1">
      <alignment vertical="bottom"/>
    </xf>
    <xf borderId="0" fillId="11" fontId="5" numFmtId="0" xfId="0" applyAlignment="1" applyFill="1" applyFont="1">
      <alignment vertical="bottom"/>
    </xf>
    <xf borderId="0" fillId="0" fontId="3" numFmtId="169" xfId="0" applyAlignment="1" applyFont="1" applyNumberFormat="1">
      <alignment horizontal="center" readingOrder="0"/>
    </xf>
    <xf borderId="0" fillId="7" fontId="5" numFmtId="164" xfId="0" applyAlignment="1" applyFill="1" applyFont="1" applyNumberFormat="1">
      <alignment horizontal="center" readingOrder="0" vertical="bottom"/>
    </xf>
    <xf borderId="0" fillId="7" fontId="1" numFmtId="0" xfId="0" applyAlignment="1" applyFill="1" applyFont="1">
      <alignment horizontal="center" readingOrder="0" vertical="top"/>
    </xf>
    <xf borderId="0" fillId="0" fontId="14" numFmtId="0" xfId="0" applyAlignment="1" applyFont="1">
      <alignment readingOrder="0" vertical="bottom"/>
    </xf>
    <xf borderId="0" fillId="7" fontId="12" numFmtId="0" xfId="0" applyAlignment="1" applyFill="1" applyFont="1">
      <alignment horizontal="center" readingOrder="0" vertical="top"/>
    </xf>
    <xf borderId="0" fillId="9" fontId="5" numFmtId="164" xfId="0" applyAlignment="1" applyFill="1" applyFont="1" applyNumberFormat="1">
      <alignment horizontal="center" readingOrder="0" vertical="bottom"/>
    </xf>
    <xf borderId="0" fillId="9" fontId="5" numFmtId="0" xfId="0" applyAlignment="1" applyFill="1" applyFont="1">
      <alignment readingOrder="0" vertical="bottom"/>
    </xf>
    <xf borderId="0" fillId="7" fontId="5" numFmtId="0" xfId="0" applyAlignment="1" applyFill="1" applyFont="1">
      <alignment horizontal="center" vertical="top"/>
    </xf>
    <xf borderId="0" fillId="0" fontId="3" numFmtId="0" xfId="0" applyAlignment="1" applyFont="1">
      <alignment horizontal="center" vertical="top"/>
    </xf>
    <xf borderId="0" fillId="3" fontId="3" numFmtId="0" xfId="0" applyAlignment="1" applyFill="1" applyFont="1">
      <alignment horizontal="center" vertical="top"/>
    </xf>
    <xf borderId="0" fillId="3" fontId="8" numFmtId="0" xfId="0" applyAlignment="1" applyFill="1" applyFont="1">
      <alignment horizontal="center" vertical="top"/>
    </xf>
    <xf borderId="0" fillId="4" fontId="3" numFmtId="0" xfId="0" applyAlignment="1" applyFill="1" applyFont="1">
      <alignment horizontal="center" vertical="top"/>
    </xf>
    <xf borderId="0" fillId="9" fontId="3" numFmtId="167" xfId="0" applyAlignment="1" applyFill="1" applyFont="1" applyNumberFormat="1">
      <alignment horizontal="center" readingOrder="0"/>
    </xf>
    <xf borderId="0" fillId="9" fontId="3" numFmtId="0" xfId="0" applyAlignment="1" applyFill="1" applyFont="1">
      <alignment horizontal="left" readingOrder="0"/>
    </xf>
    <xf borderId="0" fillId="9" fontId="5" numFmtId="167" xfId="0" applyAlignment="1" applyFill="1" applyFont="1" applyNumberFormat="1">
      <alignment horizontal="center" readingOrder="0" vertical="bottom"/>
    </xf>
    <xf borderId="0" fillId="9" fontId="3" numFmtId="164" xfId="0" applyAlignment="1" applyFill="1" applyFont="1" applyNumberFormat="1">
      <alignment horizontal="center" readingOrder="0"/>
    </xf>
    <xf borderId="0" fillId="6" fontId="6" numFmtId="0" xfId="0" applyAlignment="1" applyFill="1" applyFont="1">
      <alignment vertical="bottom"/>
    </xf>
    <xf borderId="0" fillId="6" fontId="5" numFmtId="0" xfId="0" applyAlignment="1" applyFill="1" applyFont="1">
      <alignment horizontal="center" vertical="bottom"/>
    </xf>
    <xf borderId="0" fillId="11" fontId="15" numFmtId="0" xfId="0" applyAlignment="1" applyFill="1" applyFont="1">
      <alignment vertical="bottom"/>
    </xf>
    <xf borderId="0" fillId="11" fontId="15" numFmtId="0" xfId="0" applyAlignment="1" applyFill="1" applyFont="1">
      <alignment vertical="bottom"/>
    </xf>
    <xf borderId="0" fillId="6" fontId="5" numFmtId="172" xfId="0" applyAlignment="1" applyFill="1" applyFont="1" applyNumberFormat="1">
      <alignment horizontal="center" vertical="bottom"/>
    </xf>
    <xf borderId="0" fillId="6" fontId="5" numFmtId="167" xfId="0" applyAlignment="1" applyFill="1" applyFont="1" applyNumberFormat="1">
      <alignment horizontal="center" readingOrder="0" vertical="bottom"/>
    </xf>
    <xf borderId="0" fillId="11" fontId="6" numFmtId="0" xfId="0" applyAlignment="1" applyFill="1" applyFont="1">
      <alignment vertical="bottom"/>
    </xf>
    <xf borderId="0" fillId="6" fontId="5" numFmtId="164" xfId="0" applyAlignment="1" applyFill="1" applyFont="1" applyNumberFormat="1">
      <alignment horizontal="center" readingOrder="0" vertical="bottom"/>
    </xf>
    <xf borderId="0" fillId="19" fontId="6" numFmtId="0" xfId="0" applyAlignment="1" applyFill="1" applyFont="1">
      <alignment vertical="bottom"/>
    </xf>
    <xf borderId="0" fillId="7" fontId="6" numFmtId="166" xfId="0" applyAlignment="1" applyFill="1" applyFont="1" applyNumberFormat="1">
      <alignment vertical="bottom"/>
    </xf>
    <xf borderId="0" fillId="7" fontId="6" numFmtId="0" xfId="0" applyAlignment="1" applyFill="1" applyFont="1">
      <alignment vertical="bottom"/>
    </xf>
    <xf borderId="0" fillId="20" fontId="5" numFmtId="166" xfId="0" applyAlignment="1" applyFill="1" applyFont="1" applyNumberFormat="1">
      <alignment vertical="bottom"/>
    </xf>
    <xf borderId="0" fillId="20" fontId="6" numFmtId="0" xfId="0" applyAlignment="1" applyFill="1" applyFont="1">
      <alignment vertical="bottom"/>
    </xf>
    <xf borderId="0" fillId="20" fontId="6" numFmtId="0" xfId="0" applyAlignment="1" applyFill="1" applyFont="1">
      <alignment readingOrder="0" vertical="bottom"/>
    </xf>
    <xf borderId="0" fillId="20" fontId="5" numFmtId="0" xfId="0" applyAlignment="1" applyFill="1" applyFont="1">
      <alignment horizontal="center" readingOrder="0" vertical="bottom"/>
    </xf>
    <xf borderId="0" fillId="20" fontId="5" numFmtId="0" xfId="0" applyAlignment="1" applyFill="1" applyFont="1">
      <alignment vertical="bottom"/>
    </xf>
    <xf borderId="0" fillId="11" fontId="6" numFmtId="166" xfId="0" applyAlignment="1" applyFill="1" applyFont="1" applyNumberFormat="1">
      <alignment vertical="bottom"/>
    </xf>
    <xf borderId="0" fillId="6" fontId="5" numFmtId="0" xfId="0" applyAlignment="1" applyFill="1" applyFont="1">
      <alignment horizontal="center" readingOrder="0" vertical="bottom"/>
    </xf>
    <xf borderId="0" fillId="9" fontId="5" numFmtId="166" xfId="0" applyAlignment="1" applyFill="1" applyFont="1" applyNumberFormat="1">
      <alignment vertical="bottom"/>
    </xf>
    <xf borderId="0" fillId="11" fontId="6" numFmtId="0" xfId="0" applyAlignment="1" applyFill="1" applyFont="1">
      <alignment vertical="bottom"/>
    </xf>
    <xf borderId="0" fillId="11" fontId="5" numFmtId="0" xfId="0" applyAlignment="1" applyFill="1" applyFont="1">
      <alignment readingOrder="0" vertical="bottom"/>
    </xf>
    <xf borderId="0" fillId="11" fontId="6" numFmtId="0" xfId="0" applyAlignment="1" applyFill="1" applyFont="1">
      <alignment readingOrder="0" vertical="bottom"/>
    </xf>
    <xf borderId="0" fillId="9" fontId="5" numFmtId="0" xfId="0" applyAlignment="1" applyFill="1" applyFont="1">
      <alignment horizontal="center" vertical="bottom"/>
    </xf>
    <xf borderId="0" fillId="9" fontId="6" numFmtId="0" xfId="0" applyAlignment="1" applyFill="1" applyFont="1">
      <alignment readingOrder="0" vertical="bottom"/>
    </xf>
    <xf borderId="0" fillId="20" fontId="5" numFmtId="0" xfId="0" applyAlignment="1" applyFill="1" applyFont="1">
      <alignment readingOrder="0" vertical="bottom"/>
    </xf>
    <xf borderId="0" fillId="20" fontId="5" numFmtId="0" xfId="0" applyAlignment="1" applyFill="1" applyFont="1">
      <alignment vertical="bottom"/>
    </xf>
    <xf borderId="0" fillId="9" fontId="3" numFmtId="0" xfId="0" applyAlignment="1" applyFill="1" applyFont="1">
      <alignment readingOrder="0"/>
    </xf>
    <xf borderId="0" fillId="9" fontId="6" numFmtId="0" xfId="0" applyAlignment="1" applyFill="1" applyFont="1">
      <alignment horizontal="left" readingOrder="0" vertical="bottom"/>
    </xf>
    <xf borderId="0" fillId="9" fontId="6" numFmtId="0" xfId="0" applyAlignment="1" applyFill="1" applyFont="1">
      <alignment horizontal="center" readingOrder="0" vertical="bottom"/>
    </xf>
    <xf borderId="0" fillId="9" fontId="5" numFmtId="0" xfId="0" applyAlignment="1" applyFill="1" applyFont="1">
      <alignment horizontal="center" vertical="bottom"/>
    </xf>
    <xf borderId="0" fillId="21" fontId="6" numFmtId="0" xfId="0" applyAlignment="1" applyFill="1" applyFont="1">
      <alignment horizontal="left" readingOrder="0" vertical="bottom"/>
    </xf>
    <xf borderId="0" fillId="9" fontId="5" numFmtId="0" xfId="0" applyAlignment="1" applyFill="1" applyFont="1">
      <alignment horizontal="left" readingOrder="0" vertical="bottom"/>
    </xf>
    <xf borderId="0" fillId="9" fontId="3" numFmtId="0" xfId="0" applyAlignment="1" applyFill="1" applyFont="1">
      <alignment horizontal="center" readingOrder="0"/>
    </xf>
    <xf borderId="0" fillId="2" fontId="5" numFmtId="166" xfId="0" applyAlignment="1" applyFill="1" applyFont="1" applyNumberFormat="1">
      <alignment horizontal="center" readingOrder="0" vertical="bottom"/>
    </xf>
    <xf borderId="0" fillId="9" fontId="0" numFmtId="0" xfId="0" applyAlignment="1" applyFill="1" applyFont="1">
      <alignment readingOrder="0"/>
    </xf>
    <xf borderId="0" fillId="11" fontId="1" numFmtId="0" xfId="0" applyAlignment="1" applyFill="1" applyFont="1">
      <alignment readingOrder="0"/>
    </xf>
    <xf borderId="0" fillId="11" fontId="3" numFmtId="0" xfId="0" applyAlignment="1" applyFill="1" applyFont="1">
      <alignment horizontal="left"/>
    </xf>
    <xf borderId="0" fillId="6" fontId="3" numFmtId="0" xfId="0" applyAlignment="1" applyFill="1" applyFont="1">
      <alignment horizontal="left" readingOrder="0"/>
    </xf>
    <xf borderId="0" fillId="6" fontId="0" numFmtId="0" xfId="0" applyAlignment="1" applyFill="1" applyFont="1">
      <alignment readingOrder="0"/>
    </xf>
    <xf borderId="0" fillId="6" fontId="3" numFmtId="167" xfId="0" applyAlignment="1" applyFill="1" applyFont="1" applyNumberFormat="1">
      <alignment horizontal="center" readingOrder="0"/>
    </xf>
    <xf borderId="0" fillId="6" fontId="3" numFmtId="0" xfId="0" applyAlignment="1" applyFill="1" applyFont="1">
      <alignment horizontal="center" readingOrder="0"/>
    </xf>
    <xf borderId="0" fillId="2" fontId="3" numFmtId="166" xfId="0" applyAlignment="1" applyFill="1" applyFont="1" applyNumberFormat="1">
      <alignment horizontal="center" readingOrder="0"/>
    </xf>
    <xf borderId="0" fillId="14" fontId="3" numFmtId="166" xfId="0" applyAlignment="1" applyFill="1" applyFont="1" applyNumberFormat="1">
      <alignment horizontal="center" readingOrder="0"/>
    </xf>
    <xf borderId="0" fillId="9" fontId="3" numFmtId="168" xfId="0" applyAlignment="1" applyFill="1" applyFont="1" applyNumberFormat="1">
      <alignment horizontal="center" readingOrder="0"/>
    </xf>
    <xf borderId="0" fillId="11" fontId="3" numFmtId="0" xfId="0" applyFill="1" applyFont="1"/>
    <xf borderId="0" fillId="14" fontId="5" numFmtId="166" xfId="0" applyAlignment="1" applyFill="1" applyFont="1" applyNumberFormat="1">
      <alignment horizontal="center" readingOrder="0" vertical="bottom"/>
    </xf>
    <xf borderId="0" fillId="22" fontId="3" numFmtId="0" xfId="0" applyAlignment="1" applyFill="1" applyFont="1">
      <alignment readingOrder="0"/>
    </xf>
    <xf borderId="0" fillId="11" fontId="1" numFmtId="0" xfId="0" applyAlignment="1" applyFill="1" applyFont="1">
      <alignment horizontal="center" readingOrder="0"/>
    </xf>
    <xf borderId="0" fillId="11" fontId="10" numFmtId="0" xfId="0" applyAlignment="1" applyFill="1" applyFont="1">
      <alignment horizontal="center" readingOrder="0" vertical="bottom"/>
    </xf>
    <xf borderId="0" fillId="6" fontId="3" numFmtId="0" xfId="0" applyAlignment="1" applyFill="1" applyFont="1">
      <alignment readingOrder="0"/>
    </xf>
    <xf borderId="0" fillId="11" fontId="1" numFmtId="0" xfId="0" applyAlignment="1" applyFill="1" applyFont="1">
      <alignment horizontal="left" readingOrder="0"/>
    </xf>
    <xf borderId="0" fillId="6" fontId="3" numFmtId="164" xfId="0" applyAlignment="1" applyFill="1" applyFont="1" applyNumberFormat="1">
      <alignment horizontal="center" readingOrder="0"/>
    </xf>
    <xf borderId="0" fillId="22" fontId="1" numFmtId="0" xfId="0" applyAlignment="1" applyFill="1" applyFont="1">
      <alignment readingOrder="0"/>
    </xf>
    <xf borderId="0" fillId="11" fontId="1" numFmtId="0" xfId="0" applyAlignment="1" applyFill="1" applyFont="1">
      <alignment readingOrder="0" shrinkToFit="0" wrapText="0"/>
    </xf>
    <xf borderId="0" fillId="6" fontId="16" numFmtId="0" xfId="0" applyAlignment="1" applyFill="1" applyFont="1">
      <alignment horizontal="left" readingOrder="0"/>
    </xf>
    <xf borderId="0" fillId="20" fontId="3" numFmtId="0" xfId="0" applyAlignment="1" applyFill="1" applyFont="1">
      <alignment readingOrder="0"/>
    </xf>
    <xf borderId="0" fillId="20" fontId="3" numFmtId="0" xfId="0" applyAlignment="1" applyFill="1" applyFont="1">
      <alignment horizontal="left" readingOrder="0"/>
    </xf>
    <xf borderId="0" fillId="20" fontId="3" numFmtId="164" xfId="0" applyAlignment="1" applyFill="1" applyFont="1" applyNumberFormat="1">
      <alignment horizontal="center" readingOrder="0"/>
    </xf>
    <xf borderId="0" fillId="21" fontId="1" numFmtId="0" xfId="0" applyAlignment="1" applyFill="1" applyFont="1">
      <alignment readingOrder="0"/>
    </xf>
    <xf borderId="0" fillId="0" fontId="3" numFmtId="164" xfId="0" applyAlignment="1" applyFont="1" applyNumberFormat="1">
      <alignment horizontal="center" readingOrder="0"/>
    </xf>
    <xf borderId="0" fillId="0" fontId="3" numFmtId="0" xfId="0" applyFont="1"/>
    <xf borderId="0" fillId="0" fontId="3" numFmtId="167" xfId="0" applyAlignment="1" applyFont="1" applyNumberFormat="1">
      <alignment horizontal="center" readingOrder="0"/>
    </xf>
    <xf borderId="0" fillId="8" fontId="5" numFmtId="166" xfId="0" applyAlignment="1" applyFill="1" applyFont="1" applyNumberFormat="1">
      <alignment horizontal="left" readingOrder="0" vertical="bottom"/>
    </xf>
    <xf borderId="0" fillId="0" fontId="5" numFmtId="0" xfId="0" applyAlignment="1" applyFont="1">
      <alignment horizontal="left" vertical="bottom"/>
    </xf>
    <xf borderId="0" fillId="8" fontId="3" numFmtId="166" xfId="0" applyAlignment="1" applyFill="1" applyFont="1" applyNumberFormat="1">
      <alignment horizontal="left" readingOrder="0"/>
    </xf>
    <xf borderId="0" fillId="3" fontId="5" numFmtId="166" xfId="0" applyAlignment="1" applyFill="1" applyFont="1" applyNumberFormat="1">
      <alignment horizontal="left" readingOrder="0" vertical="bottom"/>
    </xf>
    <xf borderId="0" fillId="0" fontId="3" numFmtId="170" xfId="0" applyAlignment="1" applyFont="1" applyNumberFormat="1">
      <alignment horizontal="center" readingOrder="0"/>
    </xf>
    <xf borderId="0" fillId="3" fontId="3" numFmtId="166" xfId="0" applyAlignment="1" applyFill="1" applyFont="1" applyNumberFormat="1">
      <alignment horizontal="left" readingOrder="0"/>
    </xf>
    <xf borderId="0" fillId="0" fontId="13" numFmtId="0" xfId="0" applyAlignment="1" applyFont="1">
      <alignment horizontal="left" readingOrder="0"/>
    </xf>
    <xf borderId="0" fillId="0" fontId="3" numFmtId="168" xfId="0" applyAlignment="1" applyFont="1" applyNumberFormat="1">
      <alignment horizontal="center" readingOrder="0"/>
    </xf>
    <xf borderId="0" fillId="0" fontId="17" numFmtId="0" xfId="0" applyAlignment="1" applyFont="1">
      <alignment horizontal="left" readingOrder="0"/>
    </xf>
    <xf borderId="0" fillId="0" fontId="3" numFmtId="167" xfId="0" applyAlignment="1" applyFont="1" applyNumberFormat="1">
      <alignment horizontal="left" readingOrder="0"/>
    </xf>
    <xf borderId="0" fillId="0" fontId="17" numFmtId="0" xfId="0" applyAlignment="1" applyFont="1">
      <alignment horizontal="left" readingOrder="0"/>
    </xf>
    <xf borderId="0" fillId="0" fontId="17" numFmtId="164" xfId="0" applyAlignment="1" applyFont="1" applyNumberFormat="1">
      <alignment horizontal="center" readingOrder="0"/>
    </xf>
    <xf borderId="0" fillId="19" fontId="3" numFmtId="0" xfId="0" applyAlignment="1" applyFill="1" applyFont="1">
      <alignment horizontal="left" readingOrder="0"/>
    </xf>
    <xf borderId="0" fillId="0" fontId="3" numFmtId="49" xfId="0" applyAlignment="1" applyFont="1" applyNumberFormat="1">
      <alignment readingOrder="0"/>
    </xf>
    <xf borderId="0" fillId="0" fontId="3" numFmtId="0" xfId="0" applyAlignment="1" applyFont="1">
      <alignment horizontal="center" readingOrder="0" shrinkToFit="0" wrapText="1"/>
    </xf>
    <xf borderId="0" fillId="6" fontId="3" numFmtId="49" xfId="0" applyAlignment="1" applyFill="1" applyFont="1" applyNumberFormat="1">
      <alignment readingOrder="0"/>
    </xf>
    <xf borderId="0" fillId="6" fontId="3" numFmtId="0" xfId="0" applyAlignment="1" applyFill="1" applyFont="1">
      <alignment horizontal="center" readingOrder="0" shrinkToFit="0" wrapText="1"/>
    </xf>
    <xf borderId="0" fillId="0" fontId="1" numFmtId="0" xfId="0" applyAlignment="1" applyFont="1">
      <alignment readingOrder="0"/>
    </xf>
    <xf borderId="0" fillId="6" fontId="3" numFmtId="167" xfId="0" applyAlignment="1" applyFill="1" applyFont="1" applyNumberFormat="1">
      <alignment horizontal="center" readingOrder="0" shrinkToFit="0" wrapText="1"/>
    </xf>
    <xf borderId="0" fillId="6" fontId="3" numFmtId="168" xfId="0" applyAlignment="1" applyFill="1" applyFont="1" applyNumberFormat="1">
      <alignment horizontal="center" readingOrder="0"/>
    </xf>
    <xf borderId="0" fillId="6" fontId="3" numFmtId="0" xfId="0" applyAlignment="1" applyFill="1" applyFont="1">
      <alignment readingOrder="0"/>
    </xf>
    <xf borderId="0" fillId="0" fontId="18" numFmtId="0" xfId="0" applyAlignment="1" applyFont="1">
      <alignment readingOrder="0"/>
    </xf>
    <xf borderId="0" fillId="6" fontId="3" numFmtId="173" xfId="0" applyAlignment="1" applyFill="1" applyFont="1" applyNumberFormat="1">
      <alignment horizontal="center" readingOrder="0" shrinkToFit="0" wrapText="1"/>
    </xf>
    <xf borderId="0" fillId="6" fontId="3" numFmtId="164" xfId="0" applyAlignment="1" applyFill="1" applyFont="1" applyNumberFormat="1">
      <alignment horizontal="center" readingOrder="0" shrinkToFit="0" wrapText="1"/>
    </xf>
    <xf borderId="0" fillId="11" fontId="1" numFmtId="49" xfId="0" applyAlignment="1" applyFill="1" applyFont="1" applyNumberFormat="1">
      <alignment horizontal="left" readingOrder="0"/>
    </xf>
    <xf borderId="0" fillId="6" fontId="3" numFmtId="172" xfId="0" applyAlignment="1" applyFill="1" applyFont="1" applyNumberFormat="1">
      <alignment horizontal="center" readingOrder="0"/>
    </xf>
    <xf borderId="0" fillId="6" fontId="3" numFmtId="172" xfId="0" applyAlignment="1" applyFill="1" applyFont="1" applyNumberFormat="1">
      <alignment horizontal="center" readingOrder="0" shrinkToFit="0" wrapText="1"/>
    </xf>
    <xf borderId="0" fillId="23" fontId="1" numFmtId="0" xfId="0" applyAlignment="1" applyFill="1" applyFont="1">
      <alignment horizontal="center" readingOrder="0"/>
    </xf>
    <xf borderId="0" fillId="6" fontId="3" numFmtId="0" xfId="0" applyFill="1" applyFont="1"/>
    <xf borderId="0" fillId="11" fontId="19" numFmtId="0" xfId="0" applyAlignment="1" applyFill="1" applyFont="1">
      <alignment horizontal="center" readingOrder="0"/>
    </xf>
    <xf borderId="0" fillId="11" fontId="1" numFmtId="0" xfId="0" applyAlignment="1" applyFill="1" applyFont="1">
      <alignment horizontal="center" readingOrder="0" shrinkToFit="0" wrapText="1"/>
    </xf>
    <xf borderId="0" fillId="6" fontId="0" numFmtId="49" xfId="0" applyAlignment="1" applyFill="1" applyFont="1" applyNumberFormat="1">
      <alignment horizontal="left" readingOrder="0"/>
    </xf>
    <xf borderId="0" fillId="0" fontId="1" numFmtId="0" xfId="0" applyFont="1"/>
    <xf borderId="0" fillId="6" fontId="3" numFmtId="168" xfId="0" applyAlignment="1" applyFill="1" applyFont="1" applyNumberFormat="1">
      <alignment horizontal="center" readingOrder="0" shrinkToFit="0" wrapText="1"/>
    </xf>
    <xf borderId="0" fillId="0" fontId="1" numFmtId="49" xfId="0" applyAlignment="1" applyFont="1" applyNumberFormat="1">
      <alignment horizontal="left" readingOrder="0"/>
    </xf>
    <xf borderId="0" fillId="0" fontId="6" numFmtId="0" xfId="0" applyAlignment="1" applyFont="1">
      <alignment horizontal="center" shrinkToFit="0" vertical="bottom" wrapText="1"/>
    </xf>
    <xf borderId="0" fillId="0" fontId="1" numFmtId="0" xfId="0" applyAlignment="1" applyFont="1">
      <alignment horizontal="center" readingOrder="0" shrinkToFit="0" wrapText="1"/>
    </xf>
    <xf borderId="0" fillId="6" fontId="3" numFmtId="0" xfId="0" applyAlignment="1" applyFill="1" applyFont="1">
      <alignment horizontal="center"/>
    </xf>
    <xf borderId="0" fillId="6" fontId="17" numFmtId="49" xfId="0" applyAlignment="1" applyFill="1" applyFont="1" applyNumberFormat="1">
      <alignment readingOrder="0"/>
    </xf>
    <xf borderId="0" fillId="13" fontId="12" numFmtId="49" xfId="0" applyAlignment="1" applyFill="1" applyFont="1" applyNumberFormat="1">
      <alignment horizontal="left" readingOrder="0"/>
    </xf>
    <xf borderId="0" fillId="0" fontId="3" numFmtId="173" xfId="0" applyAlignment="1" applyFont="1" applyNumberFormat="1">
      <alignment horizontal="center" readingOrder="0"/>
    </xf>
    <xf borderId="0" fillId="23" fontId="3" numFmtId="174" xfId="0" applyAlignment="1" applyFill="1" applyFont="1" applyNumberFormat="1">
      <alignment horizontal="center" readingOrder="0"/>
    </xf>
    <xf borderId="0" fillId="24" fontId="3" numFmtId="0" xfId="0" applyAlignment="1" applyFill="1" applyFont="1">
      <alignment horizontal="center" readingOrder="0"/>
    </xf>
    <xf borderId="0" fillId="0" fontId="20" numFmtId="0" xfId="0" applyAlignment="1" applyFont="1">
      <alignment readingOrder="0"/>
    </xf>
    <xf borderId="0" fillId="0" fontId="3" numFmtId="174" xfId="0" applyAlignment="1" applyFont="1" applyNumberFormat="1">
      <alignment horizontal="center" readingOrder="0"/>
    </xf>
    <xf borderId="0" fillId="25" fontId="3" numFmtId="0" xfId="0" applyAlignment="1" applyFill="1" applyFont="1">
      <alignment readingOrder="0"/>
    </xf>
    <xf borderId="0" fillId="0" fontId="21" numFmtId="0" xfId="0" applyAlignment="1" applyFont="1">
      <alignment horizontal="center" readingOrder="0"/>
    </xf>
    <xf borderId="2" fillId="3" fontId="21" numFmtId="0" xfId="0" applyAlignment="1" applyBorder="1" applyFill="1" applyFont="1">
      <alignment horizontal="center" readingOrder="0"/>
    </xf>
    <xf borderId="3" fillId="0" fontId="22" numFmtId="0" xfId="0" applyBorder="1" applyFont="1"/>
    <xf borderId="0" fillId="9" fontId="23" numFmtId="0" xfId="0" applyAlignment="1" applyFill="1" applyFont="1">
      <alignment horizontal="center" readingOrder="0"/>
    </xf>
    <xf borderId="0" fillId="9" fontId="3" numFmtId="0" xfId="0" applyFill="1" applyFont="1"/>
    <xf borderId="0" fillId="9" fontId="23" numFmtId="0" xfId="0" applyAlignment="1" applyFill="1" applyFont="1">
      <alignment readingOrder="0"/>
    </xf>
    <xf borderId="0" fillId="9" fontId="23" numFmtId="0" xfId="0" applyAlignment="1" applyFill="1" applyFont="1">
      <alignment readingOrder="0"/>
    </xf>
    <xf borderId="0" fillId="9" fontId="23" numFmtId="0" xfId="0" applyAlignment="1" applyFill="1" applyFont="1">
      <alignment readingOrder="0" shrinkToFit="0" wrapText="1"/>
    </xf>
    <xf borderId="0" fillId="0" fontId="3" numFmtId="49" xfId="0" applyAlignment="1" applyFont="1" applyNumberFormat="1">
      <alignment horizontal="left" readingOrder="0"/>
    </xf>
    <xf borderId="0" fillId="23" fontId="3" numFmtId="165" xfId="0" applyAlignment="1" applyFill="1" applyFont="1" applyNumberFormat="1">
      <alignment horizontal="center" readingOrder="0"/>
    </xf>
    <xf borderId="0" fillId="0" fontId="3" numFmtId="172" xfId="0" applyAlignment="1" applyFont="1" applyNumberFormat="1">
      <alignment horizontal="center" readingOrder="0"/>
    </xf>
    <xf borderId="0" fillId="5" fontId="3" numFmtId="0" xfId="0" applyAlignment="1" applyFill="1" applyFont="1">
      <alignment readingOrder="0"/>
    </xf>
    <xf borderId="1" fillId="5" fontId="3" numFmtId="0" xfId="0" applyAlignment="1" applyBorder="1" applyFill="1" applyFont="1">
      <alignment readingOrder="0"/>
    </xf>
    <xf borderId="0" fillId="0" fontId="3" numFmtId="164" xfId="0" applyAlignment="1" applyFont="1" applyNumberFormat="1">
      <alignment horizontal="center" readingOrder="0" shrinkToFit="0" wrapText="1"/>
    </xf>
    <xf borderId="0" fillId="6" fontId="3" numFmtId="49" xfId="0" applyAlignment="1" applyFill="1" applyFont="1" applyNumberFormat="1">
      <alignment horizontal="left" readingOrder="0"/>
    </xf>
    <xf borderId="0" fillId="7" fontId="3" numFmtId="0" xfId="0" applyAlignment="1" applyFill="1" applyFont="1">
      <alignment readingOrder="0"/>
    </xf>
    <xf borderId="1" fillId="0" fontId="3" numFmtId="0" xfId="0" applyBorder="1" applyFont="1"/>
    <xf borderId="0" fillId="24" fontId="24" numFmtId="0" xfId="0" applyAlignment="1" applyFill="1" applyFont="1">
      <alignment horizontal="center" readingOrder="0" vertical="bottom"/>
    </xf>
    <xf borderId="0" fillId="9" fontId="1" numFmtId="0" xfId="0" applyAlignment="1" applyFill="1" applyFont="1">
      <alignment horizontal="center" readingOrder="0"/>
    </xf>
    <xf borderId="0" fillId="0" fontId="24" numFmtId="0" xfId="0" applyAlignment="1" applyFont="1">
      <alignment readingOrder="0" vertical="bottom"/>
    </xf>
    <xf borderId="0" fillId="0" fontId="25" numFmtId="0" xfId="0" applyAlignment="1" applyFont="1">
      <alignment readingOrder="0" vertical="bottom"/>
    </xf>
    <xf borderId="4" fillId="0" fontId="25" numFmtId="0" xfId="0" applyAlignment="1" applyBorder="1" applyFont="1">
      <alignment readingOrder="0" vertical="bottom"/>
    </xf>
    <xf borderId="4" fillId="0" fontId="26" numFmtId="0" xfId="0" applyAlignment="1" applyBorder="1" applyFont="1">
      <alignment readingOrder="0" vertical="bottom"/>
    </xf>
    <xf borderId="0" fillId="9" fontId="1" numFmtId="0" xfId="0" applyAlignment="1" applyFill="1" applyFont="1">
      <alignment horizontal="center"/>
    </xf>
    <xf borderId="0" fillId="13" fontId="5" numFmtId="0" xfId="0" applyAlignment="1" applyFill="1" applyFont="1">
      <alignment horizontal="center" vertical="bottom"/>
    </xf>
    <xf borderId="0" fillId="0" fontId="3" numFmtId="49" xfId="0" applyAlignment="1" applyFont="1" applyNumberFormat="1">
      <alignment horizontal="left" readingOrder="0" shrinkToFit="0" wrapText="1"/>
    </xf>
    <xf borderId="0" fillId="9" fontId="23" numFmtId="0" xfId="0" applyAlignment="1" applyFill="1" applyFont="1">
      <alignment horizontal="center" readingOrder="0"/>
    </xf>
    <xf borderId="0" fillId="23" fontId="3" numFmtId="0" xfId="0" applyFill="1" applyFont="1"/>
    <xf borderId="0" fillId="9" fontId="23" numFmtId="167" xfId="0" applyAlignment="1" applyFill="1" applyFont="1" applyNumberFormat="1">
      <alignment horizontal="center" readingOrder="0"/>
    </xf>
    <xf borderId="0" fillId="9" fontId="23" numFmtId="0" xfId="0" applyAlignment="1" applyFill="1" applyFont="1">
      <alignment horizontal="center" readingOrder="0"/>
    </xf>
    <xf borderId="0" fillId="9" fontId="23" numFmtId="167" xfId="0" applyAlignment="1" applyFill="1" applyFont="1" applyNumberFormat="1">
      <alignment horizontal="center" readingOrder="0" shrinkToFit="0" wrapText="1"/>
    </xf>
    <xf borderId="1" fillId="0" fontId="5" numFmtId="0" xfId="0" applyAlignment="1" applyBorder="1" applyFont="1">
      <alignment readingOrder="0" vertical="bottom"/>
    </xf>
    <xf borderId="0" fillId="23" fontId="3" numFmtId="0" xfId="0" applyAlignment="1" applyFill="1" applyFont="1">
      <alignment horizontal="center"/>
    </xf>
    <xf borderId="0" fillId="0" fontId="27" numFmtId="49" xfId="0" applyAlignment="1" applyFont="1" applyNumberFormat="1">
      <alignment readingOrder="0" shrinkToFit="0" vertical="bottom" wrapText="1"/>
    </xf>
    <xf borderId="0" fillId="26" fontId="3" numFmtId="0" xfId="0" applyAlignment="1" applyFill="1" applyFont="1">
      <alignment readingOrder="0"/>
    </xf>
    <xf borderId="0" fillId="26" fontId="5" numFmtId="0" xfId="0" applyAlignment="1" applyFill="1" applyFont="1">
      <alignment horizontal="center" readingOrder="0" vertical="bottom"/>
    </xf>
    <xf borderId="0" fillId="13" fontId="5" numFmtId="0" xfId="0" applyAlignment="1" applyFill="1" applyFont="1">
      <alignment horizontal="center" vertical="bottom"/>
    </xf>
    <xf borderId="0" fillId="0" fontId="3" numFmtId="167" xfId="0" applyAlignment="1" applyFont="1" applyNumberFormat="1">
      <alignment horizontal="center" readingOrder="0" shrinkToFit="0" wrapText="1"/>
    </xf>
    <xf borderId="4" fillId="9" fontId="26" numFmtId="174" xfId="0" applyAlignment="1" applyBorder="1" applyFill="1" applyFont="1" applyNumberFormat="1">
      <alignment vertical="bottom"/>
    </xf>
    <xf borderId="0" fillId="0" fontId="3" numFmtId="0" xfId="0" applyAlignment="1" applyFont="1">
      <alignment horizontal="left" readingOrder="0" shrinkToFit="0" wrapText="1"/>
    </xf>
    <xf borderId="0" fillId="6" fontId="3" numFmtId="167" xfId="0" applyAlignment="1" applyFill="1" applyFont="1" applyNumberFormat="1">
      <alignment readingOrder="0"/>
    </xf>
    <xf borderId="0" fillId="13" fontId="3" numFmtId="0" xfId="0" applyAlignment="1" applyFill="1" applyFont="1">
      <alignment horizontal="center" readingOrder="0"/>
    </xf>
    <xf borderId="0" fillId="6" fontId="3" numFmtId="0" xfId="0" applyAlignment="1" applyFill="1" applyFont="1">
      <alignment readingOrder="0" shrinkToFit="0" wrapText="1"/>
    </xf>
    <xf borderId="0" fillId="0" fontId="17" numFmtId="49" xfId="0" applyAlignment="1" applyFont="1" applyNumberFormat="1">
      <alignment readingOrder="0"/>
    </xf>
    <xf borderId="0" fillId="0" fontId="5" numFmtId="174" xfId="0" applyAlignment="1" applyFont="1" applyNumberFormat="1">
      <alignment readingOrder="0" vertical="bottom"/>
    </xf>
    <xf borderId="0" fillId="0" fontId="3" numFmtId="49" xfId="0" applyFont="1" applyNumberFormat="1"/>
    <xf borderId="0" fillId="16" fontId="3" numFmtId="167" xfId="0" applyAlignment="1" applyFill="1" applyFont="1" applyNumberFormat="1">
      <alignment readingOrder="0"/>
    </xf>
    <xf borderId="0" fillId="16" fontId="3" numFmtId="0" xfId="0" applyFill="1" applyFont="1"/>
    <xf borderId="0" fillId="0" fontId="3" numFmtId="0" xfId="0" applyAlignment="1" applyFont="1">
      <alignment horizontal="center" shrinkToFit="0" wrapText="1"/>
    </xf>
    <xf borderId="0" fillId="0" fontId="5" numFmtId="0" xfId="0" applyAlignment="1" applyFont="1">
      <alignment shrinkToFit="0" vertical="bottom" wrapText="0"/>
    </xf>
    <xf borderId="0" fillId="24" fontId="5" numFmtId="0" xfId="0" applyAlignment="1" applyFill="1" applyFont="1">
      <alignment horizontal="center" readingOrder="0" vertical="bottom"/>
    </xf>
    <xf borderId="0" fillId="24" fontId="5" numFmtId="0" xfId="0" applyAlignment="1" applyFill="1" applyFont="1">
      <alignment vertical="bottom"/>
    </xf>
    <xf borderId="0" fillId="0" fontId="3" numFmtId="0" xfId="0" applyAlignment="1" applyFont="1">
      <alignment horizontal="left" readingOrder="0" shrinkToFit="0" wrapText="0"/>
    </xf>
    <xf borderId="0" fillId="0" fontId="5" numFmtId="49" xfId="0" applyAlignment="1" applyFont="1" applyNumberFormat="1">
      <alignment vertical="bottom"/>
    </xf>
    <xf borderId="0" fillId="0" fontId="5" numFmtId="49" xfId="0" applyAlignment="1" applyFont="1" applyNumberFormat="1">
      <alignment readingOrder="0" vertical="bottom"/>
    </xf>
    <xf borderId="0" fillId="9" fontId="5" numFmtId="175" xfId="0" applyAlignment="1" applyFill="1" applyFont="1" applyNumberFormat="1">
      <alignment vertical="bottom"/>
    </xf>
    <xf borderId="0" fillId="27" fontId="3" numFmtId="0" xfId="0" applyAlignment="1" applyFill="1" applyFont="1">
      <alignment horizontal="center" readingOrder="0"/>
    </xf>
    <xf borderId="0" fillId="27" fontId="3" numFmtId="49" xfId="0" applyAlignment="1" applyFill="1" applyFont="1" applyNumberFormat="1">
      <alignment horizontal="left" readingOrder="0"/>
    </xf>
    <xf borderId="0" fillId="27" fontId="3" numFmtId="170" xfId="0" applyAlignment="1" applyFill="1" applyFont="1" applyNumberFormat="1">
      <alignment horizontal="center" readingOrder="0"/>
    </xf>
    <xf borderId="0" fillId="27" fontId="3" numFmtId="164" xfId="0" applyAlignment="1" applyFill="1" applyFont="1" applyNumberFormat="1">
      <alignment horizontal="center" readingOrder="0"/>
    </xf>
    <xf borderId="0" fillId="27" fontId="3" numFmtId="0" xfId="0" applyAlignment="1" applyFill="1" applyFont="1">
      <alignment horizontal="center" readingOrder="0" shrinkToFit="0" wrapText="1"/>
    </xf>
    <xf borderId="0" fillId="0" fontId="27" numFmtId="49" xfId="0" applyAlignment="1" applyFont="1" applyNumberFormat="1">
      <alignment shrinkToFit="0" vertical="bottom" wrapText="1"/>
    </xf>
    <xf borderId="0" fillId="20" fontId="5" numFmtId="175" xfId="0" applyAlignment="1" applyFill="1" applyFont="1" applyNumberFormat="1">
      <alignment vertical="bottom"/>
    </xf>
    <xf borderId="0" fillId="0" fontId="3" numFmtId="4" xfId="0" applyAlignment="1" applyFont="1" applyNumberFormat="1">
      <alignment horizontal="center" readingOrder="0"/>
    </xf>
    <xf borderId="0" fillId="16" fontId="28" numFmtId="0" xfId="0" applyAlignment="1" applyFill="1" applyFont="1">
      <alignment readingOrder="0" shrinkToFit="0" vertical="bottom" wrapText="0"/>
    </xf>
    <xf borderId="0" fillId="0" fontId="5" numFmtId="175" xfId="0" applyAlignment="1" applyFont="1" applyNumberFormat="1">
      <alignment vertical="bottom"/>
    </xf>
    <xf borderId="0" fillId="6" fontId="28" numFmtId="0" xfId="0" applyAlignment="1" applyFill="1" applyFont="1">
      <alignment readingOrder="0" shrinkToFit="0" vertical="bottom" wrapText="0"/>
    </xf>
    <xf borderId="0" fillId="6" fontId="3" numFmtId="0" xfId="0" applyAlignment="1" applyFill="1" applyFont="1">
      <alignment shrinkToFit="0" wrapText="1"/>
    </xf>
    <xf borderId="0" fillId="6" fontId="3" numFmtId="164" xfId="0" applyAlignment="1" applyFill="1" applyFont="1" applyNumberFormat="1">
      <alignment readingOrder="0"/>
    </xf>
    <xf borderId="5" fillId="28" fontId="27" numFmtId="49" xfId="0" applyAlignment="1" applyBorder="1" applyFill="1" applyFont="1" applyNumberFormat="1">
      <alignment shrinkToFit="0" vertical="bottom" wrapText="1"/>
    </xf>
    <xf borderId="5" fillId="2" fontId="27" numFmtId="175" xfId="0" applyAlignment="1" applyBorder="1" applyFill="1" applyFont="1" applyNumberFormat="1">
      <alignment horizontal="right" shrinkToFit="0" vertical="bottom" wrapText="1"/>
    </xf>
    <xf borderId="0" fillId="24" fontId="17" numFmtId="0" xfId="0" applyAlignment="1" applyFill="1" applyFont="1">
      <alignment horizontal="center" readingOrder="0"/>
    </xf>
    <xf borderId="0" fillId="28" fontId="27" numFmtId="49" xfId="0" applyAlignment="1" applyFill="1" applyFont="1" applyNumberFormat="1">
      <alignment shrinkToFit="0" vertical="bottom" wrapText="1"/>
    </xf>
    <xf borderId="0" fillId="2" fontId="27" numFmtId="175" xfId="0" applyAlignment="1" applyFill="1" applyFont="1" applyNumberFormat="1">
      <alignment horizontal="right" shrinkToFit="0" vertical="bottom" wrapText="1"/>
    </xf>
    <xf borderId="0" fillId="13" fontId="0" numFmtId="0" xfId="0" applyAlignment="1" applyFill="1" applyFont="1">
      <alignment readingOrder="0"/>
    </xf>
    <xf borderId="0" fillId="24" fontId="27" numFmtId="49" xfId="0" applyAlignment="1" applyFill="1" applyFont="1" applyNumberFormat="1">
      <alignment horizontal="center" readingOrder="0" shrinkToFit="0" vertical="bottom" wrapText="1"/>
    </xf>
    <xf borderId="0" fillId="7" fontId="3" numFmtId="167" xfId="0" applyAlignment="1" applyFill="1" applyFont="1" applyNumberFormat="1">
      <alignment readingOrder="0"/>
    </xf>
    <xf borderId="0" fillId="7" fontId="28" numFmtId="0" xfId="0" applyAlignment="1" applyFill="1" applyFont="1">
      <alignment readingOrder="0" shrinkToFit="0" vertical="bottom" wrapText="0"/>
    </xf>
    <xf borderId="0" fillId="7" fontId="3" numFmtId="0" xfId="0" applyAlignment="1" applyFill="1" applyFont="1">
      <alignment readingOrder="0" shrinkToFit="0" wrapText="1"/>
    </xf>
    <xf borderId="0" fillId="16" fontId="29" numFmtId="0" xfId="0" applyAlignment="1" applyFill="1" applyFont="1">
      <alignment readingOrder="0"/>
    </xf>
    <xf borderId="0" fillId="0" fontId="3" numFmtId="0" xfId="0" applyAlignment="1" applyFont="1">
      <alignment horizontal="center" readingOrder="0"/>
    </xf>
    <xf borderId="0" fillId="0" fontId="5" numFmtId="0" xfId="0" applyAlignment="1" applyFont="1">
      <alignment horizontal="center" shrinkToFit="0" vertical="bottom" wrapText="1"/>
    </xf>
    <xf borderId="0" fillId="0" fontId="5" numFmtId="0" xfId="0" applyAlignment="1" applyFont="1">
      <alignment horizontal="center" readingOrder="0" shrinkToFit="0" vertical="bottom" wrapText="1"/>
    </xf>
    <xf borderId="0" fillId="7" fontId="3" numFmtId="0" xfId="0" applyAlignment="1" applyFill="1" applyFont="1">
      <alignment horizontal="left" readingOrder="0" shrinkToFit="0" wrapText="0"/>
    </xf>
    <xf borderId="0" fillId="0" fontId="28" numFmtId="0" xfId="0" applyAlignment="1" applyFont="1">
      <alignment readingOrder="0" shrinkToFit="0" vertical="bottom" wrapText="0"/>
    </xf>
    <xf borderId="0" fillId="0" fontId="3" numFmtId="0" xfId="0" applyAlignment="1" applyFont="1">
      <alignment shrinkToFit="0" wrapText="1"/>
    </xf>
    <xf borderId="0" fillId="16" fontId="29" numFmtId="0" xfId="0" applyAlignment="1" applyFill="1" applyFont="1">
      <alignment readingOrder="0" vertical="top"/>
    </xf>
    <xf borderId="0" fillId="7" fontId="3" numFmtId="0" xfId="0" applyFill="1" applyFont="1"/>
    <xf borderId="0" fillId="6" fontId="3" numFmtId="173" xfId="0" applyAlignment="1" applyFill="1" applyFont="1" applyNumberFormat="1">
      <alignment readingOrder="0"/>
    </xf>
    <xf borderId="0" fillId="6" fontId="12" numFmtId="0" xfId="0" applyAlignment="1" applyFill="1" applyFont="1">
      <alignment readingOrder="0" vertical="bottom"/>
    </xf>
    <xf borderId="0" fillId="6" fontId="17" numFmtId="167" xfId="0" applyAlignment="1" applyFill="1" applyFont="1" applyNumberFormat="1">
      <alignment readingOrder="0"/>
    </xf>
    <xf borderId="0" fillId="6" fontId="17" numFmtId="0" xfId="0" applyAlignment="1" applyFill="1" applyFont="1">
      <alignment readingOrder="0"/>
    </xf>
    <xf borderId="0" fillId="16" fontId="5" numFmtId="0" xfId="0" applyAlignment="1" applyFill="1" applyFont="1">
      <alignment readingOrder="0" vertical="bottom"/>
    </xf>
    <xf borderId="0" fillId="29" fontId="3" numFmtId="0" xfId="0" applyAlignment="1" applyFill="1" applyFont="1">
      <alignment horizontal="center" readingOrder="0"/>
    </xf>
    <xf borderId="0" fillId="29" fontId="3" numFmtId="49" xfId="0" applyAlignment="1" applyFill="1" applyFont="1" applyNumberFormat="1">
      <alignment horizontal="left" readingOrder="0"/>
    </xf>
    <xf borderId="0" fillId="29" fontId="3" numFmtId="173" xfId="0" applyAlignment="1" applyFill="1" applyFont="1" applyNumberFormat="1">
      <alignment horizontal="center" readingOrder="0"/>
    </xf>
    <xf borderId="0" fillId="29" fontId="3" numFmtId="164" xfId="0" applyAlignment="1" applyFill="1" applyFont="1" applyNumberFormat="1">
      <alignment horizontal="center" readingOrder="0"/>
    </xf>
    <xf borderId="0" fillId="29" fontId="3" numFmtId="0" xfId="0" applyAlignment="1" applyFill="1" applyFont="1">
      <alignment horizontal="center"/>
    </xf>
    <xf borderId="0" fillId="16" fontId="3" numFmtId="0" xfId="0" applyAlignment="1" applyFill="1" applyFont="1">
      <alignment shrinkToFit="0" wrapText="1"/>
    </xf>
    <xf borderId="0" fillId="6" fontId="3" numFmtId="168" xfId="0" applyAlignment="1" applyFill="1" applyFont="1" applyNumberFormat="1">
      <alignment readingOrder="0"/>
    </xf>
    <xf borderId="0" fillId="25" fontId="5" numFmtId="0" xfId="0" applyAlignment="1" applyFill="1" applyFont="1">
      <alignment readingOrder="0" vertical="bottom"/>
    </xf>
    <xf borderId="0" fillId="25" fontId="3" numFmtId="0" xfId="0" applyFill="1" applyFont="1"/>
    <xf borderId="0" fillId="25" fontId="27" numFmtId="0" xfId="0" applyAlignment="1" applyFill="1" applyFont="1">
      <alignment vertical="bottom"/>
    </xf>
    <xf borderId="0" fillId="25" fontId="28" numFmtId="0" xfId="0" applyAlignment="1" applyFill="1" applyFont="1">
      <alignment readingOrder="0" shrinkToFit="0" vertical="bottom" wrapText="0"/>
    </xf>
    <xf borderId="0" fillId="25" fontId="3" numFmtId="0" xfId="0" applyAlignment="1" applyFill="1" applyFont="1">
      <alignment readingOrder="0" shrinkToFit="0" wrapText="1"/>
    </xf>
    <xf borderId="0" fillId="25" fontId="3" numFmtId="172" xfId="0" applyAlignment="1" applyFill="1" applyFont="1" applyNumberFormat="1">
      <alignment readingOrder="0"/>
    </xf>
    <xf borderId="0" fillId="16" fontId="27" numFmtId="0" xfId="0" applyAlignment="1" applyFill="1" applyFont="1">
      <alignment vertical="bottom"/>
    </xf>
    <xf borderId="0" fillId="16" fontId="5" numFmtId="0" xfId="0" applyAlignment="1" applyFill="1" applyFont="1">
      <alignment vertical="bottom"/>
    </xf>
    <xf borderId="0" fillId="6" fontId="27" numFmtId="0" xfId="0" applyAlignment="1" applyFill="1" applyFont="1">
      <alignment vertical="bottom"/>
    </xf>
    <xf borderId="0" fillId="6" fontId="3" numFmtId="172" xfId="0" applyAlignment="1" applyFill="1" applyFont="1" applyNumberFormat="1">
      <alignment readingOrder="0"/>
    </xf>
    <xf borderId="0" fillId="16" fontId="3" numFmtId="0" xfId="0" applyAlignment="1" applyFill="1" applyFont="1">
      <alignment readingOrder="0" shrinkToFit="0" wrapText="0"/>
    </xf>
    <xf borderId="0" fillId="20" fontId="3" numFmtId="0" xfId="0" applyFill="1" applyFont="1"/>
    <xf borderId="0" fillId="24" fontId="5" numFmtId="0" xfId="0" applyAlignment="1" applyFill="1" applyFont="1">
      <alignment horizontal="center" vertical="bottom"/>
    </xf>
    <xf borderId="0" fillId="6" fontId="3" numFmtId="0" xfId="0" applyAlignment="1" applyFill="1" applyFont="1">
      <alignment readingOrder="0" shrinkToFit="0" wrapText="0"/>
    </xf>
    <xf borderId="0" fillId="29" fontId="5" numFmtId="0" xfId="0" applyAlignment="1" applyFill="1" applyFont="1">
      <alignment readingOrder="0" vertical="bottom"/>
    </xf>
    <xf borderId="0" fillId="29" fontId="3" numFmtId="167" xfId="0" applyAlignment="1" applyFill="1" applyFont="1" applyNumberFormat="1">
      <alignment readingOrder="0"/>
    </xf>
    <xf borderId="0" fillId="29" fontId="28" numFmtId="0" xfId="0" applyAlignment="1" applyFill="1" applyFont="1">
      <alignment readingOrder="0" shrinkToFit="0" vertical="bottom" wrapText="0"/>
    </xf>
    <xf borderId="0" fillId="29" fontId="3" numFmtId="0" xfId="0" applyAlignment="1" applyFill="1" applyFont="1">
      <alignment readingOrder="0"/>
    </xf>
    <xf borderId="0" fillId="29" fontId="3" numFmtId="0" xfId="0" applyAlignment="1" applyFill="1" applyFont="1">
      <alignment readingOrder="0" shrinkToFit="0" wrapText="0"/>
    </xf>
    <xf borderId="0" fillId="29" fontId="3" numFmtId="0" xfId="0" applyFill="1" applyFont="1"/>
    <xf borderId="0" fillId="0" fontId="30" numFmtId="0" xfId="0" applyAlignment="1" applyFont="1">
      <alignment readingOrder="0" vertical="bottom"/>
    </xf>
    <xf borderId="0" fillId="0" fontId="20" numFmtId="173" xfId="0" applyAlignment="1" applyFont="1" applyNumberFormat="1">
      <alignment horizontal="right" readingOrder="0"/>
    </xf>
    <xf borderId="0" fillId="0" fontId="31" numFmtId="0" xfId="0" applyAlignment="1" applyFont="1">
      <alignment readingOrder="0" shrinkToFit="0" vertical="bottom" wrapText="0"/>
    </xf>
    <xf borderId="0" fillId="0" fontId="20" numFmtId="0" xfId="0" applyAlignment="1" applyFont="1">
      <alignment readingOrder="0" shrinkToFit="0" wrapText="0"/>
    </xf>
    <xf borderId="0" fillId="13" fontId="32" numFmtId="0" xfId="0" applyAlignment="1" applyFill="1" applyFont="1">
      <alignment readingOrder="0"/>
    </xf>
    <xf borderId="0" fillId="0" fontId="20" numFmtId="164" xfId="0" applyAlignment="1" applyFont="1" applyNumberFormat="1">
      <alignment readingOrder="0"/>
    </xf>
    <xf borderId="6" fillId="6" fontId="3" numFmtId="0" xfId="0" applyAlignment="1" applyBorder="1" applyFill="1" applyFont="1">
      <alignment readingOrder="0"/>
    </xf>
    <xf borderId="0" fillId="0" fontId="1" numFmtId="0" xfId="0" applyAlignment="1" applyFont="1">
      <alignment horizontal="center" readingOrder="0" shrinkToFit="0" wrapText="0"/>
    </xf>
    <xf borderId="0" fillId="0" fontId="33" numFmtId="0" xfId="0" applyAlignment="1" applyFont="1">
      <alignment readingOrder="0" shrinkToFit="0" vertical="bottom" wrapText="0"/>
    </xf>
    <xf borderId="0" fillId="17" fontId="3" numFmtId="0" xfId="0" applyAlignment="1" applyFill="1" applyFont="1">
      <alignment readingOrder="0"/>
    </xf>
    <xf borderId="0" fillId="0" fontId="20" numFmtId="0" xfId="0" applyAlignment="1" applyFont="1">
      <alignment readingOrder="0" shrinkToFit="0" wrapText="1"/>
    </xf>
    <xf borderId="0" fillId="16" fontId="3" numFmtId="173" xfId="0" applyAlignment="1" applyFill="1" applyFont="1" applyNumberFormat="1">
      <alignment readingOrder="0"/>
    </xf>
    <xf borderId="0" fillId="0" fontId="17" numFmtId="0" xfId="0" applyAlignment="1" applyFont="1">
      <alignment horizontal="center" readingOrder="0"/>
    </xf>
    <xf borderId="0" fillId="0" fontId="34" numFmtId="0" xfId="0" applyAlignment="1" applyFont="1">
      <alignment readingOrder="0"/>
    </xf>
    <xf borderId="0" fillId="0" fontId="3" numFmtId="0" xfId="0" applyAlignment="1" applyFont="1">
      <alignment shrinkToFit="0" wrapText="0"/>
    </xf>
    <xf borderId="0" fillId="2" fontId="3" numFmtId="0" xfId="0" applyAlignment="1" applyFill="1" applyFont="1">
      <alignment readingOrder="0"/>
    </xf>
    <xf borderId="0" fillId="23" fontId="3" numFmtId="0" xfId="0" applyAlignment="1" applyFill="1" applyFont="1">
      <alignment readingOrder="0"/>
    </xf>
    <xf borderId="0" fillId="7" fontId="3" numFmtId="0" xfId="0" applyAlignment="1" applyFill="1" applyFont="1">
      <alignment horizontal="center" readingOrder="0"/>
    </xf>
    <xf borderId="0" fillId="0" fontId="3" numFmtId="0" xfId="0" applyAlignment="1" applyFont="1">
      <alignment readingOrder="0" shrinkToFit="0" wrapText="0"/>
    </xf>
    <xf borderId="0" fillId="2" fontId="3" numFmtId="0" xfId="0" applyFill="1" applyFont="1"/>
    <xf borderId="0" fillId="2" fontId="3" numFmtId="0" xfId="0" applyAlignment="1" applyFill="1" applyFont="1">
      <alignment horizontal="center" readingOrder="0"/>
    </xf>
    <xf borderId="0" fillId="0" fontId="3" numFmtId="167" xfId="0" applyAlignment="1" applyFont="1" applyNumberFormat="1">
      <alignment readingOrder="0"/>
    </xf>
    <xf borderId="0" fillId="0" fontId="3" numFmtId="164" xfId="0" applyAlignment="1" applyFont="1" applyNumberFormat="1">
      <alignment readingOrder="0"/>
    </xf>
    <xf borderId="0" fillId="6" fontId="5" numFmtId="173" xfId="0" applyAlignment="1" applyFill="1" applyFont="1" applyNumberFormat="1">
      <alignment horizontal="right" readingOrder="0" vertical="bottom"/>
    </xf>
    <xf borderId="0" fillId="22" fontId="3" numFmtId="0" xfId="0" applyFill="1" applyFont="1"/>
    <xf borderId="0" fillId="0" fontId="6" numFmtId="0" xfId="0" applyAlignment="1" applyFont="1">
      <alignment vertical="bottom"/>
    </xf>
    <xf borderId="0" fillId="0" fontId="5" numFmtId="1" xfId="0" applyAlignment="1" applyFont="1" applyNumberFormat="1">
      <alignment horizontal="center" readingOrder="0" vertical="bottom"/>
    </xf>
    <xf borderId="0" fillId="13" fontId="5" numFmtId="0" xfId="0" applyAlignment="1" applyFill="1" applyFont="1">
      <alignment vertical="bottom"/>
    </xf>
    <xf borderId="0" fillId="0" fontId="5" numFmtId="1" xfId="0" applyAlignment="1" applyFont="1" applyNumberFormat="1">
      <alignment horizontal="center" vertical="bottom"/>
    </xf>
    <xf borderId="0" fillId="7" fontId="5" numFmtId="0" xfId="0" applyAlignment="1" applyFill="1" applyFont="1">
      <alignment horizontal="center" vertical="bottom"/>
    </xf>
    <xf borderId="0" fillId="16" fontId="17" numFmtId="164" xfId="0" applyAlignment="1" applyFill="1" applyFont="1" applyNumberFormat="1">
      <alignment horizontal="center" readingOrder="0"/>
    </xf>
    <xf borderId="0" fillId="16" fontId="3" numFmtId="164" xfId="0" applyAlignment="1" applyFill="1" applyFont="1" applyNumberFormat="1">
      <alignment horizontal="center" readingOrder="0"/>
    </xf>
    <xf borderId="0" fillId="7" fontId="5" numFmtId="0" xfId="0" applyAlignment="1" applyFill="1" applyFont="1">
      <alignment horizontal="center" readingOrder="0" vertical="bottom"/>
    </xf>
    <xf borderId="0" fillId="16" fontId="3" numFmtId="0" xfId="0" applyAlignment="1" applyFill="1" applyFont="1">
      <alignment horizontal="left" readingOrder="0" shrinkToFit="0" wrapText="0"/>
    </xf>
    <xf borderId="0" fillId="16" fontId="3" numFmtId="0" xfId="0" applyAlignment="1" applyFill="1" applyFont="1">
      <alignment horizontal="center"/>
    </xf>
    <xf borderId="0" fillId="13" fontId="0" numFmtId="0" xfId="0" applyAlignment="1" applyFill="1" applyFont="1">
      <alignment horizontal="left" readingOrder="0"/>
    </xf>
    <xf borderId="0" fillId="16" fontId="3" numFmtId="0" xfId="0" applyAlignment="1" applyFill="1" applyFont="1">
      <alignment horizontal="center" readingOrder="0" shrinkToFit="0" wrapText="1"/>
    </xf>
    <xf borderId="0" fillId="16" fontId="3" numFmtId="172" xfId="0" applyAlignment="1" applyFill="1" applyFont="1" applyNumberFormat="1">
      <alignment horizontal="center" readingOrder="0"/>
    </xf>
    <xf borderId="0" fillId="0" fontId="35" numFmtId="0" xfId="0" applyAlignment="1" applyFont="1">
      <alignment readingOrder="0"/>
    </xf>
    <xf borderId="0" fillId="0" fontId="34" numFmtId="0" xfId="0" applyFont="1"/>
    <xf borderId="0" fillId="16" fontId="3" numFmtId="0" xfId="0" applyAlignment="1" applyFill="1" applyFont="1">
      <alignment horizontal="center" shrinkToFit="0" wrapText="1"/>
    </xf>
    <xf borderId="0" fillId="16" fontId="3" numFmtId="0" xfId="0" applyAlignment="1" applyFill="1" applyFont="1">
      <alignment readingOrder="0" shrinkToFit="0" wrapText="0"/>
    </xf>
    <xf borderId="0" fillId="2" fontId="12" numFmtId="0" xfId="0" applyAlignment="1" applyFill="1" applyFont="1">
      <alignment horizontal="center" readingOrder="0"/>
    </xf>
    <xf borderId="0" fillId="13" fontId="36" numFmtId="0" xfId="0" applyAlignment="1" applyFill="1" applyFont="1">
      <alignment readingOrder="0"/>
    </xf>
    <xf borderId="0" fillId="0" fontId="5" numFmtId="0" xfId="0" applyAlignment="1" applyFont="1">
      <alignment horizontal="center" vertical="bottom"/>
    </xf>
    <xf borderId="0" fillId="7" fontId="12" numFmtId="0" xfId="0" applyAlignment="1" applyFill="1" applyFont="1">
      <alignment horizontal="center" readingOrder="0"/>
    </xf>
    <xf borderId="0" fillId="16" fontId="5" numFmtId="0" xfId="0" applyAlignment="1" applyFill="1" applyFont="1">
      <alignment horizontal="center" vertical="bottom"/>
    </xf>
    <xf borderId="0" fillId="16" fontId="5" numFmtId="164" xfId="0" applyAlignment="1" applyFill="1" applyFont="1" applyNumberFormat="1">
      <alignment horizontal="center" vertical="bottom"/>
    </xf>
    <xf borderId="0" fillId="0" fontId="17" numFmtId="0" xfId="0" applyAlignment="1" applyFont="1">
      <alignment readingOrder="0"/>
    </xf>
    <xf borderId="0" fillId="16" fontId="5" numFmtId="0" xfId="0" applyAlignment="1" applyFill="1" applyFont="1">
      <alignment horizontal="left" readingOrder="0" shrinkToFit="0" vertical="bottom" wrapText="1"/>
    </xf>
    <xf borderId="0" fillId="0" fontId="37" numFmtId="0" xfId="0" applyAlignment="1" applyFont="1">
      <alignment readingOrder="0"/>
    </xf>
    <xf borderId="0" fillId="16" fontId="3" numFmtId="0" xfId="0" applyAlignment="1" applyFill="1" applyFont="1">
      <alignment horizontal="left" readingOrder="0" shrinkToFit="0" wrapText="1"/>
    </xf>
    <xf borderId="0" fillId="13" fontId="38" numFmtId="0" xfId="0" applyAlignment="1" applyFill="1" applyFont="1">
      <alignment readingOrder="0"/>
    </xf>
    <xf borderId="0" fillId="13" fontId="38" numFmtId="0" xfId="0" applyFill="1" applyFont="1"/>
    <xf borderId="0" fillId="16" fontId="3" numFmtId="0" xfId="0" applyAlignment="1" applyFill="1" applyFont="1">
      <alignment horizontal="left" readingOrder="0"/>
    </xf>
    <xf borderId="0" fillId="16" fontId="5" numFmtId="167" xfId="0" applyAlignment="1" applyFill="1" applyFont="1" applyNumberFormat="1">
      <alignment horizontal="center" vertical="bottom"/>
    </xf>
    <xf borderId="0" fillId="7" fontId="3" numFmtId="0" xfId="0" applyAlignment="1" applyFill="1" applyFont="1">
      <alignment horizontal="left" readingOrder="0"/>
    </xf>
    <xf borderId="0" fillId="16" fontId="5" numFmtId="0" xfId="0" applyAlignment="1" applyFill="1" applyFont="1">
      <alignment horizontal="center" readingOrder="0" shrinkToFit="0" vertical="bottom" wrapText="1"/>
    </xf>
    <xf borderId="0" fillId="16" fontId="5" numFmtId="0" xfId="0" applyAlignment="1" applyFill="1" applyFont="1">
      <alignment shrinkToFit="0" vertical="bottom" wrapText="0"/>
    </xf>
    <xf borderId="0" fillId="13" fontId="5" numFmtId="0" xfId="0" applyAlignment="1" applyFill="1" applyFont="1">
      <alignment horizontal="center" vertical="bottom"/>
    </xf>
    <xf borderId="0" fillId="16" fontId="3" numFmtId="167" xfId="0" applyAlignment="1" applyFill="1" applyFont="1" applyNumberFormat="1">
      <alignment horizontal="center" readingOrder="0"/>
    </xf>
    <xf borderId="0" fillId="13" fontId="39" numFmtId="0" xfId="0" applyAlignment="1" applyFill="1" applyFont="1">
      <alignment readingOrder="0"/>
    </xf>
    <xf borderId="0" fillId="6" fontId="12" numFmtId="0" xfId="0" applyAlignment="1" applyFill="1" applyFont="1">
      <alignment horizontal="center" readingOrder="0" shrinkToFit="0" wrapText="0"/>
    </xf>
    <xf borderId="0" fillId="13" fontId="3" numFmtId="0" xfId="0" applyFill="1" applyFont="1"/>
    <xf borderId="0" fillId="6" fontId="12" numFmtId="0" xfId="0" applyAlignment="1" applyFill="1" applyFont="1">
      <alignment horizontal="center" readingOrder="0"/>
    </xf>
    <xf borderId="7" fillId="16" fontId="3" numFmtId="0" xfId="0" applyAlignment="1" applyBorder="1" applyFill="1" applyFont="1">
      <alignment horizontal="center"/>
    </xf>
    <xf borderId="8" fillId="16" fontId="3" numFmtId="0" xfId="0" applyAlignment="1" applyBorder="1" applyFill="1" applyFont="1">
      <alignment horizontal="center"/>
    </xf>
    <xf borderId="0" fillId="16" fontId="5" numFmtId="0" xfId="0" applyAlignment="1" applyFill="1" applyFont="1">
      <alignment horizontal="center" readingOrder="0" vertical="bottom"/>
    </xf>
    <xf borderId="0" fillId="16" fontId="5" numFmtId="167" xfId="0" applyAlignment="1" applyFill="1" applyFont="1" applyNumberFormat="1">
      <alignment horizontal="center" readingOrder="0" vertical="bottom"/>
    </xf>
    <xf borderId="0" fillId="16" fontId="5" numFmtId="164" xfId="0" applyAlignment="1" applyFill="1" applyFont="1" applyNumberFormat="1">
      <alignment horizontal="center" readingOrder="0" vertical="bottom"/>
    </xf>
    <xf borderId="0" fillId="0" fontId="3" numFmtId="0" xfId="0" applyAlignment="1" applyFont="1">
      <alignment horizontal="left" readingOrder="0" shrinkToFit="0" wrapText="0"/>
    </xf>
    <xf borderId="0" fillId="7" fontId="3" numFmtId="172" xfId="0" applyAlignment="1" applyFill="1" applyFont="1" applyNumberFormat="1">
      <alignment horizontal="center" readingOrder="0"/>
    </xf>
    <xf borderId="0" fillId="7" fontId="3" numFmtId="0" xfId="0" applyAlignment="1" applyFill="1" applyFont="1">
      <alignment horizontal="center" readingOrder="0" shrinkToFit="0" wrapText="1"/>
    </xf>
    <xf borderId="0" fillId="7" fontId="3" numFmtId="164" xfId="0" applyAlignment="1" applyFill="1" applyFont="1" applyNumberFormat="1">
      <alignment horizontal="center" readingOrder="0"/>
    </xf>
    <xf borderId="0" fillId="7" fontId="3" numFmtId="0" xfId="0" applyAlignment="1" applyFill="1" applyFont="1">
      <alignment horizontal="center"/>
    </xf>
    <xf borderId="0" fillId="0" fontId="3" numFmtId="0" xfId="0" applyAlignment="1" applyFont="1">
      <alignment readingOrder="0" shrinkToFit="0" vertical="bottom" wrapText="0"/>
    </xf>
    <xf borderId="0" fillId="22" fontId="3" numFmtId="0" xfId="0" applyAlignment="1" applyFill="1" applyFont="1">
      <alignment horizontal="center" readingOrder="0"/>
    </xf>
    <xf borderId="0" fillId="7" fontId="3" numFmtId="164" xfId="0" applyAlignment="1" applyFill="1" applyFont="1" applyNumberFormat="1">
      <alignment horizontal="center" readingOrder="0" shrinkToFit="0" wrapText="1"/>
    </xf>
    <xf borderId="0" fillId="7" fontId="8" numFmtId="0" xfId="0" applyAlignment="1" applyFill="1" applyFont="1">
      <alignment horizontal="center" readingOrder="0"/>
    </xf>
    <xf borderId="0" fillId="7" fontId="5" numFmtId="0" xfId="0" applyAlignment="1" applyFill="1" applyFont="1">
      <alignment horizontal="right" vertical="bottom"/>
    </xf>
    <xf borderId="0" fillId="7" fontId="5" numFmtId="0" xfId="0" applyAlignment="1" applyFill="1" applyFont="1">
      <alignment horizontal="right" readingOrder="0" vertical="bottom"/>
    </xf>
    <xf borderId="0" fillId="16" fontId="5" numFmtId="0" xfId="0" applyAlignment="1" applyFill="1" applyFont="1">
      <alignment horizontal="center" shrinkToFit="0" vertical="bottom" wrapText="1"/>
    </xf>
    <xf borderId="0" fillId="16" fontId="11" numFmtId="0" xfId="0" applyAlignment="1" applyFill="1" applyFont="1">
      <alignment horizontal="center" vertical="bottom"/>
    </xf>
    <xf borderId="0" fillId="0" fontId="5" numFmtId="0" xfId="0" applyAlignment="1" applyFont="1">
      <alignment horizontal="left" shrinkToFit="0" vertical="bottom" wrapText="0"/>
    </xf>
    <xf borderId="0" fillId="0" fontId="5" numFmtId="167" xfId="0" applyAlignment="1" applyFont="1" applyNumberFormat="1">
      <alignment horizontal="center" vertical="bottom"/>
    </xf>
    <xf borderId="0" fillId="0" fontId="5" numFmtId="0" xfId="0" applyAlignment="1" applyFont="1">
      <alignment horizontal="left" shrinkToFit="0" vertical="bottom" wrapText="0"/>
    </xf>
    <xf borderId="0" fillId="13" fontId="5" numFmtId="0" xfId="0" applyAlignment="1" applyFill="1" applyFont="1">
      <alignment horizontal="left" shrinkToFit="0" vertical="bottom" wrapText="0"/>
    </xf>
    <xf borderId="0" fillId="13" fontId="3" numFmtId="167" xfId="0" applyAlignment="1" applyFill="1" applyFont="1" applyNumberFormat="1">
      <alignment horizontal="center" readingOrder="0"/>
    </xf>
    <xf borderId="0" fillId="13" fontId="3" numFmtId="0" xfId="0" applyAlignment="1" applyFill="1" applyFont="1">
      <alignment horizontal="left" readingOrder="0" shrinkToFit="0" wrapText="0"/>
    </xf>
    <xf borderId="0" fillId="13" fontId="5" numFmtId="0" xfId="0" applyAlignment="1" applyFill="1" applyFont="1">
      <alignment horizontal="left" shrinkToFit="0" vertical="bottom" wrapText="0"/>
    </xf>
    <xf borderId="0" fillId="6" fontId="3" numFmtId="0" xfId="0" applyAlignment="1" applyFill="1" applyFont="1">
      <alignment horizontal="center" readingOrder="0" shrinkToFit="0" wrapText="0"/>
    </xf>
    <xf borderId="0" fillId="6" fontId="3" numFmtId="0" xfId="0" applyAlignment="1" applyFill="1" applyFont="1">
      <alignment readingOrder="0" shrinkToFit="0" wrapText="0"/>
    </xf>
    <xf borderId="0" fillId="0" fontId="3" numFmtId="0" xfId="0" applyAlignment="1" applyFont="1">
      <alignment horizontal="center" readingOrder="0" shrinkToFit="0" wrapText="0"/>
    </xf>
    <xf borderId="0" fillId="0" fontId="5" numFmtId="167" xfId="0" applyAlignment="1" applyFont="1" applyNumberFormat="1">
      <alignment horizontal="center" readingOrder="0" vertical="bottom"/>
    </xf>
    <xf borderId="0" fillId="0" fontId="20" numFmtId="49" xfId="0" applyAlignment="1" applyFont="1" applyNumberFormat="1">
      <alignment horizontal="left" readingOrder="0"/>
    </xf>
    <xf borderId="0" fillId="24" fontId="12" numFmtId="0" xfId="0" applyAlignment="1" applyFill="1" applyFont="1">
      <alignment horizontal="center" readingOrder="0"/>
    </xf>
    <xf borderId="0" fillId="7" fontId="5" numFmtId="0" xfId="0" applyAlignment="1" applyFill="1" applyFont="1">
      <alignment horizontal="center"/>
    </xf>
    <xf borderId="0" fillId="6" fontId="5" numFmtId="0" xfId="0" applyAlignment="1" applyFill="1" applyFont="1">
      <alignment horizontal="center" readingOrder="0"/>
    </xf>
    <xf borderId="0" fillId="2" fontId="5" numFmtId="0" xfId="0" applyAlignment="1" applyFill="1" applyFont="1">
      <alignment horizontal="center"/>
    </xf>
    <xf borderId="0" fillId="7" fontId="5" numFmtId="0" xfId="0" applyAlignment="1" applyFill="1" applyFont="1">
      <alignment horizontal="center"/>
    </xf>
    <xf borderId="0" fillId="13" fontId="18" numFmtId="49" xfId="0" applyAlignment="1" applyFill="1" applyFont="1" applyNumberFormat="1">
      <alignment horizontal="left" readingOrder="0"/>
    </xf>
    <xf borderId="0" fillId="22" fontId="5" numFmtId="0" xfId="0" applyAlignment="1" applyFill="1" applyFont="1">
      <alignment horizontal="center" vertical="bottom"/>
    </xf>
    <xf borderId="0" fillId="22" fontId="5" numFmtId="0" xfId="0" applyAlignment="1" applyFill="1" applyFont="1">
      <alignment horizontal="center"/>
    </xf>
    <xf borderId="0" fillId="2" fontId="5" numFmtId="0" xfId="0" applyAlignment="1" applyFill="1" applyFont="1">
      <alignment horizontal="center" readingOrder="0"/>
    </xf>
    <xf borderId="0" fillId="0" fontId="25" numFmtId="0" xfId="0" applyAlignment="1" applyFont="1">
      <alignment horizontal="center" readingOrder="0" vertical="bottom"/>
    </xf>
    <xf borderId="0" fillId="0" fontId="3" numFmtId="0" xfId="0" applyAlignment="1" applyFont="1">
      <alignment horizontal="center" readingOrder="0" shrinkToFit="0" wrapText="0"/>
    </xf>
    <xf borderId="0" fillId="26" fontId="5" numFmtId="0" xfId="0" applyAlignment="1" applyFill="1" applyFont="1">
      <alignment horizontal="center" vertical="bottom"/>
    </xf>
    <xf borderId="0" fillId="26" fontId="5" numFmtId="164" xfId="0" applyAlignment="1" applyFill="1" applyFont="1" applyNumberFormat="1">
      <alignment horizontal="center" vertical="bottom"/>
    </xf>
    <xf borderId="0" fillId="26" fontId="5" numFmtId="0" xfId="0" applyAlignment="1" applyFill="1" applyFont="1">
      <alignment shrinkToFit="0" vertical="bottom" wrapText="0"/>
    </xf>
    <xf borderId="0" fillId="26" fontId="5" numFmtId="0" xfId="0" applyAlignment="1" applyFill="1" applyFont="1">
      <alignment vertical="bottom"/>
    </xf>
    <xf borderId="0" fillId="26" fontId="5" numFmtId="0" xfId="0" applyAlignment="1" applyFill="1" applyFont="1">
      <alignment horizontal="center" shrinkToFit="0" vertical="bottom" wrapText="1"/>
    </xf>
    <xf borderId="0" fillId="26" fontId="5" numFmtId="172" xfId="0" applyAlignment="1" applyFill="1" applyFont="1" applyNumberFormat="1">
      <alignment horizontal="center" vertical="bottom"/>
    </xf>
    <xf borderId="0" fillId="26" fontId="5" numFmtId="164" xfId="0" applyAlignment="1" applyFill="1" applyFont="1" applyNumberFormat="1">
      <alignment vertical="bottom"/>
    </xf>
    <xf borderId="0" fillId="26" fontId="5" numFmtId="0" xfId="0" applyAlignment="1" applyFill="1" applyFont="1">
      <alignment shrinkToFit="0" vertical="bottom" wrapText="1"/>
    </xf>
    <xf borderId="0" fillId="26" fontId="5" numFmtId="167" xfId="0" applyAlignment="1" applyFill="1" applyFont="1" applyNumberFormat="1">
      <alignment horizontal="center" vertical="bottom"/>
    </xf>
    <xf borderId="0" fillId="16" fontId="3" numFmtId="49" xfId="0" applyAlignment="1" applyFill="1" applyFont="1" applyNumberFormat="1">
      <alignment horizontal="left"/>
    </xf>
    <xf borderId="0" fillId="16" fontId="3" numFmtId="168" xfId="0" applyAlignment="1" applyFill="1" applyFont="1" applyNumberFormat="1">
      <alignment horizontal="center" readingOrder="0"/>
    </xf>
    <xf borderId="0" fillId="26" fontId="5" numFmtId="164" xfId="0" applyAlignment="1" applyFill="1" applyFont="1" applyNumberFormat="1">
      <alignment horizontal="center" shrinkToFit="0" vertical="bottom" wrapText="1"/>
    </xf>
    <xf borderId="0" fillId="26" fontId="6" numFmtId="0" xfId="0" applyAlignment="1" applyFill="1" applyFont="1">
      <alignment horizontal="center" vertical="bottom"/>
    </xf>
    <xf borderId="0" fillId="24" fontId="5" numFmtId="0" xfId="0" applyAlignment="1" applyFill="1" applyFont="1">
      <alignment horizontal="center" vertical="bottom"/>
    </xf>
    <xf borderId="0" fillId="24" fontId="3" numFmtId="0" xfId="0" applyAlignment="1" applyFill="1" applyFont="1">
      <alignment horizontal="left" readingOrder="0"/>
    </xf>
    <xf borderId="0" fillId="0" fontId="5" numFmtId="49" xfId="0" applyAlignment="1" applyFont="1" applyNumberFormat="1">
      <alignment horizontal="left" readingOrder="0" vertical="bottom"/>
    </xf>
    <xf borderId="0" fillId="0" fontId="5" numFmtId="173" xfId="0" applyAlignment="1" applyFont="1" applyNumberFormat="1">
      <alignment horizontal="center" vertical="bottom"/>
    </xf>
    <xf borderId="0" fillId="0" fontId="5" numFmtId="173" xfId="0" applyAlignment="1" applyFont="1" applyNumberFormat="1">
      <alignment horizontal="center" readingOrder="0" vertical="bottom"/>
    </xf>
    <xf borderId="0" fillId="0" fontId="5" numFmtId="164" xfId="0" applyAlignment="1" applyFont="1" applyNumberFormat="1">
      <alignment horizontal="center" readingOrder="0" vertical="bottom"/>
    </xf>
    <xf borderId="0" fillId="0" fontId="1" numFmtId="0" xfId="0" applyAlignment="1" applyFont="1">
      <alignment horizontal="left" readingOrder="0" shrinkToFit="0" vertical="center" wrapText="0"/>
    </xf>
    <xf borderId="0" fillId="0" fontId="1" numFmtId="10" xfId="0" applyAlignment="1" applyFont="1" applyNumberFormat="1">
      <alignment horizontal="left" readingOrder="0" shrinkToFit="0" vertical="center" wrapText="0"/>
    </xf>
    <xf borderId="0" fillId="16" fontId="1" numFmtId="0" xfId="0" applyFill="1" applyFont="1"/>
    <xf borderId="0" fillId="0" fontId="3"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10" xfId="0" applyAlignment="1" applyFont="1" applyNumberFormat="1">
      <alignment shrinkToFit="0" vertical="center" wrapText="0"/>
    </xf>
    <xf borderId="0" fillId="0" fontId="3" numFmtId="176" xfId="0" applyAlignment="1" applyFont="1" applyNumberFormat="1">
      <alignment horizontal="center" readingOrder="0"/>
    </xf>
    <xf borderId="0" fillId="0" fontId="3" numFmtId="10" xfId="0" applyAlignment="1" applyFont="1" applyNumberFormat="1">
      <alignment readingOrder="0" shrinkToFit="0" vertical="center" wrapText="0"/>
    </xf>
    <xf borderId="0" fillId="0" fontId="3" numFmtId="0" xfId="0" applyAlignment="1" applyFont="1">
      <alignment shrinkToFit="0" vertical="center" wrapText="0"/>
    </xf>
    <xf borderId="0" fillId="0" fontId="5" numFmtId="49" xfId="0" applyAlignment="1" applyFont="1" applyNumberFormat="1">
      <alignment horizontal="left" vertical="bottom"/>
    </xf>
    <xf borderId="0" fillId="0" fontId="3"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3" numFmtId="10" xfId="0" applyAlignment="1" applyFont="1" applyNumberFormat="1">
      <alignment shrinkToFit="0" vertical="center" wrapText="0"/>
    </xf>
    <xf borderId="0" fillId="0" fontId="3" numFmtId="10" xfId="0" applyFont="1" applyNumberFormat="1"/>
    <xf borderId="7" fillId="0" fontId="3" numFmtId="0" xfId="0" applyBorder="1" applyFont="1"/>
    <xf borderId="0" fillId="0" fontId="6" numFmtId="0" xfId="0" applyAlignment="1" applyFont="1">
      <alignment horizontal="left" vertical="bottom"/>
    </xf>
    <xf borderId="0" fillId="6" fontId="5" numFmtId="0" xfId="0" applyAlignment="1" applyFill="1" applyFont="1">
      <alignment horizontal="left" shrinkToFit="0" vertical="bottom" wrapText="0"/>
    </xf>
    <xf borderId="0" fillId="6" fontId="5" numFmtId="167" xfId="0" applyAlignment="1" applyFill="1" applyFont="1" applyNumberFormat="1">
      <alignment horizontal="center" shrinkToFit="0" vertical="bottom" wrapText="0"/>
    </xf>
    <xf borderId="0" fillId="6" fontId="5" numFmtId="0" xfId="0" applyAlignment="1" applyFill="1" applyFont="1">
      <alignment shrinkToFit="0" vertical="bottom" wrapText="0"/>
    </xf>
    <xf borderId="0" fillId="6" fontId="5" numFmtId="0" xfId="0" applyAlignment="1" applyFill="1" applyFont="1">
      <alignment horizontal="left" readingOrder="0" shrinkToFit="0" vertical="bottom" wrapText="0"/>
    </xf>
    <xf borderId="0" fillId="7" fontId="5" numFmtId="0" xfId="0" applyAlignment="1" applyFill="1" applyFont="1">
      <alignment horizontal="left" readingOrder="0" shrinkToFit="0" vertical="bottom" wrapText="0"/>
    </xf>
    <xf borderId="0" fillId="6" fontId="5" numFmtId="0" xfId="0" applyAlignment="1" applyFill="1" applyFont="1">
      <alignment horizontal="left" vertical="bottom"/>
    </xf>
    <xf borderId="0" fillId="0" fontId="20" numFmtId="49" xfId="0" applyAlignment="1" applyFont="1" applyNumberFormat="1">
      <alignment horizontal="left" readingOrder="0"/>
    </xf>
    <xf borderId="0" fillId="6" fontId="5" numFmtId="0" xfId="0" applyAlignment="1" applyFill="1" applyFont="1">
      <alignment horizontal="left" readingOrder="0" vertical="bottom"/>
    </xf>
    <xf borderId="0" fillId="6" fontId="12" numFmtId="164" xfId="0" applyAlignment="1" applyFill="1" applyFont="1" applyNumberFormat="1">
      <alignment horizontal="center" readingOrder="0" vertical="bottom"/>
    </xf>
    <xf borderId="0" fillId="6" fontId="12" numFmtId="0" xfId="0" applyAlignment="1" applyFill="1" applyFont="1">
      <alignment horizontal="left" readingOrder="0" vertical="bottom"/>
    </xf>
    <xf borderId="0" fillId="6" fontId="12" numFmtId="0" xfId="0" applyAlignment="1" applyFill="1" applyFont="1">
      <alignment vertical="bottom"/>
    </xf>
    <xf borderId="0" fillId="7" fontId="5" numFmtId="0" xfId="0" applyAlignment="1" applyFill="1" applyFont="1">
      <alignment horizontal="left" readingOrder="0" vertical="bottom"/>
    </xf>
    <xf borderId="0" fillId="6" fontId="3" numFmtId="0" xfId="0" applyAlignment="1" applyFill="1" applyFont="1">
      <alignment horizontal="left" readingOrder="0" shrinkToFit="0" wrapText="0"/>
    </xf>
    <xf borderId="0" fillId="24" fontId="3" numFmtId="0" xfId="0" applyFill="1" applyFont="1"/>
    <xf borderId="0" fillId="6" fontId="3" numFmtId="0" xfId="0" applyAlignment="1" applyFill="1" applyFont="1">
      <alignment horizontal="left"/>
    </xf>
    <xf borderId="0" fillId="30" fontId="5" numFmtId="0" xfId="0" applyAlignment="1" applyFill="1" applyFont="1">
      <alignment horizontal="center" vertical="bottom"/>
    </xf>
    <xf borderId="0" fillId="30" fontId="3" numFmtId="0" xfId="0" applyAlignment="1" applyFill="1" applyFont="1">
      <alignment horizontal="center" readingOrder="0"/>
    </xf>
    <xf borderId="0" fillId="30" fontId="3" numFmtId="0" xfId="0" applyAlignment="1" applyFill="1" applyFont="1">
      <alignment horizontal="left" readingOrder="0" shrinkToFit="0" wrapText="0"/>
    </xf>
    <xf borderId="0" fillId="30" fontId="3" numFmtId="0" xfId="0" applyAlignment="1" applyFill="1" applyFont="1">
      <alignment readingOrder="0"/>
    </xf>
    <xf borderId="0" fillId="6" fontId="5" numFmtId="0" xfId="0" applyAlignment="1" applyFill="1" applyFont="1">
      <alignment horizontal="left" vertical="bottom"/>
    </xf>
    <xf borderId="0" fillId="7" fontId="5" numFmtId="0" xfId="0" applyAlignment="1" applyFill="1" applyFont="1">
      <alignment horizontal="center" readingOrder="0" vertical="bottom"/>
    </xf>
    <xf borderId="0" fillId="7" fontId="5" numFmtId="167" xfId="0" applyAlignment="1" applyFill="1" applyFont="1" applyNumberFormat="1">
      <alignment horizontal="center" readingOrder="0" vertical="bottom"/>
    </xf>
    <xf borderId="0" fillId="7" fontId="3" numFmtId="167" xfId="0" applyAlignment="1" applyFill="1" applyFont="1" applyNumberFormat="1">
      <alignment horizontal="center" readingOrder="0"/>
    </xf>
    <xf borderId="0" fillId="6" fontId="3" numFmtId="167" xfId="0" applyAlignment="1" applyFill="1" applyFont="1" applyNumberFormat="1">
      <alignment horizontal="center" readingOrder="0"/>
    </xf>
    <xf borderId="0" fillId="8" fontId="3" numFmtId="166" xfId="0" applyAlignment="1" applyFill="1" applyFont="1" applyNumberFormat="1">
      <alignment readingOrder="0"/>
    </xf>
    <xf borderId="0" fillId="9" fontId="1" numFmtId="0" xfId="0" applyAlignment="1" applyFill="1" applyFont="1">
      <alignment readingOrder="0"/>
    </xf>
    <xf borderId="0" fillId="3" fontId="1" numFmtId="0" xfId="0" applyAlignment="1" applyFill="1" applyFont="1">
      <alignment horizontal="center" readingOrder="0"/>
    </xf>
    <xf borderId="0" fillId="13" fontId="40" numFmtId="0" xfId="0" applyAlignment="1" applyFill="1" applyFont="1">
      <alignment horizontal="center" readingOrder="0"/>
    </xf>
    <xf borderId="0" fillId="4" fontId="1" numFmtId="0" xfId="0" applyAlignment="1" applyFill="1" applyFont="1">
      <alignment horizontal="center" readingOrder="0"/>
    </xf>
    <xf borderId="0" fillId="6" fontId="3" numFmtId="0" xfId="0" applyAlignment="1" applyFill="1" applyFont="1">
      <alignment horizontal="center" shrinkToFit="0" wrapText="1"/>
    </xf>
    <xf borderId="0" fillId="3" fontId="8" numFmtId="0" xfId="0" applyAlignment="1" applyFill="1" applyFont="1">
      <alignment horizontal="center" readingOrder="0"/>
    </xf>
    <xf borderId="0" fillId="4" fontId="9" numFmtId="0" xfId="0" applyAlignment="1" applyFill="1" applyFont="1">
      <alignment horizontal="center" readingOrder="0"/>
    </xf>
    <xf borderId="0" fillId="0" fontId="5" numFmtId="0" xfId="0" applyAlignment="1" applyFont="1">
      <alignment shrinkToFit="0" vertical="bottom" wrapText="0"/>
    </xf>
    <xf borderId="0" fillId="4" fontId="9" numFmtId="0" xfId="0" applyAlignment="1" applyFill="1" applyFont="1">
      <alignment horizontal="center" readingOrder="0" shrinkToFit="0" wrapText="1"/>
    </xf>
    <xf borderId="0" fillId="0" fontId="5" numFmtId="168" xfId="0" applyAlignment="1" applyFont="1" applyNumberFormat="1">
      <alignment horizontal="center" vertical="bottom"/>
    </xf>
    <xf borderId="0" fillId="6" fontId="12" numFmtId="172" xfId="0" applyAlignment="1" applyFill="1" applyFont="1" applyNumberFormat="1">
      <alignment horizontal="center" readingOrder="0"/>
    </xf>
    <xf borderId="0" fillId="6" fontId="12" numFmtId="164" xfId="0" applyAlignment="1" applyFill="1" applyFont="1" applyNumberFormat="1">
      <alignment horizontal="center" readingOrder="0"/>
    </xf>
    <xf borderId="0" fillId="6" fontId="3" numFmtId="0" xfId="0" applyAlignment="1" applyFill="1" applyFont="1">
      <alignment horizontal="left" readingOrder="0" shrinkToFit="0" wrapText="0"/>
    </xf>
    <xf borderId="0" fillId="16" fontId="17" numFmtId="0" xfId="0" applyAlignment="1" applyFill="1" applyFont="1">
      <alignment horizontal="center" readingOrder="0"/>
    </xf>
    <xf borderId="0" fillId="0" fontId="5" numFmtId="167" xfId="0" applyAlignment="1" applyFont="1" applyNumberFormat="1">
      <alignment horizontal="center" shrinkToFit="0" vertical="bottom" wrapText="0"/>
    </xf>
    <xf borderId="0" fillId="3" fontId="5" numFmtId="0" xfId="0" applyAlignment="1" applyFill="1" applyFont="1">
      <alignment vertical="bottom"/>
    </xf>
    <xf borderId="0" fillId="0" fontId="3" numFmtId="49" xfId="0" applyAlignment="1" applyFont="1" applyNumberFormat="1">
      <alignment horizontal="left"/>
    </xf>
    <xf borderId="0" fillId="6" fontId="3" numFmtId="0" xfId="0" applyAlignment="1" applyFill="1" applyFont="1">
      <alignment horizontal="center" readingOrder="0" shrinkToFit="0" textRotation="0" wrapText="1"/>
    </xf>
    <xf borderId="0" fillId="4" fontId="5" numFmtId="0" xfId="0" applyAlignment="1" applyFill="1" applyFont="1">
      <alignment vertical="bottom"/>
    </xf>
    <xf borderId="0" fillId="0" fontId="41" numFmtId="167" xfId="0" applyAlignment="1" applyFont="1" applyNumberFormat="1">
      <alignment vertical="bottom"/>
    </xf>
    <xf borderId="0" fillId="6" fontId="3" numFmtId="0" xfId="0" applyAlignment="1" applyFill="1" applyFont="1">
      <alignment horizontal="left" readingOrder="0" shrinkToFit="0" wrapText="1"/>
    </xf>
    <xf borderId="0" fillId="4" fontId="5" numFmtId="0" xfId="0" applyAlignment="1" applyFill="1" applyFont="1">
      <alignment horizontal="center" vertical="bottom"/>
    </xf>
    <xf borderId="0" fillId="16" fontId="3" numFmtId="0" xfId="0" applyAlignment="1" applyFill="1" applyFont="1">
      <alignment horizontal="center" readingOrder="0" shrinkToFit="0" wrapText="0"/>
    </xf>
    <xf borderId="0" fillId="0" fontId="41" numFmtId="0" xfId="0" applyAlignment="1" applyFont="1">
      <alignment vertical="bottom"/>
    </xf>
    <xf borderId="0" fillId="2" fontId="3" numFmtId="0" xfId="0" applyAlignment="1" applyFill="1" applyFont="1">
      <alignment horizontal="center"/>
    </xf>
    <xf borderId="9" fillId="0" fontId="5" numFmtId="0" xfId="0" applyAlignment="1" applyBorder="1" applyFont="1">
      <alignment vertical="bottom"/>
    </xf>
    <xf borderId="10" fillId="0" fontId="5" numFmtId="0" xfId="0" applyAlignment="1" applyBorder="1" applyFont="1">
      <alignment vertical="bottom"/>
    </xf>
    <xf borderId="7" fillId="0" fontId="5" numFmtId="0" xfId="0" applyAlignment="1" applyBorder="1" applyFont="1">
      <alignment vertical="bottom"/>
    </xf>
    <xf borderId="8" fillId="0" fontId="5" numFmtId="0" xfId="0" applyAlignment="1" applyBorder="1" applyFont="1">
      <alignment vertical="bottom"/>
    </xf>
    <xf borderId="8" fillId="0" fontId="5" numFmtId="0" xfId="0" applyAlignment="1" applyBorder="1" applyFont="1">
      <alignment vertical="bottom"/>
    </xf>
    <xf borderId="0" fillId="6" fontId="3" numFmtId="167" xfId="0" applyAlignment="1" applyFill="1" applyFont="1" applyNumberFormat="1">
      <alignment horizontal="center" readingOrder="0" shrinkToFit="0" wrapText="0"/>
    </xf>
    <xf borderId="11" fillId="0" fontId="5" numFmtId="0" xfId="0" applyAlignment="1" applyBorder="1" applyFont="1">
      <alignment vertical="bottom"/>
    </xf>
    <xf borderId="12" fillId="0" fontId="5" numFmtId="0" xfId="0" applyAlignment="1" applyBorder="1" applyFont="1">
      <alignment vertical="bottom"/>
    </xf>
    <xf borderId="0" fillId="6" fontId="17" numFmtId="0" xfId="0" applyAlignment="1" applyFill="1" applyFont="1">
      <alignment horizontal="center" readingOrder="0"/>
    </xf>
    <xf borderId="0" fillId="3" fontId="11" numFmtId="0" xfId="0" applyAlignment="1" applyFill="1" applyFont="1">
      <alignment horizontal="center" readingOrder="0" vertical="bottom"/>
    </xf>
    <xf borderId="0" fillId="3" fontId="8" numFmtId="0" xfId="0" applyAlignment="1" applyFill="1" applyFont="1">
      <alignment horizontal="center" readingOrder="0" shrinkToFit="0" wrapText="0"/>
    </xf>
    <xf borderId="0" fillId="6" fontId="17" numFmtId="164" xfId="0" applyAlignment="1" applyFill="1" applyFont="1" applyNumberFormat="1">
      <alignment horizontal="center" readingOrder="0"/>
    </xf>
    <xf borderId="0" fillId="6" fontId="3" numFmtId="170" xfId="0" applyAlignment="1" applyFill="1" applyFont="1" applyNumberFormat="1">
      <alignment horizontal="center" readingOrder="0"/>
    </xf>
    <xf borderId="0" fillId="2" fontId="3" numFmtId="0" xfId="0" applyAlignment="1" applyFill="1" applyFont="1">
      <alignment horizontal="left" readingOrder="0"/>
    </xf>
    <xf borderId="0" fillId="6" fontId="3" numFmtId="177" xfId="0" applyAlignment="1" applyFill="1" applyFont="1" applyNumberFormat="1">
      <alignment horizontal="center" readingOrder="0"/>
    </xf>
    <xf borderId="0" fillId="6" fontId="12" numFmtId="0" xfId="0" applyAlignment="1" applyFill="1" applyFont="1">
      <alignment horizontal="left" readingOrder="0" shrinkToFit="0" wrapText="0"/>
    </xf>
    <xf borderId="0" fillId="7" fontId="3" numFmtId="0" xfId="0" applyAlignment="1" applyFill="1" applyFont="1">
      <alignment horizontal="center" shrinkToFit="0" wrapText="1"/>
    </xf>
    <xf borderId="0" fillId="0" fontId="9" numFmtId="0" xfId="0" applyAlignment="1" applyFont="1">
      <alignment horizontal="center" readingOrder="0"/>
    </xf>
    <xf borderId="0" fillId="6" fontId="3" numFmtId="173" xfId="0" applyAlignment="1" applyFill="1" applyFont="1" applyNumberFormat="1">
      <alignment horizontal="center" readingOrder="0"/>
    </xf>
    <xf borderId="0" fillId="9" fontId="3" numFmtId="0" xfId="0" applyAlignment="1" applyFill="1" applyFont="1">
      <alignment horizontal="center"/>
    </xf>
    <xf borderId="0" fillId="3" fontId="8" numFmtId="0" xfId="0" applyFill="1" applyFont="1"/>
    <xf borderId="0" fillId="0" fontId="8" numFmtId="0" xfId="0" applyAlignment="1" applyFont="1">
      <alignment horizontal="center"/>
    </xf>
    <xf borderId="0" fillId="0" fontId="1" numFmtId="0" xfId="0" applyAlignment="1" applyFont="1">
      <alignment readingOrder="0" shrinkToFit="0" wrapText="1"/>
    </xf>
    <xf borderId="0" fillId="3" fontId="3" numFmtId="0" xfId="0" applyAlignment="1" applyFill="1" applyFont="1">
      <alignment horizontal="center" shrinkToFit="0" wrapText="1"/>
    </xf>
    <xf borderId="0" fillId="0" fontId="3" numFmtId="173" xfId="0" applyAlignment="1" applyFont="1" applyNumberFormat="1">
      <alignment readingOrder="0"/>
    </xf>
    <xf borderId="0" fillId="0" fontId="42" numFmtId="0" xfId="0" applyAlignment="1" applyFont="1">
      <alignment horizontal="center" readingOrder="0"/>
    </xf>
    <xf borderId="0" fillId="13" fontId="43" numFmtId="0" xfId="0" applyAlignment="1" applyFill="1" applyFont="1">
      <alignment horizontal="center" readingOrder="0"/>
    </xf>
    <xf borderId="0" fillId="15" fontId="3" numFmtId="0" xfId="0" applyAlignment="1" applyFill="1" applyFont="1">
      <alignment horizontal="center" readingOrder="0"/>
    </xf>
    <xf borderId="0" fillId="15" fontId="3" numFmtId="0" xfId="0" applyAlignment="1" applyFill="1" applyFont="1">
      <alignment horizontal="center"/>
    </xf>
    <xf borderId="0" fillId="20" fontId="3" numFmtId="0" xfId="0" applyAlignment="1" applyFill="1" applyFont="1">
      <alignment horizontal="left" readingOrder="0" shrinkToFit="0" wrapText="0"/>
    </xf>
    <xf borderId="0" fillId="31" fontId="42" numFmtId="0" xfId="0" applyAlignment="1" applyFill="1" applyFont="1">
      <alignment horizontal="center" readingOrder="0"/>
    </xf>
    <xf borderId="0" fillId="0" fontId="42" numFmtId="0" xfId="0" applyAlignment="1" applyFont="1">
      <alignment readingOrder="0"/>
    </xf>
    <xf borderId="0" fillId="3" fontId="8" numFmtId="0" xfId="0" applyAlignment="1" applyFill="1" applyFont="1">
      <alignment horizontal="center"/>
    </xf>
    <xf borderId="0" fillId="4" fontId="3" numFmtId="0" xfId="0" applyAlignment="1" applyFill="1" applyFont="1">
      <alignment horizontal="center"/>
    </xf>
    <xf borderId="0" fillId="0" fontId="42" numFmtId="0" xfId="0" applyAlignment="1" applyFont="1">
      <alignment horizontal="left" readingOrder="0"/>
    </xf>
    <xf borderId="0" fillId="0" fontId="44" numFmtId="0" xfId="0" applyFont="1"/>
    <xf borderId="0" fillId="0" fontId="44" numFmtId="0" xfId="0" applyAlignment="1" applyFont="1">
      <alignment readingOrder="0"/>
    </xf>
    <xf borderId="0" fillId="0" fontId="3" numFmtId="178" xfId="0" applyAlignment="1" applyFont="1" applyNumberFormat="1">
      <alignment readingOrder="0"/>
    </xf>
    <xf borderId="0" fillId="0" fontId="5" numFmtId="49" xfId="0" applyAlignment="1" applyFont="1" applyNumberFormat="1">
      <alignment horizontal="right" readingOrder="0" vertical="bottom"/>
    </xf>
    <xf borderId="0" fillId="16" fontId="5" numFmtId="0" xfId="0" applyAlignment="1" applyFill="1" applyFont="1">
      <alignment horizontal="center" vertical="bottom"/>
    </xf>
    <xf borderId="0" fillId="0" fontId="5" numFmtId="49" xfId="0" applyAlignment="1" applyFont="1" applyNumberFormat="1">
      <alignment horizontal="right" vertical="bottom"/>
    </xf>
    <xf borderId="0" fillId="0" fontId="5" numFmtId="173" xfId="0" applyAlignment="1" applyFont="1" applyNumberFormat="1">
      <alignment horizontal="right" vertical="bottom"/>
    </xf>
    <xf borderId="0" fillId="13" fontId="12" numFmtId="0" xfId="0" applyAlignment="1" applyFill="1" applyFont="1">
      <alignment horizontal="left" readingOrder="0"/>
    </xf>
    <xf borderId="0" fillId="16" fontId="5" numFmtId="49" xfId="0" applyAlignment="1" applyFill="1" applyFont="1" applyNumberFormat="1">
      <alignment horizontal="right" readingOrder="0" vertical="bottom"/>
    </xf>
    <xf borderId="0" fillId="16" fontId="5" numFmtId="49" xfId="0" applyAlignment="1" applyFill="1" applyFont="1" applyNumberFormat="1">
      <alignment horizontal="right" vertical="bottom"/>
    </xf>
    <xf borderId="0" fillId="16" fontId="5" numFmtId="173" xfId="0" applyAlignment="1" applyFill="1" applyFont="1" applyNumberFormat="1">
      <alignment horizontal="right" vertical="bottom"/>
    </xf>
    <xf borderId="0" fillId="0" fontId="12" numFmtId="0" xfId="0" applyAlignment="1" applyFont="1">
      <alignment horizontal="left" readingOrder="0"/>
    </xf>
    <xf borderId="0" fillId="16" fontId="12" numFmtId="0" xfId="0" applyAlignment="1" applyFill="1" applyFont="1">
      <alignment horizontal="left" readingOrder="0"/>
    </xf>
    <xf borderId="0" fillId="20" fontId="3" numFmtId="0" xfId="0" applyAlignment="1" applyFill="1" applyFont="1">
      <alignment horizontal="center" readingOrder="0"/>
    </xf>
    <xf borderId="0" fillId="16" fontId="3" numFmtId="49" xfId="0" applyAlignment="1" applyFill="1" applyFont="1" applyNumberFormat="1">
      <alignment horizontal="center" readingOrder="0"/>
    </xf>
    <xf borderId="0" fillId="6" fontId="3" numFmtId="49" xfId="0" applyAlignment="1" applyFill="1" applyFont="1" applyNumberFormat="1">
      <alignment horizontal="center" readingOrder="0"/>
    </xf>
    <xf borderId="0" fillId="13" fontId="3" numFmtId="0" xfId="0" applyAlignment="1" applyFill="1" applyFont="1">
      <alignment horizontal="center"/>
    </xf>
    <xf borderId="0" fillId="3" fontId="12" numFmtId="0" xfId="0" applyAlignment="1" applyFill="1" applyFont="1">
      <alignment horizontal="center" readingOrder="0"/>
    </xf>
    <xf borderId="0" fillId="17" fontId="3" numFmtId="0" xfId="0" applyAlignment="1" applyFill="1" applyFont="1">
      <alignment horizontal="center" readingOrder="0"/>
    </xf>
    <xf borderId="0" fillId="0" fontId="3" numFmtId="164" xfId="0" applyAlignment="1" applyFont="1" applyNumberFormat="1">
      <alignment horizontal="left" readingOrder="0"/>
    </xf>
    <xf borderId="0" fillId="17" fontId="3" numFmtId="0" xfId="0" applyAlignment="1" applyFill="1" applyFont="1">
      <alignment horizontal="left" readingOrder="0"/>
    </xf>
    <xf borderId="0" fillId="0" fontId="3" numFmtId="172" xfId="0" applyAlignment="1" applyFont="1" applyNumberFormat="1">
      <alignment horizontal="left" readingOrder="0"/>
    </xf>
    <xf borderId="0" fillId="0" fontId="3" numFmtId="168" xfId="0" applyAlignment="1" applyFont="1" applyNumberFormat="1">
      <alignment horizontal="left" readingOrder="0"/>
    </xf>
    <xf borderId="0" fillId="0" fontId="5" numFmtId="164" xfId="0" applyAlignment="1" applyFont="1" applyNumberFormat="1">
      <alignment horizontal="left" shrinkToFit="0" vertical="bottom" wrapText="1"/>
    </xf>
    <xf borderId="0" fillId="0" fontId="3" numFmtId="164" xfId="0" applyAlignment="1" applyFont="1" applyNumberFormat="1">
      <alignment horizontal="left" readingOrder="0" shrinkToFit="0" wrapText="1"/>
    </xf>
    <xf borderId="0" fillId="0" fontId="3" numFmtId="168" xfId="0" applyAlignment="1" applyFont="1" applyNumberFormat="1">
      <alignment readingOrder="0"/>
    </xf>
    <xf borderId="0" fillId="17" fontId="5" numFmtId="0" xfId="0" applyAlignment="1" applyFill="1" applyFont="1">
      <alignment vertical="bottom"/>
    </xf>
    <xf borderId="0" fillId="15" fontId="5" numFmtId="0" xfId="0" applyAlignment="1" applyFill="1" applyFont="1">
      <alignment vertical="bottom"/>
    </xf>
    <xf borderId="8" fillId="0" fontId="22" numFmtId="0" xfId="0" applyBorder="1" applyFont="1"/>
    <xf borderId="13" fillId="17" fontId="45" numFmtId="0" xfId="0" applyAlignment="1" applyBorder="1" applyFill="1" applyFont="1">
      <alignment vertical="bottom"/>
    </xf>
    <xf borderId="13" fillId="17" fontId="45" numFmtId="0" xfId="0" applyAlignment="1" applyBorder="1" applyFill="1" applyFont="1">
      <alignment readingOrder="0" shrinkToFit="0" vertical="bottom" wrapText="1"/>
    </xf>
    <xf borderId="12" fillId="17" fontId="45" numFmtId="0" xfId="0" applyAlignment="1" applyBorder="1" applyFill="1" applyFont="1">
      <alignment vertical="bottom"/>
    </xf>
    <xf borderId="13" fillId="15" fontId="45" numFmtId="0" xfId="0" applyAlignment="1" applyBorder="1" applyFill="1" applyFont="1">
      <alignment vertical="bottom"/>
    </xf>
    <xf borderId="13" fillId="0" fontId="45" numFmtId="0" xfId="0" applyAlignment="1" applyBorder="1" applyFont="1">
      <alignment vertical="bottom"/>
    </xf>
    <xf borderId="0" fillId="17" fontId="3" numFmtId="164" xfId="0" applyAlignment="1" applyFill="1" applyFont="1" applyNumberFormat="1">
      <alignment horizontal="left" readingOrder="0"/>
    </xf>
    <xf borderId="0" fillId="17" fontId="3" numFmtId="176" xfId="0" applyAlignment="1" applyFill="1" applyFont="1" applyNumberFormat="1">
      <alignment horizontal="left" readingOrder="0"/>
    </xf>
    <xf borderId="0" fillId="17" fontId="5" numFmtId="0" xfId="0" applyAlignment="1" applyFill="1" applyFont="1">
      <alignment shrinkToFit="0" vertical="bottom" wrapText="1"/>
    </xf>
    <xf borderId="0" fillId="15" fontId="3" numFmtId="176" xfId="0" applyAlignment="1" applyFill="1" applyFont="1" applyNumberFormat="1">
      <alignment horizontal="left" readingOrder="0"/>
    </xf>
    <xf borderId="0" fillId="15" fontId="3" numFmtId="0" xfId="0" applyAlignment="1" applyFill="1" applyFont="1">
      <alignment horizontal="left" readingOrder="0"/>
    </xf>
    <xf borderId="0" fillId="17" fontId="3" numFmtId="172" xfId="0" applyAlignment="1" applyFill="1" applyFont="1" applyNumberFormat="1">
      <alignment horizontal="left" readingOrder="0"/>
    </xf>
    <xf borderId="0" fillId="17" fontId="3" numFmtId="168" xfId="0" applyAlignment="1" applyFill="1" applyFont="1" applyNumberFormat="1">
      <alignment horizontal="left" readingOrder="0"/>
    </xf>
    <xf borderId="0" fillId="17" fontId="5" numFmtId="0" xfId="0" applyAlignment="1" applyFill="1" applyFont="1">
      <alignment horizontal="left" vertical="bottom"/>
    </xf>
    <xf borderId="0" fillId="15" fontId="3" numFmtId="0" xfId="0" applyAlignment="1" applyFill="1" applyFont="1">
      <alignment readingOrder="0"/>
    </xf>
    <xf borderId="0" fillId="15" fontId="3" numFmtId="49" xfId="0" applyAlignment="1" applyFill="1" applyFont="1" applyNumberFormat="1">
      <alignment horizontal="left" readingOrder="0"/>
    </xf>
    <xf borderId="0" fillId="0" fontId="3" numFmtId="1" xfId="0" applyAlignment="1" applyFont="1" applyNumberFormat="1">
      <alignment readingOrder="0"/>
    </xf>
    <xf borderId="0" fillId="15" fontId="46" numFmtId="0" xfId="0" applyAlignment="1" applyFill="1" applyFont="1">
      <alignment readingOrder="0" shrinkToFit="0" vertical="bottom" wrapText="0"/>
    </xf>
    <xf borderId="0" fillId="17" fontId="3" numFmtId="167" xfId="0" applyAlignment="1" applyFill="1" applyFont="1" applyNumberFormat="1">
      <alignment horizontal="left" readingOrder="0"/>
    </xf>
    <xf borderId="0" fillId="15" fontId="47" numFmtId="0" xfId="0" applyAlignment="1" applyFill="1" applyFont="1">
      <alignment readingOrder="0" shrinkToFit="0" vertical="bottom" wrapText="0"/>
    </xf>
    <xf borderId="0" fillId="15" fontId="3" numFmtId="0" xfId="0" applyFill="1" applyFont="1"/>
    <xf borderId="0" fillId="0" fontId="46" numFmtId="0" xfId="0" applyAlignment="1" applyFont="1">
      <alignment horizontal="right" readingOrder="0" shrinkToFit="0" vertical="bottom" wrapText="0"/>
    </xf>
    <xf borderId="0" fillId="30" fontId="3" numFmtId="0" xfId="0" applyFill="1" applyFont="1"/>
    <xf borderId="0" fillId="0" fontId="47" numFmtId="0" xfId="0" applyAlignment="1" applyFont="1">
      <alignment readingOrder="0"/>
    </xf>
    <xf borderId="0" fillId="0" fontId="5" numFmtId="1" xfId="0" applyAlignment="1" applyFont="1" applyNumberFormat="1">
      <alignment vertical="bottom"/>
    </xf>
    <xf borderId="0" fillId="0" fontId="5" numFmtId="173" xfId="0" applyAlignment="1" applyFont="1" applyNumberFormat="1">
      <alignment readingOrder="0" vertical="bottom"/>
    </xf>
    <xf borderId="0" fillId="0" fontId="46" numFmtId="0" xfId="0" applyAlignment="1" applyFont="1">
      <alignment shrinkToFit="0" vertical="bottom" wrapText="0"/>
    </xf>
    <xf borderId="0" fillId="0" fontId="47" numFmtId="0" xfId="0" applyFont="1"/>
    <xf borderId="0" fillId="0" fontId="48" numFmtId="0" xfId="0" applyFont="1"/>
    <xf borderId="0" fillId="17" fontId="5" numFmtId="0" xfId="0" applyAlignment="1" applyFill="1" applyFont="1">
      <alignment horizontal="left" shrinkToFit="0" vertical="bottom" wrapText="1"/>
    </xf>
    <xf borderId="0" fillId="0" fontId="3" numFmtId="170" xfId="0" applyAlignment="1" applyFont="1" applyNumberFormat="1">
      <alignment readingOrder="0"/>
    </xf>
    <xf borderId="0" fillId="17" fontId="3" numFmtId="20" xfId="0" applyAlignment="1" applyFill="1" applyFont="1" applyNumberFormat="1">
      <alignment horizontal="left" readingOrder="0"/>
    </xf>
    <xf borderId="0" fillId="15" fontId="3" numFmtId="0" xfId="0" applyAlignment="1" applyFill="1" applyFont="1">
      <alignment horizontal="left"/>
    </xf>
    <xf borderId="0" fillId="0" fontId="5" numFmtId="0" xfId="0" applyAlignment="1" applyFont="1">
      <alignment horizontal="center"/>
    </xf>
    <xf borderId="0" fillId="0" fontId="3" numFmtId="0" xfId="0" applyAlignment="1" applyFont="1">
      <alignment horizontal="right" readingOrder="0"/>
    </xf>
    <xf borderId="0" fillId="0" fontId="3" numFmtId="167" xfId="0" applyAlignment="1" applyFont="1" applyNumberFormat="1">
      <alignment horizontal="right" readingOrder="0"/>
    </xf>
  </cellXfs>
  <cellStyles count="1">
    <cellStyle xfId="0" name="Normal" builtinId="0"/>
  </cellStyles>
  <dxfs count="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3" pivot="0" name="Stool Samples-style">
      <tableStyleElement dxfId="1" type="headerRow"/>
      <tableStyleElement dxfId="2" type="firstRowStripe"/>
      <tableStyleElement dxfId="3" type="secondRowStripe"/>
    </tableStyle>
    <tableStyle count="3" pivot="0" name="Stool Samples-style 2">
      <tableStyleElement dxfId="1" type="headerRow"/>
      <tableStyleElement dxfId="2" type="firstRowStripe"/>
      <tableStyleElement dxfId="3" type="secondRowStripe"/>
    </tableStyle>
    <tableStyle count="4" pivot="0" name="Study Progress-style">
      <tableStyleElement dxfId="4" type="headerRow"/>
      <tableStyleElement dxfId="2"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Study Progress</a:t>
            </a:r>
          </a:p>
        </c:rich>
      </c:tx>
      <c:overlay val="0"/>
    </c:title>
    <c:plotArea>
      <c:layout/>
      <c:barChart>
        <c:barDir val="col"/>
        <c:varyColors val="0"/>
        <c:ser>
          <c:idx val="0"/>
          <c:order val="0"/>
          <c:tx>
            <c:strRef>
              <c:f>'Study Progress'!$G$1</c:f>
            </c:strRef>
          </c:tx>
          <c:spPr>
            <a:solidFill>
              <a:srgbClr val="6AA84F"/>
            </a:solidFill>
            <a:ln cmpd="sng">
              <a:noFill/>
            </a:ln>
          </c:spPr>
          <c:invertIfNegative val="0"/>
          <c:dPt>
            <c:idx val="1"/>
            <c:spPr>
              <a:solidFill>
                <a:srgbClr val="6AA84F"/>
              </a:solidFill>
              <a:ln cmpd="sng">
                <a:noFill/>
              </a:ln>
            </c:spPr>
          </c:dPt>
          <c:dPt>
            <c:idx val="2"/>
            <c:spPr>
              <a:solidFill>
                <a:srgbClr val="B6D7A8"/>
              </a:solidFill>
              <a:ln cmpd="sng">
                <a:noFill/>
              </a:ln>
            </c:spPr>
          </c:dPt>
          <c:dPt>
            <c:idx val="3"/>
            <c:spPr>
              <a:solidFill>
                <a:srgbClr val="E06666"/>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'Study Progress'!$A$2:$A$5</c:f>
            </c:strRef>
          </c:cat>
          <c:val>
            <c:numRef>
              <c:f>'Study Progress'!$G$2:$G$5</c:f>
              <c:numCache/>
            </c:numRef>
          </c:val>
        </c:ser>
        <c:axId val="1434708273"/>
        <c:axId val="208414213"/>
      </c:barChart>
      <c:catAx>
        <c:axId val="1434708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8414213"/>
      </c:catAx>
      <c:valAx>
        <c:axId val="2084142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Completed (of Active)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34708273"/>
      </c:valAx>
    </c:plotArea>
    <c:legend>
      <c:legendPos val="r"/>
      <c:overlay val="0"/>
      <c:txPr>
        <a:bodyPr/>
        <a:lstStyle/>
        <a:p>
          <a:pPr lvl="0">
            <a:defRPr b="0">
              <a:solidFill>
                <a:srgbClr val="1A1A1A"/>
              </a:solidFill>
              <a:latin typeface="+mn-lt"/>
            </a:defRPr>
          </a:pPr>
        </a:p>
      </c:txPr>
    </c:legend>
    <c:plotVisOnly val="1"/>
  </c:chart>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1057275</xdr:colOff>
      <xdr:row>10</xdr:row>
      <xdr:rowOff>0</xdr:rowOff>
    </xdr:from>
    <xdr:ext cx="4991100" cy="3086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J2"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tool Sample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3:C3" displayName="Table_2" name="Table_2" id="2">
  <tableColumns count="3">
    <tableColumn name="Column1" id="1"/>
    <tableColumn name="Column2" id="2"/>
    <tableColumn name="Column3" id="3"/>
  </tableColumns>
  <tableStyleInfo name="Stool Samples-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G10" displayName="Table1" name="Table1" id="3">
  <tableColumns count="7">
    <tableColumn name="Year" id="1"/>
    <tableColumn name="Enrolled" id="2"/>
    <tableColumn name="Dropped Out/DQ" id="3"/>
    <tableColumn name="Completed" id="4"/>
    <tableColumn name="Remaining" id="5"/>
    <tableColumn name="% Completed (of Total)" id="6"/>
    <tableColumn name="% Completed (of Active)" id="7"/>
  </tableColumns>
  <tableStyleInfo name="Study Progres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xml"/><Relationship Id="rId5"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hyperlink" Target="https://redcap.link/DiabetesBrainStudyPartner"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2"/>
  <cols>
    <col customWidth="1" min="1" max="1" width="13.38"/>
    <col customWidth="1" min="2" max="2" width="16.0"/>
    <col customWidth="1" min="3" max="3" width="18.25"/>
    <col customWidth="1" min="4" max="4" width="21.0"/>
  </cols>
  <sheetData>
    <row r="1">
      <c r="A1" s="1" t="s">
        <v>0</v>
      </c>
      <c r="B1" s="4" t="s">
        <v>2</v>
      </c>
      <c r="C1" s="4" t="s">
        <v>3</v>
      </c>
      <c r="D1" s="5" t="s">
        <v>4</v>
      </c>
      <c r="E1" s="6"/>
      <c r="F1" s="6"/>
      <c r="G1" s="6"/>
      <c r="H1" s="6"/>
      <c r="I1" s="6"/>
      <c r="J1" s="6"/>
      <c r="K1" s="6"/>
      <c r="L1" s="6"/>
      <c r="M1" s="6"/>
      <c r="N1" s="6"/>
      <c r="O1" s="6"/>
      <c r="P1" s="6"/>
      <c r="Q1" s="6"/>
      <c r="R1" s="6"/>
      <c r="S1" s="6"/>
      <c r="T1" s="6"/>
      <c r="U1" s="6"/>
      <c r="V1" s="6"/>
      <c r="W1" s="6"/>
      <c r="X1" s="6"/>
      <c r="Y1" s="6"/>
      <c r="Z1" s="6"/>
    </row>
    <row r="2">
      <c r="A2" s="12" t="s">
        <v>10</v>
      </c>
      <c r="B2" s="15">
        <v>1.0</v>
      </c>
      <c r="C2" s="15">
        <v>6.0</v>
      </c>
      <c r="D2" s="19" t="s">
        <v>16</v>
      </c>
      <c r="E2" s="6"/>
      <c r="F2" s="6"/>
      <c r="G2" s="6"/>
      <c r="H2" s="6"/>
      <c r="I2" s="6"/>
      <c r="J2" s="6"/>
      <c r="K2" s="6"/>
      <c r="L2" s="6"/>
      <c r="M2" s="6"/>
      <c r="N2" s="6"/>
      <c r="O2" s="6"/>
      <c r="P2" s="6"/>
      <c r="Q2" s="6"/>
      <c r="R2" s="6"/>
      <c r="S2" s="6"/>
      <c r="T2" s="6"/>
      <c r="U2" s="6"/>
      <c r="V2" s="6"/>
      <c r="W2" s="6"/>
      <c r="X2" s="6"/>
      <c r="Y2" s="6"/>
      <c r="Z2" s="6"/>
    </row>
    <row r="3">
      <c r="A3" s="12" t="s">
        <v>22</v>
      </c>
      <c r="B3" s="15">
        <v>1.0</v>
      </c>
      <c r="C3" s="15">
        <v>7.0</v>
      </c>
      <c r="D3" s="19" t="s">
        <v>23</v>
      </c>
      <c r="E3" s="6"/>
      <c r="F3" s="6"/>
      <c r="G3" s="6"/>
      <c r="H3" s="6"/>
      <c r="I3" s="6"/>
      <c r="J3" s="6"/>
      <c r="K3" s="6"/>
      <c r="L3" s="25" t="s">
        <v>24</v>
      </c>
      <c r="M3" s="6"/>
      <c r="N3" s="6"/>
      <c r="O3" s="6"/>
      <c r="P3" s="6"/>
      <c r="Q3" s="6"/>
      <c r="R3" s="6"/>
      <c r="S3" s="6"/>
      <c r="T3" s="6"/>
      <c r="U3" s="6"/>
      <c r="V3" s="6"/>
      <c r="W3" s="6"/>
      <c r="X3" s="6"/>
      <c r="Y3" s="6"/>
      <c r="Z3" s="6"/>
    </row>
    <row r="4">
      <c r="A4" s="27" t="s">
        <v>25</v>
      </c>
      <c r="B4" s="29">
        <v>2.0</v>
      </c>
      <c r="C4" s="29">
        <v>11.0</v>
      </c>
      <c r="D4" s="30" t="s">
        <v>29</v>
      </c>
      <c r="E4" s="6"/>
      <c r="F4" s="6"/>
      <c r="G4" s="6"/>
      <c r="H4" s="6"/>
      <c r="I4" s="6"/>
      <c r="J4" s="6"/>
      <c r="K4" s="6"/>
      <c r="L4" s="6"/>
      <c r="M4" s="6"/>
      <c r="N4" s="6"/>
      <c r="O4" s="6"/>
      <c r="P4" s="6"/>
      <c r="Q4" s="6"/>
      <c r="R4" s="6"/>
      <c r="S4" s="6"/>
      <c r="T4" s="6"/>
      <c r="U4" s="6"/>
      <c r="V4" s="6"/>
      <c r="W4" s="6"/>
      <c r="X4" s="6"/>
      <c r="Y4" s="6"/>
      <c r="Z4" s="6"/>
    </row>
    <row r="5">
      <c r="A5" s="12" t="s">
        <v>32</v>
      </c>
      <c r="B5" s="15">
        <v>2.0</v>
      </c>
      <c r="C5" s="15">
        <v>17.0</v>
      </c>
      <c r="D5" s="19" t="s">
        <v>23</v>
      </c>
      <c r="E5" s="6"/>
      <c r="F5" s="6"/>
      <c r="G5" s="6"/>
      <c r="H5" s="6"/>
      <c r="I5" s="6"/>
      <c r="J5" s="6"/>
      <c r="K5" s="6"/>
      <c r="L5" s="6"/>
      <c r="M5" s="6"/>
      <c r="N5" s="6"/>
      <c r="O5" s="6"/>
      <c r="P5" s="6"/>
      <c r="Q5" s="6"/>
      <c r="R5" s="6"/>
      <c r="S5" s="6"/>
      <c r="T5" s="6"/>
      <c r="U5" s="6"/>
      <c r="V5" s="6"/>
      <c r="W5" s="6"/>
      <c r="X5" s="6"/>
      <c r="Y5" s="6"/>
      <c r="Z5" s="6"/>
    </row>
    <row r="6">
      <c r="A6" s="12" t="s">
        <v>34</v>
      </c>
      <c r="B6" s="15">
        <v>1.0</v>
      </c>
      <c r="C6" s="15">
        <v>3.0</v>
      </c>
      <c r="D6" s="37" t="s">
        <v>35</v>
      </c>
      <c r="E6" s="6"/>
      <c r="F6" s="6"/>
      <c r="G6" s="6"/>
      <c r="H6" s="6"/>
      <c r="I6" s="6"/>
      <c r="J6" s="6"/>
      <c r="K6" s="6"/>
      <c r="L6" s="6"/>
      <c r="M6" s="6"/>
      <c r="N6" s="6"/>
      <c r="O6" s="6"/>
      <c r="P6" s="6"/>
      <c r="Q6" s="6"/>
      <c r="R6" s="6"/>
      <c r="S6" s="6"/>
      <c r="T6" s="6"/>
      <c r="U6" s="6"/>
      <c r="V6" s="6"/>
      <c r="W6" s="6"/>
      <c r="X6" s="6"/>
      <c r="Y6" s="6"/>
      <c r="Z6" s="6"/>
    </row>
    <row r="7">
      <c r="A7" s="12" t="s">
        <v>38</v>
      </c>
      <c r="B7" s="15">
        <v>2.0</v>
      </c>
      <c r="C7" s="15">
        <v>15.0</v>
      </c>
      <c r="D7" s="19" t="s">
        <v>23</v>
      </c>
      <c r="E7" s="6"/>
      <c r="F7" s="6"/>
      <c r="G7" s="6"/>
      <c r="H7" s="6"/>
      <c r="I7" s="6"/>
      <c r="J7" s="6"/>
      <c r="K7" s="6"/>
      <c r="L7" s="6"/>
      <c r="M7" s="6"/>
      <c r="N7" s="6"/>
      <c r="O7" s="6"/>
      <c r="P7" s="6"/>
      <c r="Q7" s="6"/>
      <c r="R7" s="6"/>
      <c r="S7" s="6"/>
      <c r="T7" s="6"/>
      <c r="U7" s="6"/>
      <c r="V7" s="6"/>
      <c r="W7" s="6"/>
      <c r="X7" s="6"/>
      <c r="Y7" s="6"/>
      <c r="Z7" s="6"/>
    </row>
    <row r="8">
      <c r="A8" s="12" t="s">
        <v>41</v>
      </c>
      <c r="B8" s="15">
        <v>3.0</v>
      </c>
      <c r="C8" s="15">
        <v>28.0</v>
      </c>
      <c r="D8" s="19" t="s">
        <v>23</v>
      </c>
      <c r="E8" s="6"/>
      <c r="F8" s="6"/>
      <c r="G8" s="6"/>
      <c r="H8" s="6"/>
      <c r="I8" s="6"/>
      <c r="J8" s="6"/>
      <c r="K8" s="6"/>
      <c r="L8" s="6"/>
      <c r="M8" s="6"/>
      <c r="N8" s="6"/>
      <c r="O8" s="6"/>
      <c r="P8" s="6"/>
      <c r="Q8" s="6"/>
      <c r="R8" s="6"/>
      <c r="S8" s="6"/>
      <c r="T8" s="6"/>
      <c r="U8" s="6"/>
      <c r="V8" s="6"/>
      <c r="W8" s="6"/>
      <c r="X8" s="6"/>
      <c r="Y8" s="6"/>
      <c r="Z8" s="6"/>
    </row>
    <row r="9">
      <c r="A9" s="12" t="s">
        <v>43</v>
      </c>
      <c r="B9" s="15">
        <v>1.0</v>
      </c>
      <c r="C9" s="15">
        <v>9.0</v>
      </c>
      <c r="D9" s="19" t="s">
        <v>23</v>
      </c>
      <c r="E9" s="6"/>
      <c r="F9" s="6"/>
      <c r="G9" s="6"/>
      <c r="H9" s="6"/>
      <c r="I9" s="6"/>
      <c r="J9" s="6"/>
      <c r="K9" s="6"/>
      <c r="L9" s="6"/>
      <c r="M9" s="6"/>
      <c r="N9" s="6"/>
      <c r="O9" s="6"/>
      <c r="P9" s="6"/>
      <c r="Q9" s="6"/>
      <c r="R9" s="6"/>
      <c r="S9" s="6"/>
      <c r="T9" s="6"/>
      <c r="U9" s="6"/>
      <c r="V9" s="6"/>
      <c r="W9" s="6"/>
      <c r="X9" s="6"/>
      <c r="Y9" s="6"/>
      <c r="Z9" s="6"/>
    </row>
    <row r="10">
      <c r="A10" s="27" t="s">
        <v>33</v>
      </c>
      <c r="B10" s="29">
        <v>2.0</v>
      </c>
      <c r="C10" s="29">
        <v>18.0</v>
      </c>
      <c r="D10" s="30" t="s">
        <v>23</v>
      </c>
      <c r="E10" s="6"/>
      <c r="F10" s="6"/>
      <c r="G10" s="25"/>
      <c r="H10" s="6"/>
      <c r="I10" s="6"/>
      <c r="J10" s="6"/>
      <c r="K10" s="6"/>
      <c r="L10" s="6"/>
      <c r="M10" s="6"/>
      <c r="N10" s="6"/>
      <c r="O10" s="6"/>
      <c r="P10" s="6"/>
      <c r="Q10" s="6"/>
      <c r="R10" s="6"/>
      <c r="S10" s="6"/>
      <c r="T10" s="6"/>
      <c r="U10" s="6"/>
      <c r="V10" s="6"/>
      <c r="W10" s="6"/>
      <c r="X10" s="6"/>
      <c r="Y10" s="6"/>
      <c r="Z10" s="6"/>
    </row>
    <row r="11">
      <c r="A11" s="12" t="s">
        <v>51</v>
      </c>
      <c r="B11" s="15">
        <v>5.0</v>
      </c>
      <c r="C11" s="15">
        <v>47.0</v>
      </c>
      <c r="D11" s="19" t="s">
        <v>52</v>
      </c>
      <c r="E11" s="6"/>
      <c r="F11" s="6"/>
      <c r="G11" s="6"/>
      <c r="H11" s="6"/>
      <c r="I11" s="6"/>
      <c r="J11" s="6"/>
      <c r="K11" s="6"/>
      <c r="L11" s="6"/>
      <c r="M11" s="6"/>
      <c r="N11" s="6"/>
      <c r="O11" s="6"/>
      <c r="P11" s="6"/>
      <c r="Q11" s="6"/>
      <c r="R11" s="6"/>
      <c r="S11" s="6"/>
      <c r="T11" s="6"/>
      <c r="U11" s="6"/>
      <c r="V11" s="6"/>
      <c r="W11" s="6"/>
      <c r="X11" s="6"/>
      <c r="Y11" s="6"/>
      <c r="Z11" s="6"/>
    </row>
    <row r="12">
      <c r="A12" s="12" t="s">
        <v>55</v>
      </c>
      <c r="B12" s="15">
        <v>3.0</v>
      </c>
      <c r="C12" s="15">
        <v>19.0</v>
      </c>
      <c r="D12" s="19" t="s">
        <v>23</v>
      </c>
      <c r="E12" s="6"/>
      <c r="F12" s="6"/>
      <c r="G12" s="6"/>
      <c r="H12" s="6"/>
      <c r="I12" s="6"/>
      <c r="J12" s="6"/>
      <c r="K12" s="6"/>
      <c r="L12" s="6"/>
      <c r="M12" s="6"/>
      <c r="N12" s="6"/>
      <c r="O12" s="6"/>
      <c r="P12" s="6"/>
      <c r="Q12" s="6"/>
      <c r="R12" s="6"/>
      <c r="S12" s="6"/>
      <c r="T12" s="6"/>
      <c r="U12" s="6"/>
      <c r="V12" s="6"/>
      <c r="W12" s="6"/>
      <c r="X12" s="6"/>
      <c r="Y12" s="6"/>
      <c r="Z12" s="6"/>
    </row>
    <row r="13">
      <c r="A13" s="12" t="s">
        <v>58</v>
      </c>
      <c r="B13" s="15">
        <v>3.0</v>
      </c>
      <c r="C13" s="15">
        <v>28.0</v>
      </c>
      <c r="D13" s="19" t="s">
        <v>29</v>
      </c>
      <c r="E13" s="6"/>
      <c r="G13" s="6"/>
      <c r="H13" s="6"/>
      <c r="I13" s="6"/>
      <c r="J13" s="6"/>
      <c r="K13" s="6"/>
      <c r="L13" s="6"/>
      <c r="M13" s="6"/>
      <c r="N13" s="6"/>
      <c r="O13" s="6"/>
      <c r="P13" s="6"/>
      <c r="Q13" s="6"/>
      <c r="R13" s="6"/>
      <c r="S13" s="6"/>
      <c r="T13" s="6"/>
      <c r="U13" s="6"/>
      <c r="V13" s="6"/>
      <c r="W13" s="6"/>
      <c r="X13" s="6"/>
      <c r="Y13" s="6"/>
      <c r="Z13" s="6"/>
    </row>
    <row r="14">
      <c r="A14" s="27" t="s">
        <v>49</v>
      </c>
      <c r="B14" s="29">
        <v>1.0</v>
      </c>
      <c r="C14" s="29">
        <v>1.0</v>
      </c>
      <c r="D14" s="30" t="s">
        <v>29</v>
      </c>
      <c r="E14" s="6"/>
      <c r="F14" s="6"/>
      <c r="G14" s="6"/>
      <c r="H14" s="6"/>
      <c r="I14" s="6"/>
      <c r="J14" s="6"/>
      <c r="K14" s="6"/>
      <c r="L14" s="6"/>
      <c r="M14" s="6"/>
      <c r="N14" s="6"/>
      <c r="O14" s="6"/>
      <c r="P14" s="6"/>
      <c r="Q14" s="6"/>
      <c r="R14" s="6"/>
      <c r="S14" s="6"/>
      <c r="T14" s="6"/>
      <c r="U14" s="6"/>
      <c r="V14" s="6"/>
      <c r="W14" s="6"/>
      <c r="X14" s="6"/>
      <c r="Y14" s="6"/>
      <c r="Z14" s="6"/>
    </row>
    <row r="15">
      <c r="A15" s="12" t="s">
        <v>62</v>
      </c>
      <c r="B15" s="15">
        <v>1.0</v>
      </c>
      <c r="C15" s="15">
        <v>9.0</v>
      </c>
      <c r="D15" s="19" t="s">
        <v>23</v>
      </c>
      <c r="E15" s="6"/>
      <c r="F15" s="6"/>
      <c r="G15" s="6"/>
      <c r="H15" s="6"/>
      <c r="I15" s="6"/>
      <c r="J15" s="6"/>
      <c r="K15" s="6"/>
      <c r="L15" s="6"/>
      <c r="M15" s="6"/>
      <c r="N15" s="6"/>
      <c r="O15" s="6"/>
      <c r="P15" s="6"/>
      <c r="Q15" s="6"/>
      <c r="R15" s="6"/>
      <c r="S15" s="6"/>
      <c r="T15" s="6"/>
      <c r="U15" s="6"/>
      <c r="V15" s="6"/>
      <c r="W15" s="6"/>
      <c r="X15" s="6"/>
      <c r="Y15" s="6"/>
      <c r="Z15" s="6"/>
    </row>
    <row r="16">
      <c r="A16" s="12" t="s">
        <v>27</v>
      </c>
      <c r="B16" s="15">
        <v>1.0</v>
      </c>
      <c r="C16" s="15">
        <v>1.0</v>
      </c>
      <c r="D16" s="19" t="s">
        <v>23</v>
      </c>
      <c r="E16" s="6"/>
      <c r="F16" s="6"/>
      <c r="G16" s="6"/>
      <c r="H16" s="6"/>
      <c r="I16" s="6"/>
      <c r="J16" s="6"/>
      <c r="K16" s="6"/>
      <c r="L16" s="6"/>
      <c r="M16" s="6"/>
      <c r="N16" s="6"/>
      <c r="O16" s="6"/>
      <c r="P16" s="6"/>
      <c r="Q16" s="6"/>
      <c r="R16" s="6"/>
      <c r="S16" s="6"/>
      <c r="T16" s="6"/>
      <c r="U16" s="6"/>
      <c r="V16" s="6"/>
      <c r="W16" s="6"/>
      <c r="X16" s="6"/>
      <c r="Y16" s="6"/>
      <c r="Z16" s="6"/>
    </row>
    <row r="17">
      <c r="A17" s="12" t="s">
        <v>65</v>
      </c>
      <c r="B17" s="15">
        <v>1.0</v>
      </c>
      <c r="C17" s="15">
        <v>5.0</v>
      </c>
      <c r="D17" s="19" t="s">
        <v>23</v>
      </c>
      <c r="E17" s="6"/>
      <c r="F17" s="6"/>
      <c r="G17" s="6"/>
      <c r="H17" s="6"/>
      <c r="I17" s="6"/>
      <c r="J17" s="6"/>
      <c r="K17" s="6"/>
      <c r="L17" s="6"/>
      <c r="M17" s="6"/>
      <c r="N17" s="6"/>
      <c r="O17" s="6"/>
      <c r="P17" s="6"/>
      <c r="Q17" s="6"/>
      <c r="R17" s="6"/>
      <c r="S17" s="6"/>
      <c r="T17" s="6"/>
      <c r="U17" s="6"/>
      <c r="V17" s="6"/>
      <c r="W17" s="6"/>
      <c r="X17" s="6"/>
      <c r="Y17" s="6"/>
      <c r="Z17" s="6"/>
    </row>
    <row r="18">
      <c r="A18" s="12" t="s">
        <v>67</v>
      </c>
      <c r="B18" s="15">
        <v>1.0</v>
      </c>
      <c r="C18" s="15">
        <v>8.0</v>
      </c>
      <c r="D18" s="19" t="s">
        <v>16</v>
      </c>
      <c r="E18" s="6"/>
      <c r="F18" s="6"/>
      <c r="G18" s="6"/>
      <c r="H18" s="6"/>
      <c r="I18" s="6"/>
      <c r="J18" s="6"/>
      <c r="K18" s="6"/>
      <c r="L18" s="6"/>
      <c r="M18" s="6"/>
      <c r="N18" s="6"/>
      <c r="O18" s="6"/>
      <c r="P18" s="6"/>
      <c r="Q18" s="6"/>
      <c r="R18" s="6"/>
      <c r="S18" s="6"/>
      <c r="T18" s="6"/>
      <c r="U18" s="6"/>
      <c r="V18" s="6"/>
      <c r="W18" s="6"/>
      <c r="X18" s="6"/>
      <c r="Y18" s="6"/>
      <c r="Z18" s="6"/>
    </row>
    <row r="19" ht="19.5" customHeight="1">
      <c r="A19" s="27" t="s">
        <v>66</v>
      </c>
      <c r="B19" s="29">
        <v>3.0</v>
      </c>
      <c r="C19" s="29">
        <v>23.0</v>
      </c>
      <c r="D19" s="59" t="s">
        <v>68</v>
      </c>
      <c r="E19" s="6"/>
      <c r="F19" s="6"/>
      <c r="G19" s="25"/>
      <c r="H19" s="6"/>
      <c r="I19" s="6"/>
      <c r="J19" s="6"/>
      <c r="K19" s="6"/>
      <c r="L19" s="6"/>
      <c r="M19" s="6"/>
      <c r="N19" s="6"/>
      <c r="O19" s="6"/>
      <c r="P19" s="6"/>
      <c r="Q19" s="6"/>
      <c r="R19" s="6"/>
      <c r="S19" s="6"/>
      <c r="T19" s="6"/>
      <c r="U19" s="6"/>
      <c r="V19" s="6"/>
      <c r="W19" s="6"/>
      <c r="X19" s="6"/>
      <c r="Y19" s="6"/>
      <c r="Z19" s="6"/>
    </row>
    <row r="20">
      <c r="A20" s="27" t="s">
        <v>71</v>
      </c>
      <c r="B20" s="29">
        <v>1.0</v>
      </c>
      <c r="C20" s="29">
        <v>4.0</v>
      </c>
      <c r="D20" s="30" t="s">
        <v>29</v>
      </c>
      <c r="E20" s="6"/>
      <c r="F20" s="6"/>
      <c r="G20" s="6"/>
      <c r="H20" s="6"/>
      <c r="I20" s="6"/>
      <c r="J20" s="6"/>
      <c r="K20" s="6"/>
      <c r="L20" s="6"/>
      <c r="M20" s="6"/>
      <c r="N20" s="6"/>
      <c r="O20" s="6"/>
      <c r="P20" s="6"/>
      <c r="Q20" s="6"/>
      <c r="R20" s="6"/>
      <c r="S20" s="6"/>
      <c r="T20" s="6"/>
      <c r="U20" s="6"/>
      <c r="V20" s="6"/>
      <c r="W20" s="6"/>
      <c r="X20" s="6"/>
      <c r="Y20" s="6"/>
      <c r="Z20" s="6"/>
    </row>
    <row r="21">
      <c r="A21" s="12" t="s">
        <v>74</v>
      </c>
      <c r="B21" s="15">
        <v>2.0</v>
      </c>
      <c r="C21" s="15">
        <v>17.0</v>
      </c>
      <c r="D21" s="19" t="s">
        <v>29</v>
      </c>
      <c r="E21" s="6"/>
      <c r="F21" s="6"/>
      <c r="G21" s="6"/>
      <c r="H21" s="6"/>
      <c r="I21" s="6"/>
      <c r="J21" s="6"/>
      <c r="K21" s="6"/>
      <c r="L21" s="6"/>
      <c r="M21" s="6"/>
      <c r="N21" s="6"/>
      <c r="O21" s="6"/>
      <c r="P21" s="6"/>
      <c r="Q21" s="6"/>
      <c r="R21" s="6"/>
      <c r="S21" s="6"/>
      <c r="T21" s="6"/>
      <c r="U21" s="6"/>
      <c r="V21" s="6"/>
      <c r="W21" s="6"/>
      <c r="X21" s="6"/>
      <c r="Y21" s="6"/>
      <c r="Z21" s="6"/>
    </row>
    <row r="22">
      <c r="A22" s="12" t="s">
        <v>50</v>
      </c>
      <c r="B22" s="15">
        <v>1.0</v>
      </c>
      <c r="C22" s="15">
        <v>7.0</v>
      </c>
      <c r="D22" s="19" t="s">
        <v>23</v>
      </c>
      <c r="E22" s="6"/>
      <c r="G22" s="6"/>
      <c r="H22" s="6"/>
      <c r="I22" s="6"/>
      <c r="J22" s="6"/>
      <c r="K22" s="6"/>
      <c r="L22" s="6"/>
      <c r="M22" s="6"/>
      <c r="N22" s="6"/>
      <c r="O22" s="6"/>
      <c r="P22" s="6"/>
      <c r="Q22" s="6"/>
      <c r="R22" s="6"/>
      <c r="S22" s="6"/>
      <c r="T22" s="6"/>
      <c r="U22" s="6"/>
      <c r="V22" s="6"/>
      <c r="W22" s="6"/>
      <c r="X22" s="6"/>
      <c r="Y22" s="6"/>
      <c r="Z22" s="6"/>
    </row>
    <row r="23">
      <c r="A23" s="12" t="s">
        <v>70</v>
      </c>
      <c r="B23" s="15">
        <v>5.0</v>
      </c>
      <c r="C23" s="15">
        <v>46.0</v>
      </c>
      <c r="D23" s="19" t="s">
        <v>23</v>
      </c>
      <c r="E23" s="6"/>
      <c r="F23" s="6"/>
      <c r="G23" s="6"/>
      <c r="H23" s="6"/>
      <c r="I23" s="6"/>
      <c r="J23" s="6"/>
      <c r="K23" s="6"/>
      <c r="L23" s="6"/>
      <c r="M23" s="6"/>
      <c r="N23" s="6"/>
      <c r="O23" s="6"/>
      <c r="P23" s="6"/>
      <c r="Q23" s="6"/>
      <c r="R23" s="6"/>
      <c r="S23" s="6"/>
      <c r="T23" s="6"/>
      <c r="U23" s="6"/>
      <c r="V23" s="6"/>
      <c r="W23" s="6"/>
      <c r="X23" s="6"/>
      <c r="Y23" s="6"/>
      <c r="Z23" s="6"/>
    </row>
    <row r="24">
      <c r="A24" s="12" t="s">
        <v>59</v>
      </c>
      <c r="B24" s="15">
        <v>1.0</v>
      </c>
      <c r="C24" s="15">
        <v>5.0</v>
      </c>
      <c r="D24" s="19" t="s">
        <v>52</v>
      </c>
      <c r="E24" s="6"/>
      <c r="F24" s="6"/>
      <c r="G24" s="6"/>
      <c r="H24" s="6"/>
      <c r="I24" s="6"/>
      <c r="J24" s="6"/>
      <c r="K24" s="6"/>
      <c r="L24" s="6"/>
      <c r="M24" s="6"/>
      <c r="N24" s="6"/>
      <c r="O24" s="6"/>
      <c r="P24" s="6"/>
      <c r="Q24" s="6"/>
      <c r="R24" s="6"/>
      <c r="S24" s="6"/>
      <c r="T24" s="6"/>
      <c r="U24" s="6"/>
      <c r="V24" s="6"/>
      <c r="W24" s="6"/>
      <c r="X24" s="6"/>
      <c r="Y24" s="6"/>
      <c r="Z24" s="6"/>
    </row>
    <row r="25">
      <c r="A25" s="12" t="s">
        <v>78</v>
      </c>
      <c r="B25" s="15">
        <v>3.0</v>
      </c>
      <c r="C25" s="15">
        <v>24.0</v>
      </c>
      <c r="D25" s="19" t="s">
        <v>52</v>
      </c>
      <c r="E25" s="6"/>
      <c r="F25" s="6"/>
      <c r="G25" s="6"/>
      <c r="H25" s="6"/>
      <c r="I25" s="6"/>
      <c r="J25" s="6"/>
      <c r="K25" s="6"/>
      <c r="L25" s="6"/>
      <c r="M25" s="6"/>
      <c r="N25" s="6"/>
      <c r="O25" s="6"/>
      <c r="P25" s="6"/>
      <c r="Q25" s="6"/>
      <c r="R25" s="6"/>
      <c r="S25" s="6"/>
      <c r="T25" s="6"/>
      <c r="U25" s="6"/>
      <c r="V25" s="6"/>
      <c r="W25" s="6"/>
      <c r="X25" s="6"/>
      <c r="Y25" s="6"/>
      <c r="Z25" s="6"/>
    </row>
    <row r="26">
      <c r="A26" s="12" t="s">
        <v>75</v>
      </c>
      <c r="B26" s="15">
        <v>4.0</v>
      </c>
      <c r="C26" s="15">
        <v>30.0</v>
      </c>
      <c r="D26" s="19" t="s">
        <v>29</v>
      </c>
      <c r="E26" s="6"/>
      <c r="F26" s="6"/>
      <c r="G26" s="6"/>
      <c r="H26" s="6"/>
      <c r="I26" s="6"/>
      <c r="J26" s="6"/>
      <c r="K26" s="6"/>
      <c r="L26" s="6"/>
      <c r="M26" s="6"/>
      <c r="N26" s="6"/>
      <c r="O26" s="6"/>
      <c r="P26" s="6"/>
      <c r="Q26" s="6"/>
      <c r="R26" s="6"/>
      <c r="S26" s="6"/>
      <c r="T26" s="6"/>
      <c r="U26" s="6"/>
      <c r="V26" s="6"/>
      <c r="W26" s="6"/>
      <c r="X26" s="6"/>
      <c r="Y26" s="6"/>
      <c r="Z26" s="6"/>
    </row>
    <row r="27">
      <c r="A27" s="12" t="s">
        <v>53</v>
      </c>
      <c r="B27" s="15">
        <v>1.0</v>
      </c>
      <c r="C27" s="15">
        <v>8.0</v>
      </c>
      <c r="D27" s="19" t="s">
        <v>23</v>
      </c>
      <c r="E27" s="6"/>
      <c r="F27" s="6"/>
      <c r="G27" s="6"/>
      <c r="H27" s="6"/>
      <c r="I27" s="6"/>
      <c r="J27" s="6"/>
      <c r="K27" s="6"/>
      <c r="L27" s="6"/>
      <c r="M27" s="6"/>
      <c r="N27" s="6"/>
      <c r="O27" s="6"/>
      <c r="P27" s="6"/>
      <c r="Q27" s="6"/>
      <c r="R27" s="6"/>
      <c r="S27" s="6"/>
      <c r="T27" s="6"/>
      <c r="U27" s="6"/>
      <c r="V27" s="6"/>
      <c r="W27" s="6"/>
      <c r="X27" s="6"/>
      <c r="Y27" s="6"/>
      <c r="Z27" s="6"/>
    </row>
    <row r="28">
      <c r="A28" s="12" t="s">
        <v>57</v>
      </c>
      <c r="B28" s="15">
        <v>3.0</v>
      </c>
      <c r="C28" s="15">
        <v>19.0</v>
      </c>
      <c r="D28" s="19" t="s">
        <v>29</v>
      </c>
      <c r="E28" s="6"/>
      <c r="F28" s="6"/>
      <c r="G28" s="6"/>
      <c r="H28" s="6"/>
      <c r="I28" s="6"/>
      <c r="J28" s="6"/>
      <c r="K28" s="6"/>
      <c r="L28" s="6"/>
      <c r="M28" s="6"/>
      <c r="N28" s="6"/>
      <c r="O28" s="6"/>
      <c r="P28" s="6"/>
      <c r="Q28" s="6"/>
      <c r="R28" s="6"/>
      <c r="S28" s="6"/>
      <c r="T28" s="6"/>
      <c r="U28" s="6"/>
      <c r="V28" s="6"/>
      <c r="W28" s="6"/>
      <c r="X28" s="6"/>
      <c r="Y28" s="6"/>
      <c r="Z28" s="6"/>
    </row>
    <row r="29">
      <c r="A29" s="27" t="s">
        <v>82</v>
      </c>
      <c r="B29" s="29">
        <v>2.0</v>
      </c>
      <c r="C29" s="29">
        <v>13.0</v>
      </c>
      <c r="D29" s="65"/>
      <c r="E29" s="6"/>
      <c r="F29" s="6"/>
      <c r="G29" s="6"/>
      <c r="H29" s="6"/>
      <c r="I29" s="6"/>
      <c r="J29" s="6"/>
      <c r="K29" s="6"/>
      <c r="L29" s="6"/>
      <c r="M29" s="6"/>
      <c r="N29" s="6"/>
      <c r="O29" s="6"/>
      <c r="P29" s="6"/>
      <c r="Q29" s="6"/>
      <c r="R29" s="6"/>
      <c r="S29" s="6"/>
      <c r="T29" s="6"/>
      <c r="U29" s="6"/>
      <c r="V29" s="6"/>
      <c r="W29" s="6"/>
      <c r="X29" s="6"/>
      <c r="Y29" s="6"/>
      <c r="Z29" s="6"/>
    </row>
    <row r="30">
      <c r="A30" s="12" t="s">
        <v>85</v>
      </c>
      <c r="B30" s="15">
        <v>3.0</v>
      </c>
      <c r="C30" s="15">
        <v>24.0</v>
      </c>
      <c r="D30" s="19" t="s">
        <v>23</v>
      </c>
      <c r="E30" s="6"/>
      <c r="F30" s="6"/>
      <c r="G30" s="6"/>
      <c r="H30" s="6"/>
      <c r="I30" s="6"/>
      <c r="J30" s="6"/>
      <c r="K30" s="6"/>
      <c r="L30" s="6"/>
      <c r="M30" s="6"/>
      <c r="N30" s="6"/>
      <c r="O30" s="6"/>
      <c r="P30" s="6"/>
      <c r="Q30" s="6"/>
      <c r="R30" s="6"/>
      <c r="S30" s="6"/>
      <c r="T30" s="6"/>
      <c r="U30" s="6"/>
      <c r="V30" s="6"/>
      <c r="W30" s="6"/>
      <c r="X30" s="6"/>
      <c r="Y30" s="6"/>
      <c r="Z30" s="6"/>
    </row>
    <row r="31">
      <c r="A31" s="27" t="s">
        <v>88</v>
      </c>
      <c r="B31" s="29">
        <v>3.0</v>
      </c>
      <c r="C31" s="29">
        <v>25.0</v>
      </c>
      <c r="D31" s="30" t="s">
        <v>29</v>
      </c>
      <c r="E31" s="6"/>
      <c r="F31" s="6"/>
      <c r="G31" s="6"/>
      <c r="H31" s="6"/>
      <c r="I31" s="6"/>
      <c r="J31" s="6"/>
      <c r="K31" s="6"/>
      <c r="L31" s="6"/>
      <c r="M31" s="6"/>
      <c r="N31" s="6"/>
      <c r="O31" s="6"/>
      <c r="P31" s="6"/>
      <c r="Q31" s="6"/>
      <c r="R31" s="6"/>
      <c r="S31" s="6"/>
      <c r="T31" s="6"/>
      <c r="U31" s="6"/>
      <c r="V31" s="6"/>
      <c r="W31" s="6"/>
      <c r="X31" s="6"/>
      <c r="Y31" s="6"/>
      <c r="Z31" s="6"/>
    </row>
    <row r="32">
      <c r="A32" s="27" t="s">
        <v>91</v>
      </c>
      <c r="B32" s="29">
        <v>3.0</v>
      </c>
      <c r="C32" s="29">
        <v>25.0</v>
      </c>
      <c r="D32" s="30" t="s">
        <v>23</v>
      </c>
      <c r="E32" s="6"/>
      <c r="F32" s="6"/>
      <c r="G32" s="6"/>
      <c r="H32" s="6"/>
      <c r="I32" s="6"/>
      <c r="J32" s="6"/>
      <c r="K32" s="6"/>
      <c r="L32" s="6"/>
      <c r="M32" s="6"/>
      <c r="N32" s="6"/>
      <c r="O32" s="6"/>
      <c r="P32" s="6"/>
      <c r="Q32" s="6"/>
      <c r="R32" s="6"/>
      <c r="S32" s="6"/>
      <c r="T32" s="6"/>
      <c r="U32" s="6"/>
      <c r="V32" s="6"/>
      <c r="W32" s="6"/>
      <c r="X32" s="6"/>
      <c r="Y32" s="6"/>
      <c r="Z32" s="6"/>
    </row>
    <row r="33">
      <c r="A33" s="12" t="s">
        <v>93</v>
      </c>
      <c r="B33" s="15">
        <v>5.0</v>
      </c>
      <c r="C33" s="15">
        <v>47.0</v>
      </c>
      <c r="D33" s="19" t="s">
        <v>23</v>
      </c>
      <c r="E33" s="6"/>
      <c r="F33" s="6"/>
      <c r="G33" s="6"/>
      <c r="H33" s="25"/>
      <c r="I33" s="6"/>
      <c r="J33" s="6"/>
      <c r="K33" s="6"/>
      <c r="L33" s="6"/>
      <c r="M33" s="6"/>
      <c r="N33" s="6"/>
      <c r="O33" s="6"/>
      <c r="P33" s="6"/>
      <c r="Q33" s="6"/>
      <c r="R33" s="6"/>
      <c r="S33" s="6"/>
      <c r="T33" s="6"/>
      <c r="U33" s="6"/>
      <c r="V33" s="6"/>
      <c r="W33" s="6"/>
      <c r="X33" s="6"/>
      <c r="Y33" s="6"/>
      <c r="Z33" s="6"/>
    </row>
    <row r="34">
      <c r="A34" s="12" t="s">
        <v>81</v>
      </c>
      <c r="B34" s="15">
        <v>3.0</v>
      </c>
      <c r="C34" s="15">
        <v>27.0</v>
      </c>
      <c r="D34" s="19" t="s">
        <v>23</v>
      </c>
      <c r="E34" s="6"/>
      <c r="F34" s="6"/>
      <c r="G34" s="6"/>
      <c r="H34" s="6"/>
      <c r="I34" s="6"/>
      <c r="J34" s="6"/>
      <c r="K34" s="6"/>
      <c r="L34" s="6"/>
      <c r="M34" s="6"/>
      <c r="N34" s="6"/>
      <c r="O34" s="6"/>
      <c r="P34" s="6"/>
      <c r="Q34" s="6"/>
      <c r="R34" s="6"/>
      <c r="S34" s="6"/>
      <c r="T34" s="6"/>
      <c r="U34" s="6"/>
      <c r="V34" s="6"/>
      <c r="W34" s="6"/>
      <c r="X34" s="6"/>
      <c r="Y34" s="6"/>
      <c r="Z34" s="6"/>
    </row>
    <row r="35">
      <c r="A35" s="12" t="s">
        <v>96</v>
      </c>
      <c r="B35" s="15">
        <v>6.0</v>
      </c>
      <c r="C35" s="15">
        <v>55.0</v>
      </c>
      <c r="D35" s="19" t="s">
        <v>23</v>
      </c>
      <c r="E35" s="6"/>
      <c r="F35" s="6"/>
      <c r="G35" s="6"/>
      <c r="H35" s="6"/>
      <c r="I35" s="6"/>
      <c r="J35" s="6"/>
      <c r="K35" s="6"/>
      <c r="L35" s="6"/>
      <c r="M35" s="6"/>
      <c r="N35" s="6"/>
      <c r="O35" s="6"/>
      <c r="P35" s="6"/>
      <c r="Q35" s="6"/>
      <c r="R35" s="6"/>
      <c r="S35" s="6"/>
      <c r="T35" s="6"/>
      <c r="U35" s="6"/>
      <c r="V35" s="6"/>
      <c r="W35" s="6"/>
      <c r="X35" s="6"/>
      <c r="Y35" s="6"/>
      <c r="Z35" s="6"/>
    </row>
    <row r="36">
      <c r="A36" s="12" t="s">
        <v>46</v>
      </c>
      <c r="B36" s="15">
        <v>1.0</v>
      </c>
      <c r="C36" s="15">
        <v>2.0</v>
      </c>
      <c r="D36" s="37" t="s">
        <v>99</v>
      </c>
      <c r="E36" s="6"/>
      <c r="F36" s="6"/>
      <c r="G36" s="6"/>
      <c r="H36" s="6"/>
      <c r="I36" s="6"/>
      <c r="J36" s="6"/>
      <c r="K36" s="6"/>
      <c r="L36" s="6"/>
      <c r="M36" s="6"/>
      <c r="N36" s="6"/>
      <c r="O36" s="6"/>
      <c r="P36" s="6"/>
      <c r="Q36" s="6"/>
      <c r="R36" s="6"/>
      <c r="S36" s="6"/>
      <c r="T36" s="6"/>
      <c r="U36" s="6"/>
      <c r="V36" s="6"/>
      <c r="W36" s="6"/>
      <c r="X36" s="6"/>
      <c r="Y36" s="6"/>
      <c r="Z36" s="6"/>
    </row>
    <row r="37">
      <c r="A37" s="27" t="s">
        <v>69</v>
      </c>
      <c r="B37" s="29">
        <v>2.0</v>
      </c>
      <c r="C37" s="29">
        <v>15.0</v>
      </c>
      <c r="D37" s="71"/>
      <c r="E37" s="6"/>
      <c r="F37" s="6"/>
      <c r="G37" s="6"/>
      <c r="H37" s="6"/>
      <c r="I37" s="6"/>
      <c r="J37" s="6"/>
      <c r="K37" s="6"/>
      <c r="L37" s="6"/>
      <c r="M37" s="6"/>
      <c r="N37" s="6"/>
      <c r="O37" s="6"/>
      <c r="P37" s="6"/>
      <c r="Q37" s="6"/>
      <c r="R37" s="6"/>
      <c r="S37" s="6"/>
      <c r="T37" s="6"/>
      <c r="U37" s="6"/>
      <c r="V37" s="6"/>
      <c r="W37" s="6"/>
      <c r="X37" s="6"/>
      <c r="Y37" s="6"/>
      <c r="Z37" s="6"/>
    </row>
    <row r="38">
      <c r="A38" s="12" t="s">
        <v>90</v>
      </c>
      <c r="B38" s="15">
        <v>3.0</v>
      </c>
      <c r="C38" s="15">
        <v>22.0</v>
      </c>
      <c r="D38" s="19" t="s">
        <v>23</v>
      </c>
      <c r="E38" s="6"/>
      <c r="F38" s="6"/>
      <c r="G38" s="6"/>
      <c r="H38" s="6"/>
      <c r="I38" s="6"/>
      <c r="J38" s="6"/>
      <c r="K38" s="6"/>
      <c r="L38" s="6"/>
      <c r="M38" s="6"/>
      <c r="N38" s="6"/>
      <c r="O38" s="6"/>
      <c r="P38" s="6"/>
      <c r="Q38" s="6"/>
      <c r="R38" s="6"/>
      <c r="S38" s="6"/>
      <c r="T38" s="6"/>
      <c r="U38" s="6"/>
      <c r="V38" s="6"/>
      <c r="W38" s="6"/>
      <c r="X38" s="6"/>
      <c r="Y38" s="6"/>
      <c r="Z38" s="6"/>
    </row>
    <row r="39">
      <c r="A39" s="12" t="s">
        <v>87</v>
      </c>
      <c r="B39" s="15">
        <v>2.0</v>
      </c>
      <c r="C39" s="15">
        <v>14.0</v>
      </c>
      <c r="D39" s="19" t="s">
        <v>23</v>
      </c>
      <c r="E39" s="6"/>
      <c r="F39" s="6"/>
      <c r="G39" s="6"/>
      <c r="H39" s="6"/>
      <c r="I39" s="6"/>
      <c r="J39" s="6"/>
      <c r="K39" s="6"/>
      <c r="L39" s="6"/>
      <c r="M39" s="6"/>
      <c r="N39" s="6"/>
      <c r="O39" s="6"/>
      <c r="P39" s="6"/>
      <c r="Q39" s="6"/>
      <c r="R39" s="6"/>
      <c r="S39" s="6"/>
      <c r="T39" s="6"/>
      <c r="U39" s="6"/>
      <c r="V39" s="6"/>
      <c r="W39" s="6"/>
      <c r="X39" s="6"/>
      <c r="Y39" s="6"/>
      <c r="Z39" s="6"/>
    </row>
    <row r="40">
      <c r="A40" s="12" t="s">
        <v>114</v>
      </c>
      <c r="B40" s="15">
        <v>4.0</v>
      </c>
      <c r="C40" s="15">
        <v>31.0</v>
      </c>
      <c r="D40" s="19" t="s">
        <v>29</v>
      </c>
      <c r="E40" s="6"/>
      <c r="F40" s="6"/>
      <c r="G40" s="6"/>
      <c r="H40" s="6"/>
      <c r="I40" s="6"/>
      <c r="J40" s="6"/>
      <c r="K40" s="6"/>
      <c r="L40" s="6"/>
      <c r="M40" s="6"/>
      <c r="N40" s="6"/>
      <c r="O40" s="6"/>
      <c r="P40" s="6"/>
      <c r="Q40" s="6"/>
      <c r="R40" s="6"/>
      <c r="S40" s="6"/>
      <c r="T40" s="6"/>
      <c r="U40" s="6"/>
      <c r="V40" s="6"/>
      <c r="W40" s="6"/>
      <c r="X40" s="6"/>
      <c r="Y40" s="6"/>
      <c r="Z40" s="6"/>
    </row>
    <row r="41">
      <c r="A41" s="12" t="s">
        <v>116</v>
      </c>
      <c r="B41" s="15">
        <v>3.0</v>
      </c>
      <c r="C41" s="15">
        <v>20.0</v>
      </c>
      <c r="D41" s="19" t="s">
        <v>29</v>
      </c>
      <c r="E41" s="6"/>
      <c r="F41" s="6"/>
      <c r="G41" s="6"/>
      <c r="H41" s="6"/>
      <c r="I41" s="6"/>
      <c r="J41" s="6"/>
      <c r="K41" s="6"/>
      <c r="L41" s="6"/>
      <c r="M41" s="6"/>
      <c r="N41" s="6"/>
      <c r="O41" s="6"/>
      <c r="P41" s="6"/>
      <c r="Q41" s="6"/>
      <c r="R41" s="6"/>
      <c r="S41" s="6"/>
      <c r="T41" s="6"/>
      <c r="U41" s="6"/>
      <c r="V41" s="6"/>
      <c r="W41" s="6"/>
      <c r="X41" s="6"/>
      <c r="Y41" s="6"/>
      <c r="Z41" s="6"/>
    </row>
    <row r="42">
      <c r="A42" s="12" t="s">
        <v>120</v>
      </c>
      <c r="B42" s="15">
        <v>3.0</v>
      </c>
      <c r="C42" s="15">
        <v>22.0</v>
      </c>
      <c r="D42" s="19" t="s">
        <v>29</v>
      </c>
      <c r="E42" s="6"/>
      <c r="F42" s="6"/>
      <c r="G42" s="6"/>
      <c r="H42" s="6"/>
      <c r="I42" s="6"/>
      <c r="J42" s="6"/>
      <c r="K42" s="6"/>
      <c r="L42" s="6"/>
      <c r="M42" s="6"/>
      <c r="N42" s="6"/>
      <c r="O42" s="6"/>
      <c r="P42" s="6"/>
      <c r="Q42" s="6"/>
      <c r="R42" s="6"/>
      <c r="S42" s="6"/>
      <c r="T42" s="6"/>
      <c r="U42" s="6"/>
      <c r="V42" s="6"/>
      <c r="W42" s="6"/>
      <c r="X42" s="6"/>
      <c r="Y42" s="6"/>
      <c r="Z42" s="6"/>
    </row>
    <row r="43">
      <c r="A43" s="12" t="s">
        <v>126</v>
      </c>
      <c r="B43" s="15">
        <v>2.0</v>
      </c>
      <c r="C43" s="15">
        <v>12.0</v>
      </c>
      <c r="D43" s="19" t="s">
        <v>29</v>
      </c>
      <c r="E43" s="6"/>
      <c r="F43" s="6"/>
      <c r="G43" s="6"/>
      <c r="H43" s="6"/>
      <c r="I43" s="6"/>
      <c r="J43" s="6"/>
      <c r="K43" s="6"/>
      <c r="L43" s="6"/>
      <c r="M43" s="6"/>
      <c r="N43" s="6"/>
      <c r="O43" s="6"/>
      <c r="P43" s="6"/>
      <c r="Q43" s="6"/>
      <c r="R43" s="6"/>
      <c r="S43" s="6"/>
      <c r="T43" s="6"/>
      <c r="U43" s="6"/>
      <c r="V43" s="6"/>
      <c r="W43" s="6"/>
      <c r="X43" s="6"/>
      <c r="Y43" s="6"/>
      <c r="Z43" s="6"/>
    </row>
    <row r="44">
      <c r="A44" s="12" t="s">
        <v>127</v>
      </c>
      <c r="B44" s="15">
        <v>4.0</v>
      </c>
      <c r="C44" s="15">
        <v>29.0</v>
      </c>
      <c r="D44" s="19" t="s">
        <v>29</v>
      </c>
      <c r="E44" s="6"/>
      <c r="F44" s="6"/>
      <c r="G44" s="6"/>
      <c r="H44" s="6"/>
      <c r="I44" s="6"/>
      <c r="J44" s="6"/>
      <c r="K44" s="6"/>
      <c r="L44" s="6"/>
      <c r="M44" s="6"/>
      <c r="N44" s="6"/>
      <c r="O44" s="6"/>
      <c r="P44" s="6"/>
      <c r="Q44" s="6"/>
      <c r="R44" s="6"/>
      <c r="S44" s="6"/>
      <c r="T44" s="6"/>
      <c r="U44" s="6"/>
      <c r="V44" s="6"/>
      <c r="W44" s="6"/>
      <c r="X44" s="6"/>
      <c r="Y44" s="6"/>
      <c r="Z44" s="6"/>
    </row>
    <row r="45">
      <c r="A45" s="12" t="s">
        <v>84</v>
      </c>
      <c r="B45" s="15">
        <v>2.0</v>
      </c>
      <c r="C45" s="15">
        <v>10.0</v>
      </c>
      <c r="D45" s="19" t="s">
        <v>29</v>
      </c>
      <c r="E45" s="6"/>
      <c r="F45" s="6"/>
      <c r="G45" s="6"/>
      <c r="H45" s="6"/>
      <c r="I45" s="6"/>
      <c r="J45" s="6"/>
      <c r="K45" s="6"/>
      <c r="L45" s="6"/>
      <c r="M45" s="6"/>
      <c r="N45" s="6"/>
      <c r="O45" s="6"/>
      <c r="P45" s="6"/>
      <c r="Q45" s="6"/>
      <c r="R45" s="6"/>
      <c r="S45" s="6"/>
      <c r="T45" s="6"/>
      <c r="U45" s="6"/>
      <c r="V45" s="6"/>
      <c r="W45" s="6"/>
      <c r="X45" s="6"/>
      <c r="Y45" s="6"/>
      <c r="Z45" s="6"/>
    </row>
    <row r="46">
      <c r="A46" s="12" t="s">
        <v>89</v>
      </c>
      <c r="B46" s="15">
        <v>2.0</v>
      </c>
      <c r="C46" s="15">
        <v>14.0</v>
      </c>
      <c r="D46" s="19" t="s">
        <v>16</v>
      </c>
      <c r="E46" s="6"/>
      <c r="F46" s="6"/>
      <c r="G46" s="6"/>
      <c r="H46" s="6"/>
      <c r="I46" s="6"/>
      <c r="J46" s="6"/>
      <c r="K46" s="6"/>
      <c r="L46" s="6"/>
      <c r="M46" s="6"/>
      <c r="N46" s="6"/>
      <c r="O46" s="6"/>
      <c r="P46" s="6"/>
      <c r="Q46" s="6"/>
      <c r="R46" s="6"/>
      <c r="S46" s="6"/>
      <c r="T46" s="6"/>
      <c r="U46" s="6"/>
      <c r="V46" s="6"/>
      <c r="W46" s="6"/>
      <c r="X46" s="6"/>
      <c r="Y46" s="6"/>
      <c r="Z46" s="6"/>
    </row>
    <row r="47">
      <c r="A47" s="12" t="s">
        <v>133</v>
      </c>
      <c r="B47" s="15">
        <v>6.0</v>
      </c>
      <c r="C47" s="15">
        <v>57.0</v>
      </c>
      <c r="D47" s="19" t="s">
        <v>16</v>
      </c>
      <c r="E47" s="6"/>
      <c r="F47" s="6"/>
      <c r="G47" s="6"/>
      <c r="H47" s="6"/>
      <c r="I47" s="6"/>
      <c r="J47" s="6"/>
      <c r="K47" s="6"/>
      <c r="L47" s="6"/>
      <c r="M47" s="6"/>
      <c r="N47" s="6"/>
      <c r="O47" s="6"/>
      <c r="P47" s="6"/>
      <c r="Q47" s="6"/>
      <c r="R47" s="6"/>
      <c r="S47" s="6"/>
      <c r="T47" s="6"/>
      <c r="U47" s="6"/>
      <c r="V47" s="6"/>
      <c r="W47" s="6"/>
      <c r="X47" s="6"/>
      <c r="Y47" s="6"/>
      <c r="Z47" s="6"/>
    </row>
    <row r="48">
      <c r="A48" s="12" t="s">
        <v>135</v>
      </c>
      <c r="B48" s="15">
        <v>4.0</v>
      </c>
      <c r="C48" s="15">
        <v>29.0</v>
      </c>
      <c r="D48" s="19" t="s">
        <v>23</v>
      </c>
      <c r="E48" s="6"/>
      <c r="F48" s="6"/>
      <c r="G48" s="6"/>
      <c r="H48" s="6"/>
      <c r="I48" s="6"/>
      <c r="J48" s="6"/>
      <c r="K48" s="6"/>
      <c r="L48" s="6"/>
      <c r="M48" s="6"/>
      <c r="N48" s="6"/>
      <c r="O48" s="6"/>
      <c r="P48" s="6"/>
      <c r="Q48" s="6"/>
      <c r="R48" s="6"/>
      <c r="S48" s="6"/>
      <c r="T48" s="6"/>
      <c r="U48" s="6"/>
      <c r="V48" s="6"/>
      <c r="W48" s="6"/>
      <c r="X48" s="6"/>
      <c r="Y48" s="6"/>
      <c r="Z48" s="6"/>
    </row>
    <row r="49">
      <c r="A49" s="12" t="s">
        <v>138</v>
      </c>
      <c r="B49" s="15">
        <v>6.0</v>
      </c>
      <c r="C49" s="15">
        <v>50.0</v>
      </c>
      <c r="D49" s="19" t="s">
        <v>29</v>
      </c>
      <c r="E49" s="25" t="s">
        <v>140</v>
      </c>
      <c r="F49" s="6"/>
      <c r="G49" s="6"/>
      <c r="H49" s="6"/>
      <c r="I49" s="6"/>
      <c r="J49" s="6"/>
      <c r="K49" s="6"/>
      <c r="L49" s="6"/>
      <c r="M49" s="6"/>
      <c r="N49" s="6"/>
      <c r="O49" s="6"/>
      <c r="P49" s="6"/>
      <c r="Q49" s="6"/>
      <c r="R49" s="6"/>
      <c r="S49" s="6"/>
      <c r="T49" s="6"/>
      <c r="U49" s="6"/>
      <c r="V49" s="6"/>
      <c r="W49" s="6"/>
      <c r="X49" s="6"/>
      <c r="Y49" s="6"/>
      <c r="Z49" s="6"/>
    </row>
    <row r="50">
      <c r="A50" s="27" t="s">
        <v>141</v>
      </c>
      <c r="B50" s="29">
        <v>4.0</v>
      </c>
      <c r="C50" s="29">
        <v>36.0</v>
      </c>
      <c r="D50" s="65"/>
      <c r="E50" s="6"/>
      <c r="F50" s="6"/>
      <c r="G50" s="6"/>
      <c r="H50" s="6"/>
      <c r="I50" s="6"/>
      <c r="J50" s="6"/>
      <c r="K50" s="6"/>
      <c r="L50" s="6"/>
      <c r="M50" s="6"/>
      <c r="N50" s="6"/>
      <c r="O50" s="6"/>
      <c r="P50" s="6"/>
      <c r="Q50" s="6"/>
      <c r="R50" s="6"/>
      <c r="S50" s="6"/>
      <c r="T50" s="6"/>
      <c r="U50" s="6"/>
      <c r="V50" s="6"/>
      <c r="W50" s="6"/>
      <c r="X50" s="6"/>
      <c r="Y50" s="6"/>
      <c r="Z50" s="6"/>
    </row>
    <row r="51">
      <c r="A51" s="27" t="s">
        <v>145</v>
      </c>
      <c r="B51" s="29">
        <v>6.0</v>
      </c>
      <c r="C51" s="29">
        <v>57.0</v>
      </c>
      <c r="D51" s="65"/>
      <c r="E51" s="6"/>
      <c r="F51" s="6"/>
      <c r="G51" s="6"/>
      <c r="H51" s="6"/>
      <c r="I51" s="6"/>
      <c r="J51" s="6"/>
      <c r="K51" s="6"/>
      <c r="L51" s="6"/>
      <c r="M51" s="6"/>
      <c r="N51" s="6"/>
      <c r="O51" s="6"/>
      <c r="P51" s="6"/>
      <c r="Q51" s="6"/>
      <c r="R51" s="6"/>
      <c r="S51" s="6"/>
      <c r="T51" s="6"/>
      <c r="U51" s="6"/>
      <c r="V51" s="6"/>
      <c r="W51" s="6"/>
      <c r="X51" s="6"/>
      <c r="Y51" s="6"/>
      <c r="Z51" s="6"/>
    </row>
    <row r="52">
      <c r="A52" s="12" t="s">
        <v>147</v>
      </c>
      <c r="B52" s="15">
        <v>3.0</v>
      </c>
      <c r="C52" s="15">
        <v>20.0</v>
      </c>
      <c r="D52" s="19" t="s">
        <v>29</v>
      </c>
      <c r="E52" s="6"/>
      <c r="F52" s="6"/>
      <c r="G52" s="6"/>
      <c r="H52" s="6"/>
      <c r="I52" s="6"/>
      <c r="J52" s="6"/>
      <c r="K52" s="6"/>
      <c r="L52" s="6"/>
      <c r="M52" s="6"/>
      <c r="N52" s="6"/>
      <c r="O52" s="6"/>
      <c r="P52" s="6"/>
      <c r="Q52" s="6"/>
      <c r="R52" s="6"/>
      <c r="S52" s="6"/>
      <c r="T52" s="6"/>
      <c r="U52" s="6"/>
      <c r="V52" s="6"/>
      <c r="W52" s="6"/>
      <c r="X52" s="6"/>
      <c r="Y52" s="6"/>
      <c r="Z52" s="6"/>
    </row>
    <row r="53">
      <c r="A53" s="12" t="s">
        <v>151</v>
      </c>
      <c r="B53" s="15">
        <v>5.0</v>
      </c>
      <c r="C53" s="15">
        <v>39.0</v>
      </c>
      <c r="D53" s="19" t="s">
        <v>29</v>
      </c>
      <c r="E53" s="6"/>
      <c r="F53" s="6"/>
      <c r="G53" s="6"/>
      <c r="H53" s="6"/>
      <c r="I53" s="6"/>
      <c r="J53" s="6"/>
      <c r="K53" s="6"/>
      <c r="L53" s="6"/>
      <c r="M53" s="6"/>
      <c r="N53" s="6"/>
      <c r="O53" s="6"/>
      <c r="P53" s="6"/>
      <c r="Q53" s="6"/>
      <c r="R53" s="6"/>
      <c r="S53" s="6"/>
      <c r="T53" s="6"/>
      <c r="U53" s="6"/>
      <c r="V53" s="6"/>
      <c r="W53" s="6"/>
      <c r="X53" s="6"/>
      <c r="Y53" s="6"/>
      <c r="Z53" s="6"/>
    </row>
    <row r="54">
      <c r="A54" s="12" t="s">
        <v>153</v>
      </c>
      <c r="B54" s="15">
        <v>6.0</v>
      </c>
      <c r="C54" s="15">
        <v>56.0</v>
      </c>
      <c r="D54" s="19" t="s">
        <v>29</v>
      </c>
      <c r="E54" s="6"/>
      <c r="F54" s="6"/>
      <c r="G54" s="6"/>
      <c r="H54" s="6"/>
      <c r="I54" s="6"/>
      <c r="J54" s="6"/>
      <c r="K54" s="6"/>
      <c r="L54" s="6"/>
      <c r="M54" s="6"/>
      <c r="N54" s="6"/>
      <c r="O54" s="6"/>
      <c r="P54" s="6"/>
      <c r="Q54" s="6"/>
      <c r="R54" s="6"/>
      <c r="S54" s="6"/>
      <c r="T54" s="6"/>
      <c r="U54" s="6"/>
      <c r="V54" s="6"/>
      <c r="W54" s="6"/>
      <c r="X54" s="6"/>
      <c r="Y54" s="6"/>
      <c r="Z54" s="6"/>
    </row>
    <row r="55">
      <c r="A55" s="12" t="s">
        <v>122</v>
      </c>
      <c r="B55" s="15">
        <v>7.0</v>
      </c>
      <c r="C55" s="15">
        <v>60.0</v>
      </c>
      <c r="D55" s="19" t="s">
        <v>52</v>
      </c>
      <c r="E55" s="6"/>
      <c r="F55" s="6"/>
      <c r="G55" s="6"/>
      <c r="H55" s="6"/>
      <c r="I55" s="6"/>
      <c r="J55" s="6"/>
      <c r="K55" s="6"/>
      <c r="L55" s="6"/>
      <c r="M55" s="6"/>
      <c r="N55" s="6"/>
      <c r="O55" s="6"/>
      <c r="P55" s="6"/>
      <c r="Q55" s="6"/>
      <c r="R55" s="6"/>
      <c r="S55" s="6"/>
      <c r="T55" s="6"/>
      <c r="U55" s="6"/>
      <c r="V55" s="6"/>
      <c r="W55" s="6"/>
      <c r="X55" s="6"/>
      <c r="Y55" s="6"/>
      <c r="Z55" s="6"/>
    </row>
    <row r="56">
      <c r="A56" s="12" t="s">
        <v>157</v>
      </c>
      <c r="B56" s="15">
        <v>5.0</v>
      </c>
      <c r="C56" s="15">
        <v>41.0</v>
      </c>
      <c r="D56" s="19" t="s">
        <v>52</v>
      </c>
      <c r="E56" s="6"/>
      <c r="F56" s="6"/>
      <c r="G56" s="6"/>
      <c r="H56" s="6"/>
      <c r="I56" s="6"/>
      <c r="J56" s="6"/>
      <c r="K56" s="6"/>
      <c r="L56" s="6"/>
      <c r="M56" s="6"/>
      <c r="N56" s="6"/>
      <c r="O56" s="6"/>
      <c r="P56" s="6"/>
      <c r="Q56" s="6"/>
      <c r="R56" s="6"/>
      <c r="S56" s="6"/>
      <c r="T56" s="6"/>
      <c r="U56" s="6"/>
      <c r="V56" s="6"/>
      <c r="W56" s="6"/>
      <c r="X56" s="6"/>
      <c r="Y56" s="6"/>
      <c r="Z56" s="6"/>
    </row>
    <row r="57">
      <c r="A57" s="12" t="s">
        <v>117</v>
      </c>
      <c r="B57" s="15">
        <v>4.0</v>
      </c>
      <c r="C57" s="15">
        <v>33.0</v>
      </c>
      <c r="D57" s="19" t="s">
        <v>29</v>
      </c>
      <c r="E57" s="6"/>
      <c r="F57" s="6"/>
      <c r="G57" s="6"/>
      <c r="H57" s="6"/>
      <c r="I57" s="6"/>
      <c r="J57" s="6"/>
      <c r="K57" s="6"/>
      <c r="L57" s="6"/>
      <c r="M57" s="6"/>
      <c r="N57" s="6"/>
      <c r="O57" s="6"/>
      <c r="P57" s="6"/>
      <c r="Q57" s="6"/>
      <c r="R57" s="6"/>
      <c r="S57" s="6"/>
      <c r="T57" s="6"/>
      <c r="U57" s="6"/>
      <c r="V57" s="6"/>
      <c r="W57" s="6"/>
      <c r="X57" s="6"/>
      <c r="Y57" s="6"/>
      <c r="Z57" s="6"/>
    </row>
    <row r="58">
      <c r="A58" s="12" t="s">
        <v>162</v>
      </c>
      <c r="B58" s="15">
        <v>5.0</v>
      </c>
      <c r="C58" s="15">
        <v>40.0</v>
      </c>
      <c r="D58" s="19" t="s">
        <v>23</v>
      </c>
      <c r="E58" s="6"/>
      <c r="F58" s="6"/>
      <c r="G58" s="6"/>
      <c r="H58" s="6"/>
      <c r="I58" s="6"/>
      <c r="J58" s="6"/>
      <c r="K58" s="6"/>
      <c r="L58" s="6"/>
      <c r="M58" s="6"/>
      <c r="N58" s="6"/>
      <c r="O58" s="6"/>
      <c r="P58" s="6"/>
      <c r="Q58" s="6"/>
      <c r="R58" s="6"/>
      <c r="S58" s="6"/>
      <c r="T58" s="6"/>
      <c r="U58" s="6"/>
      <c r="V58" s="6"/>
      <c r="W58" s="6"/>
      <c r="X58" s="6"/>
      <c r="Y58" s="6"/>
      <c r="Z58" s="6"/>
    </row>
    <row r="59">
      <c r="A59" s="12" t="s">
        <v>164</v>
      </c>
      <c r="B59" s="15">
        <v>6.0</v>
      </c>
      <c r="C59" s="15">
        <v>56.0</v>
      </c>
      <c r="D59" s="19" t="s">
        <v>23</v>
      </c>
      <c r="E59" s="6"/>
      <c r="F59" s="6"/>
      <c r="G59" s="6"/>
      <c r="H59" s="6"/>
      <c r="I59" s="6"/>
      <c r="J59" s="6"/>
      <c r="K59" s="6"/>
      <c r="L59" s="6"/>
      <c r="M59" s="6"/>
      <c r="N59" s="6"/>
      <c r="O59" s="6"/>
      <c r="P59" s="6"/>
      <c r="Q59" s="6"/>
      <c r="R59" s="6"/>
      <c r="S59" s="6"/>
      <c r="T59" s="6"/>
      <c r="U59" s="6"/>
      <c r="V59" s="6"/>
      <c r="W59" s="6"/>
      <c r="X59" s="6"/>
      <c r="Y59" s="6"/>
      <c r="Z59" s="6"/>
    </row>
    <row r="60">
      <c r="A60" s="12" t="s">
        <v>168</v>
      </c>
      <c r="B60" s="15">
        <v>8.0</v>
      </c>
      <c r="C60" s="15">
        <v>72.0</v>
      </c>
      <c r="D60" s="19" t="s">
        <v>16</v>
      </c>
      <c r="E60" s="6"/>
      <c r="F60" s="6"/>
      <c r="G60" s="6"/>
      <c r="H60" s="6"/>
      <c r="I60" s="6"/>
      <c r="J60" s="6"/>
      <c r="K60" s="6"/>
      <c r="L60" s="6"/>
      <c r="M60" s="6"/>
      <c r="N60" s="6"/>
      <c r="O60" s="6"/>
      <c r="P60" s="6"/>
      <c r="Q60" s="6"/>
      <c r="R60" s="6"/>
      <c r="S60" s="6"/>
      <c r="T60" s="6"/>
      <c r="U60" s="6"/>
      <c r="V60" s="6"/>
      <c r="W60" s="6"/>
      <c r="X60" s="6"/>
      <c r="Y60" s="6"/>
      <c r="Z60" s="6"/>
    </row>
    <row r="61">
      <c r="A61" s="27" t="s">
        <v>169</v>
      </c>
      <c r="B61" s="29">
        <v>4.0</v>
      </c>
      <c r="C61" s="29">
        <v>34.0</v>
      </c>
      <c r="D61" s="65"/>
      <c r="E61" s="6"/>
      <c r="F61" s="6"/>
      <c r="G61" s="6"/>
      <c r="H61" s="6"/>
      <c r="I61" s="6"/>
      <c r="J61" s="6"/>
      <c r="K61" s="6"/>
      <c r="L61" s="6"/>
      <c r="M61" s="6"/>
      <c r="N61" s="6"/>
      <c r="O61" s="6"/>
      <c r="P61" s="6"/>
      <c r="Q61" s="6"/>
      <c r="R61" s="6"/>
      <c r="S61" s="6"/>
      <c r="T61" s="6"/>
      <c r="U61" s="6"/>
      <c r="V61" s="6"/>
      <c r="W61" s="6"/>
      <c r="X61" s="6"/>
      <c r="Y61" s="6"/>
      <c r="Z61" s="6"/>
    </row>
    <row r="62">
      <c r="A62" s="12" t="s">
        <v>148</v>
      </c>
      <c r="B62" s="15">
        <v>7.0</v>
      </c>
      <c r="C62" s="15">
        <v>60.0</v>
      </c>
      <c r="D62" s="19" t="s">
        <v>23</v>
      </c>
      <c r="E62" s="6"/>
      <c r="F62" s="6"/>
      <c r="G62" s="6"/>
      <c r="H62" s="6"/>
      <c r="I62" s="6"/>
      <c r="J62" s="6"/>
      <c r="K62" s="6"/>
      <c r="L62" s="6"/>
      <c r="M62" s="6"/>
      <c r="N62" s="6"/>
      <c r="O62" s="6"/>
      <c r="P62" s="6"/>
      <c r="Q62" s="6"/>
      <c r="R62" s="6"/>
      <c r="S62" s="6"/>
      <c r="T62" s="6"/>
      <c r="U62" s="6"/>
      <c r="V62" s="6"/>
      <c r="W62" s="6"/>
      <c r="X62" s="6"/>
      <c r="Y62" s="6"/>
      <c r="Z62" s="6"/>
    </row>
    <row r="63">
      <c r="A63" s="12" t="s">
        <v>152</v>
      </c>
      <c r="B63" s="15">
        <v>6.0</v>
      </c>
      <c r="C63" s="15">
        <v>55.0</v>
      </c>
      <c r="D63" s="19" t="s">
        <v>23</v>
      </c>
      <c r="E63" s="6"/>
      <c r="F63" s="6"/>
      <c r="G63" s="6"/>
      <c r="H63" s="6"/>
      <c r="I63" s="6"/>
      <c r="J63" s="6"/>
      <c r="K63" s="6"/>
      <c r="L63" s="6"/>
      <c r="M63" s="6"/>
      <c r="N63" s="6"/>
      <c r="O63" s="6"/>
      <c r="P63" s="6"/>
      <c r="Q63" s="6"/>
      <c r="R63" s="6"/>
      <c r="S63" s="6"/>
      <c r="T63" s="6"/>
      <c r="U63" s="6"/>
      <c r="V63" s="6"/>
      <c r="W63" s="6"/>
      <c r="X63" s="6"/>
      <c r="Y63" s="6"/>
      <c r="Z63" s="6"/>
    </row>
    <row r="64">
      <c r="A64" s="12" t="s">
        <v>176</v>
      </c>
      <c r="B64" s="15">
        <v>6.0</v>
      </c>
      <c r="C64" s="15">
        <v>51.0</v>
      </c>
      <c r="D64" s="19" t="s">
        <v>52</v>
      </c>
      <c r="E64" s="6"/>
      <c r="F64" s="6"/>
      <c r="G64" s="6"/>
      <c r="H64" s="6"/>
      <c r="I64" s="6"/>
      <c r="J64" s="6"/>
      <c r="K64" s="6"/>
      <c r="L64" s="6"/>
      <c r="M64" s="6"/>
      <c r="N64" s="6"/>
      <c r="O64" s="6"/>
      <c r="P64" s="6"/>
      <c r="Q64" s="6"/>
      <c r="R64" s="6"/>
      <c r="S64" s="6"/>
      <c r="T64" s="6"/>
      <c r="U64" s="6"/>
      <c r="V64" s="6"/>
      <c r="W64" s="6"/>
      <c r="X64" s="6"/>
      <c r="Y64" s="6"/>
      <c r="Z64" s="6"/>
    </row>
    <row r="65">
      <c r="A65" s="27" t="s">
        <v>154</v>
      </c>
      <c r="B65" s="29">
        <v>4.0</v>
      </c>
      <c r="C65" s="29">
        <v>31.0</v>
      </c>
      <c r="D65" s="59" t="s">
        <v>68</v>
      </c>
      <c r="E65" s="6"/>
      <c r="F65" s="6"/>
      <c r="G65" s="6"/>
      <c r="H65" s="6"/>
      <c r="I65" s="6"/>
      <c r="J65" s="6"/>
      <c r="K65" s="6"/>
      <c r="L65" s="6"/>
      <c r="M65" s="6"/>
      <c r="N65" s="6"/>
      <c r="O65" s="6"/>
      <c r="P65" s="6"/>
      <c r="Q65" s="6"/>
      <c r="R65" s="6"/>
      <c r="S65" s="6"/>
      <c r="T65" s="6"/>
      <c r="U65" s="6"/>
      <c r="V65" s="6"/>
      <c r="W65" s="6"/>
      <c r="X65" s="6"/>
      <c r="Y65" s="6"/>
      <c r="Z65" s="6"/>
    </row>
    <row r="66">
      <c r="A66" s="12" t="s">
        <v>183</v>
      </c>
      <c r="B66" s="15">
        <v>4.0</v>
      </c>
      <c r="C66" s="15">
        <v>34.0</v>
      </c>
      <c r="D66" s="19" t="s">
        <v>23</v>
      </c>
      <c r="E66" s="6"/>
      <c r="F66" s="6"/>
      <c r="G66" s="6"/>
      <c r="H66" s="6"/>
      <c r="I66" s="6"/>
      <c r="J66" s="6"/>
      <c r="K66" s="6"/>
      <c r="L66" s="6"/>
      <c r="M66" s="6"/>
      <c r="N66" s="6"/>
      <c r="O66" s="6"/>
      <c r="P66" s="6"/>
      <c r="Q66" s="6"/>
      <c r="R66" s="6"/>
      <c r="S66" s="6"/>
      <c r="T66" s="6"/>
      <c r="U66" s="6"/>
      <c r="V66" s="6"/>
      <c r="W66" s="6"/>
      <c r="X66" s="6"/>
      <c r="Y66" s="6"/>
      <c r="Z66" s="6"/>
    </row>
    <row r="67">
      <c r="A67" s="12" t="s">
        <v>186</v>
      </c>
      <c r="B67" s="15">
        <v>7.0</v>
      </c>
      <c r="C67" s="15">
        <v>62.0</v>
      </c>
      <c r="D67" s="19" t="s">
        <v>23</v>
      </c>
      <c r="E67" s="6"/>
      <c r="F67" s="6"/>
      <c r="G67" s="6"/>
      <c r="H67" s="6"/>
      <c r="I67" s="6"/>
      <c r="J67" s="6"/>
      <c r="K67" s="6"/>
      <c r="L67" s="6"/>
      <c r="M67" s="6"/>
      <c r="N67" s="6"/>
      <c r="O67" s="6"/>
      <c r="P67" s="6"/>
      <c r="Q67" s="6"/>
      <c r="R67" s="6"/>
      <c r="S67" s="6"/>
      <c r="T67" s="6"/>
      <c r="U67" s="6"/>
      <c r="V67" s="6"/>
      <c r="W67" s="6"/>
      <c r="X67" s="6"/>
      <c r="Y67" s="6"/>
      <c r="Z67" s="6"/>
    </row>
    <row r="68">
      <c r="A68" s="12" t="s">
        <v>125</v>
      </c>
      <c r="B68" s="15">
        <v>6.0</v>
      </c>
      <c r="C68" s="15">
        <v>53.0</v>
      </c>
      <c r="D68" s="19" t="s">
        <v>29</v>
      </c>
      <c r="E68" s="6"/>
      <c r="F68" s="6"/>
      <c r="G68" s="6"/>
      <c r="H68" s="6"/>
      <c r="I68" s="6"/>
      <c r="J68" s="6"/>
      <c r="K68" s="6"/>
      <c r="L68" s="6"/>
      <c r="M68" s="6"/>
      <c r="N68" s="6"/>
      <c r="O68" s="6"/>
      <c r="P68" s="6"/>
      <c r="Q68" s="6"/>
      <c r="R68" s="6"/>
      <c r="S68" s="6"/>
      <c r="T68" s="6"/>
      <c r="U68" s="6"/>
      <c r="V68" s="6"/>
      <c r="W68" s="6"/>
      <c r="X68" s="6"/>
      <c r="Y68" s="6"/>
      <c r="Z68" s="6"/>
    </row>
    <row r="69">
      <c r="A69" s="12" t="s">
        <v>192</v>
      </c>
      <c r="B69" s="15">
        <v>5.0</v>
      </c>
      <c r="C69" s="15">
        <v>41.0</v>
      </c>
      <c r="D69" s="19" t="s">
        <v>16</v>
      </c>
      <c r="E69" s="6"/>
      <c r="F69" s="6"/>
      <c r="G69" s="6"/>
      <c r="H69" s="6"/>
      <c r="I69" s="6"/>
      <c r="J69" s="6"/>
      <c r="K69" s="6"/>
      <c r="L69" s="6"/>
      <c r="M69" s="6"/>
      <c r="N69" s="6"/>
      <c r="O69" s="6"/>
      <c r="P69" s="6"/>
      <c r="Q69" s="6"/>
      <c r="R69" s="6"/>
      <c r="S69" s="6"/>
      <c r="T69" s="6"/>
      <c r="U69" s="6"/>
      <c r="V69" s="6"/>
      <c r="W69" s="6"/>
      <c r="X69" s="6"/>
      <c r="Y69" s="6"/>
      <c r="Z69" s="6"/>
    </row>
    <row r="70">
      <c r="A70" s="12" t="s">
        <v>195</v>
      </c>
      <c r="B70" s="15">
        <v>5.0</v>
      </c>
      <c r="C70" s="15">
        <v>40.0</v>
      </c>
      <c r="D70" s="19" t="s">
        <v>204</v>
      </c>
      <c r="E70" s="25" t="s">
        <v>205</v>
      </c>
      <c r="F70" s="6"/>
      <c r="G70" s="6"/>
      <c r="H70" s="6"/>
      <c r="I70" s="6"/>
      <c r="J70" s="6"/>
      <c r="K70" s="6"/>
      <c r="L70" s="6"/>
      <c r="M70" s="6"/>
      <c r="N70" s="6"/>
      <c r="O70" s="6"/>
      <c r="P70" s="6"/>
      <c r="Q70" s="6"/>
      <c r="R70" s="6"/>
      <c r="S70" s="6"/>
      <c r="T70" s="6"/>
      <c r="U70" s="6"/>
      <c r="V70" s="6"/>
      <c r="W70" s="6"/>
      <c r="X70" s="6"/>
      <c r="Y70" s="6"/>
      <c r="Z70" s="6"/>
    </row>
    <row r="71">
      <c r="A71" s="12" t="s">
        <v>184</v>
      </c>
      <c r="B71" s="15">
        <v>4.0</v>
      </c>
      <c r="C71" s="15">
        <v>37.0</v>
      </c>
      <c r="D71" s="19" t="s">
        <v>23</v>
      </c>
      <c r="E71" s="6"/>
      <c r="F71" s="6"/>
      <c r="G71" s="6"/>
      <c r="H71" s="6"/>
      <c r="I71" s="6"/>
      <c r="J71" s="6"/>
      <c r="K71" s="6"/>
      <c r="L71" s="6"/>
      <c r="M71" s="6"/>
      <c r="N71" s="6"/>
      <c r="O71" s="6"/>
      <c r="P71" s="6"/>
      <c r="Q71" s="6"/>
      <c r="R71" s="6"/>
      <c r="S71" s="6"/>
      <c r="T71" s="6"/>
      <c r="U71" s="6"/>
      <c r="V71" s="6"/>
      <c r="W71" s="6"/>
      <c r="X71" s="6"/>
      <c r="Y71" s="6"/>
      <c r="Z71" s="6"/>
    </row>
    <row r="72">
      <c r="A72" s="27" t="s">
        <v>211</v>
      </c>
      <c r="B72" s="29">
        <v>5.0</v>
      </c>
      <c r="C72" s="29">
        <v>43.0</v>
      </c>
      <c r="D72" s="71" t="s">
        <v>213</v>
      </c>
      <c r="E72" s="6"/>
      <c r="F72" s="6"/>
      <c r="G72" s="6"/>
      <c r="H72" s="6"/>
      <c r="I72" s="6"/>
      <c r="J72" s="6"/>
      <c r="K72" s="6"/>
      <c r="L72" s="6"/>
      <c r="M72" s="6"/>
      <c r="N72" s="6"/>
      <c r="O72" s="6"/>
      <c r="P72" s="6"/>
      <c r="Q72" s="6"/>
      <c r="R72" s="6"/>
      <c r="S72" s="6"/>
      <c r="T72" s="6"/>
      <c r="U72" s="6"/>
      <c r="V72" s="6"/>
      <c r="W72" s="6"/>
      <c r="X72" s="6"/>
      <c r="Y72" s="6"/>
      <c r="Z72" s="6"/>
    </row>
    <row r="73">
      <c r="A73" s="12" t="s">
        <v>216</v>
      </c>
      <c r="B73" s="15">
        <v>4.0</v>
      </c>
      <c r="C73" s="15">
        <v>35.0</v>
      </c>
      <c r="D73" s="19" t="s">
        <v>52</v>
      </c>
      <c r="E73" s="6"/>
      <c r="F73" s="6"/>
      <c r="G73" s="6"/>
      <c r="H73" s="6"/>
      <c r="I73" s="6"/>
      <c r="J73" s="6"/>
      <c r="K73" s="6"/>
      <c r="L73" s="6"/>
      <c r="M73" s="6"/>
      <c r="N73" s="6"/>
      <c r="O73" s="6"/>
      <c r="P73" s="6"/>
      <c r="Q73" s="6"/>
      <c r="R73" s="6"/>
      <c r="S73" s="6"/>
      <c r="T73" s="6"/>
      <c r="U73" s="6"/>
      <c r="V73" s="6"/>
      <c r="W73" s="6"/>
      <c r="X73" s="6"/>
      <c r="Y73" s="6"/>
      <c r="Z73" s="6"/>
    </row>
    <row r="74">
      <c r="A74" s="12" t="s">
        <v>86</v>
      </c>
      <c r="B74" s="15">
        <v>3.0</v>
      </c>
      <c r="C74" s="15">
        <v>21.0</v>
      </c>
      <c r="D74" s="19" t="s">
        <v>52</v>
      </c>
      <c r="E74" s="6"/>
      <c r="F74" s="6"/>
      <c r="G74" s="6"/>
      <c r="H74" s="6"/>
      <c r="I74" s="6"/>
      <c r="J74" s="6"/>
      <c r="K74" s="6"/>
      <c r="L74" s="6"/>
      <c r="M74" s="6"/>
      <c r="N74" s="6"/>
      <c r="O74" s="6"/>
      <c r="P74" s="6"/>
      <c r="Q74" s="6"/>
      <c r="R74" s="6"/>
      <c r="S74" s="6"/>
      <c r="T74" s="6"/>
      <c r="U74" s="6"/>
      <c r="V74" s="6"/>
      <c r="W74" s="6"/>
      <c r="X74" s="6"/>
      <c r="Y74" s="6"/>
      <c r="Z74" s="6"/>
    </row>
    <row r="75">
      <c r="A75" s="12" t="s">
        <v>217</v>
      </c>
      <c r="B75" s="15">
        <v>7.0</v>
      </c>
      <c r="C75" s="15">
        <v>64.0</v>
      </c>
      <c r="D75" s="19" t="s">
        <v>23</v>
      </c>
      <c r="E75" s="6"/>
      <c r="F75" s="6"/>
      <c r="G75" s="6"/>
      <c r="H75" s="6"/>
      <c r="I75" s="6"/>
      <c r="J75" s="6"/>
      <c r="K75" s="6"/>
      <c r="L75" s="6"/>
      <c r="M75" s="6"/>
      <c r="N75" s="6"/>
      <c r="O75" s="6"/>
      <c r="P75" s="6"/>
      <c r="Q75" s="6"/>
      <c r="R75" s="6"/>
      <c r="S75" s="6"/>
      <c r="T75" s="6"/>
      <c r="U75" s="6"/>
      <c r="V75" s="6"/>
      <c r="W75" s="6"/>
      <c r="X75" s="6"/>
      <c r="Y75" s="6"/>
      <c r="Z75" s="6"/>
    </row>
    <row r="76">
      <c r="A76" s="12" t="s">
        <v>188</v>
      </c>
      <c r="B76" s="15">
        <v>6.0</v>
      </c>
      <c r="C76" s="15">
        <v>54.0</v>
      </c>
      <c r="D76" s="19" t="s">
        <v>23</v>
      </c>
      <c r="E76" s="6"/>
      <c r="F76" s="6"/>
      <c r="G76" s="6"/>
      <c r="H76" s="6"/>
      <c r="I76" s="6"/>
      <c r="J76" s="6"/>
      <c r="K76" s="6"/>
      <c r="L76" s="6"/>
      <c r="M76" s="6"/>
      <c r="N76" s="6"/>
      <c r="O76" s="6"/>
      <c r="P76" s="6"/>
      <c r="Q76" s="6"/>
      <c r="R76" s="6"/>
      <c r="S76" s="6"/>
      <c r="T76" s="6"/>
      <c r="U76" s="6"/>
      <c r="V76" s="6"/>
      <c r="W76" s="6"/>
      <c r="X76" s="6"/>
      <c r="Y76" s="6"/>
      <c r="Z76" s="6"/>
    </row>
    <row r="77">
      <c r="A77" s="12" t="s">
        <v>227</v>
      </c>
      <c r="B77" s="15">
        <v>6.0</v>
      </c>
      <c r="C77" s="15">
        <v>49.0</v>
      </c>
      <c r="D77" s="19" t="s">
        <v>29</v>
      </c>
      <c r="E77" s="6"/>
      <c r="F77" s="6"/>
      <c r="G77" s="6"/>
      <c r="H77" s="6"/>
      <c r="I77" s="6"/>
      <c r="J77" s="6"/>
      <c r="K77" s="6"/>
      <c r="L77" s="6"/>
      <c r="M77" s="6"/>
      <c r="N77" s="6"/>
      <c r="O77" s="6"/>
      <c r="P77" s="6"/>
      <c r="Q77" s="6"/>
      <c r="R77" s="6"/>
      <c r="S77" s="6"/>
      <c r="T77" s="6"/>
      <c r="U77" s="6"/>
      <c r="V77" s="6"/>
      <c r="W77" s="6"/>
      <c r="X77" s="6"/>
      <c r="Y77" s="6"/>
      <c r="Z77" s="6"/>
    </row>
    <row r="78">
      <c r="A78" s="12" t="s">
        <v>229</v>
      </c>
      <c r="B78" s="15">
        <v>5.0</v>
      </c>
      <c r="C78" s="15">
        <v>46.0</v>
      </c>
      <c r="D78" s="19" t="s">
        <v>29</v>
      </c>
      <c r="E78" s="6"/>
      <c r="F78" s="6"/>
      <c r="G78" s="6"/>
      <c r="H78" s="6"/>
      <c r="I78" s="6"/>
      <c r="J78" s="6"/>
      <c r="K78" s="6"/>
      <c r="L78" s="6"/>
      <c r="M78" s="6"/>
      <c r="N78" s="6"/>
      <c r="O78" s="6"/>
      <c r="P78" s="6"/>
      <c r="Q78" s="6"/>
      <c r="R78" s="6"/>
      <c r="S78" s="6"/>
      <c r="T78" s="6"/>
      <c r="U78" s="6"/>
      <c r="V78" s="6"/>
      <c r="W78" s="6"/>
      <c r="X78" s="6"/>
      <c r="Y78" s="6"/>
      <c r="Z78" s="6"/>
    </row>
    <row r="79">
      <c r="A79" s="12" t="s">
        <v>231</v>
      </c>
      <c r="B79" s="113">
        <v>7.0</v>
      </c>
      <c r="C79" s="15">
        <v>62.0</v>
      </c>
      <c r="D79" s="19" t="s">
        <v>29</v>
      </c>
      <c r="E79" s="6"/>
      <c r="F79" s="6"/>
      <c r="G79" s="6"/>
      <c r="H79" s="6"/>
      <c r="I79" s="6"/>
      <c r="J79" s="6"/>
      <c r="K79" s="6"/>
      <c r="L79" s="6"/>
      <c r="M79" s="6"/>
      <c r="N79" s="6"/>
      <c r="O79" s="6"/>
      <c r="P79" s="6"/>
      <c r="Q79" s="6"/>
      <c r="R79" s="6"/>
      <c r="S79" s="6"/>
      <c r="T79" s="6"/>
      <c r="U79" s="6"/>
      <c r="V79" s="6"/>
      <c r="W79" s="6"/>
      <c r="X79" s="6"/>
      <c r="Y79" s="6"/>
      <c r="Z79" s="6"/>
    </row>
    <row r="80">
      <c r="A80" s="12" t="s">
        <v>180</v>
      </c>
      <c r="B80" s="15">
        <v>4.0</v>
      </c>
      <c r="C80" s="15">
        <v>35.0</v>
      </c>
      <c r="D80" s="19" t="s">
        <v>23</v>
      </c>
      <c r="E80" s="6"/>
      <c r="F80" s="6"/>
      <c r="G80" s="6"/>
      <c r="H80" s="6"/>
      <c r="I80" s="6"/>
      <c r="J80" s="6"/>
      <c r="K80" s="6"/>
      <c r="L80" s="6"/>
      <c r="M80" s="6"/>
      <c r="N80" s="6"/>
      <c r="O80" s="6"/>
      <c r="P80" s="6"/>
      <c r="Q80" s="6"/>
      <c r="R80" s="6"/>
      <c r="S80" s="6"/>
      <c r="T80" s="6"/>
      <c r="U80" s="6"/>
      <c r="V80" s="6"/>
      <c r="W80" s="6"/>
      <c r="X80" s="6"/>
      <c r="Y80" s="6"/>
      <c r="Z80" s="6"/>
    </row>
    <row r="81">
      <c r="A81" s="12" t="s">
        <v>128</v>
      </c>
      <c r="B81" s="15">
        <v>5.0</v>
      </c>
      <c r="C81" s="15">
        <v>43.0</v>
      </c>
      <c r="D81" s="19" t="s">
        <v>23</v>
      </c>
      <c r="E81" s="6"/>
      <c r="F81" s="6"/>
      <c r="G81" s="6"/>
      <c r="H81" s="6"/>
      <c r="I81" s="6"/>
      <c r="J81" s="6"/>
      <c r="K81" s="6"/>
      <c r="L81" s="6"/>
      <c r="M81" s="6"/>
      <c r="N81" s="6"/>
      <c r="O81" s="6"/>
      <c r="P81" s="6"/>
      <c r="Q81" s="6"/>
      <c r="R81" s="6"/>
      <c r="S81" s="6"/>
      <c r="T81" s="6"/>
      <c r="U81" s="6"/>
      <c r="V81" s="6"/>
      <c r="W81" s="6"/>
      <c r="X81" s="6"/>
      <c r="Y81" s="6"/>
      <c r="Z81" s="6"/>
    </row>
    <row r="82">
      <c r="A82" s="12" t="s">
        <v>244</v>
      </c>
      <c r="B82" s="15">
        <v>6.0</v>
      </c>
      <c r="C82" s="115">
        <v>58.0</v>
      </c>
      <c r="D82" s="19" t="s">
        <v>29</v>
      </c>
      <c r="E82" s="6"/>
      <c r="F82" s="6"/>
      <c r="G82" s="6"/>
      <c r="H82" s="6"/>
      <c r="I82" s="6"/>
      <c r="J82" s="6"/>
      <c r="K82" s="6"/>
      <c r="L82" s="6"/>
      <c r="M82" s="6"/>
      <c r="N82" s="6"/>
      <c r="O82" s="6"/>
      <c r="P82" s="6"/>
      <c r="Q82" s="6"/>
      <c r="R82" s="6"/>
      <c r="S82" s="6"/>
      <c r="T82" s="6"/>
      <c r="U82" s="6"/>
      <c r="V82" s="6"/>
      <c r="W82" s="6"/>
      <c r="X82" s="6"/>
      <c r="Y82" s="6"/>
      <c r="Z82" s="6"/>
    </row>
    <row r="83">
      <c r="A83" s="12" t="s">
        <v>207</v>
      </c>
      <c r="B83" s="15">
        <v>5.0</v>
      </c>
      <c r="C83" s="15">
        <v>42.0</v>
      </c>
      <c r="D83" s="19" t="s">
        <v>23</v>
      </c>
      <c r="E83" s="6"/>
      <c r="F83" s="6"/>
      <c r="G83" s="6"/>
      <c r="H83" s="6"/>
      <c r="I83" s="6"/>
      <c r="J83" s="6"/>
      <c r="K83" s="6"/>
      <c r="L83" s="6"/>
      <c r="M83" s="6"/>
      <c r="N83" s="6"/>
      <c r="O83" s="6"/>
      <c r="P83" s="6"/>
      <c r="Q83" s="6"/>
      <c r="R83" s="6"/>
      <c r="S83" s="6"/>
      <c r="T83" s="6"/>
      <c r="U83" s="6"/>
      <c r="V83" s="6"/>
      <c r="W83" s="6"/>
      <c r="X83" s="6"/>
      <c r="Y83" s="6"/>
      <c r="Z83" s="6"/>
    </row>
    <row r="84">
      <c r="A84" s="12" t="s">
        <v>193</v>
      </c>
      <c r="B84" s="15">
        <v>3.0</v>
      </c>
      <c r="C84" s="15">
        <v>27.0</v>
      </c>
      <c r="D84" s="19" t="s">
        <v>52</v>
      </c>
      <c r="E84" s="6"/>
      <c r="F84" s="6"/>
      <c r="G84" s="6"/>
      <c r="H84" s="6"/>
      <c r="I84" s="6"/>
      <c r="J84" s="6"/>
      <c r="K84" s="6"/>
      <c r="L84" s="6"/>
      <c r="M84" s="6"/>
      <c r="N84" s="6"/>
      <c r="O84" s="6"/>
      <c r="P84" s="6"/>
      <c r="Q84" s="6"/>
      <c r="R84" s="6"/>
      <c r="S84" s="6"/>
      <c r="T84" s="6"/>
      <c r="U84" s="6"/>
      <c r="V84" s="6"/>
      <c r="W84" s="6"/>
      <c r="X84" s="6"/>
      <c r="Y84" s="6"/>
      <c r="Z84" s="6"/>
    </row>
    <row r="85">
      <c r="A85" s="12" t="s">
        <v>254</v>
      </c>
      <c r="B85" s="15">
        <v>5.0</v>
      </c>
      <c r="C85" s="113">
        <v>45.0</v>
      </c>
      <c r="D85" s="19" t="s">
        <v>29</v>
      </c>
      <c r="E85" s="6"/>
      <c r="F85" s="6"/>
      <c r="G85" s="6"/>
      <c r="H85" s="6"/>
      <c r="I85" s="6"/>
      <c r="J85" s="6"/>
      <c r="K85" s="6"/>
      <c r="L85" s="6"/>
      <c r="M85" s="6"/>
      <c r="N85" s="6"/>
      <c r="O85" s="6"/>
      <c r="P85" s="6"/>
      <c r="Q85" s="6"/>
      <c r="R85" s="6"/>
      <c r="S85" s="6"/>
      <c r="T85" s="6"/>
      <c r="U85" s="6"/>
      <c r="V85" s="6"/>
      <c r="W85" s="6"/>
      <c r="X85" s="6"/>
      <c r="Y85" s="6"/>
      <c r="Z85" s="6"/>
    </row>
    <row r="86">
      <c r="A86" s="12" t="s">
        <v>256</v>
      </c>
      <c r="B86" s="15">
        <v>7.0</v>
      </c>
      <c r="C86" s="15">
        <v>63.0</v>
      </c>
      <c r="D86" s="19" t="s">
        <v>23</v>
      </c>
      <c r="E86" s="6"/>
      <c r="F86" s="6"/>
      <c r="G86" s="6"/>
      <c r="H86" s="6"/>
      <c r="I86" s="6"/>
      <c r="J86" s="6"/>
      <c r="K86" s="6"/>
      <c r="L86" s="6"/>
      <c r="M86" s="6"/>
      <c r="N86" s="6"/>
      <c r="O86" s="6"/>
      <c r="P86" s="6"/>
      <c r="Q86" s="6"/>
      <c r="R86" s="6"/>
      <c r="S86" s="6"/>
      <c r="T86" s="6"/>
      <c r="U86" s="6"/>
      <c r="V86" s="6"/>
      <c r="W86" s="6"/>
      <c r="X86" s="6"/>
      <c r="Y86" s="6"/>
      <c r="Z86" s="6"/>
    </row>
    <row r="87">
      <c r="A87" s="27" t="s">
        <v>259</v>
      </c>
      <c r="B87" s="29">
        <v>6.0</v>
      </c>
      <c r="C87" s="29">
        <v>49.0</v>
      </c>
      <c r="D87" s="30" t="s">
        <v>29</v>
      </c>
      <c r="E87" s="6"/>
      <c r="F87" s="6"/>
      <c r="G87" s="6"/>
      <c r="H87" s="6"/>
      <c r="I87" s="6"/>
      <c r="J87" s="6"/>
      <c r="K87" s="6"/>
      <c r="L87" s="6"/>
      <c r="M87" s="6"/>
      <c r="N87" s="6"/>
      <c r="O87" s="6"/>
      <c r="P87" s="6"/>
      <c r="Q87" s="6"/>
      <c r="R87" s="6"/>
      <c r="S87" s="6"/>
      <c r="T87" s="6"/>
      <c r="U87" s="6"/>
      <c r="V87" s="6"/>
      <c r="W87" s="6"/>
      <c r="X87" s="6"/>
      <c r="Y87" s="6"/>
      <c r="Z87" s="6"/>
    </row>
    <row r="88">
      <c r="A88" s="27" t="s">
        <v>262</v>
      </c>
      <c r="B88" s="29">
        <v>7.0</v>
      </c>
      <c r="C88" s="29">
        <v>67.0</v>
      </c>
      <c r="D88" s="65"/>
      <c r="E88" s="6"/>
      <c r="F88" s="6"/>
      <c r="G88" s="6"/>
      <c r="H88" s="6"/>
      <c r="I88" s="6"/>
      <c r="J88" s="6"/>
      <c r="K88" s="6"/>
      <c r="L88" s="6"/>
      <c r="M88" s="6"/>
      <c r="N88" s="6"/>
      <c r="O88" s="6"/>
      <c r="P88" s="6"/>
      <c r="Q88" s="6"/>
      <c r="R88" s="6"/>
      <c r="S88" s="6"/>
      <c r="T88" s="6"/>
      <c r="U88" s="6"/>
      <c r="V88" s="6"/>
      <c r="W88" s="6"/>
      <c r="X88" s="6"/>
      <c r="Y88" s="6"/>
      <c r="Z88" s="6"/>
    </row>
    <row r="89">
      <c r="A89" s="12" t="s">
        <v>178</v>
      </c>
      <c r="B89" s="15">
        <v>5.0</v>
      </c>
      <c r="C89" s="15">
        <v>48.0</v>
      </c>
      <c r="D89" s="19" t="s">
        <v>29</v>
      </c>
      <c r="E89" s="6"/>
      <c r="F89" s="6"/>
      <c r="G89" s="6"/>
      <c r="H89" s="6"/>
      <c r="I89" s="6"/>
      <c r="J89" s="6"/>
      <c r="K89" s="6"/>
      <c r="L89" s="6"/>
      <c r="M89" s="6"/>
      <c r="N89" s="6"/>
      <c r="O89" s="6"/>
      <c r="P89" s="6"/>
      <c r="Q89" s="6"/>
      <c r="R89" s="6"/>
      <c r="S89" s="6"/>
      <c r="T89" s="6"/>
      <c r="U89" s="6"/>
      <c r="V89" s="6"/>
      <c r="W89" s="6"/>
      <c r="X89" s="6"/>
      <c r="Y89" s="6"/>
      <c r="Z89" s="6"/>
    </row>
    <row r="90">
      <c r="A90" s="12" t="s">
        <v>215</v>
      </c>
      <c r="B90" s="15">
        <v>6.0</v>
      </c>
      <c r="C90" s="15">
        <v>51.0</v>
      </c>
      <c r="D90" s="37" t="s">
        <v>268</v>
      </c>
      <c r="E90" s="6"/>
      <c r="F90" s="6"/>
      <c r="G90" s="6"/>
      <c r="H90" s="6"/>
      <c r="I90" s="6"/>
      <c r="J90" s="6"/>
      <c r="K90" s="6"/>
      <c r="L90" s="6"/>
      <c r="M90" s="6"/>
      <c r="N90" s="6"/>
      <c r="O90" s="6"/>
      <c r="P90" s="6"/>
      <c r="Q90" s="6"/>
      <c r="R90" s="6"/>
      <c r="S90" s="6"/>
      <c r="T90" s="6"/>
      <c r="U90" s="6"/>
      <c r="V90" s="6"/>
      <c r="W90" s="6"/>
      <c r="X90" s="6"/>
      <c r="Y90" s="6"/>
      <c r="Z90" s="6"/>
    </row>
    <row r="91">
      <c r="A91" s="12" t="s">
        <v>236</v>
      </c>
      <c r="B91" s="15">
        <v>4.0</v>
      </c>
      <c r="C91" s="15">
        <v>32.0</v>
      </c>
      <c r="D91" s="19" t="s">
        <v>23</v>
      </c>
      <c r="E91" s="6"/>
      <c r="F91" s="6"/>
      <c r="G91" s="6"/>
      <c r="H91" s="6"/>
      <c r="I91" s="6"/>
      <c r="J91" s="6"/>
      <c r="K91" s="6"/>
      <c r="L91" s="6"/>
      <c r="M91" s="6"/>
      <c r="N91" s="6"/>
      <c r="O91" s="6"/>
      <c r="P91" s="6"/>
      <c r="Q91" s="6"/>
      <c r="R91" s="6"/>
      <c r="S91" s="6"/>
      <c r="T91" s="6"/>
      <c r="U91" s="6"/>
      <c r="V91" s="6"/>
      <c r="W91" s="6"/>
      <c r="X91" s="6"/>
      <c r="Y91" s="6"/>
      <c r="Z91" s="6"/>
    </row>
    <row r="92">
      <c r="A92" s="27" t="s">
        <v>274</v>
      </c>
      <c r="B92" s="29">
        <v>4.0</v>
      </c>
      <c r="C92" s="29">
        <v>32.0</v>
      </c>
      <c r="D92" s="30" t="s">
        <v>29</v>
      </c>
      <c r="E92" s="6"/>
      <c r="F92" s="6"/>
      <c r="G92" s="6"/>
      <c r="H92" s="6"/>
      <c r="I92" s="6"/>
      <c r="J92" s="6"/>
      <c r="K92" s="6"/>
      <c r="L92" s="6"/>
      <c r="M92" s="6"/>
      <c r="N92" s="6"/>
      <c r="O92" s="6"/>
      <c r="P92" s="6"/>
      <c r="Q92" s="6"/>
      <c r="R92" s="6"/>
      <c r="S92" s="6"/>
      <c r="T92" s="6"/>
      <c r="U92" s="6"/>
      <c r="V92" s="6"/>
      <c r="W92" s="6"/>
      <c r="X92" s="6"/>
      <c r="Y92" s="6"/>
      <c r="Z92" s="6"/>
    </row>
    <row r="93">
      <c r="A93" s="12" t="s">
        <v>278</v>
      </c>
      <c r="B93" s="15">
        <v>5.0</v>
      </c>
      <c r="C93" s="15">
        <v>45.0</v>
      </c>
      <c r="D93" s="19" t="s">
        <v>29</v>
      </c>
      <c r="E93" s="6"/>
      <c r="F93" s="6"/>
      <c r="G93" s="6"/>
      <c r="H93" s="6"/>
      <c r="I93" s="6"/>
      <c r="J93" s="6"/>
      <c r="K93" s="6"/>
      <c r="L93" s="6"/>
      <c r="M93" s="6"/>
      <c r="N93" s="6"/>
      <c r="O93" s="6"/>
      <c r="P93" s="6"/>
      <c r="Q93" s="6"/>
      <c r="R93" s="6"/>
      <c r="S93" s="6"/>
      <c r="T93" s="6"/>
      <c r="U93" s="6"/>
      <c r="V93" s="6"/>
      <c r="W93" s="6"/>
      <c r="X93" s="6"/>
      <c r="Y93" s="6"/>
      <c r="Z93" s="6"/>
    </row>
    <row r="94">
      <c r="A94" s="12" t="s">
        <v>279</v>
      </c>
      <c r="B94" s="15">
        <v>8.0</v>
      </c>
      <c r="C94" s="15">
        <v>74.0</v>
      </c>
      <c r="D94" s="19" t="s">
        <v>29</v>
      </c>
      <c r="E94" s="6"/>
      <c r="F94" s="6"/>
      <c r="G94" s="25" t="s">
        <v>24</v>
      </c>
      <c r="H94" s="6"/>
      <c r="I94" s="6"/>
      <c r="J94" s="6"/>
      <c r="K94" s="6"/>
      <c r="L94" s="6"/>
      <c r="M94" s="6"/>
      <c r="N94" s="6"/>
      <c r="O94" s="6"/>
      <c r="P94" s="6"/>
      <c r="Q94" s="6"/>
      <c r="R94" s="6"/>
      <c r="S94" s="6"/>
      <c r="T94" s="6"/>
      <c r="U94" s="6"/>
      <c r="V94" s="6"/>
      <c r="W94" s="6"/>
      <c r="X94" s="6"/>
      <c r="Y94" s="6"/>
      <c r="Z94" s="6"/>
    </row>
    <row r="95">
      <c r="A95" s="27" t="s">
        <v>286</v>
      </c>
      <c r="B95" s="29">
        <v>7.0</v>
      </c>
      <c r="C95" s="29">
        <v>65.0</v>
      </c>
      <c r="D95" s="118"/>
      <c r="E95" s="6"/>
      <c r="F95" s="6"/>
      <c r="G95" s="6"/>
      <c r="H95" s="6"/>
      <c r="I95" s="6"/>
      <c r="J95" s="6"/>
      <c r="K95" s="6"/>
      <c r="L95" s="6"/>
      <c r="M95" s="6"/>
      <c r="N95" s="6"/>
      <c r="O95" s="6"/>
      <c r="P95" s="6"/>
      <c r="Q95" s="6"/>
      <c r="R95" s="6"/>
      <c r="S95" s="6"/>
      <c r="T95" s="6"/>
      <c r="U95" s="6"/>
      <c r="V95" s="6"/>
      <c r="W95" s="6"/>
      <c r="X95" s="6"/>
      <c r="Y95" s="6"/>
      <c r="Z95" s="6"/>
    </row>
    <row r="96">
      <c r="A96" s="12" t="s">
        <v>243</v>
      </c>
      <c r="B96" s="15">
        <v>6.0</v>
      </c>
      <c r="C96" s="15">
        <v>52.0</v>
      </c>
      <c r="D96" s="19" t="s">
        <v>16</v>
      </c>
      <c r="E96" s="6"/>
      <c r="F96" s="6"/>
      <c r="G96" s="6"/>
      <c r="H96" s="6"/>
      <c r="I96" s="6"/>
      <c r="J96" s="6"/>
      <c r="K96" s="6"/>
      <c r="L96" s="6"/>
      <c r="M96" s="6"/>
      <c r="N96" s="6"/>
      <c r="O96" s="6"/>
      <c r="P96" s="6"/>
      <c r="Q96" s="6"/>
      <c r="R96" s="6"/>
      <c r="S96" s="6"/>
      <c r="T96" s="6"/>
      <c r="U96" s="6"/>
      <c r="V96" s="6"/>
      <c r="W96" s="6"/>
      <c r="X96" s="6"/>
      <c r="Y96" s="6"/>
      <c r="Z96" s="6"/>
    </row>
    <row r="97">
      <c r="A97" s="12" t="s">
        <v>190</v>
      </c>
      <c r="B97" s="15">
        <v>5.0</v>
      </c>
      <c r="C97" s="15">
        <v>44.0</v>
      </c>
      <c r="D97" s="19" t="s">
        <v>23</v>
      </c>
      <c r="E97" s="6"/>
      <c r="F97" s="6"/>
      <c r="G97" s="6"/>
      <c r="H97" s="6"/>
      <c r="I97" s="6"/>
      <c r="J97" s="6"/>
      <c r="K97" s="6"/>
      <c r="L97" s="6"/>
      <c r="M97" s="6"/>
      <c r="N97" s="6"/>
      <c r="O97" s="6"/>
      <c r="P97" s="6"/>
      <c r="Q97" s="6"/>
      <c r="R97" s="6"/>
      <c r="S97" s="6"/>
      <c r="T97" s="6"/>
      <c r="U97" s="6"/>
      <c r="V97" s="6"/>
      <c r="W97" s="6"/>
      <c r="X97" s="6"/>
      <c r="Y97" s="6"/>
      <c r="Z97" s="6"/>
    </row>
    <row r="98">
      <c r="A98" s="12" t="s">
        <v>263</v>
      </c>
      <c r="B98" s="15">
        <v>5.0</v>
      </c>
      <c r="C98" s="15">
        <v>42.0</v>
      </c>
      <c r="D98" s="19" t="s">
        <v>29</v>
      </c>
      <c r="E98" s="6"/>
      <c r="F98" s="6"/>
      <c r="G98" s="6"/>
      <c r="H98" s="6"/>
      <c r="I98" s="6"/>
      <c r="J98" s="6"/>
      <c r="K98" s="6"/>
      <c r="L98" s="6"/>
      <c r="M98" s="6"/>
      <c r="N98" s="6"/>
      <c r="O98" s="6"/>
      <c r="P98" s="6"/>
      <c r="Q98" s="6"/>
      <c r="R98" s="6"/>
      <c r="S98" s="6"/>
      <c r="T98" s="6"/>
      <c r="U98" s="6"/>
      <c r="V98" s="6"/>
      <c r="W98" s="6"/>
      <c r="X98" s="6"/>
      <c r="Y98" s="6"/>
      <c r="Z98" s="6"/>
    </row>
    <row r="99">
      <c r="A99" s="12" t="s">
        <v>255</v>
      </c>
      <c r="B99" s="15">
        <v>8.0</v>
      </c>
      <c r="C99" s="15">
        <v>69.0</v>
      </c>
      <c r="D99" s="19" t="s">
        <v>23</v>
      </c>
      <c r="E99" s="6"/>
      <c r="F99" s="6"/>
      <c r="G99" s="6"/>
      <c r="H99" s="6"/>
      <c r="I99" s="6"/>
      <c r="J99" s="6"/>
      <c r="K99" s="6"/>
      <c r="L99" s="6"/>
      <c r="M99" s="6"/>
      <c r="N99" s="6"/>
      <c r="O99" s="6"/>
      <c r="P99" s="6"/>
      <c r="Q99" s="6"/>
      <c r="R99" s="6"/>
      <c r="S99" s="6"/>
      <c r="T99" s="6"/>
      <c r="U99" s="6"/>
      <c r="V99" s="6"/>
      <c r="W99" s="6"/>
      <c r="X99" s="6"/>
      <c r="Y99" s="6"/>
      <c r="Z99" s="6"/>
    </row>
    <row r="100">
      <c r="A100" s="12" t="s">
        <v>287</v>
      </c>
      <c r="B100" s="15">
        <v>6.0</v>
      </c>
      <c r="C100" s="15">
        <v>58.0</v>
      </c>
      <c r="D100" s="19" t="s">
        <v>23</v>
      </c>
      <c r="E100" s="6"/>
      <c r="F100" s="6"/>
      <c r="G100" s="6"/>
      <c r="H100" s="6"/>
      <c r="I100" s="6"/>
      <c r="J100" s="6"/>
      <c r="K100" s="6"/>
      <c r="L100" s="6"/>
      <c r="M100" s="6"/>
      <c r="N100" s="6"/>
      <c r="O100" s="6"/>
      <c r="P100" s="6"/>
      <c r="Q100" s="6"/>
      <c r="R100" s="6"/>
      <c r="S100" s="6"/>
      <c r="T100" s="6"/>
      <c r="U100" s="6"/>
      <c r="V100" s="6"/>
      <c r="W100" s="6"/>
      <c r="X100" s="6"/>
      <c r="Y100" s="6"/>
      <c r="Z100" s="6"/>
    </row>
    <row r="101">
      <c r="A101" s="12" t="s">
        <v>260</v>
      </c>
      <c r="B101" s="15">
        <v>7.0</v>
      </c>
      <c r="C101" s="15">
        <v>63.0</v>
      </c>
      <c r="D101" s="19" t="s">
        <v>29</v>
      </c>
      <c r="E101" s="6"/>
      <c r="F101" s="6"/>
      <c r="G101" s="6"/>
      <c r="H101" s="6"/>
      <c r="I101" s="6"/>
      <c r="J101" s="6"/>
      <c r="K101" s="6"/>
      <c r="L101" s="6"/>
      <c r="M101" s="6"/>
      <c r="N101" s="6"/>
      <c r="O101" s="6"/>
      <c r="P101" s="6"/>
      <c r="Q101" s="6"/>
      <c r="R101" s="6"/>
      <c r="S101" s="6"/>
      <c r="T101" s="6"/>
      <c r="U101" s="6"/>
      <c r="V101" s="6"/>
      <c r="W101" s="6"/>
      <c r="X101" s="6"/>
      <c r="Y101" s="6"/>
      <c r="Z101" s="6"/>
    </row>
    <row r="102">
      <c r="A102" s="12" t="s">
        <v>311</v>
      </c>
      <c r="B102" s="15">
        <v>6.0</v>
      </c>
      <c r="C102" s="15">
        <v>54.0</v>
      </c>
      <c r="D102" s="19" t="s">
        <v>23</v>
      </c>
      <c r="E102" s="6"/>
      <c r="F102" s="6"/>
      <c r="G102" s="6"/>
      <c r="H102" s="6"/>
      <c r="I102" s="6"/>
      <c r="J102" s="6"/>
      <c r="K102" s="6"/>
      <c r="L102" s="6"/>
      <c r="M102" s="6"/>
      <c r="N102" s="6"/>
      <c r="O102" s="6"/>
      <c r="P102" s="6"/>
      <c r="Q102" s="6"/>
      <c r="R102" s="6"/>
      <c r="S102" s="6"/>
      <c r="T102" s="6"/>
      <c r="U102" s="6"/>
      <c r="V102" s="6"/>
      <c r="W102" s="6"/>
      <c r="X102" s="6"/>
      <c r="Y102" s="6"/>
      <c r="Z102" s="6"/>
    </row>
    <row r="103">
      <c r="A103" s="27" t="s">
        <v>314</v>
      </c>
      <c r="B103" s="29">
        <v>4.0</v>
      </c>
      <c r="C103" s="29">
        <v>38.0</v>
      </c>
      <c r="D103" s="30" t="s">
        <v>29</v>
      </c>
      <c r="E103" s="6"/>
      <c r="F103" s="6"/>
      <c r="G103" s="6"/>
      <c r="H103" s="6"/>
      <c r="I103" s="6"/>
      <c r="J103" s="6"/>
      <c r="K103" s="6"/>
      <c r="L103" s="6"/>
      <c r="M103" s="6"/>
      <c r="N103" s="6"/>
      <c r="O103" s="6"/>
      <c r="P103" s="6"/>
      <c r="Q103" s="6"/>
      <c r="R103" s="6"/>
      <c r="S103" s="6"/>
      <c r="T103" s="6"/>
      <c r="U103" s="6"/>
      <c r="V103" s="6"/>
      <c r="W103" s="6"/>
      <c r="X103" s="6"/>
      <c r="Y103" s="6"/>
      <c r="Z103" s="6"/>
    </row>
    <row r="104">
      <c r="A104" s="12" t="s">
        <v>296</v>
      </c>
      <c r="B104" s="15">
        <v>8.0</v>
      </c>
      <c r="C104" s="15">
        <v>71.0</v>
      </c>
      <c r="D104" s="19" t="s">
        <v>29</v>
      </c>
      <c r="E104" s="6"/>
      <c r="F104" s="6"/>
      <c r="G104" s="6"/>
      <c r="H104" s="6"/>
      <c r="I104" s="6"/>
      <c r="J104" s="6"/>
      <c r="K104" s="6"/>
      <c r="L104" s="6"/>
      <c r="M104" s="6"/>
      <c r="N104" s="6"/>
      <c r="O104" s="6"/>
      <c r="P104" s="6"/>
      <c r="Q104" s="6"/>
      <c r="R104" s="6"/>
      <c r="S104" s="6"/>
      <c r="T104" s="6"/>
      <c r="U104" s="6"/>
      <c r="V104" s="6"/>
      <c r="W104" s="6"/>
      <c r="X104" s="6"/>
      <c r="Y104" s="6"/>
      <c r="Z104" s="6"/>
    </row>
    <row r="105">
      <c r="A105" s="27" t="s">
        <v>319</v>
      </c>
      <c r="B105" s="29">
        <v>7.0</v>
      </c>
      <c r="C105" s="29">
        <v>66.0</v>
      </c>
      <c r="D105" s="65"/>
      <c r="E105" s="6"/>
      <c r="F105" s="6"/>
      <c r="G105" s="6"/>
      <c r="H105" s="6"/>
      <c r="I105" s="6"/>
      <c r="J105" s="6"/>
      <c r="K105" s="6"/>
      <c r="L105" s="6"/>
      <c r="M105" s="6"/>
      <c r="N105" s="6"/>
      <c r="O105" s="6"/>
      <c r="P105" s="6"/>
      <c r="Q105" s="6"/>
      <c r="R105" s="6"/>
      <c r="S105" s="6"/>
      <c r="T105" s="6"/>
      <c r="U105" s="6"/>
      <c r="V105" s="6"/>
      <c r="W105" s="6"/>
      <c r="X105" s="6"/>
      <c r="Y105" s="6"/>
      <c r="Z105" s="6"/>
    </row>
    <row r="106">
      <c r="A106" s="12" t="s">
        <v>228</v>
      </c>
      <c r="B106" s="15">
        <v>4.0</v>
      </c>
      <c r="C106" s="15">
        <v>37.0</v>
      </c>
      <c r="D106" s="19" t="s">
        <v>23</v>
      </c>
      <c r="E106" s="6"/>
      <c r="F106" s="6"/>
      <c r="G106" s="6"/>
      <c r="H106" s="6"/>
      <c r="I106" s="6"/>
      <c r="J106" s="6"/>
      <c r="K106" s="6"/>
      <c r="L106" s="6"/>
      <c r="M106" s="6"/>
      <c r="N106" s="6"/>
      <c r="O106" s="6"/>
      <c r="P106" s="6"/>
      <c r="Q106" s="6"/>
      <c r="R106" s="6"/>
      <c r="S106" s="6"/>
      <c r="T106" s="6"/>
      <c r="U106" s="6"/>
      <c r="V106" s="6"/>
      <c r="W106" s="6"/>
      <c r="X106" s="6"/>
      <c r="Y106" s="6"/>
      <c r="Z106" s="6"/>
    </row>
    <row r="107">
      <c r="A107" s="12" t="s">
        <v>283</v>
      </c>
      <c r="B107" s="15">
        <v>8.0</v>
      </c>
      <c r="C107" s="15">
        <v>68.0</v>
      </c>
      <c r="D107" s="19" t="s">
        <v>29</v>
      </c>
      <c r="E107" s="6"/>
      <c r="F107" s="6"/>
      <c r="G107" s="6"/>
      <c r="H107" s="6"/>
      <c r="I107" s="6"/>
      <c r="J107" s="6"/>
      <c r="K107" s="6"/>
      <c r="L107" s="6"/>
      <c r="M107" s="6"/>
      <c r="N107" s="6"/>
      <c r="O107" s="6"/>
      <c r="P107" s="6"/>
      <c r="Q107" s="6"/>
      <c r="R107" s="6"/>
      <c r="S107" s="6"/>
      <c r="T107" s="6"/>
      <c r="U107" s="6"/>
      <c r="V107" s="6"/>
      <c r="W107" s="6"/>
      <c r="X107" s="6"/>
      <c r="Y107" s="6"/>
      <c r="Z107" s="6"/>
    </row>
    <row r="108">
      <c r="A108" s="12" t="s">
        <v>277</v>
      </c>
      <c r="B108" s="15">
        <v>8.0</v>
      </c>
      <c r="C108" s="15">
        <v>68.0</v>
      </c>
      <c r="D108" s="19" t="s">
        <v>23</v>
      </c>
      <c r="E108" s="6"/>
      <c r="F108" s="6"/>
      <c r="G108" s="6"/>
      <c r="H108" s="6"/>
      <c r="I108" s="6"/>
      <c r="J108" s="6"/>
      <c r="K108" s="6"/>
      <c r="L108" s="6"/>
      <c r="M108" s="6"/>
      <c r="N108" s="6"/>
      <c r="O108" s="6"/>
      <c r="P108" s="6"/>
      <c r="Q108" s="6"/>
      <c r="R108" s="6"/>
      <c r="S108" s="6"/>
      <c r="T108" s="6"/>
      <c r="U108" s="6"/>
      <c r="V108" s="6"/>
      <c r="W108" s="6"/>
      <c r="X108" s="6"/>
      <c r="Y108" s="6"/>
      <c r="Z108" s="6"/>
    </row>
    <row r="109">
      <c r="A109" s="27" t="s">
        <v>272</v>
      </c>
      <c r="B109" s="29">
        <v>4.0</v>
      </c>
      <c r="C109" s="29">
        <v>30.0</v>
      </c>
      <c r="D109" s="30" t="s">
        <v>29</v>
      </c>
      <c r="E109" s="6"/>
      <c r="F109" s="6"/>
      <c r="G109" s="6"/>
      <c r="H109" s="6"/>
      <c r="I109" s="6"/>
      <c r="J109" s="6"/>
      <c r="K109" s="6"/>
      <c r="L109" s="6"/>
      <c r="M109" s="6"/>
      <c r="N109" s="6"/>
      <c r="O109" s="6"/>
      <c r="P109" s="6"/>
      <c r="Q109" s="6"/>
      <c r="R109" s="6"/>
      <c r="S109" s="6"/>
      <c r="T109" s="6"/>
      <c r="U109" s="6"/>
      <c r="V109" s="6"/>
      <c r="W109" s="6"/>
      <c r="X109" s="6"/>
      <c r="Y109" s="6"/>
      <c r="Z109" s="6"/>
    </row>
    <row r="110">
      <c r="A110" s="12" t="s">
        <v>315</v>
      </c>
      <c r="B110" s="15">
        <v>8.0</v>
      </c>
      <c r="C110" s="15">
        <v>72.0</v>
      </c>
      <c r="D110" s="19" t="s">
        <v>52</v>
      </c>
      <c r="E110" s="6"/>
      <c r="F110" s="6"/>
      <c r="G110" s="6"/>
      <c r="H110" s="6"/>
      <c r="I110" s="6"/>
      <c r="J110" s="6"/>
      <c r="K110" s="6"/>
      <c r="L110" s="6"/>
      <c r="M110" s="6"/>
      <c r="N110" s="6"/>
      <c r="O110" s="6"/>
      <c r="P110" s="6"/>
      <c r="Q110" s="6"/>
      <c r="R110" s="6"/>
      <c r="S110" s="6"/>
      <c r="T110" s="6"/>
      <c r="U110" s="6"/>
      <c r="V110" s="6"/>
      <c r="W110" s="6"/>
      <c r="X110" s="6"/>
      <c r="Y110" s="6"/>
      <c r="Z110" s="6"/>
    </row>
    <row r="111">
      <c r="A111" s="12" t="s">
        <v>336</v>
      </c>
      <c r="B111" s="15">
        <v>7.0</v>
      </c>
      <c r="C111" s="15">
        <v>66.0</v>
      </c>
      <c r="D111" s="19" t="s">
        <v>52</v>
      </c>
      <c r="E111" s="6"/>
      <c r="F111" s="6"/>
      <c r="G111" s="6"/>
      <c r="H111" s="6"/>
      <c r="I111" s="6"/>
      <c r="J111" s="6"/>
      <c r="K111" s="6"/>
      <c r="L111" s="6"/>
      <c r="M111" s="6"/>
      <c r="N111" s="6"/>
      <c r="O111" s="6"/>
      <c r="P111" s="6"/>
      <c r="Q111" s="6"/>
      <c r="R111" s="6"/>
      <c r="S111" s="6"/>
      <c r="T111" s="6"/>
      <c r="U111" s="6"/>
      <c r="V111" s="6"/>
      <c r="W111" s="6"/>
      <c r="X111" s="6"/>
      <c r="Y111" s="6"/>
      <c r="Z111" s="6"/>
    </row>
    <row r="112">
      <c r="A112" s="12" t="s">
        <v>340</v>
      </c>
      <c r="B112" s="15">
        <v>8.0</v>
      </c>
      <c r="C112" s="15">
        <v>75.0</v>
      </c>
      <c r="D112" s="19" t="s">
        <v>52</v>
      </c>
      <c r="E112" s="6"/>
      <c r="F112" s="6"/>
      <c r="G112" s="6"/>
      <c r="H112" s="6"/>
      <c r="I112" s="6"/>
      <c r="J112" s="6"/>
      <c r="K112" s="6"/>
      <c r="L112" s="6"/>
      <c r="M112" s="6"/>
      <c r="N112" s="6"/>
      <c r="O112" s="6"/>
      <c r="P112" s="6"/>
      <c r="Q112" s="6"/>
      <c r="R112" s="6"/>
      <c r="S112" s="6"/>
      <c r="T112" s="6"/>
      <c r="U112" s="6"/>
      <c r="V112" s="6"/>
      <c r="W112" s="6"/>
      <c r="X112" s="6"/>
      <c r="Y112" s="6"/>
      <c r="Z112" s="6"/>
    </row>
    <row r="113">
      <c r="A113" s="12" t="s">
        <v>196</v>
      </c>
      <c r="B113" s="15">
        <v>4.0</v>
      </c>
      <c r="C113" s="15">
        <v>33.0</v>
      </c>
      <c r="D113" s="19" t="s">
        <v>23</v>
      </c>
      <c r="E113" s="6"/>
      <c r="F113" s="6"/>
      <c r="G113" s="6"/>
      <c r="H113" s="6"/>
      <c r="I113" s="6"/>
      <c r="J113" s="6"/>
      <c r="K113" s="6"/>
      <c r="L113" s="6"/>
      <c r="M113" s="6"/>
      <c r="N113" s="6"/>
      <c r="O113" s="6"/>
      <c r="P113" s="6"/>
      <c r="Q113" s="6"/>
      <c r="R113" s="6"/>
      <c r="S113" s="6"/>
      <c r="T113" s="6"/>
      <c r="U113" s="6"/>
      <c r="V113" s="6"/>
      <c r="W113" s="6"/>
      <c r="X113" s="6"/>
      <c r="Y113" s="6"/>
      <c r="Z113" s="6"/>
    </row>
    <row r="114">
      <c r="A114" s="12" t="s">
        <v>348</v>
      </c>
      <c r="B114" s="15">
        <v>10.0</v>
      </c>
      <c r="C114" s="15">
        <v>96.0</v>
      </c>
      <c r="D114" s="19" t="s">
        <v>29</v>
      </c>
      <c r="E114" s="6"/>
      <c r="F114" s="6"/>
      <c r="G114" s="6"/>
      <c r="H114" s="6"/>
      <c r="I114" s="6"/>
      <c r="J114" s="6"/>
      <c r="K114" s="6"/>
      <c r="L114" s="6"/>
      <c r="M114" s="6"/>
      <c r="N114" s="6"/>
      <c r="O114" s="6"/>
      <c r="P114" s="6"/>
      <c r="Q114" s="6"/>
      <c r="R114" s="6"/>
      <c r="S114" s="6"/>
      <c r="T114" s="6"/>
      <c r="U114" s="6"/>
      <c r="V114" s="6"/>
      <c r="W114" s="6"/>
      <c r="X114" s="6"/>
      <c r="Y114" s="6"/>
      <c r="Z114" s="6"/>
    </row>
    <row r="115">
      <c r="A115" s="125" t="s">
        <v>307</v>
      </c>
      <c r="B115" s="15">
        <v>8.0</v>
      </c>
      <c r="C115" s="15">
        <v>71.0</v>
      </c>
      <c r="D115" s="19" t="s">
        <v>23</v>
      </c>
      <c r="E115" s="6"/>
      <c r="F115" s="6"/>
      <c r="G115" s="6"/>
      <c r="H115" s="6"/>
      <c r="I115" s="6"/>
      <c r="J115" s="6"/>
      <c r="K115" s="6"/>
      <c r="L115" s="6"/>
      <c r="M115" s="6"/>
      <c r="N115" s="6"/>
      <c r="O115" s="6"/>
      <c r="P115" s="6"/>
      <c r="Q115" s="6"/>
      <c r="R115" s="6"/>
      <c r="S115" s="6"/>
      <c r="T115" s="6"/>
      <c r="U115" s="6"/>
      <c r="V115" s="6"/>
      <c r="W115" s="6"/>
      <c r="X115" s="6"/>
      <c r="Y115" s="6"/>
      <c r="Z115" s="6"/>
    </row>
    <row r="116">
      <c r="A116" s="27" t="s">
        <v>353</v>
      </c>
      <c r="B116" s="29">
        <v>8.0</v>
      </c>
      <c r="C116" s="29">
        <v>70.0</v>
      </c>
      <c r="D116" s="65"/>
      <c r="E116" s="6"/>
      <c r="F116" s="6"/>
      <c r="G116" s="6"/>
      <c r="H116" s="6"/>
      <c r="I116" s="6"/>
      <c r="J116" s="6"/>
      <c r="K116" s="6"/>
      <c r="L116" s="6"/>
      <c r="M116" s="6"/>
      <c r="N116" s="6"/>
      <c r="O116" s="6"/>
      <c r="P116" s="6"/>
      <c r="Q116" s="6"/>
      <c r="R116" s="6"/>
      <c r="S116" s="6"/>
      <c r="T116" s="6"/>
      <c r="U116" s="6"/>
      <c r="V116" s="6"/>
      <c r="W116" s="6"/>
      <c r="X116" s="6"/>
      <c r="Y116" s="6"/>
      <c r="Z116" s="6"/>
    </row>
    <row r="117">
      <c r="A117" s="12" t="s">
        <v>209</v>
      </c>
      <c r="B117" s="15">
        <v>8.0</v>
      </c>
      <c r="C117" s="15">
        <v>69.0</v>
      </c>
      <c r="D117" s="19" t="s">
        <v>29</v>
      </c>
      <c r="E117" s="6"/>
      <c r="F117" s="6"/>
      <c r="G117" s="6"/>
      <c r="H117" s="6"/>
      <c r="I117" s="6"/>
      <c r="J117" s="6"/>
      <c r="K117" s="6"/>
      <c r="L117" s="6"/>
      <c r="M117" s="6"/>
      <c r="N117" s="6"/>
      <c r="O117" s="6"/>
      <c r="P117" s="6"/>
      <c r="Q117" s="6"/>
      <c r="R117" s="6"/>
      <c r="S117" s="6"/>
      <c r="T117" s="6"/>
      <c r="U117" s="6"/>
      <c r="V117" s="6"/>
      <c r="W117" s="6"/>
      <c r="X117" s="6"/>
      <c r="Y117" s="6"/>
      <c r="Z117" s="6"/>
    </row>
    <row r="118">
      <c r="A118" s="12" t="s">
        <v>304</v>
      </c>
      <c r="B118" s="15">
        <v>7.0</v>
      </c>
      <c r="C118" s="15">
        <v>65.0</v>
      </c>
      <c r="D118" s="19" t="s">
        <v>52</v>
      </c>
      <c r="E118" s="6"/>
      <c r="F118" s="6"/>
      <c r="G118" s="6"/>
      <c r="H118" s="6"/>
      <c r="I118" s="6"/>
      <c r="J118" s="6"/>
      <c r="K118" s="6"/>
      <c r="L118" s="6"/>
      <c r="M118" s="6"/>
      <c r="N118" s="6"/>
      <c r="O118" s="6"/>
      <c r="P118" s="6"/>
      <c r="Q118" s="6"/>
      <c r="R118" s="6"/>
      <c r="S118" s="6"/>
      <c r="T118" s="6"/>
      <c r="U118" s="6"/>
      <c r="V118" s="6"/>
      <c r="W118" s="6"/>
      <c r="X118" s="6"/>
      <c r="Y118" s="6"/>
      <c r="Z118" s="6"/>
    </row>
    <row r="119">
      <c r="A119" s="12" t="s">
        <v>364</v>
      </c>
      <c r="B119" s="15">
        <v>9.0</v>
      </c>
      <c r="C119" s="15">
        <v>78.0</v>
      </c>
      <c r="D119" s="19" t="s">
        <v>23</v>
      </c>
      <c r="E119" s="6"/>
      <c r="F119" s="6"/>
      <c r="G119" s="6"/>
      <c r="H119" s="6"/>
      <c r="I119" s="6"/>
      <c r="J119" s="6"/>
      <c r="K119" s="6"/>
      <c r="L119" s="6"/>
      <c r="M119" s="6"/>
      <c r="N119" s="6"/>
      <c r="O119" s="6"/>
      <c r="P119" s="6"/>
      <c r="Q119" s="6"/>
      <c r="R119" s="6"/>
      <c r="S119" s="6"/>
      <c r="T119" s="6"/>
      <c r="U119" s="6"/>
      <c r="V119" s="6"/>
      <c r="W119" s="6"/>
      <c r="X119" s="6"/>
      <c r="Y119" s="6"/>
      <c r="Z119" s="6"/>
    </row>
    <row r="120">
      <c r="A120" s="12" t="s">
        <v>322</v>
      </c>
      <c r="B120" s="15">
        <v>9.0</v>
      </c>
      <c r="C120" s="15">
        <v>84.0</v>
      </c>
      <c r="D120" s="19" t="s">
        <v>52</v>
      </c>
      <c r="E120" s="6"/>
      <c r="F120" s="6"/>
      <c r="G120" s="6"/>
      <c r="H120" s="6"/>
      <c r="I120" s="6"/>
      <c r="J120" s="6"/>
      <c r="K120" s="6"/>
      <c r="L120" s="6"/>
      <c r="M120" s="6"/>
      <c r="N120" s="6"/>
      <c r="O120" s="6"/>
      <c r="P120" s="6"/>
      <c r="Q120" s="6"/>
      <c r="R120" s="6"/>
      <c r="S120" s="6"/>
      <c r="T120" s="6"/>
      <c r="U120" s="6"/>
      <c r="V120" s="6"/>
      <c r="W120" s="6"/>
      <c r="X120" s="6"/>
      <c r="Y120" s="6"/>
      <c r="Z120" s="6"/>
    </row>
    <row r="121">
      <c r="A121" s="12" t="s">
        <v>372</v>
      </c>
      <c r="B121" s="15">
        <v>9.0</v>
      </c>
      <c r="C121" s="15">
        <v>85.0</v>
      </c>
      <c r="D121" s="19" t="s">
        <v>16</v>
      </c>
      <c r="E121" s="6"/>
      <c r="F121" s="6"/>
      <c r="G121" s="6"/>
      <c r="H121" s="6"/>
      <c r="I121" s="6"/>
      <c r="J121" s="6"/>
      <c r="K121" s="6"/>
      <c r="L121" s="6"/>
      <c r="M121" s="6"/>
      <c r="N121" s="6"/>
      <c r="O121" s="6"/>
      <c r="P121" s="6"/>
      <c r="Q121" s="6"/>
      <c r="R121" s="6"/>
      <c r="S121" s="6"/>
      <c r="T121" s="6"/>
      <c r="U121" s="6"/>
      <c r="V121" s="6"/>
      <c r="W121" s="6"/>
      <c r="X121" s="6"/>
      <c r="Y121" s="6"/>
      <c r="Z121" s="6"/>
    </row>
    <row r="122">
      <c r="A122" s="12" t="s">
        <v>368</v>
      </c>
      <c r="B122" s="15">
        <v>8.0</v>
      </c>
      <c r="C122" s="15">
        <v>73.0</v>
      </c>
      <c r="D122" s="19" t="s">
        <v>23</v>
      </c>
      <c r="E122" s="6"/>
      <c r="F122" s="6"/>
      <c r="G122" s="6"/>
      <c r="H122" s="6"/>
      <c r="I122" s="6"/>
      <c r="J122" s="6"/>
      <c r="K122" s="6"/>
      <c r="L122" s="6"/>
      <c r="M122" s="6"/>
      <c r="N122" s="6"/>
      <c r="O122" s="6"/>
      <c r="P122" s="6"/>
      <c r="Q122" s="6"/>
      <c r="R122" s="6"/>
      <c r="S122" s="6"/>
      <c r="T122" s="6"/>
      <c r="U122" s="6"/>
      <c r="V122" s="6"/>
      <c r="W122" s="6"/>
      <c r="X122" s="6"/>
      <c r="Y122" s="6"/>
      <c r="Z122" s="6"/>
    </row>
    <row r="123">
      <c r="A123" s="125" t="s">
        <v>375</v>
      </c>
      <c r="B123" s="15">
        <v>8.0</v>
      </c>
      <c r="C123" s="15">
        <v>76.0</v>
      </c>
      <c r="D123" s="19" t="s">
        <v>29</v>
      </c>
      <c r="E123" s="6"/>
      <c r="F123" s="6"/>
      <c r="G123" s="6"/>
      <c r="H123" s="6"/>
      <c r="I123" s="6"/>
      <c r="J123" s="6"/>
      <c r="K123" s="6"/>
      <c r="L123" s="6"/>
      <c r="M123" s="6"/>
      <c r="N123" s="6"/>
      <c r="O123" s="6"/>
      <c r="P123" s="6"/>
      <c r="Q123" s="6"/>
      <c r="R123" s="6"/>
      <c r="S123" s="6"/>
      <c r="T123" s="6"/>
      <c r="U123" s="6"/>
      <c r="V123" s="6"/>
      <c r="W123" s="6"/>
      <c r="X123" s="6"/>
      <c r="Y123" s="6"/>
      <c r="Z123" s="6"/>
    </row>
    <row r="124">
      <c r="A124" s="128" t="s">
        <v>378</v>
      </c>
      <c r="B124" s="15">
        <v>9.0</v>
      </c>
      <c r="C124" s="15">
        <v>77.0</v>
      </c>
      <c r="D124" s="19" t="s">
        <v>23</v>
      </c>
      <c r="E124" s="6"/>
      <c r="F124" s="6"/>
      <c r="G124" s="6"/>
      <c r="H124" s="6"/>
      <c r="I124" s="6"/>
      <c r="J124" s="6"/>
      <c r="K124" s="6"/>
      <c r="L124" s="6"/>
      <c r="M124" s="6"/>
      <c r="N124" s="6"/>
      <c r="O124" s="6"/>
      <c r="P124" s="6"/>
      <c r="Q124" s="6"/>
      <c r="R124" s="6"/>
      <c r="S124" s="6"/>
      <c r="T124" s="6"/>
      <c r="U124" s="6"/>
      <c r="V124" s="6"/>
      <c r="W124" s="6"/>
      <c r="X124" s="6"/>
      <c r="Y124" s="6"/>
      <c r="Z124" s="6"/>
    </row>
    <row r="125">
      <c r="A125" s="12" t="s">
        <v>358</v>
      </c>
      <c r="B125" s="15">
        <v>9.0</v>
      </c>
      <c r="C125" s="15">
        <v>80.0</v>
      </c>
      <c r="D125" s="19" t="s">
        <v>23</v>
      </c>
      <c r="E125" s="6"/>
      <c r="F125" s="6"/>
      <c r="G125" s="6"/>
      <c r="H125" s="6"/>
      <c r="I125" s="6"/>
      <c r="J125" s="6"/>
      <c r="K125" s="6"/>
      <c r="L125" s="6"/>
      <c r="M125" s="6"/>
      <c r="N125" s="6"/>
      <c r="O125" s="6"/>
      <c r="P125" s="6"/>
      <c r="Q125" s="6"/>
      <c r="R125" s="6"/>
      <c r="S125" s="6"/>
      <c r="T125" s="6"/>
      <c r="U125" s="6"/>
      <c r="V125" s="6"/>
      <c r="W125" s="6"/>
      <c r="X125" s="6"/>
      <c r="Y125" s="6"/>
      <c r="Z125" s="6"/>
    </row>
    <row r="126">
      <c r="A126" s="12" t="s">
        <v>327</v>
      </c>
      <c r="B126" s="15">
        <v>10.0</v>
      </c>
      <c r="C126" s="15">
        <v>91.0</v>
      </c>
      <c r="D126" s="19" t="s">
        <v>29</v>
      </c>
      <c r="E126" s="6"/>
      <c r="F126" s="6"/>
      <c r="G126" s="6"/>
      <c r="H126" s="6"/>
      <c r="I126" s="6"/>
      <c r="J126" s="6"/>
      <c r="K126" s="6"/>
      <c r="L126" s="6"/>
      <c r="M126" s="6"/>
      <c r="N126" s="6"/>
      <c r="O126" s="6"/>
      <c r="P126" s="6"/>
      <c r="Q126" s="6"/>
      <c r="R126" s="6"/>
      <c r="S126" s="6"/>
      <c r="T126" s="6"/>
      <c r="U126" s="6"/>
      <c r="V126" s="6"/>
      <c r="W126" s="6"/>
      <c r="X126" s="6"/>
      <c r="Y126" s="6"/>
      <c r="Z126" s="6"/>
    </row>
    <row r="127">
      <c r="A127" s="27" t="s">
        <v>385</v>
      </c>
      <c r="B127" s="29">
        <v>10.0</v>
      </c>
      <c r="C127" s="29">
        <v>88.0</v>
      </c>
      <c r="D127" s="30" t="s">
        <v>52</v>
      </c>
      <c r="E127" s="6"/>
      <c r="F127" s="6"/>
      <c r="G127" s="6"/>
      <c r="H127" s="6"/>
      <c r="I127" s="6"/>
      <c r="J127" s="6"/>
      <c r="K127" s="6"/>
      <c r="L127" s="6"/>
      <c r="M127" s="6"/>
      <c r="N127" s="6"/>
      <c r="O127" s="6"/>
      <c r="P127" s="6"/>
      <c r="Q127" s="6"/>
      <c r="R127" s="6"/>
      <c r="S127" s="6"/>
      <c r="T127" s="6"/>
      <c r="U127" s="6"/>
      <c r="V127" s="6"/>
      <c r="W127" s="6"/>
      <c r="X127" s="6"/>
      <c r="Y127" s="6"/>
      <c r="Z127" s="6"/>
    </row>
    <row r="128">
      <c r="A128" s="125" t="s">
        <v>362</v>
      </c>
      <c r="B128" s="15">
        <v>9.0</v>
      </c>
      <c r="C128" s="15">
        <v>85.0</v>
      </c>
      <c r="D128" s="19" t="s">
        <v>23</v>
      </c>
      <c r="E128" s="6"/>
      <c r="F128" s="6"/>
      <c r="G128" s="6"/>
      <c r="H128" s="6"/>
      <c r="I128" s="6"/>
      <c r="J128" s="6"/>
      <c r="K128" s="6"/>
      <c r="L128" s="6"/>
      <c r="M128" s="6"/>
      <c r="N128" s="6"/>
      <c r="O128" s="6"/>
      <c r="P128" s="6"/>
      <c r="Q128" s="6"/>
      <c r="R128" s="6"/>
      <c r="S128" s="6"/>
      <c r="T128" s="6"/>
      <c r="U128" s="6"/>
      <c r="V128" s="6"/>
      <c r="W128" s="6"/>
      <c r="X128" s="6"/>
      <c r="Y128" s="6"/>
      <c r="Z128" s="6"/>
    </row>
    <row r="129">
      <c r="A129" s="12" t="s">
        <v>301</v>
      </c>
      <c r="B129" s="15">
        <v>9.0</v>
      </c>
      <c r="C129" s="15">
        <v>84.0</v>
      </c>
      <c r="D129" s="19" t="s">
        <v>23</v>
      </c>
      <c r="E129" s="6"/>
      <c r="F129" s="6"/>
      <c r="G129" s="6"/>
      <c r="H129" s="6"/>
      <c r="I129" s="6"/>
      <c r="J129" s="6"/>
      <c r="K129" s="6"/>
      <c r="L129" s="6"/>
      <c r="M129" s="6"/>
      <c r="N129" s="6"/>
      <c r="O129" s="6"/>
      <c r="P129" s="6"/>
      <c r="Q129" s="6"/>
      <c r="R129" s="6"/>
      <c r="S129" s="6"/>
      <c r="T129" s="6"/>
      <c r="U129" s="6"/>
      <c r="V129" s="6"/>
      <c r="W129" s="6"/>
      <c r="X129" s="6"/>
      <c r="Y129" s="6"/>
      <c r="Z129" s="6"/>
    </row>
    <row r="130">
      <c r="A130" s="12" t="s">
        <v>391</v>
      </c>
      <c r="B130" s="15">
        <v>9.0</v>
      </c>
      <c r="C130" s="15">
        <v>83.0</v>
      </c>
      <c r="D130" s="19" t="s">
        <v>393</v>
      </c>
      <c r="E130" s="6"/>
      <c r="F130" s="6"/>
      <c r="G130" s="6"/>
      <c r="H130" s="6"/>
      <c r="I130" s="6"/>
      <c r="J130" s="6"/>
      <c r="K130" s="6"/>
      <c r="L130" s="6"/>
      <c r="M130" s="6"/>
      <c r="N130" s="6"/>
      <c r="O130" s="6"/>
      <c r="P130" s="6"/>
      <c r="Q130" s="6"/>
      <c r="R130" s="6"/>
      <c r="S130" s="6"/>
      <c r="T130" s="6"/>
      <c r="U130" s="6"/>
      <c r="V130" s="6"/>
      <c r="W130" s="6"/>
      <c r="X130" s="6"/>
      <c r="Y130" s="6"/>
      <c r="Z130" s="6"/>
    </row>
    <row r="131">
      <c r="A131" s="12" t="s">
        <v>380</v>
      </c>
      <c r="B131" s="15">
        <v>10.0</v>
      </c>
      <c r="C131" s="15">
        <v>90.0</v>
      </c>
      <c r="D131" s="19" t="s">
        <v>23</v>
      </c>
      <c r="E131" s="6"/>
      <c r="F131" s="6"/>
      <c r="G131" s="6"/>
      <c r="H131" s="6"/>
      <c r="I131" s="6"/>
      <c r="J131" s="6"/>
      <c r="K131" s="6"/>
      <c r="L131" s="6"/>
      <c r="M131" s="6"/>
      <c r="N131" s="6"/>
      <c r="O131" s="6"/>
      <c r="P131" s="6"/>
      <c r="Q131" s="6"/>
      <c r="R131" s="6"/>
      <c r="S131" s="6"/>
      <c r="T131" s="6"/>
      <c r="U131" s="6"/>
      <c r="V131" s="6"/>
      <c r="W131" s="6"/>
      <c r="X131" s="6"/>
      <c r="Y131" s="6"/>
      <c r="Z131" s="6"/>
    </row>
    <row r="132">
      <c r="A132" s="12" t="s">
        <v>394</v>
      </c>
      <c r="B132" s="15">
        <v>9.0</v>
      </c>
      <c r="C132" s="15">
        <v>78.0</v>
      </c>
      <c r="D132" s="19" t="s">
        <v>23</v>
      </c>
      <c r="E132" s="6"/>
      <c r="F132" s="6"/>
      <c r="G132" s="6"/>
      <c r="H132" s="6"/>
      <c r="I132" s="6"/>
      <c r="J132" s="6"/>
      <c r="K132" s="6"/>
      <c r="L132" s="6"/>
      <c r="M132" s="6"/>
      <c r="N132" s="6"/>
      <c r="O132" s="6"/>
      <c r="P132" s="6"/>
      <c r="Q132" s="6"/>
      <c r="R132" s="6"/>
      <c r="S132" s="6"/>
      <c r="T132" s="6"/>
      <c r="U132" s="6"/>
      <c r="V132" s="6"/>
      <c r="W132" s="6"/>
      <c r="X132" s="6"/>
      <c r="Y132" s="6"/>
      <c r="Z132" s="6"/>
    </row>
    <row r="133">
      <c r="A133" s="12" t="s">
        <v>384</v>
      </c>
      <c r="B133" s="15">
        <v>10.0</v>
      </c>
      <c r="C133" s="15">
        <v>94.0</v>
      </c>
      <c r="D133" s="19" t="s">
        <v>23</v>
      </c>
      <c r="E133" s="6"/>
      <c r="F133" s="6"/>
      <c r="G133" s="6"/>
      <c r="H133" s="6"/>
      <c r="I133" s="6"/>
      <c r="J133" s="6"/>
      <c r="K133" s="6"/>
      <c r="L133" s="6"/>
      <c r="M133" s="6"/>
      <c r="N133" s="6"/>
      <c r="O133" s="6"/>
      <c r="P133" s="6"/>
      <c r="Q133" s="6"/>
      <c r="R133" s="6"/>
      <c r="S133" s="6"/>
      <c r="T133" s="6"/>
      <c r="U133" s="6"/>
      <c r="V133" s="6"/>
      <c r="W133" s="6"/>
      <c r="X133" s="6"/>
      <c r="Y133" s="6"/>
      <c r="Z133" s="6"/>
    </row>
    <row r="134">
      <c r="A134" s="12" t="s">
        <v>407</v>
      </c>
      <c r="B134" s="15" t="s">
        <v>408</v>
      </c>
      <c r="C134" s="15">
        <v>105.0</v>
      </c>
      <c r="D134" s="19" t="s">
        <v>52</v>
      </c>
      <c r="E134" s="6"/>
      <c r="F134" s="6"/>
      <c r="G134" s="6"/>
      <c r="H134" s="6"/>
      <c r="I134" s="6"/>
      <c r="J134" s="6"/>
      <c r="K134" s="6"/>
      <c r="L134" s="6"/>
      <c r="M134" s="6"/>
      <c r="N134" s="6"/>
      <c r="O134" s="6"/>
      <c r="P134" s="6"/>
      <c r="Q134" s="6"/>
      <c r="R134" s="6"/>
      <c r="S134" s="6"/>
      <c r="T134" s="6"/>
      <c r="U134" s="6"/>
      <c r="V134" s="6"/>
      <c r="W134" s="6"/>
      <c r="X134" s="6"/>
      <c r="Y134" s="6"/>
      <c r="Z134" s="6"/>
    </row>
    <row r="135">
      <c r="A135" s="12" t="s">
        <v>341</v>
      </c>
      <c r="B135" s="15">
        <v>9.0</v>
      </c>
      <c r="C135" s="15">
        <v>79.0</v>
      </c>
      <c r="D135" s="19" t="s">
        <v>29</v>
      </c>
      <c r="E135" s="6"/>
      <c r="F135" s="6"/>
      <c r="G135" s="6"/>
      <c r="H135" s="6"/>
      <c r="I135" s="6"/>
      <c r="J135" s="6"/>
      <c r="K135" s="6"/>
      <c r="L135" s="6"/>
      <c r="M135" s="6"/>
      <c r="N135" s="6"/>
      <c r="O135" s="6"/>
      <c r="P135" s="6"/>
      <c r="Q135" s="6"/>
      <c r="R135" s="6"/>
      <c r="S135" s="6"/>
      <c r="T135" s="6"/>
      <c r="U135" s="6"/>
      <c r="V135" s="6"/>
      <c r="W135" s="6"/>
      <c r="X135" s="6"/>
      <c r="Y135" s="6"/>
      <c r="Z135" s="6"/>
    </row>
    <row r="136">
      <c r="A136" s="12" t="s">
        <v>415</v>
      </c>
      <c r="B136" s="15">
        <v>9.0</v>
      </c>
      <c r="C136" s="15">
        <v>81.0</v>
      </c>
      <c r="D136" s="37" t="s">
        <v>418</v>
      </c>
      <c r="E136" s="6"/>
      <c r="F136" s="6"/>
      <c r="G136" s="6"/>
      <c r="H136" s="6"/>
      <c r="I136" s="6"/>
      <c r="J136" s="6"/>
      <c r="K136" s="6"/>
      <c r="L136" s="6"/>
      <c r="M136" s="6"/>
      <c r="N136" s="6"/>
      <c r="O136" s="6"/>
      <c r="P136" s="6"/>
      <c r="Q136" s="6"/>
      <c r="R136" s="6"/>
      <c r="S136" s="6"/>
      <c r="T136" s="6"/>
      <c r="U136" s="6"/>
      <c r="V136" s="6"/>
      <c r="W136" s="6"/>
      <c r="X136" s="6"/>
      <c r="Y136" s="6"/>
      <c r="Z136" s="6"/>
    </row>
    <row r="137">
      <c r="A137" s="12" t="s">
        <v>317</v>
      </c>
      <c r="B137" s="15">
        <v>8.0</v>
      </c>
      <c r="C137" s="15">
        <v>73.0</v>
      </c>
      <c r="D137" s="19" t="s">
        <v>23</v>
      </c>
      <c r="E137" s="6"/>
      <c r="F137" s="6"/>
      <c r="G137" s="6"/>
      <c r="H137" s="6"/>
      <c r="I137" s="6"/>
      <c r="J137" s="6"/>
      <c r="K137" s="6"/>
      <c r="L137" s="6"/>
      <c r="M137" s="6"/>
      <c r="N137" s="6"/>
      <c r="O137" s="6"/>
      <c r="P137" s="6"/>
      <c r="Q137" s="6"/>
      <c r="R137" s="6"/>
      <c r="S137" s="6"/>
      <c r="T137" s="6"/>
      <c r="U137" s="6"/>
      <c r="V137" s="6"/>
      <c r="W137" s="6"/>
      <c r="X137" s="6"/>
      <c r="Y137" s="6"/>
      <c r="Z137" s="6"/>
    </row>
    <row r="138">
      <c r="A138" s="12" t="s">
        <v>345</v>
      </c>
      <c r="B138" s="15">
        <v>9.0</v>
      </c>
      <c r="C138" s="15">
        <v>86.0</v>
      </c>
      <c r="D138" s="37" t="s">
        <v>426</v>
      </c>
      <c r="E138" s="6"/>
      <c r="F138" s="6"/>
      <c r="G138" s="6"/>
      <c r="H138" s="6"/>
      <c r="I138" s="6"/>
      <c r="J138" s="6"/>
      <c r="K138" s="6"/>
      <c r="L138" s="6"/>
      <c r="M138" s="6"/>
      <c r="N138" s="6"/>
      <c r="O138" s="6"/>
      <c r="P138" s="6"/>
      <c r="Q138" s="6"/>
      <c r="R138" s="6"/>
      <c r="S138" s="6"/>
      <c r="T138" s="6"/>
      <c r="U138" s="6"/>
      <c r="V138" s="6"/>
      <c r="W138" s="6"/>
      <c r="X138" s="6"/>
      <c r="Y138" s="6"/>
      <c r="Z138" s="6"/>
    </row>
    <row r="139">
      <c r="A139" s="12" t="s">
        <v>402</v>
      </c>
      <c r="B139" s="15">
        <v>10.0</v>
      </c>
      <c r="C139" s="15">
        <v>98.0</v>
      </c>
      <c r="D139" s="19" t="s">
        <v>29</v>
      </c>
      <c r="E139" s="6"/>
      <c r="F139" s="6"/>
      <c r="G139" s="6"/>
      <c r="H139" s="6"/>
      <c r="I139" s="6"/>
      <c r="J139" s="6"/>
      <c r="K139" s="6"/>
      <c r="L139" s="6"/>
      <c r="M139" s="6"/>
      <c r="N139" s="6"/>
      <c r="O139" s="6"/>
      <c r="P139" s="6"/>
      <c r="Q139" s="6"/>
      <c r="R139" s="6"/>
      <c r="S139" s="6"/>
      <c r="T139" s="6"/>
      <c r="U139" s="6"/>
      <c r="V139" s="6"/>
      <c r="W139" s="6"/>
      <c r="X139" s="6"/>
      <c r="Y139" s="6"/>
      <c r="Z139" s="6"/>
    </row>
    <row r="140">
      <c r="A140" s="12" t="s">
        <v>424</v>
      </c>
      <c r="B140" s="15">
        <v>10.0</v>
      </c>
      <c r="C140" s="15">
        <v>92.0</v>
      </c>
      <c r="D140" s="19" t="s">
        <v>23</v>
      </c>
      <c r="E140" s="6"/>
      <c r="F140" s="6"/>
      <c r="G140" s="6"/>
      <c r="H140" s="6"/>
      <c r="I140" s="6"/>
      <c r="J140" s="6"/>
      <c r="K140" s="6"/>
      <c r="L140" s="6"/>
      <c r="M140" s="6"/>
      <c r="N140" s="6"/>
      <c r="O140" s="6"/>
      <c r="P140" s="6"/>
      <c r="Q140" s="6"/>
      <c r="R140" s="6"/>
      <c r="S140" s="6"/>
      <c r="T140" s="6"/>
      <c r="U140" s="6"/>
      <c r="V140" s="6"/>
      <c r="W140" s="6"/>
      <c r="X140" s="6"/>
      <c r="Y140" s="6"/>
      <c r="Z140" s="6"/>
    </row>
    <row r="141">
      <c r="A141" s="12" t="s">
        <v>437</v>
      </c>
      <c r="B141" s="15">
        <v>10.0</v>
      </c>
      <c r="C141" s="15">
        <v>90.0</v>
      </c>
      <c r="D141" s="19" t="s">
        <v>29</v>
      </c>
      <c r="E141" s="6"/>
      <c r="F141" s="6"/>
      <c r="G141" s="6"/>
      <c r="H141" s="6"/>
      <c r="I141" s="6"/>
      <c r="J141" s="6"/>
      <c r="K141" s="6"/>
      <c r="L141" s="6"/>
      <c r="M141" s="6"/>
      <c r="N141" s="6"/>
      <c r="O141" s="6"/>
      <c r="P141" s="6"/>
      <c r="Q141" s="6"/>
      <c r="R141" s="6"/>
      <c r="S141" s="6"/>
      <c r="T141" s="6"/>
      <c r="U141" s="6"/>
      <c r="V141" s="6"/>
      <c r="W141" s="6"/>
      <c r="X141" s="6"/>
      <c r="Y141" s="6"/>
      <c r="Z141" s="6"/>
    </row>
    <row r="142">
      <c r="A142" s="12" t="s">
        <v>335</v>
      </c>
      <c r="B142" s="15">
        <v>9.0</v>
      </c>
      <c r="C142" s="15">
        <v>77.0</v>
      </c>
      <c r="D142" s="19" t="s">
        <v>23</v>
      </c>
      <c r="E142" s="6"/>
      <c r="F142" s="6"/>
      <c r="G142" s="6"/>
      <c r="H142" s="6"/>
      <c r="I142" s="6"/>
      <c r="J142" s="6"/>
      <c r="K142" s="6"/>
      <c r="L142" s="6"/>
      <c r="M142" s="6"/>
      <c r="N142" s="6"/>
      <c r="O142" s="6"/>
      <c r="P142" s="6"/>
      <c r="Q142" s="6"/>
      <c r="R142" s="6"/>
      <c r="S142" s="6"/>
      <c r="T142" s="6"/>
      <c r="U142" s="6"/>
      <c r="V142" s="6"/>
      <c r="W142" s="6"/>
      <c r="X142" s="6"/>
      <c r="Y142" s="6"/>
      <c r="Z142" s="6"/>
    </row>
    <row r="143">
      <c r="A143" s="27" t="s">
        <v>443</v>
      </c>
      <c r="B143" s="29" t="s">
        <v>408</v>
      </c>
      <c r="C143" s="29">
        <v>103.0</v>
      </c>
      <c r="D143" s="30" t="s">
        <v>29</v>
      </c>
      <c r="E143" s="6"/>
      <c r="F143" s="6"/>
      <c r="G143" s="6"/>
      <c r="H143" s="6"/>
      <c r="I143" s="6"/>
      <c r="J143" s="6"/>
      <c r="K143" s="6"/>
      <c r="L143" s="6"/>
      <c r="M143" s="6"/>
      <c r="N143" s="6"/>
      <c r="O143" s="6"/>
      <c r="P143" s="6"/>
      <c r="Q143" s="6"/>
      <c r="R143" s="6"/>
      <c r="S143" s="6"/>
      <c r="T143" s="6"/>
      <c r="U143" s="6"/>
      <c r="V143" s="6"/>
      <c r="W143" s="6"/>
      <c r="X143" s="6"/>
      <c r="Y143" s="6"/>
      <c r="Z143" s="6"/>
    </row>
    <row r="144">
      <c r="A144" s="12" t="s">
        <v>446</v>
      </c>
      <c r="B144" s="15">
        <v>10.0</v>
      </c>
      <c r="C144" s="15">
        <v>97.0</v>
      </c>
      <c r="D144" s="19" t="s">
        <v>23</v>
      </c>
      <c r="E144" s="6"/>
      <c r="F144" s="6"/>
      <c r="G144" s="6"/>
      <c r="H144" s="6"/>
      <c r="I144" s="6"/>
      <c r="J144" s="6"/>
      <c r="K144" s="6"/>
      <c r="L144" s="6"/>
      <c r="M144" s="6"/>
      <c r="N144" s="6"/>
      <c r="O144" s="6"/>
      <c r="P144" s="6"/>
      <c r="Q144" s="6"/>
      <c r="R144" s="6"/>
      <c r="S144" s="6"/>
      <c r="T144" s="6"/>
      <c r="U144" s="6"/>
      <c r="V144" s="6"/>
      <c r="W144" s="6"/>
      <c r="X144" s="6"/>
      <c r="Y144" s="6"/>
      <c r="Z144" s="6"/>
    </row>
    <row r="145">
      <c r="A145" s="12" t="s">
        <v>438</v>
      </c>
      <c r="B145" s="15" t="s">
        <v>408</v>
      </c>
      <c r="C145" s="15">
        <v>107.0</v>
      </c>
      <c r="D145" s="19" t="s">
        <v>29</v>
      </c>
      <c r="E145" s="6"/>
      <c r="F145" s="6"/>
      <c r="G145" s="6"/>
      <c r="H145" s="6"/>
      <c r="I145" s="6"/>
      <c r="J145" s="6"/>
      <c r="K145" s="6"/>
      <c r="L145" s="6"/>
      <c r="M145" s="6"/>
      <c r="N145" s="6"/>
      <c r="O145" s="6"/>
      <c r="P145" s="6"/>
      <c r="Q145" s="6"/>
      <c r="R145" s="6"/>
      <c r="S145" s="6"/>
      <c r="T145" s="6"/>
      <c r="U145" s="6"/>
      <c r="V145" s="6"/>
      <c r="W145" s="6"/>
      <c r="X145" s="6"/>
      <c r="Y145" s="6"/>
      <c r="Z145" s="6"/>
    </row>
    <row r="146">
      <c r="A146" s="12" t="s">
        <v>454</v>
      </c>
      <c r="B146" s="15">
        <v>10.0</v>
      </c>
      <c r="C146" s="15">
        <v>87.0</v>
      </c>
      <c r="D146" s="19" t="s">
        <v>29</v>
      </c>
      <c r="E146" s="6"/>
      <c r="F146" s="6"/>
      <c r="G146" s="6"/>
      <c r="H146" s="6"/>
      <c r="I146" s="6"/>
      <c r="J146" s="6"/>
      <c r="K146" s="6"/>
      <c r="L146" s="6"/>
      <c r="M146" s="6"/>
      <c r="N146" s="6"/>
      <c r="O146" s="6"/>
      <c r="P146" s="6"/>
      <c r="Q146" s="6"/>
      <c r="R146" s="6"/>
      <c r="S146" s="6"/>
      <c r="T146" s="6"/>
      <c r="U146" s="6"/>
      <c r="V146" s="6"/>
      <c r="W146" s="6"/>
      <c r="X146" s="6"/>
      <c r="Y146" s="6"/>
      <c r="Z146" s="6"/>
    </row>
    <row r="147">
      <c r="A147" s="27" t="s">
        <v>456</v>
      </c>
      <c r="B147" s="29">
        <v>10.0</v>
      </c>
      <c r="C147" s="29">
        <v>100.0</v>
      </c>
      <c r="D147" s="30" t="s">
        <v>23</v>
      </c>
      <c r="E147" s="6"/>
      <c r="F147" s="6"/>
      <c r="G147" s="6"/>
      <c r="H147" s="6"/>
      <c r="I147" s="6"/>
      <c r="J147" s="6"/>
      <c r="K147" s="6"/>
      <c r="L147" s="6"/>
      <c r="M147" s="6"/>
      <c r="N147" s="6"/>
      <c r="O147" s="6"/>
      <c r="P147" s="6"/>
      <c r="Q147" s="6"/>
      <c r="R147" s="6"/>
      <c r="S147" s="6"/>
      <c r="T147" s="6"/>
      <c r="U147" s="6"/>
      <c r="V147" s="6"/>
      <c r="W147" s="6"/>
      <c r="X147" s="6"/>
      <c r="Y147" s="6"/>
      <c r="Z147" s="6"/>
    </row>
    <row r="148">
      <c r="A148" s="12" t="s">
        <v>337</v>
      </c>
      <c r="B148" s="15">
        <v>9.0</v>
      </c>
      <c r="C148" s="15">
        <v>82.0</v>
      </c>
      <c r="D148" s="37" t="s">
        <v>461</v>
      </c>
      <c r="E148" s="6"/>
      <c r="F148" s="6"/>
      <c r="G148" s="6"/>
      <c r="H148" s="6"/>
      <c r="I148" s="6"/>
      <c r="J148" s="6"/>
      <c r="K148" s="6"/>
      <c r="L148" s="6"/>
      <c r="M148" s="6"/>
      <c r="N148" s="6"/>
      <c r="O148" s="6"/>
      <c r="P148" s="6"/>
      <c r="Q148" s="6"/>
      <c r="R148" s="6"/>
      <c r="S148" s="6"/>
      <c r="T148" s="6"/>
      <c r="U148" s="6"/>
      <c r="V148" s="6"/>
      <c r="W148" s="6"/>
      <c r="X148" s="6"/>
      <c r="Y148" s="6"/>
      <c r="Z148" s="6"/>
    </row>
    <row r="149">
      <c r="A149" s="12" t="s">
        <v>400</v>
      </c>
      <c r="B149" s="15" t="s">
        <v>408</v>
      </c>
      <c r="C149" s="15">
        <v>101.0</v>
      </c>
      <c r="D149" s="19" t="s">
        <v>16</v>
      </c>
      <c r="E149" s="6"/>
      <c r="F149" s="6"/>
      <c r="G149" s="6"/>
      <c r="H149" s="6"/>
      <c r="I149" s="6"/>
      <c r="J149" s="6"/>
      <c r="K149" s="6"/>
      <c r="L149" s="6"/>
      <c r="M149" s="6"/>
      <c r="N149" s="6"/>
      <c r="O149" s="6"/>
      <c r="P149" s="6"/>
      <c r="Q149" s="6"/>
      <c r="R149" s="6"/>
      <c r="S149" s="6"/>
      <c r="T149" s="6"/>
      <c r="U149" s="6"/>
      <c r="V149" s="6"/>
      <c r="W149" s="6"/>
      <c r="X149" s="6"/>
      <c r="Y149" s="6"/>
      <c r="Z149" s="6"/>
    </row>
    <row r="150">
      <c r="A150" s="27" t="s">
        <v>467</v>
      </c>
      <c r="B150" s="29">
        <v>10.0</v>
      </c>
      <c r="C150" s="29">
        <v>100.0</v>
      </c>
      <c r="D150" s="30" t="s">
        <v>29</v>
      </c>
      <c r="E150" s="6"/>
      <c r="F150" s="6"/>
      <c r="G150" s="6"/>
      <c r="H150" s="6"/>
      <c r="I150" s="6"/>
      <c r="J150" s="6"/>
      <c r="K150" s="6"/>
      <c r="L150" s="6"/>
      <c r="M150" s="6"/>
      <c r="N150" s="6"/>
      <c r="O150" s="6"/>
      <c r="P150" s="6"/>
      <c r="Q150" s="6"/>
      <c r="R150" s="6"/>
      <c r="S150" s="6"/>
      <c r="T150" s="6"/>
      <c r="U150" s="6"/>
      <c r="V150" s="6"/>
      <c r="W150" s="6"/>
      <c r="X150" s="6"/>
      <c r="Y150" s="6"/>
      <c r="Z150" s="6"/>
    </row>
    <row r="151">
      <c r="A151" s="12" t="s">
        <v>431</v>
      </c>
      <c r="B151" s="15" t="s">
        <v>408</v>
      </c>
      <c r="C151" s="15">
        <v>102.0</v>
      </c>
      <c r="D151" s="19" t="s">
        <v>16</v>
      </c>
      <c r="E151" s="6"/>
      <c r="F151" s="6"/>
      <c r="G151" s="6"/>
      <c r="H151" s="6"/>
      <c r="I151" s="6"/>
      <c r="J151" s="6"/>
      <c r="K151" s="6"/>
      <c r="L151" s="6"/>
      <c r="M151" s="6"/>
      <c r="N151" s="6"/>
      <c r="O151" s="6"/>
      <c r="P151" s="6"/>
      <c r="Q151" s="6"/>
      <c r="R151" s="6"/>
      <c r="S151" s="6"/>
      <c r="T151" s="6"/>
      <c r="U151" s="6"/>
      <c r="V151" s="6"/>
      <c r="W151" s="6"/>
      <c r="X151" s="6"/>
      <c r="Y151" s="6"/>
      <c r="Z151" s="6"/>
    </row>
    <row r="152">
      <c r="A152" s="12" t="s">
        <v>474</v>
      </c>
      <c r="B152" s="15" t="s">
        <v>408</v>
      </c>
      <c r="C152" s="15">
        <v>111.0</v>
      </c>
      <c r="D152" s="19" t="s">
        <v>23</v>
      </c>
      <c r="E152" s="6"/>
      <c r="F152" s="6"/>
      <c r="G152" s="6"/>
      <c r="H152" s="6"/>
      <c r="I152" s="6"/>
      <c r="J152" s="6"/>
      <c r="K152" s="6"/>
      <c r="L152" s="6"/>
      <c r="M152" s="6"/>
      <c r="N152" s="6"/>
      <c r="O152" s="6"/>
      <c r="P152" s="6"/>
      <c r="Q152" s="6"/>
      <c r="R152" s="6"/>
      <c r="S152" s="6"/>
      <c r="T152" s="6"/>
      <c r="U152" s="6"/>
      <c r="V152" s="6"/>
      <c r="W152" s="6"/>
      <c r="X152" s="6"/>
      <c r="Y152" s="6"/>
      <c r="Z152" s="6"/>
    </row>
    <row r="153">
      <c r="A153" s="12" t="s">
        <v>416</v>
      </c>
      <c r="B153" s="15">
        <v>10.0</v>
      </c>
      <c r="C153" s="15">
        <v>95.0</v>
      </c>
      <c r="D153" s="19" t="s">
        <v>29</v>
      </c>
      <c r="E153" s="6"/>
      <c r="F153" s="6"/>
      <c r="G153" s="6"/>
      <c r="H153" s="6"/>
      <c r="I153" s="6"/>
      <c r="J153" s="6"/>
      <c r="K153" s="6"/>
      <c r="L153" s="6"/>
      <c r="M153" s="6"/>
      <c r="N153" s="6"/>
      <c r="O153" s="6"/>
      <c r="P153" s="6"/>
      <c r="Q153" s="6"/>
      <c r="R153" s="6"/>
      <c r="S153" s="6"/>
      <c r="T153" s="6"/>
      <c r="U153" s="6"/>
      <c r="V153" s="6"/>
      <c r="W153" s="6"/>
      <c r="X153" s="6"/>
      <c r="Y153" s="6"/>
      <c r="Z153" s="6"/>
    </row>
    <row r="154">
      <c r="A154" s="12" t="s">
        <v>482</v>
      </c>
      <c r="B154" s="15">
        <v>10.0</v>
      </c>
      <c r="C154" s="15">
        <v>99.0</v>
      </c>
      <c r="D154" s="19" t="s">
        <v>23</v>
      </c>
      <c r="E154" s="6"/>
      <c r="F154" s="6"/>
      <c r="G154" s="6"/>
      <c r="H154" s="6"/>
      <c r="I154" s="6"/>
      <c r="J154" s="6"/>
      <c r="K154" s="6"/>
      <c r="L154" s="6"/>
      <c r="M154" s="6"/>
      <c r="N154" s="6"/>
      <c r="O154" s="6"/>
      <c r="P154" s="6"/>
      <c r="Q154" s="6"/>
      <c r="R154" s="6"/>
      <c r="S154" s="6"/>
      <c r="T154" s="6"/>
      <c r="U154" s="6"/>
      <c r="V154" s="6"/>
      <c r="W154" s="6"/>
      <c r="X154" s="6"/>
      <c r="Y154" s="6"/>
      <c r="Z154" s="6"/>
    </row>
    <row r="155">
      <c r="A155" s="12" t="s">
        <v>485</v>
      </c>
      <c r="B155" s="15" t="s">
        <v>408</v>
      </c>
      <c r="C155" s="15">
        <v>111.0</v>
      </c>
      <c r="D155" s="19" t="s">
        <v>23</v>
      </c>
      <c r="E155" s="6"/>
      <c r="F155" s="6"/>
      <c r="G155" s="6"/>
      <c r="H155" s="6"/>
      <c r="I155" s="6"/>
      <c r="J155" s="6"/>
      <c r="K155" s="6"/>
      <c r="L155" s="6"/>
      <c r="M155" s="6"/>
      <c r="N155" s="6"/>
      <c r="O155" s="6"/>
      <c r="P155" s="6"/>
      <c r="Q155" s="6"/>
      <c r="R155" s="6"/>
      <c r="S155" s="6"/>
      <c r="T155" s="6"/>
      <c r="U155" s="6"/>
      <c r="V155" s="6"/>
      <c r="W155" s="6"/>
      <c r="X155" s="6"/>
      <c r="Y155" s="6"/>
      <c r="Z155" s="6"/>
    </row>
    <row r="156">
      <c r="A156" s="27" t="s">
        <v>489</v>
      </c>
      <c r="B156" s="29" t="s">
        <v>408</v>
      </c>
      <c r="C156" s="29">
        <v>104.0</v>
      </c>
      <c r="D156" s="30" t="s">
        <v>29</v>
      </c>
      <c r="E156" s="6"/>
      <c r="F156" s="6"/>
      <c r="G156" s="6"/>
      <c r="H156" s="6"/>
      <c r="I156" s="6"/>
      <c r="J156" s="6"/>
      <c r="K156" s="6"/>
      <c r="L156" s="6"/>
      <c r="M156" s="6"/>
      <c r="N156" s="6"/>
      <c r="O156" s="6"/>
      <c r="P156" s="6"/>
      <c r="Q156" s="6"/>
      <c r="R156" s="6"/>
      <c r="S156" s="6"/>
      <c r="T156" s="6"/>
      <c r="U156" s="6"/>
      <c r="V156" s="6"/>
      <c r="W156" s="6"/>
      <c r="X156" s="6"/>
      <c r="Y156" s="6"/>
      <c r="Z156" s="6"/>
    </row>
    <row r="157">
      <c r="A157" s="12" t="s">
        <v>428</v>
      </c>
      <c r="B157" s="15" t="s">
        <v>408</v>
      </c>
      <c r="C157" s="15">
        <v>101.0</v>
      </c>
      <c r="D157" s="19" t="s">
        <v>16</v>
      </c>
      <c r="E157" s="6"/>
      <c r="F157" s="6"/>
      <c r="G157" s="6"/>
      <c r="H157" s="6"/>
      <c r="I157" s="6"/>
      <c r="J157" s="6"/>
      <c r="K157" s="6"/>
      <c r="L157" s="6"/>
      <c r="M157" s="6"/>
      <c r="N157" s="6"/>
      <c r="O157" s="6"/>
      <c r="P157" s="6"/>
      <c r="Q157" s="6"/>
      <c r="R157" s="6"/>
      <c r="S157" s="6"/>
      <c r="T157" s="6"/>
      <c r="U157" s="6"/>
      <c r="V157" s="6"/>
      <c r="W157" s="6"/>
      <c r="X157" s="6"/>
      <c r="Y157" s="6"/>
      <c r="Z157" s="6"/>
    </row>
    <row r="158">
      <c r="A158" s="12" t="s">
        <v>448</v>
      </c>
      <c r="B158" s="15">
        <v>10.0</v>
      </c>
      <c r="C158" s="15">
        <v>89.0</v>
      </c>
      <c r="D158" s="19" t="s">
        <v>29</v>
      </c>
      <c r="E158" s="6"/>
      <c r="F158" s="6"/>
      <c r="G158" s="6"/>
      <c r="H158" s="6"/>
      <c r="I158" s="6"/>
      <c r="J158" s="6"/>
      <c r="K158" s="6"/>
      <c r="L158" s="6"/>
      <c r="M158" s="6"/>
      <c r="N158" s="6"/>
      <c r="O158" s="6"/>
      <c r="P158" s="6"/>
      <c r="Q158" s="6"/>
      <c r="R158" s="6"/>
      <c r="S158" s="6"/>
      <c r="T158" s="6"/>
      <c r="U158" s="6"/>
      <c r="V158" s="6"/>
      <c r="W158" s="6"/>
      <c r="X158" s="6"/>
      <c r="Y158" s="6"/>
      <c r="Z158" s="6"/>
    </row>
    <row r="159">
      <c r="A159" s="12" t="s">
        <v>493</v>
      </c>
      <c r="B159" s="15" t="s">
        <v>408</v>
      </c>
      <c r="C159" s="15">
        <v>108.0</v>
      </c>
      <c r="D159" s="19" t="s">
        <v>52</v>
      </c>
      <c r="E159" s="6"/>
      <c r="F159" s="6"/>
      <c r="G159" s="6"/>
      <c r="H159" s="6"/>
      <c r="I159" s="6"/>
      <c r="J159" s="6"/>
      <c r="K159" s="6"/>
      <c r="L159" s="6"/>
      <c r="M159" s="6"/>
      <c r="N159" s="6"/>
      <c r="O159" s="6"/>
      <c r="P159" s="6"/>
      <c r="Q159" s="6"/>
      <c r="R159" s="6"/>
      <c r="S159" s="6"/>
      <c r="T159" s="6"/>
      <c r="U159" s="6"/>
      <c r="V159" s="6"/>
      <c r="W159" s="6"/>
      <c r="X159" s="6"/>
      <c r="Y159" s="6"/>
      <c r="Z159" s="6"/>
    </row>
    <row r="160">
      <c r="A160" s="12" t="s">
        <v>365</v>
      </c>
      <c r="B160" s="15">
        <v>10.0</v>
      </c>
      <c r="C160" s="15">
        <v>96.0</v>
      </c>
      <c r="D160" s="19" t="s">
        <v>29</v>
      </c>
      <c r="E160" s="6"/>
      <c r="F160" s="6"/>
      <c r="G160" s="6"/>
      <c r="H160" s="6"/>
      <c r="I160" s="6"/>
      <c r="J160" s="6"/>
      <c r="K160" s="6"/>
      <c r="L160" s="6"/>
      <c r="M160" s="6"/>
      <c r="N160" s="6"/>
      <c r="O160" s="6"/>
      <c r="P160" s="6"/>
      <c r="Q160" s="6"/>
      <c r="R160" s="6"/>
      <c r="S160" s="6"/>
      <c r="T160" s="6"/>
      <c r="U160" s="6"/>
      <c r="V160" s="6"/>
      <c r="W160" s="6"/>
      <c r="X160" s="6"/>
      <c r="Y160" s="6"/>
      <c r="Z160" s="6"/>
    </row>
    <row r="161">
      <c r="A161" s="27" t="s">
        <v>503</v>
      </c>
      <c r="B161" s="29" t="s">
        <v>408</v>
      </c>
      <c r="C161" s="29">
        <v>106.0</v>
      </c>
      <c r="D161" s="30" t="s">
        <v>23</v>
      </c>
      <c r="E161" s="6"/>
      <c r="F161" s="6"/>
      <c r="G161" s="6"/>
      <c r="H161" s="6"/>
      <c r="I161" s="6"/>
      <c r="J161" s="6"/>
      <c r="K161" s="6"/>
      <c r="L161" s="6"/>
      <c r="M161" s="6"/>
      <c r="N161" s="6"/>
      <c r="O161" s="6"/>
      <c r="P161" s="6"/>
      <c r="Q161" s="6"/>
      <c r="R161" s="6"/>
      <c r="S161" s="6"/>
      <c r="T161" s="6"/>
      <c r="U161" s="6"/>
      <c r="V161" s="6"/>
      <c r="W161" s="6"/>
      <c r="X161" s="6"/>
      <c r="Y161" s="6"/>
      <c r="Z161" s="6"/>
    </row>
    <row r="162">
      <c r="A162" s="12" t="s">
        <v>462</v>
      </c>
      <c r="B162" s="15">
        <v>10.0</v>
      </c>
      <c r="C162" s="15">
        <v>97.0</v>
      </c>
      <c r="D162" s="19" t="s">
        <v>29</v>
      </c>
      <c r="E162" s="6"/>
      <c r="F162" s="6"/>
      <c r="G162" s="6"/>
      <c r="H162" s="6"/>
      <c r="I162" s="6"/>
      <c r="J162" s="6"/>
      <c r="K162" s="6"/>
      <c r="L162" s="6"/>
      <c r="M162" s="6"/>
      <c r="N162" s="6"/>
      <c r="O162" s="6"/>
      <c r="P162" s="6"/>
      <c r="Q162" s="6"/>
      <c r="R162" s="6"/>
      <c r="S162" s="6"/>
      <c r="T162" s="6"/>
      <c r="U162" s="6"/>
      <c r="V162" s="6"/>
      <c r="W162" s="6"/>
      <c r="X162" s="6"/>
      <c r="Y162" s="6"/>
      <c r="Z162" s="6"/>
    </row>
    <row r="163">
      <c r="A163" s="27" t="s">
        <v>512</v>
      </c>
      <c r="B163" s="29" t="s">
        <v>408</v>
      </c>
      <c r="C163" s="29">
        <v>105.0</v>
      </c>
      <c r="D163" s="30" t="s">
        <v>29</v>
      </c>
      <c r="E163" s="6"/>
      <c r="F163" s="6"/>
      <c r="G163" s="6"/>
      <c r="H163" s="6"/>
      <c r="I163" s="6"/>
      <c r="J163" s="6"/>
      <c r="K163" s="6"/>
      <c r="L163" s="6"/>
      <c r="M163" s="6"/>
      <c r="N163" s="6"/>
      <c r="O163" s="6"/>
      <c r="P163" s="6"/>
      <c r="Q163" s="6"/>
      <c r="R163" s="6"/>
      <c r="S163" s="6"/>
      <c r="T163" s="6"/>
      <c r="U163" s="6"/>
      <c r="V163" s="6"/>
      <c r="W163" s="6"/>
      <c r="X163" s="6"/>
      <c r="Y163" s="6"/>
      <c r="Z163" s="6"/>
    </row>
    <row r="164">
      <c r="A164" s="12" t="s">
        <v>518</v>
      </c>
      <c r="B164" s="15" t="s">
        <v>408</v>
      </c>
      <c r="C164" s="15">
        <v>116.0</v>
      </c>
      <c r="D164" s="19" t="s">
        <v>23</v>
      </c>
      <c r="E164" s="6"/>
      <c r="F164" s="6"/>
      <c r="G164" s="6"/>
      <c r="H164" s="6"/>
      <c r="I164" s="6"/>
      <c r="J164" s="6"/>
      <c r="K164" s="6"/>
      <c r="L164" s="6"/>
      <c r="M164" s="6"/>
      <c r="N164" s="6"/>
      <c r="O164" s="6"/>
      <c r="P164" s="6"/>
      <c r="Q164" s="6"/>
      <c r="R164" s="6"/>
      <c r="S164" s="6"/>
      <c r="T164" s="6"/>
      <c r="U164" s="6"/>
      <c r="V164" s="6"/>
      <c r="W164" s="6"/>
      <c r="X164" s="6"/>
      <c r="Y164" s="6"/>
      <c r="Z164" s="6"/>
    </row>
    <row r="165">
      <c r="A165" s="12" t="s">
        <v>410</v>
      </c>
      <c r="B165" s="15" t="s">
        <v>408</v>
      </c>
      <c r="C165" s="15">
        <v>102.0</v>
      </c>
      <c r="D165" s="19" t="s">
        <v>23</v>
      </c>
      <c r="E165" s="6"/>
      <c r="F165" s="6"/>
      <c r="G165" s="6"/>
      <c r="H165" s="6"/>
      <c r="I165" s="6"/>
      <c r="J165" s="6"/>
      <c r="K165" s="6"/>
      <c r="L165" s="6"/>
      <c r="M165" s="6"/>
      <c r="N165" s="6"/>
      <c r="O165" s="6"/>
      <c r="P165" s="6"/>
      <c r="Q165" s="6"/>
      <c r="R165" s="6"/>
      <c r="S165" s="6"/>
      <c r="T165" s="6"/>
      <c r="U165" s="6"/>
      <c r="V165" s="6"/>
      <c r="W165" s="6"/>
      <c r="X165" s="6"/>
      <c r="Y165" s="6"/>
      <c r="Z165" s="6"/>
    </row>
    <row r="166">
      <c r="A166" s="12" t="s">
        <v>507</v>
      </c>
      <c r="B166" s="15" t="s">
        <v>408</v>
      </c>
      <c r="C166" s="15">
        <v>110.0</v>
      </c>
      <c r="D166" s="19" t="s">
        <v>29</v>
      </c>
      <c r="E166" s="6"/>
      <c r="F166" s="6"/>
      <c r="G166" s="6"/>
      <c r="H166" s="6"/>
      <c r="I166" s="6"/>
      <c r="J166" s="6"/>
      <c r="K166" s="6"/>
      <c r="L166" s="6"/>
      <c r="M166" s="6"/>
      <c r="N166" s="6"/>
      <c r="O166" s="6"/>
      <c r="P166" s="6"/>
      <c r="Q166" s="6"/>
      <c r="R166" s="6"/>
      <c r="S166" s="6"/>
      <c r="T166" s="6"/>
      <c r="U166" s="6"/>
      <c r="V166" s="6"/>
      <c r="W166" s="6"/>
      <c r="X166" s="6"/>
      <c r="Y166" s="6"/>
      <c r="Z166" s="6"/>
    </row>
    <row r="167">
      <c r="A167" s="12" t="s">
        <v>496</v>
      </c>
      <c r="B167" s="15" t="s">
        <v>408</v>
      </c>
      <c r="C167" s="15">
        <v>108.0</v>
      </c>
      <c r="D167" s="19" t="s">
        <v>23</v>
      </c>
      <c r="E167" s="6"/>
      <c r="F167" s="6"/>
      <c r="G167" s="6"/>
      <c r="H167" s="6"/>
      <c r="I167" s="6"/>
      <c r="J167" s="6"/>
      <c r="K167" s="6"/>
      <c r="L167" s="6"/>
      <c r="M167" s="6"/>
      <c r="N167" s="6"/>
      <c r="O167" s="6"/>
      <c r="P167" s="6"/>
      <c r="Q167" s="6"/>
      <c r="R167" s="6"/>
      <c r="S167" s="6"/>
      <c r="T167" s="6"/>
      <c r="U167" s="6"/>
      <c r="V167" s="6"/>
      <c r="W167" s="6"/>
      <c r="X167" s="6"/>
      <c r="Y167" s="6"/>
      <c r="Z167" s="6"/>
    </row>
    <row r="168">
      <c r="A168" s="12" t="s">
        <v>533</v>
      </c>
      <c r="B168" s="15" t="s">
        <v>408</v>
      </c>
      <c r="C168" s="15">
        <v>117.0</v>
      </c>
      <c r="D168" s="19" t="s">
        <v>29</v>
      </c>
      <c r="E168" s="6"/>
      <c r="F168" s="6"/>
      <c r="G168" s="6"/>
      <c r="H168" s="6"/>
      <c r="I168" s="6"/>
      <c r="J168" s="6"/>
      <c r="K168" s="6"/>
      <c r="L168" s="6"/>
      <c r="M168" s="6"/>
      <c r="N168" s="6"/>
      <c r="O168" s="6"/>
      <c r="P168" s="6"/>
      <c r="Q168" s="6"/>
      <c r="R168" s="6"/>
      <c r="S168" s="6"/>
      <c r="T168" s="6"/>
      <c r="U168" s="6"/>
      <c r="V168" s="6"/>
      <c r="W168" s="6"/>
      <c r="X168" s="6"/>
      <c r="Y168" s="6"/>
      <c r="Z168" s="6"/>
    </row>
    <row r="169">
      <c r="A169" s="12" t="s">
        <v>528</v>
      </c>
      <c r="B169" s="15" t="s">
        <v>408</v>
      </c>
      <c r="C169" s="15">
        <v>119.0</v>
      </c>
      <c r="D169" s="19" t="s">
        <v>23</v>
      </c>
      <c r="E169" s="6"/>
      <c r="F169" s="6"/>
      <c r="G169" s="6"/>
      <c r="H169" s="6"/>
      <c r="I169" s="6"/>
      <c r="J169" s="6"/>
      <c r="K169" s="6"/>
      <c r="L169" s="6"/>
      <c r="M169" s="6"/>
      <c r="N169" s="6"/>
      <c r="O169" s="6"/>
      <c r="P169" s="6"/>
      <c r="Q169" s="6"/>
      <c r="R169" s="6"/>
      <c r="S169" s="6"/>
      <c r="T169" s="6"/>
      <c r="U169" s="6"/>
      <c r="V169" s="6"/>
      <c r="W169" s="6"/>
      <c r="X169" s="6"/>
      <c r="Y169" s="6"/>
      <c r="Z169" s="6"/>
    </row>
    <row r="170">
      <c r="A170" s="12" t="s">
        <v>406</v>
      </c>
      <c r="B170" s="15">
        <v>10.0</v>
      </c>
      <c r="C170" s="15">
        <v>87.0</v>
      </c>
      <c r="D170" s="19" t="s">
        <v>23</v>
      </c>
      <c r="E170" s="6"/>
      <c r="F170" s="6"/>
      <c r="G170" s="6"/>
      <c r="H170" s="6"/>
      <c r="I170" s="6"/>
      <c r="J170" s="6"/>
      <c r="K170" s="6"/>
      <c r="L170" s="6"/>
      <c r="M170" s="6"/>
      <c r="N170" s="6"/>
      <c r="O170" s="6"/>
      <c r="P170" s="6"/>
      <c r="Q170" s="6"/>
      <c r="R170" s="6"/>
      <c r="S170" s="6"/>
      <c r="T170" s="6"/>
      <c r="U170" s="6"/>
      <c r="V170" s="6"/>
      <c r="W170" s="6"/>
      <c r="X170" s="6"/>
      <c r="Y170" s="6"/>
      <c r="Z170" s="6"/>
    </row>
    <row r="171">
      <c r="A171" s="27" t="s">
        <v>539</v>
      </c>
      <c r="B171" s="29" t="s">
        <v>408</v>
      </c>
      <c r="C171" s="29">
        <v>113.0</v>
      </c>
      <c r="D171" s="30" t="s">
        <v>23</v>
      </c>
      <c r="E171" s="6"/>
      <c r="F171" s="6"/>
      <c r="G171" s="6"/>
      <c r="H171" s="6"/>
      <c r="I171" s="6"/>
      <c r="J171" s="6"/>
      <c r="K171" s="6"/>
      <c r="L171" s="6"/>
      <c r="M171" s="6"/>
      <c r="N171" s="6"/>
      <c r="O171" s="6"/>
      <c r="P171" s="6"/>
      <c r="Q171" s="6"/>
      <c r="R171" s="6"/>
      <c r="S171" s="6"/>
      <c r="T171" s="6"/>
      <c r="U171" s="6"/>
      <c r="V171" s="6"/>
      <c r="W171" s="6"/>
      <c r="X171" s="6"/>
      <c r="Y171" s="6"/>
      <c r="Z171" s="6"/>
    </row>
    <row r="172">
      <c r="A172" s="12" t="s">
        <v>530</v>
      </c>
      <c r="B172" s="15" t="s">
        <v>408</v>
      </c>
      <c r="C172" s="15">
        <v>119.0</v>
      </c>
      <c r="D172" s="19" t="s">
        <v>23</v>
      </c>
      <c r="E172" s="6"/>
      <c r="F172" s="6"/>
      <c r="G172" s="6"/>
      <c r="H172" s="6"/>
      <c r="I172" s="6"/>
      <c r="J172" s="6"/>
      <c r="K172" s="6"/>
      <c r="L172" s="6"/>
      <c r="M172" s="6"/>
      <c r="N172" s="6"/>
      <c r="O172" s="6"/>
      <c r="P172" s="6"/>
      <c r="Q172" s="6"/>
      <c r="R172" s="6"/>
      <c r="S172" s="6"/>
      <c r="T172" s="6"/>
      <c r="U172" s="6"/>
      <c r="V172" s="6"/>
      <c r="W172" s="6"/>
      <c r="X172" s="6"/>
      <c r="Y172" s="6"/>
      <c r="Z172" s="6"/>
    </row>
    <row r="173">
      <c r="A173" s="27" t="s">
        <v>544</v>
      </c>
      <c r="B173" s="29" t="s">
        <v>408</v>
      </c>
      <c r="C173" s="29">
        <v>113.0</v>
      </c>
      <c r="D173" s="30" t="s">
        <v>23</v>
      </c>
      <c r="E173" s="6"/>
      <c r="F173" s="6"/>
      <c r="G173" s="6"/>
      <c r="H173" s="6"/>
      <c r="I173" s="6"/>
      <c r="J173" s="6"/>
      <c r="K173" s="6"/>
      <c r="L173" s="6"/>
      <c r="M173" s="6"/>
      <c r="N173" s="6"/>
      <c r="O173" s="6"/>
      <c r="P173" s="6"/>
      <c r="Q173" s="6"/>
      <c r="R173" s="6"/>
      <c r="S173" s="6"/>
      <c r="T173" s="6"/>
      <c r="U173" s="6"/>
      <c r="V173" s="6"/>
      <c r="W173" s="6"/>
      <c r="X173" s="6"/>
      <c r="Y173" s="6"/>
      <c r="Z173" s="6"/>
    </row>
    <row r="174">
      <c r="A174" s="12" t="s">
        <v>517</v>
      </c>
      <c r="B174" s="15" t="s">
        <v>408</v>
      </c>
      <c r="C174" s="15">
        <v>110.0</v>
      </c>
      <c r="D174" s="19" t="s">
        <v>29</v>
      </c>
      <c r="E174" s="6"/>
      <c r="F174" s="6"/>
      <c r="G174" s="6"/>
      <c r="H174" s="6"/>
      <c r="I174" s="6"/>
      <c r="J174" s="6"/>
      <c r="K174" s="6"/>
      <c r="L174" s="6"/>
      <c r="M174" s="6"/>
      <c r="N174" s="6"/>
      <c r="O174" s="6"/>
      <c r="P174" s="6"/>
      <c r="Q174" s="6"/>
      <c r="R174" s="6"/>
      <c r="S174" s="6"/>
      <c r="T174" s="6"/>
      <c r="U174" s="6"/>
      <c r="V174" s="6"/>
      <c r="W174" s="6"/>
      <c r="X174" s="6"/>
      <c r="Y174" s="6"/>
      <c r="Z174" s="6"/>
    </row>
    <row r="175">
      <c r="A175" s="12" t="s">
        <v>555</v>
      </c>
      <c r="B175" s="15" t="s">
        <v>408</v>
      </c>
      <c r="C175" s="15">
        <v>123.0</v>
      </c>
      <c r="D175" s="19" t="s">
        <v>29</v>
      </c>
      <c r="E175" s="6"/>
      <c r="F175" s="6"/>
      <c r="G175" s="6"/>
      <c r="H175" s="6"/>
      <c r="I175" s="6"/>
      <c r="J175" s="6"/>
      <c r="K175" s="6"/>
      <c r="L175" s="6"/>
      <c r="M175" s="6"/>
      <c r="N175" s="6"/>
      <c r="O175" s="6"/>
      <c r="P175" s="6"/>
      <c r="Q175" s="6"/>
      <c r="R175" s="6"/>
      <c r="S175" s="6"/>
      <c r="T175" s="6"/>
      <c r="U175" s="6"/>
      <c r="V175" s="6"/>
      <c r="W175" s="6"/>
      <c r="X175" s="6"/>
      <c r="Y175" s="6"/>
      <c r="Z175" s="6"/>
    </row>
    <row r="176">
      <c r="A176" s="12" t="s">
        <v>536</v>
      </c>
      <c r="B176" s="15" t="s">
        <v>408</v>
      </c>
      <c r="C176" s="15">
        <v>121.0</v>
      </c>
      <c r="D176" s="19" t="s">
        <v>23</v>
      </c>
      <c r="E176" s="6"/>
      <c r="F176" s="6"/>
      <c r="G176" s="6"/>
      <c r="H176" s="6"/>
      <c r="I176" s="6"/>
      <c r="J176" s="6"/>
      <c r="K176" s="6"/>
      <c r="L176" s="6"/>
      <c r="M176" s="6"/>
      <c r="N176" s="6"/>
      <c r="O176" s="6"/>
      <c r="P176" s="6"/>
      <c r="Q176" s="6"/>
      <c r="R176" s="6"/>
      <c r="S176" s="6"/>
      <c r="T176" s="6"/>
      <c r="U176" s="6"/>
      <c r="V176" s="6"/>
      <c r="W176" s="6"/>
      <c r="X176" s="6"/>
      <c r="Y176" s="6"/>
      <c r="Z176" s="6"/>
    </row>
    <row r="177">
      <c r="A177" s="12" t="s">
        <v>520</v>
      </c>
      <c r="B177" s="15">
        <v>10.0</v>
      </c>
      <c r="C177" s="15">
        <v>89.0</v>
      </c>
      <c r="D177" s="19" t="s">
        <v>23</v>
      </c>
      <c r="E177" s="6"/>
      <c r="F177" s="6"/>
      <c r="G177" s="6"/>
      <c r="H177" s="6"/>
      <c r="I177" s="6"/>
      <c r="J177" s="6"/>
      <c r="K177" s="6"/>
      <c r="L177" s="6"/>
      <c r="M177" s="6"/>
      <c r="N177" s="6"/>
      <c r="O177" s="6"/>
      <c r="P177" s="6"/>
      <c r="Q177" s="6"/>
      <c r="R177" s="6"/>
      <c r="S177" s="6"/>
      <c r="T177" s="6"/>
      <c r="U177" s="6"/>
      <c r="V177" s="6"/>
      <c r="W177" s="6"/>
      <c r="X177" s="6"/>
      <c r="Y177" s="6"/>
      <c r="Z177" s="6"/>
    </row>
    <row r="178">
      <c r="A178" s="12" t="s">
        <v>557</v>
      </c>
      <c r="B178" s="15" t="s">
        <v>408</v>
      </c>
      <c r="C178" s="15">
        <v>123.0</v>
      </c>
      <c r="D178" s="19" t="s">
        <v>23</v>
      </c>
      <c r="E178" s="6"/>
      <c r="F178" s="6"/>
      <c r="G178" s="6"/>
      <c r="H178" s="6"/>
      <c r="I178" s="6"/>
      <c r="J178" s="6"/>
      <c r="K178" s="6"/>
      <c r="L178" s="6"/>
      <c r="M178" s="6"/>
      <c r="N178" s="6"/>
      <c r="O178" s="6"/>
      <c r="P178" s="6"/>
      <c r="Q178" s="6"/>
      <c r="R178" s="6"/>
      <c r="S178" s="6"/>
      <c r="T178" s="6"/>
      <c r="U178" s="6"/>
      <c r="V178" s="6"/>
      <c r="W178" s="6"/>
      <c r="X178" s="6"/>
      <c r="Y178" s="6"/>
      <c r="Z178" s="6"/>
    </row>
    <row r="179">
      <c r="A179" s="12" t="s">
        <v>553</v>
      </c>
      <c r="B179" s="15" t="s">
        <v>408</v>
      </c>
      <c r="C179" s="15">
        <v>120.0</v>
      </c>
      <c r="D179" s="19" t="s">
        <v>23</v>
      </c>
      <c r="E179" s="6"/>
      <c r="F179" s="6"/>
      <c r="G179" s="6"/>
      <c r="H179" s="6"/>
      <c r="I179" s="6"/>
      <c r="J179" s="6"/>
      <c r="K179" s="6"/>
      <c r="L179" s="6"/>
      <c r="M179" s="6"/>
      <c r="N179" s="6"/>
      <c r="O179" s="6"/>
      <c r="P179" s="6"/>
      <c r="Q179" s="6"/>
      <c r="R179" s="6"/>
      <c r="S179" s="6"/>
      <c r="T179" s="6"/>
      <c r="U179" s="6"/>
      <c r="V179" s="6"/>
      <c r="W179" s="6"/>
      <c r="X179" s="6"/>
      <c r="Y179" s="6"/>
      <c r="Z179" s="6"/>
    </row>
    <row r="180">
      <c r="A180" s="12" t="s">
        <v>475</v>
      </c>
      <c r="B180" s="15">
        <v>10.0</v>
      </c>
      <c r="C180" s="15">
        <v>92.0</v>
      </c>
      <c r="D180" s="19" t="s">
        <v>29</v>
      </c>
      <c r="E180" s="6"/>
      <c r="F180" s="6"/>
      <c r="G180" s="6"/>
      <c r="H180" s="6"/>
      <c r="I180" s="6"/>
      <c r="J180" s="6"/>
      <c r="K180" s="6"/>
      <c r="L180" s="6"/>
      <c r="M180" s="6"/>
      <c r="N180" s="6"/>
      <c r="O180" s="6"/>
      <c r="P180" s="6"/>
      <c r="Q180" s="6"/>
      <c r="R180" s="6"/>
      <c r="S180" s="6"/>
      <c r="T180" s="6"/>
      <c r="U180" s="6"/>
      <c r="V180" s="6"/>
      <c r="W180" s="6"/>
      <c r="X180" s="6"/>
      <c r="Y180" s="6"/>
      <c r="Z180" s="6"/>
    </row>
    <row r="181">
      <c r="A181" s="12" t="s">
        <v>537</v>
      </c>
      <c r="B181" s="15" t="s">
        <v>408</v>
      </c>
      <c r="C181" s="15">
        <v>120.0</v>
      </c>
      <c r="D181" s="19" t="s">
        <v>23</v>
      </c>
      <c r="E181" s="6"/>
      <c r="F181" s="6"/>
      <c r="G181" s="6"/>
      <c r="H181" s="6"/>
      <c r="I181" s="6"/>
      <c r="J181" s="6"/>
      <c r="K181" s="6"/>
      <c r="L181" s="6"/>
      <c r="M181" s="6"/>
      <c r="N181" s="6"/>
      <c r="O181" s="6"/>
      <c r="P181" s="6"/>
      <c r="Q181" s="6"/>
      <c r="R181" s="6"/>
      <c r="S181" s="6"/>
      <c r="T181" s="6"/>
      <c r="U181" s="6"/>
      <c r="V181" s="6"/>
      <c r="W181" s="6"/>
      <c r="X181" s="6"/>
      <c r="Y181" s="6"/>
      <c r="Z181" s="6"/>
    </row>
    <row r="182">
      <c r="A182" s="12" t="s">
        <v>434</v>
      </c>
      <c r="B182" s="15" t="s">
        <v>408</v>
      </c>
      <c r="C182" s="15">
        <v>103.0</v>
      </c>
      <c r="D182" s="19" t="s">
        <v>23</v>
      </c>
      <c r="E182" s="6"/>
      <c r="F182" s="6"/>
      <c r="G182" s="6"/>
      <c r="H182" s="6"/>
      <c r="I182" s="6"/>
      <c r="J182" s="6"/>
      <c r="K182" s="6"/>
      <c r="L182" s="6"/>
      <c r="M182" s="6"/>
      <c r="N182" s="6"/>
      <c r="O182" s="6"/>
      <c r="P182" s="6"/>
      <c r="Q182" s="6"/>
      <c r="R182" s="6"/>
      <c r="S182" s="6"/>
      <c r="T182" s="6"/>
      <c r="U182" s="6"/>
      <c r="V182" s="6"/>
      <c r="W182" s="6"/>
      <c r="X182" s="6"/>
      <c r="Y182" s="6"/>
      <c r="Z182" s="6"/>
    </row>
    <row r="183">
      <c r="A183" s="12" t="s">
        <v>509</v>
      </c>
      <c r="B183" s="15" t="s">
        <v>408</v>
      </c>
      <c r="C183" s="15">
        <v>115.0</v>
      </c>
      <c r="D183" s="19" t="s">
        <v>29</v>
      </c>
      <c r="E183" s="6"/>
      <c r="F183" s="6"/>
      <c r="G183" s="6"/>
      <c r="H183" s="6"/>
      <c r="I183" s="6"/>
      <c r="J183" s="6"/>
      <c r="K183" s="6"/>
      <c r="L183" s="6"/>
      <c r="M183" s="6"/>
      <c r="N183" s="6"/>
      <c r="O183" s="6"/>
      <c r="P183" s="6"/>
      <c r="Q183" s="6"/>
      <c r="R183" s="6"/>
      <c r="S183" s="6"/>
      <c r="T183" s="6"/>
      <c r="U183" s="6"/>
      <c r="V183" s="6"/>
      <c r="W183" s="6"/>
      <c r="X183" s="6"/>
      <c r="Y183" s="6"/>
      <c r="Z183" s="6"/>
    </row>
    <row r="184">
      <c r="A184" s="12" t="s">
        <v>505</v>
      </c>
      <c r="B184" s="15" t="s">
        <v>408</v>
      </c>
      <c r="C184" s="15">
        <v>112.0</v>
      </c>
      <c r="D184" s="19" t="s">
        <v>23</v>
      </c>
      <c r="E184" s="6"/>
      <c r="F184" s="6"/>
      <c r="G184" s="6"/>
      <c r="H184" s="6"/>
      <c r="I184" s="6"/>
      <c r="J184" s="6"/>
      <c r="K184" s="6"/>
      <c r="L184" s="6"/>
      <c r="M184" s="6"/>
      <c r="N184" s="6"/>
      <c r="O184" s="6"/>
      <c r="P184" s="6"/>
      <c r="Q184" s="6"/>
      <c r="R184" s="6"/>
      <c r="S184" s="6"/>
      <c r="T184" s="6"/>
      <c r="U184" s="6"/>
      <c r="V184" s="6"/>
      <c r="W184" s="6"/>
      <c r="X184" s="6"/>
      <c r="Y184" s="6"/>
      <c r="Z184" s="6"/>
    </row>
    <row r="185">
      <c r="A185" s="12" t="s">
        <v>540</v>
      </c>
      <c r="B185" s="15" t="s">
        <v>408</v>
      </c>
      <c r="C185" s="15">
        <v>118.0</v>
      </c>
      <c r="D185" s="19" t="s">
        <v>23</v>
      </c>
      <c r="E185" s="6"/>
      <c r="F185" s="6"/>
      <c r="G185" s="6"/>
      <c r="H185" s="6"/>
      <c r="I185" s="6"/>
      <c r="J185" s="6"/>
      <c r="K185" s="6"/>
      <c r="L185" s="6"/>
      <c r="M185" s="6"/>
      <c r="N185" s="6"/>
      <c r="O185" s="6"/>
      <c r="P185" s="6"/>
      <c r="Q185" s="6"/>
      <c r="R185" s="6"/>
      <c r="S185" s="6"/>
      <c r="T185" s="6"/>
      <c r="U185" s="6"/>
      <c r="V185" s="6"/>
      <c r="W185" s="6"/>
      <c r="X185" s="6"/>
      <c r="Y185" s="6"/>
      <c r="Z185" s="6"/>
    </row>
    <row r="186">
      <c r="A186" s="12" t="s">
        <v>538</v>
      </c>
      <c r="B186" s="15" t="s">
        <v>408</v>
      </c>
      <c r="C186" s="15">
        <v>115.0</v>
      </c>
      <c r="D186" s="19" t="s">
        <v>52</v>
      </c>
      <c r="E186" s="6"/>
      <c r="F186" s="6"/>
      <c r="G186" s="6"/>
      <c r="H186" s="6"/>
      <c r="I186" s="6"/>
      <c r="J186" s="6"/>
      <c r="K186" s="6"/>
      <c r="L186" s="6"/>
      <c r="M186" s="6"/>
      <c r="N186" s="6"/>
      <c r="O186" s="6"/>
      <c r="P186" s="6"/>
      <c r="Q186" s="6"/>
      <c r="R186" s="6"/>
      <c r="S186" s="6"/>
      <c r="T186" s="6"/>
      <c r="U186" s="6"/>
      <c r="V186" s="6"/>
      <c r="W186" s="6"/>
      <c r="X186" s="6"/>
      <c r="Y186" s="6"/>
      <c r="Z186" s="6"/>
    </row>
    <row r="187">
      <c r="A187" s="12" t="s">
        <v>382</v>
      </c>
      <c r="B187" s="15">
        <v>9.0</v>
      </c>
      <c r="C187" s="15">
        <v>79.0</v>
      </c>
      <c r="D187" s="19" t="s">
        <v>23</v>
      </c>
      <c r="E187" s="6"/>
      <c r="F187" s="6"/>
      <c r="G187" s="6"/>
      <c r="H187" s="6"/>
      <c r="I187" s="6"/>
      <c r="J187" s="6"/>
      <c r="K187" s="6"/>
      <c r="L187" s="6"/>
      <c r="M187" s="6"/>
      <c r="N187" s="6"/>
      <c r="O187" s="6"/>
      <c r="P187" s="6"/>
      <c r="Q187" s="6"/>
      <c r="R187" s="6"/>
      <c r="S187" s="6"/>
      <c r="T187" s="6"/>
      <c r="U187" s="6"/>
      <c r="V187" s="6"/>
      <c r="W187" s="6"/>
      <c r="X187" s="6"/>
      <c r="Y187" s="6"/>
      <c r="Z187" s="6"/>
    </row>
    <row r="188">
      <c r="A188" s="12" t="s">
        <v>542</v>
      </c>
      <c r="B188" s="15" t="s">
        <v>408</v>
      </c>
      <c r="C188" s="15">
        <v>122.0</v>
      </c>
      <c r="D188" s="19" t="s">
        <v>23</v>
      </c>
      <c r="E188" s="6"/>
      <c r="F188" s="6"/>
      <c r="G188" s="6"/>
      <c r="H188" s="6"/>
      <c r="I188" s="6"/>
      <c r="J188" s="6"/>
      <c r="K188" s="6"/>
      <c r="L188" s="6"/>
      <c r="M188" s="6"/>
      <c r="N188" s="6"/>
      <c r="O188" s="6"/>
      <c r="P188" s="6"/>
      <c r="Q188" s="6"/>
      <c r="R188" s="6"/>
      <c r="S188" s="6"/>
      <c r="T188" s="6"/>
      <c r="U188" s="6"/>
      <c r="V188" s="6"/>
      <c r="W188" s="6"/>
      <c r="X188" s="6"/>
      <c r="Y188" s="6"/>
      <c r="Z188" s="6"/>
    </row>
    <row r="189">
      <c r="A189" s="27" t="s">
        <v>484</v>
      </c>
      <c r="B189" s="29">
        <v>10.0</v>
      </c>
      <c r="C189" s="29">
        <v>91.0</v>
      </c>
      <c r="D189" s="30" t="s">
        <v>16</v>
      </c>
      <c r="E189" s="6"/>
      <c r="F189" s="6"/>
      <c r="G189" s="6"/>
      <c r="H189" s="6"/>
      <c r="I189" s="6"/>
      <c r="J189" s="6"/>
      <c r="K189" s="6"/>
      <c r="L189" s="6"/>
      <c r="M189" s="6"/>
      <c r="N189" s="6"/>
      <c r="O189" s="6"/>
      <c r="P189" s="6"/>
      <c r="Q189" s="6"/>
      <c r="R189" s="6"/>
      <c r="S189" s="6"/>
      <c r="T189" s="6"/>
      <c r="U189" s="6"/>
      <c r="V189" s="6"/>
      <c r="W189" s="6"/>
      <c r="X189" s="6"/>
      <c r="Y189" s="6"/>
      <c r="Z189" s="6"/>
    </row>
    <row r="190">
      <c r="A190" s="27" t="s">
        <v>591</v>
      </c>
      <c r="B190" s="29" t="s">
        <v>408</v>
      </c>
      <c r="C190" s="29">
        <v>117.0</v>
      </c>
      <c r="D190" s="30" t="s">
        <v>16</v>
      </c>
      <c r="E190" s="6"/>
      <c r="F190" s="6"/>
      <c r="G190" s="6"/>
      <c r="H190" s="6"/>
      <c r="I190" s="6"/>
      <c r="J190" s="6"/>
      <c r="K190" s="6"/>
      <c r="L190" s="6"/>
      <c r="M190" s="6"/>
      <c r="N190" s="6"/>
      <c r="O190" s="6"/>
      <c r="P190" s="6"/>
      <c r="Q190" s="6"/>
      <c r="R190" s="6"/>
      <c r="S190" s="6"/>
      <c r="T190" s="6"/>
      <c r="U190" s="6"/>
      <c r="V190" s="6"/>
      <c r="W190" s="6"/>
      <c r="X190" s="6"/>
      <c r="Y190" s="6"/>
      <c r="Z190" s="6"/>
    </row>
    <row r="191">
      <c r="A191" s="12" t="s">
        <v>551</v>
      </c>
      <c r="B191" s="15" t="s">
        <v>408</v>
      </c>
      <c r="C191" s="15">
        <v>124.0</v>
      </c>
      <c r="D191" s="19" t="s">
        <v>29</v>
      </c>
      <c r="E191" s="6"/>
      <c r="F191" s="6"/>
      <c r="G191" s="6"/>
      <c r="H191" s="6"/>
      <c r="I191" s="6"/>
      <c r="J191" s="6"/>
      <c r="K191" s="6"/>
      <c r="L191" s="6"/>
      <c r="M191" s="6"/>
      <c r="N191" s="6"/>
      <c r="O191" s="6"/>
      <c r="P191" s="6"/>
      <c r="Q191" s="6"/>
      <c r="R191" s="6"/>
      <c r="S191" s="6"/>
      <c r="T191" s="6"/>
      <c r="U191" s="6"/>
      <c r="V191" s="6"/>
      <c r="W191" s="6"/>
      <c r="X191" s="6"/>
      <c r="Y191" s="6"/>
      <c r="Z191" s="6"/>
    </row>
    <row r="192">
      <c r="A192" s="12" t="s">
        <v>502</v>
      </c>
      <c r="B192" s="15" t="s">
        <v>408</v>
      </c>
      <c r="C192" s="15">
        <v>114.0</v>
      </c>
      <c r="D192" s="19" t="s">
        <v>16</v>
      </c>
      <c r="E192" s="6"/>
      <c r="F192" s="6"/>
      <c r="G192" s="6"/>
      <c r="H192" s="6"/>
      <c r="I192" s="6"/>
      <c r="J192" s="6"/>
      <c r="K192" s="6"/>
      <c r="L192" s="6"/>
      <c r="M192" s="6"/>
      <c r="N192" s="6"/>
      <c r="O192" s="6"/>
      <c r="P192" s="6"/>
      <c r="Q192" s="6"/>
      <c r="R192" s="6"/>
      <c r="S192" s="6"/>
      <c r="T192" s="6"/>
      <c r="U192" s="6"/>
      <c r="V192" s="6"/>
      <c r="W192" s="6"/>
      <c r="X192" s="6"/>
      <c r="Y192" s="6"/>
      <c r="Z192" s="6"/>
    </row>
    <row r="193">
      <c r="A193" s="27" t="s">
        <v>594</v>
      </c>
      <c r="B193" s="149" t="s">
        <v>408</v>
      </c>
      <c r="C193" s="149">
        <v>116.0</v>
      </c>
      <c r="D193" s="149" t="s">
        <v>23</v>
      </c>
      <c r="E193" s="6"/>
      <c r="F193" s="6"/>
      <c r="G193" s="6"/>
      <c r="H193" s="6"/>
      <c r="I193" s="6"/>
      <c r="J193" s="6"/>
      <c r="K193" s="6"/>
      <c r="L193" s="6"/>
      <c r="M193" s="6"/>
      <c r="N193" s="6"/>
      <c r="O193" s="6"/>
      <c r="P193" s="6"/>
      <c r="Q193" s="6"/>
      <c r="R193" s="6"/>
      <c r="S193" s="6"/>
      <c r="T193" s="6"/>
      <c r="U193" s="6"/>
      <c r="V193" s="6"/>
      <c r="W193" s="6"/>
      <c r="X193" s="6"/>
      <c r="Y193" s="6"/>
      <c r="Z193" s="6"/>
    </row>
    <row r="194">
      <c r="A194" s="27" t="s">
        <v>73</v>
      </c>
      <c r="B194" s="29">
        <v>2.0</v>
      </c>
      <c r="C194" s="29">
        <v>18.0</v>
      </c>
      <c r="D194" s="59" t="s">
        <v>68</v>
      </c>
      <c r="E194" s="6"/>
      <c r="F194" s="6"/>
      <c r="G194" s="6"/>
      <c r="H194" s="6"/>
      <c r="I194" s="6"/>
      <c r="J194" s="6"/>
      <c r="K194" s="6"/>
      <c r="L194" s="6"/>
      <c r="M194" s="6"/>
      <c r="N194" s="6"/>
      <c r="O194" s="6"/>
      <c r="P194" s="6"/>
      <c r="Q194" s="6"/>
      <c r="R194" s="6"/>
      <c r="S194" s="6"/>
      <c r="T194" s="6"/>
      <c r="U194" s="6"/>
      <c r="V194" s="6"/>
      <c r="W194" s="6"/>
      <c r="X194" s="6"/>
      <c r="Y194" s="6"/>
      <c r="Z194" s="6"/>
    </row>
    <row r="195">
      <c r="A195" s="27" t="s">
        <v>600</v>
      </c>
      <c r="B195" s="29" t="s">
        <v>408</v>
      </c>
      <c r="C195" s="29">
        <v>106.0</v>
      </c>
      <c r="D195" s="30" t="s">
        <v>29</v>
      </c>
      <c r="E195" s="6"/>
      <c r="F195" s="6"/>
      <c r="G195" s="6"/>
      <c r="H195" s="6"/>
      <c r="I195" s="6"/>
      <c r="J195" s="6"/>
      <c r="K195" s="6"/>
      <c r="L195" s="6"/>
      <c r="M195" s="6"/>
      <c r="N195" s="6"/>
      <c r="O195" s="6"/>
      <c r="P195" s="6"/>
      <c r="Q195" s="6"/>
      <c r="R195" s="6"/>
      <c r="S195" s="6"/>
      <c r="T195" s="6"/>
      <c r="U195" s="6"/>
      <c r="V195" s="6"/>
      <c r="W195" s="6"/>
      <c r="X195" s="6"/>
      <c r="Y195" s="6"/>
      <c r="Z195" s="6"/>
    </row>
    <row r="196">
      <c r="A196" s="151" t="s">
        <v>597</v>
      </c>
      <c r="B196" s="29">
        <v>7.0</v>
      </c>
      <c r="C196" s="29">
        <v>59.0</v>
      </c>
      <c r="D196" s="118"/>
      <c r="E196" s="6"/>
      <c r="F196" s="6"/>
      <c r="G196" s="6"/>
      <c r="H196" s="6"/>
      <c r="I196" s="6"/>
      <c r="J196" s="6"/>
      <c r="K196" s="6"/>
      <c r="L196" s="6"/>
      <c r="M196" s="6"/>
      <c r="N196" s="6"/>
      <c r="O196" s="6"/>
      <c r="P196" s="6"/>
      <c r="Q196" s="6"/>
      <c r="R196" s="6"/>
      <c r="S196" s="6"/>
      <c r="T196" s="6"/>
      <c r="U196" s="6"/>
      <c r="V196" s="6"/>
      <c r="W196" s="6"/>
      <c r="X196" s="6"/>
      <c r="Y196" s="6"/>
      <c r="Z196" s="6"/>
    </row>
    <row r="197">
      <c r="A197" s="27" t="s">
        <v>604</v>
      </c>
      <c r="B197" s="29" t="s">
        <v>408</v>
      </c>
      <c r="C197" s="29">
        <v>112.0</v>
      </c>
      <c r="D197" s="30" t="s">
        <v>23</v>
      </c>
      <c r="E197" s="6"/>
      <c r="F197" s="6"/>
      <c r="G197" s="6"/>
      <c r="H197" s="6"/>
      <c r="I197" s="6"/>
      <c r="J197" s="6"/>
      <c r="K197" s="6"/>
      <c r="L197" s="6"/>
      <c r="M197" s="6"/>
      <c r="N197" s="6"/>
      <c r="O197" s="6"/>
      <c r="P197" s="6"/>
      <c r="Q197" s="6"/>
      <c r="R197" s="6"/>
      <c r="S197" s="6"/>
      <c r="T197" s="6"/>
      <c r="U197" s="6"/>
      <c r="V197" s="6"/>
      <c r="W197" s="6"/>
      <c r="X197" s="6"/>
      <c r="Y197" s="6"/>
      <c r="Z197" s="6"/>
    </row>
    <row r="198">
      <c r="A198" s="27" t="s">
        <v>606</v>
      </c>
      <c r="B198" s="29" t="s">
        <v>408</v>
      </c>
      <c r="C198" s="29">
        <v>118.0</v>
      </c>
      <c r="D198" s="30" t="s">
        <v>23</v>
      </c>
      <c r="E198" s="6"/>
      <c r="F198" s="6"/>
      <c r="G198" s="6"/>
      <c r="H198" s="6"/>
      <c r="I198" s="6"/>
      <c r="J198" s="6"/>
      <c r="K198" s="6"/>
      <c r="L198" s="6"/>
      <c r="M198" s="6"/>
      <c r="N198" s="6"/>
      <c r="O198" s="6"/>
      <c r="P198" s="6"/>
      <c r="Q198" s="6"/>
      <c r="R198" s="6"/>
      <c r="S198" s="6"/>
      <c r="T198" s="6"/>
      <c r="U198" s="6"/>
      <c r="V198" s="6"/>
      <c r="W198" s="6"/>
      <c r="X198" s="6"/>
      <c r="Y198" s="6"/>
      <c r="Z198" s="6"/>
    </row>
    <row r="199">
      <c r="A199" s="27" t="s">
        <v>599</v>
      </c>
      <c r="B199" s="29">
        <v>8.0</v>
      </c>
      <c r="C199" s="29">
        <v>76.0</v>
      </c>
      <c r="D199" s="118"/>
      <c r="E199" s="6"/>
      <c r="F199" s="6"/>
      <c r="G199" s="6"/>
      <c r="H199" s="6"/>
      <c r="I199" s="6"/>
      <c r="J199" s="6"/>
      <c r="K199" s="6"/>
      <c r="L199" s="6"/>
      <c r="M199" s="6"/>
      <c r="N199" s="6"/>
      <c r="O199" s="6"/>
      <c r="P199" s="6"/>
      <c r="Q199" s="6"/>
      <c r="R199" s="6"/>
      <c r="S199" s="6"/>
      <c r="T199" s="6"/>
      <c r="U199" s="6"/>
      <c r="V199" s="6"/>
      <c r="W199" s="6"/>
      <c r="X199" s="6"/>
      <c r="Y199" s="6"/>
      <c r="Z199" s="6"/>
    </row>
    <row r="200">
      <c r="A200" s="27" t="s">
        <v>347</v>
      </c>
      <c r="B200" s="29">
        <v>7.0</v>
      </c>
      <c r="C200" s="29">
        <v>64.0</v>
      </c>
      <c r="D200" s="154"/>
      <c r="E200" s="6"/>
      <c r="F200" s="6"/>
      <c r="G200" s="6"/>
      <c r="H200" s="6"/>
      <c r="I200" s="6"/>
      <c r="J200" s="6"/>
      <c r="K200" s="6"/>
      <c r="L200" s="6"/>
      <c r="M200" s="6"/>
      <c r="N200" s="6"/>
      <c r="O200" s="6"/>
      <c r="P200" s="6"/>
      <c r="Q200" s="6"/>
      <c r="R200" s="6"/>
      <c r="S200" s="6"/>
      <c r="T200" s="6"/>
      <c r="U200" s="6"/>
      <c r="V200" s="6"/>
      <c r="W200" s="6"/>
      <c r="X200" s="6"/>
      <c r="Y200" s="6"/>
      <c r="Z200" s="6"/>
    </row>
    <row r="201">
      <c r="A201" s="27" t="s">
        <v>549</v>
      </c>
      <c r="B201" s="29" t="s">
        <v>408</v>
      </c>
      <c r="C201" s="29">
        <v>109.0</v>
      </c>
      <c r="D201" s="30" t="s">
        <v>29</v>
      </c>
      <c r="E201" s="6"/>
      <c r="F201" s="6"/>
      <c r="G201" s="6"/>
      <c r="H201" s="6"/>
      <c r="I201" s="6"/>
      <c r="J201" s="6"/>
      <c r="K201" s="6"/>
      <c r="L201" s="6"/>
      <c r="M201" s="6"/>
      <c r="N201" s="6"/>
      <c r="O201" s="6"/>
      <c r="P201" s="6"/>
      <c r="Q201" s="6"/>
      <c r="R201" s="6"/>
      <c r="S201" s="6"/>
      <c r="T201" s="6"/>
      <c r="U201" s="6"/>
      <c r="V201" s="6"/>
      <c r="W201" s="6"/>
      <c r="X201" s="6"/>
      <c r="Y201" s="6"/>
      <c r="Z201" s="6"/>
    </row>
    <row r="202">
      <c r="A202" s="155"/>
      <c r="B202" s="156"/>
      <c r="C202" s="157"/>
      <c r="D202" s="158"/>
      <c r="E202" s="6"/>
      <c r="F202" s="6"/>
      <c r="G202" s="6"/>
      <c r="H202" s="6"/>
      <c r="I202" s="6"/>
      <c r="J202" s="6"/>
      <c r="K202" s="6"/>
      <c r="L202" s="6"/>
      <c r="M202" s="6"/>
      <c r="N202" s="6"/>
      <c r="O202" s="6"/>
      <c r="P202" s="6"/>
      <c r="Q202" s="6"/>
      <c r="R202" s="6"/>
      <c r="S202" s="6"/>
      <c r="T202" s="6"/>
      <c r="U202" s="6"/>
      <c r="V202" s="6"/>
      <c r="W202" s="6"/>
      <c r="X202" s="6"/>
      <c r="Y202" s="6"/>
      <c r="Z202" s="6"/>
    </row>
    <row r="203">
      <c r="A203" s="155"/>
      <c r="B203" s="156"/>
      <c r="C203" s="157"/>
      <c r="D203" s="158"/>
      <c r="E203" s="6"/>
      <c r="F203" s="6"/>
      <c r="G203" s="6"/>
      <c r="H203" s="6"/>
      <c r="I203" s="6"/>
      <c r="J203" s="6"/>
      <c r="K203" s="6"/>
      <c r="L203" s="6"/>
      <c r="M203" s="6"/>
      <c r="N203" s="6"/>
      <c r="O203" s="6"/>
      <c r="P203" s="6"/>
      <c r="Q203" s="6"/>
      <c r="R203" s="6"/>
      <c r="S203" s="6"/>
      <c r="T203" s="6"/>
      <c r="U203" s="6"/>
      <c r="V203" s="6"/>
      <c r="W203" s="6"/>
      <c r="X203" s="6"/>
      <c r="Y203" s="6"/>
      <c r="Z203" s="6"/>
    </row>
    <row r="204">
      <c r="A204" s="155"/>
      <c r="B204" s="156"/>
      <c r="C204" s="157"/>
      <c r="D204" s="158"/>
      <c r="E204" s="6"/>
      <c r="F204" s="6"/>
      <c r="G204" s="6"/>
      <c r="H204" s="6"/>
      <c r="I204" s="6"/>
      <c r="J204" s="6"/>
      <c r="K204" s="6"/>
      <c r="L204" s="6"/>
      <c r="M204" s="6"/>
      <c r="N204" s="6"/>
      <c r="O204" s="6"/>
      <c r="P204" s="6"/>
      <c r="Q204" s="6"/>
      <c r="R204" s="6"/>
      <c r="S204" s="6"/>
      <c r="T204" s="6"/>
      <c r="U204" s="6"/>
      <c r="V204" s="6"/>
      <c r="W204" s="6"/>
      <c r="X204" s="6"/>
      <c r="Y204" s="6"/>
      <c r="Z204" s="6"/>
    </row>
    <row r="205">
      <c r="A205" s="155"/>
      <c r="B205" s="156"/>
      <c r="C205" s="157"/>
      <c r="D205" s="158"/>
      <c r="E205" s="6"/>
      <c r="F205" s="6"/>
      <c r="G205" s="6"/>
      <c r="H205" s="6"/>
      <c r="I205" s="6"/>
      <c r="J205" s="6"/>
      <c r="K205" s="6"/>
      <c r="L205" s="6"/>
      <c r="M205" s="6"/>
      <c r="N205" s="6"/>
      <c r="O205" s="6"/>
      <c r="P205" s="6"/>
      <c r="Q205" s="6"/>
      <c r="R205" s="6"/>
      <c r="S205" s="6"/>
      <c r="T205" s="6"/>
      <c r="U205" s="6"/>
      <c r="V205" s="6"/>
      <c r="W205" s="6"/>
      <c r="X205" s="6"/>
      <c r="Y205" s="6"/>
      <c r="Z205" s="6"/>
    </row>
    <row r="206">
      <c r="A206" s="155"/>
      <c r="B206" s="156"/>
      <c r="C206" s="157"/>
      <c r="D206" s="158"/>
      <c r="E206" s="6"/>
      <c r="F206" s="6"/>
      <c r="G206" s="6"/>
      <c r="H206" s="6"/>
      <c r="I206" s="6"/>
      <c r="J206" s="6"/>
      <c r="K206" s="6"/>
      <c r="L206" s="6"/>
      <c r="M206" s="6"/>
      <c r="N206" s="6"/>
      <c r="O206" s="6"/>
      <c r="P206" s="6"/>
      <c r="Q206" s="6"/>
      <c r="R206" s="6"/>
      <c r="S206" s="6"/>
      <c r="T206" s="6"/>
      <c r="U206" s="6"/>
      <c r="V206" s="6"/>
      <c r="W206" s="6"/>
      <c r="X206" s="6"/>
      <c r="Y206" s="6"/>
      <c r="Z206" s="6"/>
    </row>
    <row r="207">
      <c r="A207" s="155"/>
      <c r="B207" s="156"/>
      <c r="C207" s="157"/>
      <c r="D207" s="158"/>
      <c r="E207" s="6"/>
      <c r="F207" s="6"/>
      <c r="G207" s="6"/>
      <c r="H207" s="6"/>
      <c r="I207" s="6"/>
      <c r="J207" s="6"/>
      <c r="K207" s="6"/>
      <c r="L207" s="6"/>
      <c r="M207" s="6"/>
      <c r="N207" s="6"/>
      <c r="O207" s="6"/>
      <c r="P207" s="6"/>
      <c r="Q207" s="6"/>
      <c r="R207" s="6"/>
      <c r="S207" s="6"/>
      <c r="T207" s="6"/>
      <c r="U207" s="6"/>
      <c r="V207" s="6"/>
      <c r="W207" s="6"/>
      <c r="X207" s="6"/>
      <c r="Y207" s="6"/>
      <c r="Z207" s="6"/>
    </row>
    <row r="208">
      <c r="A208" s="155"/>
      <c r="B208" s="156"/>
      <c r="C208" s="157"/>
      <c r="D208" s="158"/>
      <c r="E208" s="6"/>
      <c r="F208" s="6"/>
      <c r="G208" s="6"/>
      <c r="H208" s="6"/>
      <c r="I208" s="6"/>
      <c r="J208" s="6"/>
      <c r="K208" s="6"/>
      <c r="L208" s="6"/>
      <c r="M208" s="6"/>
      <c r="N208" s="6"/>
      <c r="O208" s="6"/>
      <c r="P208" s="6"/>
      <c r="Q208" s="6"/>
      <c r="R208" s="6"/>
      <c r="S208" s="6"/>
      <c r="T208" s="6"/>
      <c r="U208" s="6"/>
      <c r="V208" s="6"/>
      <c r="W208" s="6"/>
      <c r="X208" s="6"/>
      <c r="Y208" s="6"/>
      <c r="Z208" s="6"/>
    </row>
    <row r="209">
      <c r="A209" s="155"/>
      <c r="B209" s="156"/>
      <c r="C209" s="157"/>
      <c r="D209" s="158"/>
      <c r="E209" s="6"/>
      <c r="F209" s="6"/>
      <c r="G209" s="6"/>
      <c r="H209" s="6"/>
      <c r="I209" s="6"/>
      <c r="J209" s="6"/>
      <c r="K209" s="6"/>
      <c r="L209" s="6"/>
      <c r="M209" s="6"/>
      <c r="N209" s="6"/>
      <c r="O209" s="6"/>
      <c r="P209" s="6"/>
      <c r="Q209" s="6"/>
      <c r="R209" s="6"/>
      <c r="S209" s="6"/>
      <c r="T209" s="6"/>
      <c r="U209" s="6"/>
      <c r="V209" s="6"/>
      <c r="W209" s="6"/>
      <c r="X209" s="6"/>
      <c r="Y209" s="6"/>
      <c r="Z209" s="6"/>
    </row>
    <row r="210">
      <c r="A210" s="155"/>
      <c r="B210" s="156"/>
      <c r="C210" s="157"/>
      <c r="D210" s="158"/>
      <c r="E210" s="6"/>
      <c r="F210" s="6"/>
      <c r="G210" s="6"/>
      <c r="H210" s="6"/>
      <c r="I210" s="6"/>
      <c r="J210" s="6"/>
      <c r="K210" s="6"/>
      <c r="L210" s="6"/>
      <c r="M210" s="6"/>
      <c r="N210" s="6"/>
      <c r="O210" s="6"/>
      <c r="P210" s="6"/>
      <c r="Q210" s="6"/>
      <c r="R210" s="6"/>
      <c r="S210" s="6"/>
      <c r="T210" s="6"/>
      <c r="U210" s="6"/>
      <c r="V210" s="6"/>
      <c r="W210" s="6"/>
      <c r="X210" s="6"/>
      <c r="Y210" s="6"/>
      <c r="Z210" s="6"/>
    </row>
    <row r="211">
      <c r="A211" s="155"/>
      <c r="B211" s="156"/>
      <c r="C211" s="157"/>
      <c r="D211" s="158"/>
      <c r="E211" s="6"/>
      <c r="F211" s="6"/>
      <c r="G211" s="6"/>
      <c r="H211" s="6"/>
      <c r="I211" s="6"/>
      <c r="J211" s="6"/>
      <c r="K211" s="6"/>
      <c r="L211" s="6"/>
      <c r="M211" s="6"/>
      <c r="N211" s="6"/>
      <c r="O211" s="6"/>
      <c r="P211" s="6"/>
      <c r="Q211" s="6"/>
      <c r="R211" s="6"/>
      <c r="S211" s="6"/>
      <c r="T211" s="6"/>
      <c r="U211" s="6"/>
      <c r="V211" s="6"/>
      <c r="W211" s="6"/>
      <c r="X211" s="6"/>
      <c r="Y211" s="6"/>
      <c r="Z211" s="6"/>
    </row>
    <row r="212">
      <c r="A212" s="155"/>
      <c r="B212" s="156"/>
      <c r="C212" s="157"/>
      <c r="D212" s="158"/>
      <c r="E212" s="6"/>
      <c r="F212" s="6"/>
      <c r="G212" s="6"/>
      <c r="H212" s="6"/>
      <c r="I212" s="6"/>
      <c r="J212" s="6"/>
      <c r="K212" s="6"/>
      <c r="L212" s="6"/>
      <c r="M212" s="6"/>
      <c r="N212" s="6"/>
      <c r="O212" s="6"/>
      <c r="P212" s="6"/>
      <c r="Q212" s="6"/>
      <c r="R212" s="6"/>
      <c r="S212" s="6"/>
      <c r="T212" s="6"/>
      <c r="U212" s="6"/>
      <c r="V212" s="6"/>
      <c r="W212" s="6"/>
      <c r="X212" s="6"/>
      <c r="Y212" s="6"/>
      <c r="Z212" s="6"/>
    </row>
    <row r="213">
      <c r="A213" s="155"/>
      <c r="B213" s="156"/>
      <c r="C213" s="157"/>
      <c r="D213" s="158"/>
      <c r="E213" s="6"/>
      <c r="F213" s="6"/>
      <c r="G213" s="6"/>
      <c r="H213" s="6"/>
      <c r="I213" s="6"/>
      <c r="J213" s="6"/>
      <c r="K213" s="6"/>
      <c r="L213" s="6"/>
      <c r="M213" s="6"/>
      <c r="N213" s="6"/>
      <c r="O213" s="6"/>
      <c r="P213" s="6"/>
      <c r="Q213" s="6"/>
      <c r="R213" s="6"/>
      <c r="S213" s="6"/>
      <c r="T213" s="6"/>
      <c r="U213" s="6"/>
      <c r="V213" s="6"/>
      <c r="W213" s="6"/>
      <c r="X213" s="6"/>
      <c r="Y213" s="6"/>
      <c r="Z213" s="6"/>
    </row>
    <row r="214">
      <c r="A214" s="155"/>
      <c r="B214" s="156"/>
      <c r="C214" s="156"/>
      <c r="D214" s="158"/>
      <c r="E214" s="6"/>
      <c r="F214" s="6"/>
      <c r="G214" s="6"/>
      <c r="H214" s="6"/>
      <c r="I214" s="6"/>
      <c r="J214" s="6"/>
      <c r="K214" s="6"/>
      <c r="L214" s="6"/>
      <c r="M214" s="6"/>
      <c r="N214" s="6"/>
      <c r="O214" s="6"/>
      <c r="P214" s="6"/>
      <c r="Q214" s="6"/>
      <c r="R214" s="6"/>
      <c r="S214" s="6"/>
      <c r="T214" s="6"/>
      <c r="U214" s="6"/>
      <c r="V214" s="6"/>
      <c r="W214" s="6"/>
      <c r="X214" s="6"/>
      <c r="Y214" s="6"/>
      <c r="Z214" s="6"/>
    </row>
    <row r="215">
      <c r="A215" s="155"/>
      <c r="B215" s="156"/>
      <c r="C215" s="156"/>
      <c r="D215" s="158"/>
      <c r="E215" s="6"/>
      <c r="F215" s="6"/>
      <c r="G215" s="6"/>
      <c r="H215" s="6"/>
      <c r="I215" s="6"/>
      <c r="J215" s="6"/>
      <c r="K215" s="6"/>
      <c r="L215" s="6"/>
      <c r="M215" s="6"/>
      <c r="N215" s="6"/>
      <c r="O215" s="6"/>
      <c r="P215" s="6"/>
      <c r="Q215" s="6"/>
      <c r="R215" s="6"/>
      <c r="S215" s="6"/>
      <c r="T215" s="6"/>
      <c r="U215" s="6"/>
      <c r="V215" s="6"/>
      <c r="W215" s="6"/>
      <c r="X215" s="6"/>
      <c r="Y215" s="6"/>
      <c r="Z215" s="6"/>
    </row>
    <row r="216">
      <c r="A216" s="155"/>
      <c r="B216" s="156"/>
      <c r="C216" s="156"/>
      <c r="D216" s="158"/>
      <c r="E216" s="6"/>
      <c r="F216" s="6"/>
      <c r="G216" s="6"/>
      <c r="H216" s="6"/>
      <c r="I216" s="6"/>
      <c r="J216" s="6"/>
      <c r="K216" s="6"/>
      <c r="L216" s="6"/>
      <c r="M216" s="6"/>
      <c r="N216" s="6"/>
      <c r="O216" s="6"/>
      <c r="P216" s="6"/>
      <c r="Q216" s="6"/>
      <c r="R216" s="6"/>
      <c r="S216" s="6"/>
      <c r="T216" s="6"/>
      <c r="U216" s="6"/>
      <c r="V216" s="6"/>
      <c r="W216" s="6"/>
      <c r="X216" s="6"/>
      <c r="Y216" s="6"/>
      <c r="Z216" s="6"/>
    </row>
    <row r="217">
      <c r="A217" s="155"/>
      <c r="B217" s="156"/>
      <c r="C217" s="156"/>
      <c r="D217" s="158"/>
      <c r="E217" s="6"/>
      <c r="F217" s="6"/>
      <c r="G217" s="6"/>
      <c r="H217" s="6"/>
      <c r="I217" s="6"/>
      <c r="J217" s="6"/>
      <c r="K217" s="6"/>
      <c r="L217" s="6"/>
      <c r="M217" s="6"/>
      <c r="N217" s="6"/>
      <c r="O217" s="6"/>
      <c r="P217" s="6"/>
      <c r="Q217" s="6"/>
      <c r="R217" s="6"/>
      <c r="S217" s="6"/>
      <c r="T217" s="6"/>
      <c r="U217" s="6"/>
      <c r="V217" s="6"/>
      <c r="W217" s="6"/>
      <c r="X217" s="6"/>
      <c r="Y217" s="6"/>
      <c r="Z217" s="6"/>
    </row>
    <row r="218">
      <c r="A218" s="155"/>
      <c r="B218" s="156"/>
      <c r="C218" s="156"/>
      <c r="D218" s="158"/>
      <c r="E218" s="6"/>
      <c r="F218" s="6"/>
      <c r="G218" s="6"/>
      <c r="H218" s="6"/>
      <c r="I218" s="6"/>
      <c r="J218" s="6"/>
      <c r="K218" s="6"/>
      <c r="L218" s="6"/>
      <c r="M218" s="6"/>
      <c r="N218" s="6"/>
      <c r="O218" s="6"/>
      <c r="P218" s="6"/>
      <c r="Q218" s="6"/>
      <c r="R218" s="6"/>
      <c r="S218" s="6"/>
      <c r="T218" s="6"/>
      <c r="U218" s="6"/>
      <c r="V218" s="6"/>
      <c r="W218" s="6"/>
      <c r="X218" s="6"/>
      <c r="Y218" s="6"/>
      <c r="Z218" s="6"/>
    </row>
    <row r="219">
      <c r="A219" s="155"/>
      <c r="B219" s="156"/>
      <c r="C219" s="156"/>
      <c r="D219" s="158"/>
      <c r="E219" s="6"/>
      <c r="F219" s="6"/>
      <c r="G219" s="6"/>
      <c r="H219" s="6"/>
      <c r="I219" s="6"/>
      <c r="J219" s="6"/>
      <c r="K219" s="6"/>
      <c r="L219" s="6"/>
      <c r="M219" s="6"/>
      <c r="N219" s="6"/>
      <c r="O219" s="6"/>
      <c r="P219" s="6"/>
      <c r="Q219" s="6"/>
      <c r="R219" s="6"/>
      <c r="S219" s="6"/>
      <c r="T219" s="6"/>
      <c r="U219" s="6"/>
      <c r="V219" s="6"/>
      <c r="W219" s="6"/>
      <c r="X219" s="6"/>
      <c r="Y219" s="6"/>
      <c r="Z219" s="6"/>
    </row>
    <row r="220">
      <c r="A220" s="155"/>
      <c r="B220" s="156"/>
      <c r="C220" s="156"/>
      <c r="D220" s="158"/>
      <c r="E220" s="6"/>
      <c r="F220" s="6"/>
      <c r="G220" s="6"/>
      <c r="H220" s="6"/>
      <c r="I220" s="6"/>
      <c r="J220" s="6"/>
      <c r="K220" s="6"/>
      <c r="L220" s="6"/>
      <c r="M220" s="6"/>
      <c r="N220" s="6"/>
      <c r="O220" s="6"/>
      <c r="P220" s="6"/>
      <c r="Q220" s="6"/>
      <c r="R220" s="6"/>
      <c r="S220" s="6"/>
      <c r="T220" s="6"/>
      <c r="U220" s="6"/>
      <c r="V220" s="6"/>
      <c r="W220" s="6"/>
      <c r="X220" s="6"/>
      <c r="Y220" s="6"/>
      <c r="Z220" s="6"/>
    </row>
    <row r="221">
      <c r="A221" s="155"/>
      <c r="B221" s="156"/>
      <c r="C221" s="156"/>
      <c r="D221" s="158"/>
      <c r="E221" s="6"/>
      <c r="F221" s="6"/>
      <c r="G221" s="6"/>
      <c r="H221" s="6"/>
      <c r="I221" s="6"/>
      <c r="J221" s="6"/>
      <c r="K221" s="6"/>
      <c r="L221" s="6"/>
      <c r="M221" s="6"/>
      <c r="N221" s="6"/>
      <c r="O221" s="6"/>
      <c r="P221" s="6"/>
      <c r="Q221" s="6"/>
      <c r="R221" s="6"/>
      <c r="S221" s="6"/>
      <c r="T221" s="6"/>
      <c r="U221" s="6"/>
      <c r="V221" s="6"/>
      <c r="W221" s="6"/>
      <c r="X221" s="6"/>
      <c r="Y221" s="6"/>
      <c r="Z221" s="6"/>
    </row>
    <row r="222">
      <c r="A222" s="155"/>
      <c r="B222" s="156"/>
      <c r="C222" s="156"/>
      <c r="D222" s="158"/>
      <c r="E222" s="6"/>
      <c r="F222" s="6"/>
      <c r="G222" s="6"/>
      <c r="H222" s="6"/>
      <c r="I222" s="6"/>
      <c r="J222" s="6"/>
      <c r="K222" s="6"/>
      <c r="L222" s="6"/>
      <c r="M222" s="6"/>
      <c r="N222" s="6"/>
      <c r="O222" s="6"/>
      <c r="P222" s="6"/>
      <c r="Q222" s="6"/>
      <c r="R222" s="6"/>
      <c r="S222" s="6"/>
      <c r="T222" s="6"/>
      <c r="U222" s="6"/>
      <c r="V222" s="6"/>
      <c r="W222" s="6"/>
      <c r="X222" s="6"/>
      <c r="Y222" s="6"/>
      <c r="Z222" s="6"/>
    </row>
    <row r="223">
      <c r="A223" s="155"/>
      <c r="B223" s="156"/>
      <c r="C223" s="156"/>
      <c r="D223" s="158"/>
      <c r="E223" s="6"/>
      <c r="F223" s="6"/>
      <c r="G223" s="6"/>
      <c r="H223" s="6"/>
      <c r="I223" s="6"/>
      <c r="J223" s="6"/>
      <c r="K223" s="6"/>
      <c r="L223" s="6"/>
      <c r="M223" s="6"/>
      <c r="N223" s="6"/>
      <c r="O223" s="6"/>
      <c r="P223" s="6"/>
      <c r="Q223" s="6"/>
      <c r="R223" s="6"/>
      <c r="S223" s="6"/>
      <c r="T223" s="6"/>
      <c r="U223" s="6"/>
      <c r="V223" s="6"/>
      <c r="W223" s="6"/>
      <c r="X223" s="6"/>
      <c r="Y223" s="6"/>
      <c r="Z223" s="6"/>
    </row>
    <row r="224">
      <c r="A224" s="155"/>
      <c r="B224" s="156"/>
      <c r="C224" s="156"/>
      <c r="D224" s="158"/>
      <c r="E224" s="6"/>
      <c r="F224" s="6"/>
      <c r="G224" s="6"/>
      <c r="H224" s="6"/>
      <c r="I224" s="6"/>
      <c r="J224" s="6"/>
      <c r="K224" s="6"/>
      <c r="L224" s="6"/>
      <c r="M224" s="6"/>
      <c r="N224" s="6"/>
      <c r="O224" s="6"/>
      <c r="P224" s="6"/>
      <c r="Q224" s="6"/>
      <c r="R224" s="6"/>
      <c r="S224" s="6"/>
      <c r="T224" s="6"/>
      <c r="U224" s="6"/>
      <c r="V224" s="6"/>
      <c r="W224" s="6"/>
      <c r="X224" s="6"/>
      <c r="Y224" s="6"/>
      <c r="Z224" s="6"/>
    </row>
    <row r="225">
      <c r="A225" s="155"/>
      <c r="B225" s="156"/>
      <c r="C225" s="156"/>
      <c r="D225" s="158"/>
      <c r="E225" s="6"/>
      <c r="F225" s="6"/>
      <c r="G225" s="6"/>
      <c r="H225" s="6"/>
      <c r="I225" s="6"/>
      <c r="J225" s="6"/>
      <c r="K225" s="6"/>
      <c r="L225" s="6"/>
      <c r="M225" s="6"/>
      <c r="N225" s="6"/>
      <c r="O225" s="6"/>
      <c r="P225" s="6"/>
      <c r="Q225" s="6"/>
      <c r="R225" s="6"/>
      <c r="S225" s="6"/>
      <c r="T225" s="6"/>
      <c r="U225" s="6"/>
      <c r="V225" s="6"/>
      <c r="W225" s="6"/>
      <c r="X225" s="6"/>
      <c r="Y225" s="6"/>
      <c r="Z225" s="6"/>
    </row>
    <row r="226">
      <c r="A226" s="155"/>
      <c r="B226" s="156"/>
      <c r="C226" s="156"/>
      <c r="D226" s="158"/>
      <c r="E226" s="6"/>
      <c r="F226" s="6"/>
      <c r="G226" s="6"/>
      <c r="H226" s="6"/>
      <c r="I226" s="6"/>
      <c r="J226" s="6"/>
      <c r="K226" s="6"/>
      <c r="L226" s="6"/>
      <c r="M226" s="6"/>
      <c r="N226" s="6"/>
      <c r="O226" s="6"/>
      <c r="P226" s="6"/>
      <c r="Q226" s="6"/>
      <c r="R226" s="6"/>
      <c r="S226" s="6"/>
      <c r="T226" s="6"/>
      <c r="U226" s="6"/>
      <c r="V226" s="6"/>
      <c r="W226" s="6"/>
      <c r="X226" s="6"/>
      <c r="Y226" s="6"/>
      <c r="Z226" s="6"/>
    </row>
    <row r="227">
      <c r="A227" s="155"/>
      <c r="B227" s="156"/>
      <c r="C227" s="156"/>
      <c r="D227" s="158"/>
      <c r="E227" s="6"/>
      <c r="F227" s="6"/>
      <c r="G227" s="6"/>
      <c r="H227" s="6"/>
      <c r="I227" s="6"/>
      <c r="J227" s="6"/>
      <c r="K227" s="6"/>
      <c r="L227" s="6"/>
      <c r="M227" s="6"/>
      <c r="N227" s="6"/>
      <c r="O227" s="6"/>
      <c r="P227" s="6"/>
      <c r="Q227" s="6"/>
      <c r="R227" s="6"/>
      <c r="S227" s="6"/>
      <c r="T227" s="6"/>
      <c r="U227" s="6"/>
      <c r="V227" s="6"/>
      <c r="W227" s="6"/>
      <c r="X227" s="6"/>
      <c r="Y227" s="6"/>
      <c r="Z227" s="6"/>
    </row>
    <row r="228">
      <c r="A228" s="155"/>
      <c r="B228" s="156"/>
      <c r="C228" s="156"/>
      <c r="D228" s="158"/>
      <c r="E228" s="6"/>
      <c r="F228" s="6"/>
      <c r="G228" s="6"/>
      <c r="H228" s="6"/>
      <c r="I228" s="6"/>
      <c r="J228" s="6"/>
      <c r="K228" s="6"/>
      <c r="L228" s="6"/>
      <c r="M228" s="6"/>
      <c r="N228" s="6"/>
      <c r="O228" s="6"/>
      <c r="P228" s="6"/>
      <c r="Q228" s="6"/>
      <c r="R228" s="6"/>
      <c r="S228" s="6"/>
      <c r="T228" s="6"/>
      <c r="U228" s="6"/>
      <c r="V228" s="6"/>
      <c r="W228" s="6"/>
      <c r="X228" s="6"/>
      <c r="Y228" s="6"/>
      <c r="Z228" s="6"/>
    </row>
    <row r="229">
      <c r="A229" s="155"/>
      <c r="B229" s="156"/>
      <c r="C229" s="156"/>
      <c r="D229" s="158"/>
      <c r="E229" s="6"/>
      <c r="F229" s="6"/>
      <c r="G229" s="6"/>
      <c r="H229" s="6"/>
      <c r="I229" s="6"/>
      <c r="J229" s="6"/>
      <c r="K229" s="6"/>
      <c r="L229" s="6"/>
      <c r="M229" s="6"/>
      <c r="N229" s="6"/>
      <c r="O229" s="6"/>
      <c r="P229" s="6"/>
      <c r="Q229" s="6"/>
      <c r="R229" s="6"/>
      <c r="S229" s="6"/>
      <c r="T229" s="6"/>
      <c r="U229" s="6"/>
      <c r="V229" s="6"/>
      <c r="W229" s="6"/>
      <c r="X229" s="6"/>
      <c r="Y229" s="6"/>
      <c r="Z229" s="6"/>
    </row>
    <row r="230">
      <c r="A230" s="155"/>
      <c r="B230" s="156"/>
      <c r="C230" s="156"/>
      <c r="D230" s="158"/>
      <c r="E230" s="6"/>
      <c r="F230" s="6"/>
      <c r="G230" s="6"/>
      <c r="H230" s="6"/>
      <c r="I230" s="6"/>
      <c r="J230" s="6"/>
      <c r="K230" s="6"/>
      <c r="L230" s="6"/>
      <c r="M230" s="6"/>
      <c r="N230" s="6"/>
      <c r="O230" s="6"/>
      <c r="P230" s="6"/>
      <c r="Q230" s="6"/>
      <c r="R230" s="6"/>
      <c r="S230" s="6"/>
      <c r="T230" s="6"/>
      <c r="U230" s="6"/>
      <c r="V230" s="6"/>
      <c r="W230" s="6"/>
      <c r="X230" s="6"/>
      <c r="Y230" s="6"/>
      <c r="Z230" s="6"/>
    </row>
    <row r="231">
      <c r="A231" s="155"/>
      <c r="B231" s="156"/>
      <c r="C231" s="156"/>
      <c r="D231" s="158"/>
      <c r="E231" s="6"/>
      <c r="F231" s="6"/>
      <c r="G231" s="6"/>
      <c r="H231" s="6"/>
      <c r="I231" s="6"/>
      <c r="J231" s="6"/>
      <c r="K231" s="6"/>
      <c r="L231" s="6"/>
      <c r="M231" s="6"/>
      <c r="N231" s="6"/>
      <c r="O231" s="6"/>
      <c r="P231" s="6"/>
      <c r="Q231" s="6"/>
      <c r="R231" s="6"/>
      <c r="S231" s="6"/>
      <c r="T231" s="6"/>
      <c r="U231" s="6"/>
      <c r="V231" s="6"/>
      <c r="W231" s="6"/>
      <c r="X231" s="6"/>
      <c r="Y231" s="6"/>
      <c r="Z231" s="6"/>
    </row>
    <row r="232">
      <c r="A232" s="155"/>
      <c r="B232" s="156"/>
      <c r="C232" s="156"/>
      <c r="D232" s="158"/>
      <c r="E232" s="6"/>
      <c r="F232" s="6"/>
      <c r="G232" s="6"/>
      <c r="H232" s="6"/>
      <c r="I232" s="6"/>
      <c r="J232" s="6"/>
      <c r="K232" s="6"/>
      <c r="L232" s="6"/>
      <c r="M232" s="6"/>
      <c r="N232" s="6"/>
      <c r="O232" s="6"/>
      <c r="P232" s="6"/>
      <c r="Q232" s="6"/>
      <c r="R232" s="6"/>
      <c r="S232" s="6"/>
      <c r="T232" s="6"/>
      <c r="U232" s="6"/>
      <c r="V232" s="6"/>
      <c r="W232" s="6"/>
      <c r="X232" s="6"/>
      <c r="Y232" s="6"/>
      <c r="Z232" s="6"/>
    </row>
    <row r="233">
      <c r="A233" s="155"/>
      <c r="B233" s="156"/>
      <c r="C233" s="156"/>
      <c r="D233" s="158"/>
      <c r="E233" s="6"/>
      <c r="F233" s="6"/>
      <c r="G233" s="6"/>
      <c r="H233" s="6"/>
      <c r="I233" s="6"/>
      <c r="J233" s="6"/>
      <c r="K233" s="6"/>
      <c r="L233" s="6"/>
      <c r="M233" s="6"/>
      <c r="N233" s="6"/>
      <c r="O233" s="6"/>
      <c r="P233" s="6"/>
      <c r="Q233" s="6"/>
      <c r="R233" s="6"/>
      <c r="S233" s="6"/>
      <c r="T233" s="6"/>
      <c r="U233" s="6"/>
      <c r="V233" s="6"/>
      <c r="W233" s="6"/>
      <c r="X233" s="6"/>
      <c r="Y233" s="6"/>
      <c r="Z233" s="6"/>
    </row>
    <row r="234">
      <c r="A234" s="155"/>
      <c r="B234" s="156"/>
      <c r="C234" s="156"/>
      <c r="D234" s="158"/>
      <c r="E234" s="6"/>
      <c r="F234" s="6"/>
      <c r="G234" s="6"/>
      <c r="H234" s="6"/>
      <c r="I234" s="6"/>
      <c r="J234" s="6"/>
      <c r="K234" s="6"/>
      <c r="L234" s="6"/>
      <c r="M234" s="6"/>
      <c r="N234" s="6"/>
      <c r="O234" s="6"/>
      <c r="P234" s="6"/>
      <c r="Q234" s="6"/>
      <c r="R234" s="6"/>
      <c r="S234" s="6"/>
      <c r="T234" s="6"/>
      <c r="U234" s="6"/>
      <c r="V234" s="6"/>
      <c r="W234" s="6"/>
      <c r="X234" s="6"/>
      <c r="Y234" s="6"/>
      <c r="Z234" s="6"/>
    </row>
    <row r="235">
      <c r="A235" s="155"/>
      <c r="B235" s="156"/>
      <c r="C235" s="156"/>
      <c r="D235" s="158"/>
      <c r="E235" s="6"/>
      <c r="F235" s="6"/>
      <c r="G235" s="6"/>
      <c r="H235" s="6"/>
      <c r="I235" s="6"/>
      <c r="J235" s="6"/>
      <c r="K235" s="6"/>
      <c r="L235" s="6"/>
      <c r="M235" s="6"/>
      <c r="N235" s="6"/>
      <c r="O235" s="6"/>
      <c r="P235" s="6"/>
      <c r="Q235" s="6"/>
      <c r="R235" s="6"/>
      <c r="S235" s="6"/>
      <c r="T235" s="6"/>
      <c r="U235" s="6"/>
      <c r="V235" s="6"/>
      <c r="W235" s="6"/>
      <c r="X235" s="6"/>
      <c r="Y235" s="6"/>
      <c r="Z235" s="6"/>
    </row>
    <row r="236">
      <c r="A236" s="155"/>
      <c r="B236" s="156"/>
      <c r="C236" s="156"/>
      <c r="D236" s="158"/>
      <c r="E236" s="6"/>
      <c r="F236" s="6"/>
      <c r="G236" s="6"/>
      <c r="H236" s="6"/>
      <c r="I236" s="6"/>
      <c r="J236" s="6"/>
      <c r="K236" s="6"/>
      <c r="L236" s="6"/>
      <c r="M236" s="6"/>
      <c r="N236" s="6"/>
      <c r="O236" s="6"/>
      <c r="P236" s="6"/>
      <c r="Q236" s="6"/>
      <c r="R236" s="6"/>
      <c r="S236" s="6"/>
      <c r="T236" s="6"/>
      <c r="U236" s="6"/>
      <c r="V236" s="6"/>
      <c r="W236" s="6"/>
      <c r="X236" s="6"/>
      <c r="Y236" s="6"/>
      <c r="Z236" s="6"/>
    </row>
    <row r="237">
      <c r="A237" s="155"/>
      <c r="B237" s="156"/>
      <c r="C237" s="156"/>
      <c r="D237" s="158"/>
      <c r="E237" s="6"/>
      <c r="F237" s="6"/>
      <c r="G237" s="6"/>
      <c r="H237" s="6"/>
      <c r="I237" s="6"/>
      <c r="J237" s="6"/>
      <c r="K237" s="6"/>
      <c r="L237" s="6"/>
      <c r="M237" s="6"/>
      <c r="N237" s="6"/>
      <c r="O237" s="6"/>
      <c r="P237" s="6"/>
      <c r="Q237" s="6"/>
      <c r="R237" s="6"/>
      <c r="S237" s="6"/>
      <c r="T237" s="6"/>
      <c r="U237" s="6"/>
      <c r="V237" s="6"/>
      <c r="W237" s="6"/>
      <c r="X237" s="6"/>
      <c r="Y237" s="6"/>
      <c r="Z237" s="6"/>
    </row>
    <row r="238">
      <c r="A238" s="155"/>
      <c r="B238" s="156"/>
      <c r="C238" s="156"/>
      <c r="D238" s="158"/>
      <c r="E238" s="6"/>
      <c r="F238" s="6"/>
      <c r="G238" s="6"/>
      <c r="H238" s="6"/>
      <c r="I238" s="6"/>
      <c r="J238" s="6"/>
      <c r="K238" s="6"/>
      <c r="L238" s="6"/>
      <c r="M238" s="6"/>
      <c r="N238" s="6"/>
      <c r="O238" s="6"/>
      <c r="P238" s="6"/>
      <c r="Q238" s="6"/>
      <c r="R238" s="6"/>
      <c r="S238" s="6"/>
      <c r="T238" s="6"/>
      <c r="U238" s="6"/>
      <c r="V238" s="6"/>
      <c r="W238" s="6"/>
      <c r="X238" s="6"/>
      <c r="Y238" s="6"/>
      <c r="Z238" s="6"/>
    </row>
    <row r="239">
      <c r="A239" s="155"/>
      <c r="B239" s="156"/>
      <c r="C239" s="156"/>
      <c r="D239" s="158"/>
      <c r="E239" s="6"/>
      <c r="F239" s="6"/>
      <c r="G239" s="6"/>
      <c r="H239" s="6"/>
      <c r="I239" s="6"/>
      <c r="J239" s="6"/>
      <c r="K239" s="6"/>
      <c r="L239" s="6"/>
      <c r="M239" s="6"/>
      <c r="N239" s="6"/>
      <c r="O239" s="6"/>
      <c r="P239" s="6"/>
      <c r="Q239" s="6"/>
      <c r="R239" s="6"/>
      <c r="S239" s="6"/>
      <c r="T239" s="6"/>
      <c r="U239" s="6"/>
      <c r="V239" s="6"/>
      <c r="W239" s="6"/>
      <c r="X239" s="6"/>
      <c r="Y239" s="6"/>
      <c r="Z239" s="6"/>
    </row>
    <row r="240">
      <c r="A240" s="155"/>
      <c r="B240" s="156"/>
      <c r="C240" s="156"/>
      <c r="D240" s="158"/>
      <c r="E240" s="6"/>
      <c r="F240" s="6"/>
      <c r="G240" s="6"/>
      <c r="H240" s="6"/>
      <c r="I240" s="6"/>
      <c r="J240" s="6"/>
      <c r="K240" s="6"/>
      <c r="L240" s="6"/>
      <c r="M240" s="6"/>
      <c r="N240" s="6"/>
      <c r="O240" s="6"/>
      <c r="P240" s="6"/>
      <c r="Q240" s="6"/>
      <c r="R240" s="6"/>
      <c r="S240" s="6"/>
      <c r="T240" s="6"/>
      <c r="U240" s="6"/>
      <c r="V240" s="6"/>
      <c r="W240" s="6"/>
      <c r="X240" s="6"/>
      <c r="Y240" s="6"/>
      <c r="Z240" s="6"/>
    </row>
    <row r="241">
      <c r="A241" s="155"/>
      <c r="B241" s="156"/>
      <c r="C241" s="156"/>
      <c r="D241" s="158"/>
      <c r="E241" s="6"/>
      <c r="F241" s="6"/>
      <c r="G241" s="6"/>
      <c r="H241" s="6"/>
      <c r="I241" s="6"/>
      <c r="J241" s="6"/>
      <c r="K241" s="6"/>
      <c r="L241" s="6"/>
      <c r="M241" s="6"/>
      <c r="N241" s="6"/>
      <c r="O241" s="6"/>
      <c r="P241" s="6"/>
      <c r="Q241" s="6"/>
      <c r="R241" s="6"/>
      <c r="S241" s="6"/>
      <c r="T241" s="6"/>
      <c r="U241" s="6"/>
      <c r="V241" s="6"/>
      <c r="W241" s="6"/>
      <c r="X241" s="6"/>
      <c r="Y241" s="6"/>
      <c r="Z241" s="6"/>
    </row>
    <row r="242">
      <c r="A242" s="155"/>
      <c r="B242" s="156"/>
      <c r="C242" s="156"/>
      <c r="D242" s="158"/>
      <c r="E242" s="6"/>
      <c r="F242" s="6"/>
      <c r="G242" s="6"/>
      <c r="H242" s="6"/>
      <c r="I242" s="6"/>
      <c r="J242" s="6"/>
      <c r="K242" s="6"/>
      <c r="L242" s="6"/>
      <c r="M242" s="6"/>
      <c r="N242" s="6"/>
      <c r="O242" s="6"/>
      <c r="P242" s="6"/>
      <c r="Q242" s="6"/>
      <c r="R242" s="6"/>
      <c r="S242" s="6"/>
      <c r="T242" s="6"/>
      <c r="U242" s="6"/>
      <c r="V242" s="6"/>
      <c r="W242" s="6"/>
      <c r="X242" s="6"/>
      <c r="Y242" s="6"/>
      <c r="Z242" s="6"/>
    </row>
    <row r="243">
      <c r="A243" s="155"/>
      <c r="B243" s="156"/>
      <c r="C243" s="156"/>
      <c r="D243" s="158"/>
      <c r="E243" s="6"/>
      <c r="F243" s="6"/>
      <c r="G243" s="6"/>
      <c r="H243" s="6"/>
      <c r="I243" s="6"/>
      <c r="J243" s="6"/>
      <c r="K243" s="6"/>
      <c r="L243" s="6"/>
      <c r="M243" s="6"/>
      <c r="N243" s="6"/>
      <c r="O243" s="6"/>
      <c r="P243" s="6"/>
      <c r="Q243" s="6"/>
      <c r="R243" s="6"/>
      <c r="S243" s="6"/>
      <c r="T243" s="6"/>
      <c r="U243" s="6"/>
      <c r="V243" s="6"/>
      <c r="W243" s="6"/>
      <c r="X243" s="6"/>
      <c r="Y243" s="6"/>
      <c r="Z243" s="6"/>
    </row>
    <row r="244">
      <c r="A244" s="155"/>
      <c r="B244" s="156"/>
      <c r="C244" s="156"/>
      <c r="D244" s="158"/>
      <c r="E244" s="6"/>
      <c r="F244" s="6"/>
      <c r="G244" s="6"/>
      <c r="H244" s="6"/>
      <c r="I244" s="6"/>
      <c r="J244" s="6"/>
      <c r="K244" s="6"/>
      <c r="L244" s="6"/>
      <c r="M244" s="6"/>
      <c r="N244" s="6"/>
      <c r="O244" s="6"/>
      <c r="P244" s="6"/>
      <c r="Q244" s="6"/>
      <c r="R244" s="6"/>
      <c r="S244" s="6"/>
      <c r="T244" s="6"/>
      <c r="U244" s="6"/>
      <c r="V244" s="6"/>
      <c r="W244" s="6"/>
      <c r="X244" s="6"/>
      <c r="Y244" s="6"/>
      <c r="Z244" s="6"/>
    </row>
    <row r="245">
      <c r="A245" s="155"/>
      <c r="B245" s="156"/>
      <c r="C245" s="156"/>
      <c r="D245" s="158"/>
      <c r="E245" s="6"/>
      <c r="F245" s="6"/>
      <c r="G245" s="6"/>
      <c r="H245" s="6"/>
      <c r="I245" s="6"/>
      <c r="J245" s="6"/>
      <c r="K245" s="6"/>
      <c r="L245" s="6"/>
      <c r="M245" s="6"/>
      <c r="N245" s="6"/>
      <c r="O245" s="6"/>
      <c r="P245" s="6"/>
      <c r="Q245" s="6"/>
      <c r="R245" s="6"/>
      <c r="S245" s="6"/>
      <c r="T245" s="6"/>
      <c r="U245" s="6"/>
      <c r="V245" s="6"/>
      <c r="W245" s="6"/>
      <c r="X245" s="6"/>
      <c r="Y245" s="6"/>
      <c r="Z245" s="6"/>
    </row>
    <row r="246">
      <c r="A246" s="155"/>
      <c r="B246" s="156"/>
      <c r="C246" s="156"/>
      <c r="D246" s="158"/>
      <c r="E246" s="6"/>
      <c r="F246" s="6"/>
      <c r="G246" s="6"/>
      <c r="H246" s="6"/>
      <c r="I246" s="6"/>
      <c r="J246" s="6"/>
      <c r="K246" s="6"/>
      <c r="L246" s="6"/>
      <c r="M246" s="6"/>
      <c r="N246" s="6"/>
      <c r="O246" s="6"/>
      <c r="P246" s="6"/>
      <c r="Q246" s="6"/>
      <c r="R246" s="6"/>
      <c r="S246" s="6"/>
      <c r="T246" s="6"/>
      <c r="U246" s="6"/>
      <c r="V246" s="6"/>
      <c r="W246" s="6"/>
      <c r="X246" s="6"/>
      <c r="Y246" s="6"/>
      <c r="Z246" s="6"/>
    </row>
    <row r="247">
      <c r="A247" s="155"/>
      <c r="B247" s="156"/>
      <c r="C247" s="156"/>
      <c r="D247" s="158"/>
      <c r="E247" s="6"/>
      <c r="F247" s="6"/>
      <c r="G247" s="6"/>
      <c r="H247" s="6"/>
      <c r="I247" s="6"/>
      <c r="J247" s="6"/>
      <c r="K247" s="6"/>
      <c r="L247" s="6"/>
      <c r="M247" s="6"/>
      <c r="N247" s="6"/>
      <c r="O247" s="6"/>
      <c r="P247" s="6"/>
      <c r="Q247" s="6"/>
      <c r="R247" s="6"/>
      <c r="S247" s="6"/>
      <c r="T247" s="6"/>
      <c r="U247" s="6"/>
      <c r="V247" s="6"/>
      <c r="W247" s="6"/>
      <c r="X247" s="6"/>
      <c r="Y247" s="6"/>
      <c r="Z247" s="6"/>
    </row>
    <row r="248">
      <c r="A248" s="155"/>
      <c r="B248" s="156"/>
      <c r="C248" s="156"/>
      <c r="D248" s="158"/>
      <c r="E248" s="6"/>
      <c r="F248" s="6"/>
      <c r="G248" s="6"/>
      <c r="H248" s="6"/>
      <c r="I248" s="6"/>
      <c r="J248" s="6"/>
      <c r="K248" s="6"/>
      <c r="L248" s="6"/>
      <c r="M248" s="6"/>
      <c r="N248" s="6"/>
      <c r="O248" s="6"/>
      <c r="P248" s="6"/>
      <c r="Q248" s="6"/>
      <c r="R248" s="6"/>
      <c r="S248" s="6"/>
      <c r="T248" s="6"/>
      <c r="U248" s="6"/>
      <c r="V248" s="6"/>
      <c r="W248" s="6"/>
      <c r="X248" s="6"/>
      <c r="Y248" s="6"/>
      <c r="Z248" s="6"/>
    </row>
    <row r="249">
      <c r="A249" s="155"/>
      <c r="B249" s="156"/>
      <c r="C249" s="156"/>
      <c r="D249" s="158"/>
      <c r="E249" s="6"/>
      <c r="F249" s="6"/>
      <c r="G249" s="6"/>
      <c r="H249" s="6"/>
      <c r="I249" s="6"/>
      <c r="J249" s="6"/>
      <c r="K249" s="6"/>
      <c r="L249" s="6"/>
      <c r="M249" s="6"/>
      <c r="N249" s="6"/>
      <c r="O249" s="6"/>
      <c r="P249" s="6"/>
      <c r="Q249" s="6"/>
      <c r="R249" s="6"/>
      <c r="S249" s="6"/>
      <c r="T249" s="6"/>
      <c r="U249" s="6"/>
      <c r="V249" s="6"/>
      <c r="W249" s="6"/>
      <c r="X249" s="6"/>
      <c r="Y249" s="6"/>
      <c r="Z249" s="6"/>
    </row>
    <row r="250">
      <c r="A250" s="155"/>
      <c r="B250" s="156"/>
      <c r="C250" s="156"/>
      <c r="D250" s="158"/>
      <c r="E250" s="6"/>
      <c r="F250" s="6"/>
      <c r="G250" s="6"/>
      <c r="H250" s="6"/>
      <c r="I250" s="6"/>
      <c r="J250" s="6"/>
      <c r="K250" s="6"/>
      <c r="L250" s="6"/>
      <c r="M250" s="6"/>
      <c r="N250" s="6"/>
      <c r="O250" s="6"/>
      <c r="P250" s="6"/>
      <c r="Q250" s="6"/>
      <c r="R250" s="6"/>
      <c r="S250" s="6"/>
      <c r="T250" s="6"/>
      <c r="U250" s="6"/>
      <c r="V250" s="6"/>
      <c r="W250" s="6"/>
      <c r="X250" s="6"/>
      <c r="Y250" s="6"/>
      <c r="Z250" s="6"/>
    </row>
    <row r="251">
      <c r="A251" s="155"/>
      <c r="B251" s="156"/>
      <c r="C251" s="156"/>
      <c r="D251" s="158"/>
      <c r="E251" s="6"/>
      <c r="F251" s="6"/>
      <c r="G251" s="6"/>
      <c r="H251" s="6"/>
      <c r="I251" s="6"/>
      <c r="J251" s="6"/>
      <c r="K251" s="6"/>
      <c r="L251" s="6"/>
      <c r="M251" s="6"/>
      <c r="N251" s="6"/>
      <c r="O251" s="6"/>
      <c r="P251" s="6"/>
      <c r="Q251" s="6"/>
      <c r="R251" s="6"/>
      <c r="S251" s="6"/>
      <c r="T251" s="6"/>
      <c r="U251" s="6"/>
      <c r="V251" s="6"/>
      <c r="W251" s="6"/>
      <c r="X251" s="6"/>
      <c r="Y251" s="6"/>
      <c r="Z251" s="6"/>
    </row>
    <row r="252">
      <c r="A252" s="155"/>
      <c r="B252" s="156"/>
      <c r="C252" s="156"/>
      <c r="D252" s="158"/>
      <c r="E252" s="6"/>
      <c r="F252" s="6"/>
      <c r="G252" s="6"/>
      <c r="H252" s="6"/>
      <c r="I252" s="6"/>
      <c r="J252" s="6"/>
      <c r="K252" s="6"/>
      <c r="L252" s="6"/>
      <c r="M252" s="6"/>
      <c r="N252" s="6"/>
      <c r="O252" s="6"/>
      <c r="P252" s="6"/>
      <c r="Q252" s="6"/>
      <c r="R252" s="6"/>
      <c r="S252" s="6"/>
      <c r="T252" s="6"/>
      <c r="U252" s="6"/>
      <c r="V252" s="6"/>
      <c r="W252" s="6"/>
      <c r="X252" s="6"/>
      <c r="Y252" s="6"/>
      <c r="Z252" s="6"/>
    </row>
    <row r="253">
      <c r="A253" s="155"/>
      <c r="B253" s="156"/>
      <c r="C253" s="156"/>
      <c r="D253" s="158"/>
      <c r="E253" s="6"/>
      <c r="F253" s="6"/>
      <c r="G253" s="6"/>
      <c r="H253" s="6"/>
      <c r="I253" s="6"/>
      <c r="J253" s="6"/>
      <c r="K253" s="6"/>
      <c r="L253" s="6"/>
      <c r="M253" s="6"/>
      <c r="N253" s="6"/>
      <c r="O253" s="6"/>
      <c r="P253" s="6"/>
      <c r="Q253" s="6"/>
      <c r="R253" s="6"/>
      <c r="S253" s="6"/>
      <c r="T253" s="6"/>
      <c r="U253" s="6"/>
      <c r="V253" s="6"/>
      <c r="W253" s="6"/>
      <c r="X253" s="6"/>
      <c r="Y253" s="6"/>
      <c r="Z253" s="6"/>
    </row>
    <row r="254">
      <c r="A254" s="155"/>
      <c r="B254" s="156"/>
      <c r="C254" s="156"/>
      <c r="D254" s="158"/>
      <c r="E254" s="6"/>
      <c r="F254" s="6"/>
      <c r="G254" s="6"/>
      <c r="H254" s="6"/>
      <c r="I254" s="6"/>
      <c r="J254" s="6"/>
      <c r="K254" s="6"/>
      <c r="L254" s="6"/>
      <c r="M254" s="6"/>
      <c r="N254" s="6"/>
      <c r="O254" s="6"/>
      <c r="P254" s="6"/>
      <c r="Q254" s="6"/>
      <c r="R254" s="6"/>
      <c r="S254" s="6"/>
      <c r="T254" s="6"/>
      <c r="U254" s="6"/>
      <c r="V254" s="6"/>
      <c r="W254" s="6"/>
      <c r="X254" s="6"/>
      <c r="Y254" s="6"/>
      <c r="Z254" s="6"/>
    </row>
    <row r="255">
      <c r="A255" s="155"/>
      <c r="B255" s="156"/>
      <c r="C255" s="156"/>
      <c r="D255" s="158"/>
      <c r="E255" s="6"/>
      <c r="F255" s="6"/>
      <c r="G255" s="6"/>
      <c r="H255" s="6"/>
      <c r="I255" s="6"/>
      <c r="J255" s="6"/>
      <c r="K255" s="6"/>
      <c r="L255" s="6"/>
      <c r="M255" s="6"/>
      <c r="N255" s="6"/>
      <c r="O255" s="6"/>
      <c r="P255" s="6"/>
      <c r="Q255" s="6"/>
      <c r="R255" s="6"/>
      <c r="S255" s="6"/>
      <c r="T255" s="6"/>
      <c r="U255" s="6"/>
      <c r="V255" s="6"/>
      <c r="W255" s="6"/>
      <c r="X255" s="6"/>
      <c r="Y255" s="6"/>
      <c r="Z255" s="6"/>
    </row>
    <row r="256">
      <c r="A256" s="155"/>
      <c r="B256" s="156"/>
      <c r="C256" s="156"/>
      <c r="D256" s="158"/>
      <c r="E256" s="6"/>
      <c r="F256" s="6"/>
      <c r="G256" s="6"/>
      <c r="H256" s="6"/>
      <c r="I256" s="6"/>
      <c r="J256" s="6"/>
      <c r="K256" s="6"/>
      <c r="L256" s="6"/>
      <c r="M256" s="6"/>
      <c r="N256" s="6"/>
      <c r="O256" s="6"/>
      <c r="P256" s="6"/>
      <c r="Q256" s="6"/>
      <c r="R256" s="6"/>
      <c r="S256" s="6"/>
      <c r="T256" s="6"/>
      <c r="U256" s="6"/>
      <c r="V256" s="6"/>
      <c r="W256" s="6"/>
      <c r="X256" s="6"/>
      <c r="Y256" s="6"/>
      <c r="Z256" s="6"/>
    </row>
    <row r="257">
      <c r="A257" s="155"/>
      <c r="B257" s="156"/>
      <c r="C257" s="156"/>
      <c r="D257" s="158"/>
      <c r="E257" s="6"/>
      <c r="F257" s="6"/>
      <c r="G257" s="6"/>
      <c r="H257" s="6"/>
      <c r="I257" s="6"/>
      <c r="J257" s="6"/>
      <c r="K257" s="6"/>
      <c r="L257" s="6"/>
      <c r="M257" s="6"/>
      <c r="N257" s="6"/>
      <c r="O257" s="6"/>
      <c r="P257" s="6"/>
      <c r="Q257" s="6"/>
      <c r="R257" s="6"/>
      <c r="S257" s="6"/>
      <c r="T257" s="6"/>
      <c r="U257" s="6"/>
      <c r="V257" s="6"/>
      <c r="W257" s="6"/>
      <c r="X257" s="6"/>
      <c r="Y257" s="6"/>
      <c r="Z257" s="6"/>
    </row>
    <row r="258">
      <c r="A258" s="155"/>
      <c r="B258" s="156"/>
      <c r="C258" s="156"/>
      <c r="D258" s="158"/>
      <c r="E258" s="6"/>
      <c r="F258" s="6"/>
      <c r="G258" s="6"/>
      <c r="H258" s="6"/>
      <c r="I258" s="6"/>
      <c r="J258" s="6"/>
      <c r="K258" s="6"/>
      <c r="L258" s="6"/>
      <c r="M258" s="6"/>
      <c r="N258" s="6"/>
      <c r="O258" s="6"/>
      <c r="P258" s="6"/>
      <c r="Q258" s="6"/>
      <c r="R258" s="6"/>
      <c r="S258" s="6"/>
      <c r="T258" s="6"/>
      <c r="U258" s="6"/>
      <c r="V258" s="6"/>
      <c r="W258" s="6"/>
      <c r="X258" s="6"/>
      <c r="Y258" s="6"/>
      <c r="Z258" s="6"/>
    </row>
    <row r="259">
      <c r="A259" s="155"/>
      <c r="B259" s="156"/>
      <c r="C259" s="156"/>
      <c r="D259" s="158"/>
      <c r="E259" s="6"/>
      <c r="F259" s="6"/>
      <c r="G259" s="6"/>
      <c r="H259" s="6"/>
      <c r="I259" s="6"/>
      <c r="J259" s="6"/>
      <c r="K259" s="6"/>
      <c r="L259" s="6"/>
      <c r="M259" s="6"/>
      <c r="N259" s="6"/>
      <c r="O259" s="6"/>
      <c r="P259" s="6"/>
      <c r="Q259" s="6"/>
      <c r="R259" s="6"/>
      <c r="S259" s="6"/>
      <c r="T259" s="6"/>
      <c r="U259" s="6"/>
      <c r="V259" s="6"/>
      <c r="W259" s="6"/>
      <c r="X259" s="6"/>
      <c r="Y259" s="6"/>
      <c r="Z259" s="6"/>
    </row>
    <row r="260">
      <c r="A260" s="155"/>
      <c r="B260" s="156"/>
      <c r="C260" s="156"/>
      <c r="D260" s="158"/>
      <c r="E260" s="6"/>
      <c r="F260" s="6"/>
      <c r="G260" s="6"/>
      <c r="H260" s="6"/>
      <c r="I260" s="6"/>
      <c r="J260" s="6"/>
      <c r="K260" s="6"/>
      <c r="L260" s="6"/>
      <c r="M260" s="6"/>
      <c r="N260" s="6"/>
      <c r="O260" s="6"/>
      <c r="P260" s="6"/>
      <c r="Q260" s="6"/>
      <c r="R260" s="6"/>
      <c r="S260" s="6"/>
      <c r="T260" s="6"/>
      <c r="U260" s="6"/>
      <c r="V260" s="6"/>
      <c r="W260" s="6"/>
      <c r="X260" s="6"/>
      <c r="Y260" s="6"/>
      <c r="Z260" s="6"/>
    </row>
    <row r="261">
      <c r="A261" s="155"/>
      <c r="B261" s="156"/>
      <c r="C261" s="156"/>
      <c r="D261" s="158"/>
      <c r="E261" s="6"/>
      <c r="F261" s="6"/>
      <c r="G261" s="6"/>
      <c r="H261" s="6"/>
      <c r="I261" s="6"/>
      <c r="J261" s="6"/>
      <c r="K261" s="6"/>
      <c r="L261" s="6"/>
      <c r="M261" s="6"/>
      <c r="N261" s="6"/>
      <c r="O261" s="6"/>
      <c r="P261" s="6"/>
      <c r="Q261" s="6"/>
      <c r="R261" s="6"/>
      <c r="S261" s="6"/>
      <c r="T261" s="6"/>
      <c r="U261" s="6"/>
      <c r="V261" s="6"/>
      <c r="W261" s="6"/>
      <c r="X261" s="6"/>
      <c r="Y261" s="6"/>
      <c r="Z261" s="6"/>
    </row>
    <row r="262">
      <c r="A262" s="155"/>
      <c r="B262" s="156"/>
      <c r="C262" s="156"/>
      <c r="D262" s="158"/>
      <c r="E262" s="6"/>
      <c r="F262" s="6"/>
      <c r="G262" s="6"/>
      <c r="H262" s="6"/>
      <c r="I262" s="6"/>
      <c r="J262" s="6"/>
      <c r="K262" s="6"/>
      <c r="L262" s="6"/>
      <c r="M262" s="6"/>
      <c r="N262" s="6"/>
      <c r="O262" s="6"/>
      <c r="P262" s="6"/>
      <c r="Q262" s="6"/>
      <c r="R262" s="6"/>
      <c r="S262" s="6"/>
      <c r="T262" s="6"/>
      <c r="U262" s="6"/>
      <c r="V262" s="6"/>
      <c r="W262" s="6"/>
      <c r="X262" s="6"/>
      <c r="Y262" s="6"/>
      <c r="Z262" s="6"/>
    </row>
    <row r="263">
      <c r="A263" s="155"/>
      <c r="B263" s="156"/>
      <c r="C263" s="156"/>
      <c r="D263" s="158"/>
      <c r="E263" s="6"/>
      <c r="F263" s="6"/>
      <c r="G263" s="6"/>
      <c r="H263" s="6"/>
      <c r="I263" s="6"/>
      <c r="J263" s="6"/>
      <c r="K263" s="6"/>
      <c r="L263" s="6"/>
      <c r="M263" s="6"/>
      <c r="N263" s="6"/>
      <c r="O263" s="6"/>
      <c r="P263" s="6"/>
      <c r="Q263" s="6"/>
      <c r="R263" s="6"/>
      <c r="S263" s="6"/>
      <c r="T263" s="6"/>
      <c r="U263" s="6"/>
      <c r="V263" s="6"/>
      <c r="W263" s="6"/>
      <c r="X263" s="6"/>
      <c r="Y263" s="6"/>
      <c r="Z263" s="6"/>
    </row>
    <row r="264">
      <c r="A264" s="155"/>
      <c r="B264" s="156"/>
      <c r="C264" s="156"/>
      <c r="D264" s="158"/>
      <c r="E264" s="6"/>
      <c r="F264" s="6"/>
      <c r="G264" s="6"/>
      <c r="H264" s="6"/>
      <c r="I264" s="6"/>
      <c r="J264" s="6"/>
      <c r="K264" s="6"/>
      <c r="L264" s="6"/>
      <c r="M264" s="6"/>
      <c r="N264" s="6"/>
      <c r="O264" s="6"/>
      <c r="P264" s="6"/>
      <c r="Q264" s="6"/>
      <c r="R264" s="6"/>
      <c r="S264" s="6"/>
      <c r="T264" s="6"/>
      <c r="U264" s="6"/>
      <c r="V264" s="6"/>
      <c r="W264" s="6"/>
      <c r="X264" s="6"/>
      <c r="Y264" s="6"/>
      <c r="Z264" s="6"/>
    </row>
    <row r="265">
      <c r="A265" s="155"/>
      <c r="B265" s="156"/>
      <c r="C265" s="156"/>
      <c r="D265" s="158"/>
      <c r="E265" s="6"/>
      <c r="F265" s="6"/>
      <c r="G265" s="6"/>
      <c r="H265" s="6"/>
      <c r="I265" s="6"/>
      <c r="J265" s="6"/>
      <c r="K265" s="6"/>
      <c r="L265" s="6"/>
      <c r="M265" s="6"/>
      <c r="N265" s="6"/>
      <c r="O265" s="6"/>
      <c r="P265" s="6"/>
      <c r="Q265" s="6"/>
      <c r="R265" s="6"/>
      <c r="S265" s="6"/>
      <c r="T265" s="6"/>
      <c r="U265" s="6"/>
      <c r="V265" s="6"/>
      <c r="W265" s="6"/>
      <c r="X265" s="6"/>
      <c r="Y265" s="6"/>
      <c r="Z265" s="6"/>
    </row>
    <row r="266">
      <c r="A266" s="155"/>
      <c r="B266" s="156"/>
      <c r="C266" s="156"/>
      <c r="D266" s="158"/>
      <c r="E266" s="6"/>
      <c r="F266" s="6"/>
      <c r="G266" s="6"/>
      <c r="H266" s="6"/>
      <c r="I266" s="6"/>
      <c r="J266" s="6"/>
      <c r="K266" s="6"/>
      <c r="L266" s="6"/>
      <c r="M266" s="6"/>
      <c r="N266" s="6"/>
      <c r="O266" s="6"/>
      <c r="P266" s="6"/>
      <c r="Q266" s="6"/>
      <c r="R266" s="6"/>
      <c r="S266" s="6"/>
      <c r="T266" s="6"/>
      <c r="U266" s="6"/>
      <c r="V266" s="6"/>
      <c r="W266" s="6"/>
      <c r="X266" s="6"/>
      <c r="Y266" s="6"/>
      <c r="Z266" s="6"/>
    </row>
    <row r="267">
      <c r="A267" s="155"/>
      <c r="B267" s="156"/>
      <c r="C267" s="156"/>
      <c r="D267" s="158"/>
      <c r="E267" s="6"/>
      <c r="F267" s="6"/>
      <c r="G267" s="6"/>
      <c r="H267" s="6"/>
      <c r="I267" s="6"/>
      <c r="J267" s="6"/>
      <c r="K267" s="6"/>
      <c r="L267" s="6"/>
      <c r="M267" s="6"/>
      <c r="N267" s="6"/>
      <c r="O267" s="6"/>
      <c r="P267" s="6"/>
      <c r="Q267" s="6"/>
      <c r="R267" s="6"/>
      <c r="S267" s="6"/>
      <c r="T267" s="6"/>
      <c r="U267" s="6"/>
      <c r="V267" s="6"/>
      <c r="W267" s="6"/>
      <c r="X267" s="6"/>
      <c r="Y267" s="6"/>
      <c r="Z267" s="6"/>
    </row>
    <row r="268">
      <c r="A268" s="155"/>
      <c r="B268" s="156"/>
      <c r="C268" s="156"/>
      <c r="D268" s="158"/>
      <c r="E268" s="6"/>
      <c r="F268" s="6"/>
      <c r="G268" s="6"/>
      <c r="H268" s="6"/>
      <c r="I268" s="6"/>
      <c r="J268" s="6"/>
      <c r="K268" s="6"/>
      <c r="L268" s="6"/>
      <c r="M268" s="6"/>
      <c r="N268" s="6"/>
      <c r="O268" s="6"/>
      <c r="P268" s="6"/>
      <c r="Q268" s="6"/>
      <c r="R268" s="6"/>
      <c r="S268" s="6"/>
      <c r="T268" s="6"/>
      <c r="U268" s="6"/>
      <c r="V268" s="6"/>
      <c r="W268" s="6"/>
      <c r="X268" s="6"/>
      <c r="Y268" s="6"/>
      <c r="Z268" s="6"/>
    </row>
    <row r="269">
      <c r="A269" s="155"/>
      <c r="B269" s="156"/>
      <c r="C269" s="156"/>
      <c r="D269" s="158"/>
      <c r="E269" s="6"/>
      <c r="F269" s="6"/>
      <c r="G269" s="6"/>
      <c r="H269" s="6"/>
      <c r="I269" s="6"/>
      <c r="J269" s="6"/>
      <c r="K269" s="6"/>
      <c r="L269" s="6"/>
      <c r="M269" s="6"/>
      <c r="N269" s="6"/>
      <c r="O269" s="6"/>
      <c r="P269" s="6"/>
      <c r="Q269" s="6"/>
      <c r="R269" s="6"/>
      <c r="S269" s="6"/>
      <c r="T269" s="6"/>
      <c r="U269" s="6"/>
      <c r="V269" s="6"/>
      <c r="W269" s="6"/>
      <c r="X269" s="6"/>
      <c r="Y269" s="6"/>
      <c r="Z269" s="6"/>
    </row>
    <row r="270">
      <c r="A270" s="155"/>
      <c r="B270" s="156"/>
      <c r="C270" s="156"/>
      <c r="D270" s="158"/>
      <c r="E270" s="6"/>
      <c r="F270" s="6"/>
      <c r="G270" s="6"/>
      <c r="H270" s="6"/>
      <c r="I270" s="6"/>
      <c r="J270" s="6"/>
      <c r="K270" s="6"/>
      <c r="L270" s="6"/>
      <c r="M270" s="6"/>
      <c r="N270" s="6"/>
      <c r="O270" s="6"/>
      <c r="P270" s="6"/>
      <c r="Q270" s="6"/>
      <c r="R270" s="6"/>
      <c r="S270" s="6"/>
      <c r="T270" s="6"/>
      <c r="U270" s="6"/>
      <c r="V270" s="6"/>
      <c r="W270" s="6"/>
      <c r="X270" s="6"/>
      <c r="Y270" s="6"/>
      <c r="Z270" s="6"/>
    </row>
    <row r="271">
      <c r="A271" s="155"/>
      <c r="B271" s="156"/>
      <c r="C271" s="156"/>
      <c r="D271" s="158"/>
      <c r="E271" s="6"/>
      <c r="F271" s="6"/>
      <c r="G271" s="6"/>
      <c r="H271" s="6"/>
      <c r="I271" s="6"/>
      <c r="J271" s="6"/>
      <c r="K271" s="6"/>
      <c r="L271" s="6"/>
      <c r="M271" s="6"/>
      <c r="N271" s="6"/>
      <c r="O271" s="6"/>
      <c r="P271" s="6"/>
      <c r="Q271" s="6"/>
      <c r="R271" s="6"/>
      <c r="S271" s="6"/>
      <c r="T271" s="6"/>
      <c r="U271" s="6"/>
      <c r="V271" s="6"/>
      <c r="W271" s="6"/>
      <c r="X271" s="6"/>
      <c r="Y271" s="6"/>
      <c r="Z271" s="6"/>
    </row>
    <row r="272">
      <c r="A272" s="155"/>
      <c r="B272" s="156"/>
      <c r="C272" s="156"/>
      <c r="D272" s="158"/>
      <c r="E272" s="6"/>
      <c r="F272" s="6"/>
      <c r="G272" s="6"/>
      <c r="H272" s="6"/>
      <c r="I272" s="6"/>
      <c r="J272" s="6"/>
      <c r="K272" s="6"/>
      <c r="L272" s="6"/>
      <c r="M272" s="6"/>
      <c r="N272" s="6"/>
      <c r="O272" s="6"/>
      <c r="P272" s="6"/>
      <c r="Q272" s="6"/>
      <c r="R272" s="6"/>
      <c r="S272" s="6"/>
      <c r="T272" s="6"/>
      <c r="U272" s="6"/>
      <c r="V272" s="6"/>
      <c r="W272" s="6"/>
      <c r="X272" s="6"/>
      <c r="Y272" s="6"/>
      <c r="Z272" s="6"/>
    </row>
    <row r="273">
      <c r="A273" s="155"/>
      <c r="B273" s="156"/>
      <c r="C273" s="156"/>
      <c r="D273" s="158"/>
      <c r="E273" s="6"/>
      <c r="F273" s="6"/>
      <c r="G273" s="6"/>
      <c r="H273" s="6"/>
      <c r="I273" s="6"/>
      <c r="J273" s="6"/>
      <c r="K273" s="6"/>
      <c r="L273" s="6"/>
      <c r="M273" s="6"/>
      <c r="N273" s="6"/>
      <c r="O273" s="6"/>
      <c r="P273" s="6"/>
      <c r="Q273" s="6"/>
      <c r="R273" s="6"/>
      <c r="S273" s="6"/>
      <c r="T273" s="6"/>
      <c r="U273" s="6"/>
      <c r="V273" s="6"/>
      <c r="W273" s="6"/>
      <c r="X273" s="6"/>
      <c r="Y273" s="6"/>
      <c r="Z273" s="6"/>
    </row>
    <row r="274">
      <c r="A274" s="155"/>
      <c r="B274" s="156"/>
      <c r="C274" s="156"/>
      <c r="D274" s="158"/>
      <c r="E274" s="6"/>
      <c r="F274" s="6"/>
      <c r="G274" s="6"/>
      <c r="H274" s="6"/>
      <c r="I274" s="6"/>
      <c r="J274" s="6"/>
      <c r="K274" s="6"/>
      <c r="L274" s="6"/>
      <c r="M274" s="6"/>
      <c r="N274" s="6"/>
      <c r="O274" s="6"/>
      <c r="P274" s="6"/>
      <c r="Q274" s="6"/>
      <c r="R274" s="6"/>
      <c r="S274" s="6"/>
      <c r="T274" s="6"/>
      <c r="U274" s="6"/>
      <c r="V274" s="6"/>
      <c r="W274" s="6"/>
      <c r="X274" s="6"/>
      <c r="Y274" s="6"/>
      <c r="Z274" s="6"/>
    </row>
    <row r="275">
      <c r="A275" s="155"/>
      <c r="B275" s="156"/>
      <c r="C275" s="156"/>
      <c r="D275" s="158"/>
      <c r="E275" s="6"/>
      <c r="F275" s="6"/>
      <c r="G275" s="6"/>
      <c r="H275" s="6"/>
      <c r="I275" s="6"/>
      <c r="J275" s="6"/>
      <c r="K275" s="6"/>
      <c r="L275" s="6"/>
      <c r="M275" s="6"/>
      <c r="N275" s="6"/>
      <c r="O275" s="6"/>
      <c r="P275" s="6"/>
      <c r="Q275" s="6"/>
      <c r="R275" s="6"/>
      <c r="S275" s="6"/>
      <c r="T275" s="6"/>
      <c r="U275" s="6"/>
      <c r="V275" s="6"/>
      <c r="W275" s="6"/>
      <c r="X275" s="6"/>
      <c r="Y275" s="6"/>
      <c r="Z275" s="6"/>
    </row>
    <row r="276">
      <c r="A276" s="155"/>
      <c r="B276" s="156"/>
      <c r="C276" s="156"/>
      <c r="D276" s="158"/>
      <c r="E276" s="6"/>
      <c r="F276" s="6"/>
      <c r="G276" s="6"/>
      <c r="H276" s="6"/>
      <c r="I276" s="6"/>
      <c r="J276" s="6"/>
      <c r="K276" s="6"/>
      <c r="L276" s="6"/>
      <c r="M276" s="6"/>
      <c r="N276" s="6"/>
      <c r="O276" s="6"/>
      <c r="P276" s="6"/>
      <c r="Q276" s="6"/>
      <c r="R276" s="6"/>
      <c r="S276" s="6"/>
      <c r="T276" s="6"/>
      <c r="U276" s="6"/>
      <c r="V276" s="6"/>
      <c r="W276" s="6"/>
      <c r="X276" s="6"/>
      <c r="Y276" s="6"/>
      <c r="Z276" s="6"/>
    </row>
    <row r="277">
      <c r="A277" s="155"/>
      <c r="B277" s="156"/>
      <c r="C277" s="156"/>
      <c r="D277" s="158"/>
      <c r="E277" s="6"/>
      <c r="F277" s="6"/>
      <c r="G277" s="6"/>
      <c r="H277" s="6"/>
      <c r="I277" s="6"/>
      <c r="J277" s="6"/>
      <c r="K277" s="6"/>
      <c r="L277" s="6"/>
      <c r="M277" s="6"/>
      <c r="N277" s="6"/>
      <c r="O277" s="6"/>
      <c r="P277" s="6"/>
      <c r="Q277" s="6"/>
      <c r="R277" s="6"/>
      <c r="S277" s="6"/>
      <c r="T277" s="6"/>
      <c r="U277" s="6"/>
      <c r="V277" s="6"/>
      <c r="W277" s="6"/>
      <c r="X277" s="6"/>
      <c r="Y277" s="6"/>
      <c r="Z277" s="6"/>
    </row>
    <row r="278">
      <c r="A278" s="155"/>
      <c r="B278" s="156"/>
      <c r="C278" s="156"/>
      <c r="D278" s="158"/>
      <c r="E278" s="6"/>
      <c r="F278" s="6"/>
      <c r="G278" s="6"/>
      <c r="H278" s="6"/>
      <c r="I278" s="6"/>
      <c r="J278" s="6"/>
      <c r="K278" s="6"/>
      <c r="L278" s="6"/>
      <c r="M278" s="6"/>
      <c r="N278" s="6"/>
      <c r="O278" s="6"/>
      <c r="P278" s="6"/>
      <c r="Q278" s="6"/>
      <c r="R278" s="6"/>
      <c r="S278" s="6"/>
      <c r="T278" s="6"/>
      <c r="U278" s="6"/>
      <c r="V278" s="6"/>
      <c r="W278" s="6"/>
      <c r="X278" s="6"/>
      <c r="Y278" s="6"/>
      <c r="Z278" s="6"/>
    </row>
    <row r="279">
      <c r="A279" s="155"/>
      <c r="B279" s="156"/>
      <c r="C279" s="156"/>
      <c r="D279" s="158"/>
      <c r="E279" s="6"/>
      <c r="F279" s="6"/>
      <c r="G279" s="6"/>
      <c r="H279" s="6"/>
      <c r="I279" s="6"/>
      <c r="J279" s="6"/>
      <c r="K279" s="6"/>
      <c r="L279" s="6"/>
      <c r="M279" s="6"/>
      <c r="N279" s="6"/>
      <c r="O279" s="6"/>
      <c r="P279" s="6"/>
      <c r="Q279" s="6"/>
      <c r="R279" s="6"/>
      <c r="S279" s="6"/>
      <c r="T279" s="6"/>
      <c r="U279" s="6"/>
      <c r="V279" s="6"/>
      <c r="W279" s="6"/>
      <c r="X279" s="6"/>
      <c r="Y279" s="6"/>
      <c r="Z279" s="6"/>
    </row>
    <row r="280">
      <c r="A280" s="155"/>
      <c r="B280" s="156"/>
      <c r="C280" s="156"/>
      <c r="D280" s="158"/>
      <c r="E280" s="6"/>
      <c r="F280" s="6"/>
      <c r="G280" s="6"/>
      <c r="H280" s="6"/>
      <c r="I280" s="6"/>
      <c r="J280" s="6"/>
      <c r="K280" s="6"/>
      <c r="L280" s="6"/>
      <c r="M280" s="6"/>
      <c r="N280" s="6"/>
      <c r="O280" s="6"/>
      <c r="P280" s="6"/>
      <c r="Q280" s="6"/>
      <c r="R280" s="6"/>
      <c r="S280" s="6"/>
      <c r="T280" s="6"/>
      <c r="U280" s="6"/>
      <c r="V280" s="6"/>
      <c r="W280" s="6"/>
      <c r="X280" s="6"/>
      <c r="Y280" s="6"/>
      <c r="Z280" s="6"/>
    </row>
    <row r="281">
      <c r="A281" s="155"/>
      <c r="B281" s="156"/>
      <c r="C281" s="156"/>
      <c r="D281" s="158"/>
      <c r="E281" s="6"/>
      <c r="F281" s="6"/>
      <c r="G281" s="6"/>
      <c r="H281" s="6"/>
      <c r="I281" s="6"/>
      <c r="J281" s="6"/>
      <c r="K281" s="6"/>
      <c r="L281" s="6"/>
      <c r="M281" s="6"/>
      <c r="N281" s="6"/>
      <c r="O281" s="6"/>
      <c r="P281" s="6"/>
      <c r="Q281" s="6"/>
      <c r="R281" s="6"/>
      <c r="S281" s="6"/>
      <c r="T281" s="6"/>
      <c r="U281" s="6"/>
      <c r="V281" s="6"/>
      <c r="W281" s="6"/>
      <c r="X281" s="6"/>
      <c r="Y281" s="6"/>
      <c r="Z281" s="6"/>
    </row>
    <row r="282">
      <c r="A282" s="155"/>
      <c r="B282" s="156"/>
      <c r="C282" s="156"/>
      <c r="D282" s="158"/>
      <c r="E282" s="6"/>
      <c r="F282" s="6"/>
      <c r="G282" s="6"/>
      <c r="H282" s="6"/>
      <c r="I282" s="6"/>
      <c r="J282" s="6"/>
      <c r="K282" s="6"/>
      <c r="L282" s="6"/>
      <c r="M282" s="6"/>
      <c r="N282" s="6"/>
      <c r="O282" s="6"/>
      <c r="P282" s="6"/>
      <c r="Q282" s="6"/>
      <c r="R282" s="6"/>
      <c r="S282" s="6"/>
      <c r="T282" s="6"/>
      <c r="U282" s="6"/>
      <c r="V282" s="6"/>
      <c r="W282" s="6"/>
      <c r="X282" s="6"/>
      <c r="Y282" s="6"/>
      <c r="Z282" s="6"/>
    </row>
    <row r="283">
      <c r="A283" s="155"/>
      <c r="B283" s="156"/>
      <c r="C283" s="156"/>
      <c r="D283" s="158"/>
      <c r="E283" s="6"/>
      <c r="F283" s="6"/>
      <c r="G283" s="6"/>
      <c r="H283" s="6"/>
      <c r="I283" s="6"/>
      <c r="J283" s="6"/>
      <c r="K283" s="6"/>
      <c r="L283" s="6"/>
      <c r="M283" s="6"/>
      <c r="N283" s="6"/>
      <c r="O283" s="6"/>
      <c r="P283" s="6"/>
      <c r="Q283" s="6"/>
      <c r="R283" s="6"/>
      <c r="S283" s="6"/>
      <c r="T283" s="6"/>
      <c r="U283" s="6"/>
      <c r="V283" s="6"/>
      <c r="W283" s="6"/>
      <c r="X283" s="6"/>
      <c r="Y283" s="6"/>
      <c r="Z283" s="6"/>
    </row>
    <row r="284">
      <c r="A284" s="155"/>
      <c r="B284" s="156"/>
      <c r="C284" s="156"/>
      <c r="D284" s="158"/>
      <c r="E284" s="6"/>
      <c r="F284" s="6"/>
      <c r="G284" s="6"/>
      <c r="H284" s="6"/>
      <c r="I284" s="6"/>
      <c r="J284" s="6"/>
      <c r="K284" s="6"/>
      <c r="L284" s="6"/>
      <c r="M284" s="6"/>
      <c r="N284" s="6"/>
      <c r="O284" s="6"/>
      <c r="P284" s="6"/>
      <c r="Q284" s="6"/>
      <c r="R284" s="6"/>
      <c r="S284" s="6"/>
      <c r="T284" s="6"/>
      <c r="U284" s="6"/>
      <c r="V284" s="6"/>
      <c r="W284" s="6"/>
      <c r="X284" s="6"/>
      <c r="Y284" s="6"/>
      <c r="Z284" s="6"/>
    </row>
    <row r="285">
      <c r="A285" s="155"/>
      <c r="B285" s="156"/>
      <c r="C285" s="156"/>
      <c r="D285" s="158"/>
      <c r="E285" s="6"/>
      <c r="F285" s="6"/>
      <c r="G285" s="6"/>
      <c r="H285" s="6"/>
      <c r="I285" s="6"/>
      <c r="J285" s="6"/>
      <c r="K285" s="6"/>
      <c r="L285" s="6"/>
      <c r="M285" s="6"/>
      <c r="N285" s="6"/>
      <c r="O285" s="6"/>
      <c r="P285" s="6"/>
      <c r="Q285" s="6"/>
      <c r="R285" s="6"/>
      <c r="S285" s="6"/>
      <c r="T285" s="6"/>
      <c r="U285" s="6"/>
      <c r="V285" s="6"/>
      <c r="W285" s="6"/>
      <c r="X285" s="6"/>
      <c r="Y285" s="6"/>
      <c r="Z285" s="6"/>
    </row>
    <row r="286">
      <c r="A286" s="155"/>
      <c r="B286" s="156"/>
      <c r="C286" s="156"/>
      <c r="D286" s="158"/>
      <c r="E286" s="6"/>
      <c r="F286" s="6"/>
      <c r="G286" s="6"/>
      <c r="H286" s="6"/>
      <c r="I286" s="6"/>
      <c r="J286" s="6"/>
      <c r="K286" s="6"/>
      <c r="L286" s="6"/>
      <c r="M286" s="6"/>
      <c r="N286" s="6"/>
      <c r="O286" s="6"/>
      <c r="P286" s="6"/>
      <c r="Q286" s="6"/>
      <c r="R286" s="6"/>
      <c r="S286" s="6"/>
      <c r="T286" s="6"/>
      <c r="U286" s="6"/>
      <c r="V286" s="6"/>
      <c r="W286" s="6"/>
      <c r="X286" s="6"/>
      <c r="Y286" s="6"/>
      <c r="Z286" s="6"/>
    </row>
    <row r="287">
      <c r="A287" s="155"/>
      <c r="B287" s="156"/>
      <c r="C287" s="156"/>
      <c r="D287" s="158"/>
      <c r="E287" s="6"/>
      <c r="F287" s="6"/>
      <c r="G287" s="6"/>
      <c r="H287" s="6"/>
      <c r="I287" s="6"/>
      <c r="J287" s="6"/>
      <c r="K287" s="6"/>
      <c r="L287" s="6"/>
      <c r="M287" s="6"/>
      <c r="N287" s="6"/>
      <c r="O287" s="6"/>
      <c r="P287" s="6"/>
      <c r="Q287" s="6"/>
      <c r="R287" s="6"/>
      <c r="S287" s="6"/>
      <c r="T287" s="6"/>
      <c r="U287" s="6"/>
      <c r="V287" s="6"/>
      <c r="W287" s="6"/>
      <c r="X287" s="6"/>
      <c r="Y287" s="6"/>
      <c r="Z287" s="6"/>
    </row>
    <row r="288">
      <c r="A288" s="155"/>
      <c r="B288" s="156"/>
      <c r="C288" s="156"/>
      <c r="D288" s="158"/>
      <c r="E288" s="6"/>
      <c r="F288" s="6"/>
      <c r="G288" s="6"/>
      <c r="H288" s="6"/>
      <c r="I288" s="6"/>
      <c r="J288" s="6"/>
      <c r="K288" s="6"/>
      <c r="L288" s="6"/>
      <c r="M288" s="6"/>
      <c r="N288" s="6"/>
      <c r="O288" s="6"/>
      <c r="P288" s="6"/>
      <c r="Q288" s="6"/>
      <c r="R288" s="6"/>
      <c r="S288" s="6"/>
      <c r="T288" s="6"/>
      <c r="U288" s="6"/>
      <c r="V288" s="6"/>
      <c r="W288" s="6"/>
      <c r="X288" s="6"/>
      <c r="Y288" s="6"/>
      <c r="Z288" s="6"/>
    </row>
    <row r="289">
      <c r="A289" s="155"/>
      <c r="B289" s="156"/>
      <c r="C289" s="156"/>
      <c r="D289" s="158"/>
      <c r="E289" s="6"/>
      <c r="F289" s="6"/>
      <c r="G289" s="6"/>
      <c r="H289" s="6"/>
      <c r="I289" s="6"/>
      <c r="J289" s="6"/>
      <c r="K289" s="6"/>
      <c r="L289" s="6"/>
      <c r="M289" s="6"/>
      <c r="N289" s="6"/>
      <c r="O289" s="6"/>
      <c r="P289" s="6"/>
      <c r="Q289" s="6"/>
      <c r="R289" s="6"/>
      <c r="S289" s="6"/>
      <c r="T289" s="6"/>
      <c r="U289" s="6"/>
      <c r="V289" s="6"/>
      <c r="W289" s="6"/>
      <c r="X289" s="6"/>
      <c r="Y289" s="6"/>
      <c r="Z289" s="6"/>
    </row>
    <row r="290">
      <c r="A290" s="155"/>
      <c r="B290" s="156"/>
      <c r="C290" s="156"/>
      <c r="D290" s="158"/>
      <c r="E290" s="6"/>
      <c r="F290" s="6"/>
      <c r="G290" s="6"/>
      <c r="H290" s="6"/>
      <c r="I290" s="6"/>
      <c r="J290" s="6"/>
      <c r="K290" s="6"/>
      <c r="L290" s="6"/>
      <c r="M290" s="6"/>
      <c r="N290" s="6"/>
      <c r="O290" s="6"/>
      <c r="P290" s="6"/>
      <c r="Q290" s="6"/>
      <c r="R290" s="6"/>
      <c r="S290" s="6"/>
      <c r="T290" s="6"/>
      <c r="U290" s="6"/>
      <c r="V290" s="6"/>
      <c r="W290" s="6"/>
      <c r="X290" s="6"/>
      <c r="Y290" s="6"/>
      <c r="Z290" s="6"/>
    </row>
    <row r="291">
      <c r="A291" s="155"/>
      <c r="B291" s="156"/>
      <c r="C291" s="156"/>
      <c r="D291" s="158"/>
      <c r="E291" s="6"/>
      <c r="F291" s="6"/>
      <c r="G291" s="6"/>
      <c r="H291" s="6"/>
      <c r="I291" s="6"/>
      <c r="J291" s="6"/>
      <c r="K291" s="6"/>
      <c r="L291" s="6"/>
      <c r="M291" s="6"/>
      <c r="N291" s="6"/>
      <c r="O291" s="6"/>
      <c r="P291" s="6"/>
      <c r="Q291" s="6"/>
      <c r="R291" s="6"/>
      <c r="S291" s="6"/>
      <c r="T291" s="6"/>
      <c r="U291" s="6"/>
      <c r="V291" s="6"/>
      <c r="W291" s="6"/>
      <c r="X291" s="6"/>
      <c r="Y291" s="6"/>
      <c r="Z291" s="6"/>
    </row>
    <row r="292">
      <c r="A292" s="155"/>
      <c r="B292" s="156"/>
      <c r="C292" s="156"/>
      <c r="D292" s="158"/>
      <c r="E292" s="6"/>
      <c r="F292" s="6"/>
      <c r="G292" s="6"/>
      <c r="H292" s="6"/>
      <c r="I292" s="6"/>
      <c r="J292" s="6"/>
      <c r="K292" s="6"/>
      <c r="L292" s="6"/>
      <c r="M292" s="6"/>
      <c r="N292" s="6"/>
      <c r="O292" s="6"/>
      <c r="P292" s="6"/>
      <c r="Q292" s="6"/>
      <c r="R292" s="6"/>
      <c r="S292" s="6"/>
      <c r="T292" s="6"/>
      <c r="U292" s="6"/>
      <c r="V292" s="6"/>
      <c r="W292" s="6"/>
      <c r="X292" s="6"/>
      <c r="Y292" s="6"/>
      <c r="Z292" s="6"/>
    </row>
    <row r="293">
      <c r="A293" s="155"/>
      <c r="B293" s="156"/>
      <c r="C293" s="156"/>
      <c r="D293" s="158"/>
      <c r="E293" s="6"/>
      <c r="F293" s="6"/>
      <c r="G293" s="6"/>
      <c r="H293" s="6"/>
      <c r="I293" s="6"/>
      <c r="J293" s="6"/>
      <c r="K293" s="6"/>
      <c r="L293" s="6"/>
      <c r="M293" s="6"/>
      <c r="N293" s="6"/>
      <c r="O293" s="6"/>
      <c r="P293" s="6"/>
      <c r="Q293" s="6"/>
      <c r="R293" s="6"/>
      <c r="S293" s="6"/>
      <c r="T293" s="6"/>
      <c r="U293" s="6"/>
      <c r="V293" s="6"/>
      <c r="W293" s="6"/>
      <c r="X293" s="6"/>
      <c r="Y293" s="6"/>
      <c r="Z293" s="6"/>
    </row>
    <row r="294">
      <c r="A294" s="155"/>
      <c r="B294" s="156"/>
      <c r="C294" s="156"/>
      <c r="D294" s="158"/>
      <c r="E294" s="6"/>
      <c r="F294" s="6"/>
      <c r="G294" s="6"/>
      <c r="H294" s="6"/>
      <c r="I294" s="6"/>
      <c r="J294" s="6"/>
      <c r="K294" s="6"/>
      <c r="L294" s="6"/>
      <c r="M294" s="6"/>
      <c r="N294" s="6"/>
      <c r="O294" s="6"/>
      <c r="P294" s="6"/>
      <c r="Q294" s="6"/>
      <c r="R294" s="6"/>
      <c r="S294" s="6"/>
      <c r="T294" s="6"/>
      <c r="U294" s="6"/>
      <c r="V294" s="6"/>
      <c r="W294" s="6"/>
      <c r="X294" s="6"/>
      <c r="Y294" s="6"/>
      <c r="Z294" s="6"/>
    </row>
    <row r="295">
      <c r="A295" s="155"/>
      <c r="B295" s="156"/>
      <c r="C295" s="156"/>
      <c r="D295" s="158"/>
      <c r="E295" s="6"/>
      <c r="F295" s="6"/>
      <c r="G295" s="6"/>
      <c r="H295" s="6"/>
      <c r="I295" s="6"/>
      <c r="J295" s="6"/>
      <c r="K295" s="6"/>
      <c r="L295" s="6"/>
      <c r="M295" s="6"/>
      <c r="N295" s="6"/>
      <c r="O295" s="6"/>
      <c r="P295" s="6"/>
      <c r="Q295" s="6"/>
      <c r="R295" s="6"/>
      <c r="S295" s="6"/>
      <c r="T295" s="6"/>
      <c r="U295" s="6"/>
      <c r="V295" s="6"/>
      <c r="W295" s="6"/>
      <c r="X295" s="6"/>
      <c r="Y295" s="6"/>
      <c r="Z295" s="6"/>
    </row>
    <row r="296">
      <c r="A296" s="155"/>
      <c r="B296" s="156"/>
      <c r="C296" s="156"/>
      <c r="D296" s="158"/>
      <c r="E296" s="6"/>
      <c r="F296" s="6"/>
      <c r="G296" s="6"/>
      <c r="H296" s="6"/>
      <c r="I296" s="6"/>
      <c r="J296" s="6"/>
      <c r="K296" s="6"/>
      <c r="L296" s="6"/>
      <c r="M296" s="6"/>
      <c r="N296" s="6"/>
      <c r="O296" s="6"/>
      <c r="P296" s="6"/>
      <c r="Q296" s="6"/>
      <c r="R296" s="6"/>
      <c r="S296" s="6"/>
      <c r="T296" s="6"/>
      <c r="U296" s="6"/>
      <c r="V296" s="6"/>
      <c r="W296" s="6"/>
      <c r="X296" s="6"/>
      <c r="Y296" s="6"/>
      <c r="Z296" s="6"/>
    </row>
    <row r="297">
      <c r="A297" s="155"/>
      <c r="B297" s="156"/>
      <c r="C297" s="156"/>
      <c r="D297" s="158"/>
      <c r="E297" s="6"/>
      <c r="F297" s="6"/>
      <c r="G297" s="6"/>
      <c r="H297" s="6"/>
      <c r="I297" s="6"/>
      <c r="J297" s="6"/>
      <c r="K297" s="6"/>
      <c r="L297" s="6"/>
      <c r="M297" s="6"/>
      <c r="N297" s="6"/>
      <c r="O297" s="6"/>
      <c r="P297" s="6"/>
      <c r="Q297" s="6"/>
      <c r="R297" s="6"/>
      <c r="S297" s="6"/>
      <c r="T297" s="6"/>
      <c r="U297" s="6"/>
      <c r="V297" s="6"/>
      <c r="W297" s="6"/>
      <c r="X297" s="6"/>
      <c r="Y297" s="6"/>
      <c r="Z297" s="6"/>
    </row>
    <row r="298">
      <c r="A298" s="155"/>
      <c r="B298" s="156"/>
      <c r="C298" s="156"/>
      <c r="D298" s="158"/>
      <c r="E298" s="6"/>
      <c r="F298" s="6"/>
      <c r="G298" s="6"/>
      <c r="H298" s="6"/>
      <c r="I298" s="6"/>
      <c r="J298" s="6"/>
      <c r="K298" s="6"/>
      <c r="L298" s="6"/>
      <c r="M298" s="6"/>
      <c r="N298" s="6"/>
      <c r="O298" s="6"/>
      <c r="P298" s="6"/>
      <c r="Q298" s="6"/>
      <c r="R298" s="6"/>
      <c r="S298" s="6"/>
      <c r="T298" s="6"/>
      <c r="U298" s="6"/>
      <c r="V298" s="6"/>
      <c r="W298" s="6"/>
      <c r="X298" s="6"/>
      <c r="Y298" s="6"/>
      <c r="Z298" s="6"/>
    </row>
    <row r="299">
      <c r="A299" s="155"/>
      <c r="B299" s="156"/>
      <c r="C299" s="156"/>
      <c r="D299" s="158"/>
      <c r="E299" s="6"/>
      <c r="F299" s="6"/>
      <c r="G299" s="6"/>
      <c r="H299" s="6"/>
      <c r="I299" s="6"/>
      <c r="J299" s="6"/>
      <c r="K299" s="6"/>
      <c r="L299" s="6"/>
      <c r="M299" s="6"/>
      <c r="N299" s="6"/>
      <c r="O299" s="6"/>
      <c r="P299" s="6"/>
      <c r="Q299" s="6"/>
      <c r="R299" s="6"/>
      <c r="S299" s="6"/>
      <c r="T299" s="6"/>
      <c r="U299" s="6"/>
      <c r="V299" s="6"/>
      <c r="W299" s="6"/>
      <c r="X299" s="6"/>
      <c r="Y299" s="6"/>
      <c r="Z299" s="6"/>
    </row>
    <row r="300">
      <c r="A300" s="155"/>
      <c r="B300" s="156"/>
      <c r="C300" s="156"/>
      <c r="D300" s="158"/>
      <c r="E300" s="6"/>
      <c r="F300" s="6"/>
      <c r="G300" s="6"/>
      <c r="H300" s="6"/>
      <c r="I300" s="6"/>
      <c r="J300" s="6"/>
      <c r="K300" s="6"/>
      <c r="L300" s="6"/>
      <c r="M300" s="6"/>
      <c r="N300" s="6"/>
      <c r="O300" s="6"/>
      <c r="P300" s="6"/>
      <c r="Q300" s="6"/>
      <c r="R300" s="6"/>
      <c r="S300" s="6"/>
      <c r="T300" s="6"/>
      <c r="U300" s="6"/>
      <c r="V300" s="6"/>
      <c r="W300" s="6"/>
      <c r="X300" s="6"/>
      <c r="Y300" s="6"/>
      <c r="Z300" s="6"/>
    </row>
    <row r="301">
      <c r="A301" s="155"/>
      <c r="B301" s="156"/>
      <c r="C301" s="156"/>
      <c r="D301" s="158"/>
      <c r="E301" s="6"/>
      <c r="F301" s="6"/>
      <c r="G301" s="6"/>
      <c r="H301" s="6"/>
      <c r="I301" s="6"/>
      <c r="J301" s="6"/>
      <c r="K301" s="6"/>
      <c r="L301" s="6"/>
      <c r="M301" s="6"/>
      <c r="N301" s="6"/>
      <c r="O301" s="6"/>
      <c r="P301" s="6"/>
      <c r="Q301" s="6"/>
      <c r="R301" s="6"/>
      <c r="S301" s="6"/>
      <c r="T301" s="6"/>
      <c r="U301" s="6"/>
      <c r="V301" s="6"/>
      <c r="W301" s="6"/>
      <c r="X301" s="6"/>
      <c r="Y301" s="6"/>
      <c r="Z301" s="6"/>
    </row>
    <row r="302">
      <c r="A302" s="155"/>
      <c r="B302" s="156"/>
      <c r="C302" s="156"/>
      <c r="D302" s="158"/>
      <c r="E302" s="6"/>
      <c r="F302" s="6"/>
      <c r="G302" s="6"/>
      <c r="H302" s="6"/>
      <c r="I302" s="6"/>
      <c r="J302" s="6"/>
      <c r="K302" s="6"/>
      <c r="L302" s="6"/>
      <c r="M302" s="6"/>
      <c r="N302" s="6"/>
      <c r="O302" s="6"/>
      <c r="P302" s="6"/>
      <c r="Q302" s="6"/>
      <c r="R302" s="6"/>
      <c r="S302" s="6"/>
      <c r="T302" s="6"/>
      <c r="U302" s="6"/>
      <c r="V302" s="6"/>
      <c r="W302" s="6"/>
      <c r="X302" s="6"/>
      <c r="Y302" s="6"/>
      <c r="Z302" s="6"/>
    </row>
    <row r="303">
      <c r="A303" s="155"/>
      <c r="B303" s="156"/>
      <c r="C303" s="156"/>
      <c r="D303" s="158"/>
      <c r="E303" s="6"/>
      <c r="F303" s="6"/>
      <c r="G303" s="6"/>
      <c r="H303" s="6"/>
      <c r="I303" s="6"/>
      <c r="J303" s="6"/>
      <c r="K303" s="6"/>
      <c r="L303" s="6"/>
      <c r="M303" s="6"/>
      <c r="N303" s="6"/>
      <c r="O303" s="6"/>
      <c r="P303" s="6"/>
      <c r="Q303" s="6"/>
      <c r="R303" s="6"/>
      <c r="S303" s="6"/>
      <c r="T303" s="6"/>
      <c r="U303" s="6"/>
      <c r="V303" s="6"/>
      <c r="W303" s="6"/>
      <c r="X303" s="6"/>
      <c r="Y303" s="6"/>
      <c r="Z303" s="6"/>
    </row>
    <row r="304">
      <c r="A304" s="155"/>
      <c r="B304" s="156"/>
      <c r="C304" s="156"/>
      <c r="D304" s="158"/>
      <c r="E304" s="6"/>
      <c r="F304" s="6"/>
      <c r="G304" s="6"/>
      <c r="H304" s="6"/>
      <c r="I304" s="6"/>
      <c r="J304" s="6"/>
      <c r="K304" s="6"/>
      <c r="L304" s="6"/>
      <c r="M304" s="6"/>
      <c r="N304" s="6"/>
      <c r="O304" s="6"/>
      <c r="P304" s="6"/>
      <c r="Q304" s="6"/>
      <c r="R304" s="6"/>
      <c r="S304" s="6"/>
      <c r="T304" s="6"/>
      <c r="U304" s="6"/>
      <c r="V304" s="6"/>
      <c r="W304" s="6"/>
      <c r="X304" s="6"/>
      <c r="Y304" s="6"/>
      <c r="Z304" s="6"/>
    </row>
    <row r="305">
      <c r="A305" s="155"/>
      <c r="B305" s="156"/>
      <c r="C305" s="156"/>
      <c r="D305" s="158"/>
      <c r="E305" s="6"/>
      <c r="F305" s="6"/>
      <c r="G305" s="6"/>
      <c r="H305" s="6"/>
      <c r="I305" s="6"/>
      <c r="J305" s="6"/>
      <c r="K305" s="6"/>
      <c r="L305" s="6"/>
      <c r="M305" s="6"/>
      <c r="N305" s="6"/>
      <c r="O305" s="6"/>
      <c r="P305" s="6"/>
      <c r="Q305" s="6"/>
      <c r="R305" s="6"/>
      <c r="S305" s="6"/>
      <c r="T305" s="6"/>
      <c r="U305" s="6"/>
      <c r="V305" s="6"/>
      <c r="W305" s="6"/>
      <c r="X305" s="6"/>
      <c r="Y305" s="6"/>
      <c r="Z305" s="6"/>
    </row>
    <row r="306">
      <c r="A306" s="155"/>
      <c r="B306" s="156"/>
      <c r="C306" s="156"/>
      <c r="D306" s="158"/>
      <c r="E306" s="6"/>
      <c r="F306" s="6"/>
      <c r="G306" s="6"/>
      <c r="H306" s="6"/>
      <c r="I306" s="6"/>
      <c r="J306" s="6"/>
      <c r="K306" s="6"/>
      <c r="L306" s="6"/>
      <c r="M306" s="6"/>
      <c r="N306" s="6"/>
      <c r="O306" s="6"/>
      <c r="P306" s="6"/>
      <c r="Q306" s="6"/>
      <c r="R306" s="6"/>
      <c r="S306" s="6"/>
      <c r="T306" s="6"/>
      <c r="U306" s="6"/>
      <c r="V306" s="6"/>
      <c r="W306" s="6"/>
      <c r="X306" s="6"/>
      <c r="Y306" s="6"/>
      <c r="Z306" s="6"/>
    </row>
    <row r="307">
      <c r="A307" s="155"/>
      <c r="B307" s="156"/>
      <c r="C307" s="156"/>
      <c r="D307" s="158"/>
      <c r="E307" s="6"/>
      <c r="F307" s="6"/>
      <c r="G307" s="6"/>
      <c r="H307" s="6"/>
      <c r="I307" s="6"/>
      <c r="J307" s="6"/>
      <c r="K307" s="6"/>
      <c r="L307" s="6"/>
      <c r="M307" s="6"/>
      <c r="N307" s="6"/>
      <c r="O307" s="6"/>
      <c r="P307" s="6"/>
      <c r="Q307" s="6"/>
      <c r="R307" s="6"/>
      <c r="S307" s="6"/>
      <c r="T307" s="6"/>
      <c r="U307" s="6"/>
      <c r="V307" s="6"/>
      <c r="W307" s="6"/>
      <c r="X307" s="6"/>
      <c r="Y307" s="6"/>
      <c r="Z307" s="6"/>
    </row>
    <row r="308">
      <c r="A308" s="155"/>
      <c r="B308" s="156"/>
      <c r="C308" s="156"/>
      <c r="D308" s="158"/>
      <c r="E308" s="6"/>
      <c r="F308" s="6"/>
      <c r="G308" s="6"/>
      <c r="H308" s="6"/>
      <c r="I308" s="6"/>
      <c r="J308" s="6"/>
      <c r="K308" s="6"/>
      <c r="L308" s="6"/>
      <c r="M308" s="6"/>
      <c r="N308" s="6"/>
      <c r="O308" s="6"/>
      <c r="P308" s="6"/>
      <c r="Q308" s="6"/>
      <c r="R308" s="6"/>
      <c r="S308" s="6"/>
      <c r="T308" s="6"/>
      <c r="U308" s="6"/>
      <c r="V308" s="6"/>
      <c r="W308" s="6"/>
      <c r="X308" s="6"/>
      <c r="Y308" s="6"/>
      <c r="Z308" s="6"/>
    </row>
    <row r="309">
      <c r="A309" s="155"/>
      <c r="B309" s="156"/>
      <c r="C309" s="156"/>
      <c r="D309" s="158"/>
      <c r="E309" s="6"/>
      <c r="F309" s="6"/>
      <c r="G309" s="6"/>
      <c r="H309" s="6"/>
      <c r="I309" s="6"/>
      <c r="J309" s="6"/>
      <c r="K309" s="6"/>
      <c r="L309" s="6"/>
      <c r="M309" s="6"/>
      <c r="N309" s="6"/>
      <c r="O309" s="6"/>
      <c r="P309" s="6"/>
      <c r="Q309" s="6"/>
      <c r="R309" s="6"/>
      <c r="S309" s="6"/>
      <c r="T309" s="6"/>
      <c r="U309" s="6"/>
      <c r="V309" s="6"/>
      <c r="W309" s="6"/>
      <c r="X309" s="6"/>
      <c r="Y309" s="6"/>
      <c r="Z309" s="6"/>
    </row>
    <row r="310">
      <c r="A310" s="155"/>
      <c r="B310" s="156"/>
      <c r="C310" s="156"/>
      <c r="D310" s="158"/>
      <c r="E310" s="6"/>
      <c r="F310" s="6"/>
      <c r="G310" s="6"/>
      <c r="H310" s="6"/>
      <c r="I310" s="6"/>
      <c r="J310" s="6"/>
      <c r="K310" s="6"/>
      <c r="L310" s="6"/>
      <c r="M310" s="6"/>
      <c r="N310" s="6"/>
      <c r="O310" s="6"/>
      <c r="P310" s="6"/>
      <c r="Q310" s="6"/>
      <c r="R310" s="6"/>
      <c r="S310" s="6"/>
      <c r="T310" s="6"/>
      <c r="U310" s="6"/>
      <c r="V310" s="6"/>
      <c r="W310" s="6"/>
      <c r="X310" s="6"/>
      <c r="Y310" s="6"/>
      <c r="Z310" s="6"/>
    </row>
    <row r="311">
      <c r="A311" s="155"/>
      <c r="B311" s="156"/>
      <c r="C311" s="156"/>
      <c r="D311" s="158"/>
      <c r="E311" s="6"/>
      <c r="F311" s="6"/>
      <c r="G311" s="6"/>
      <c r="H311" s="6"/>
      <c r="I311" s="6"/>
      <c r="J311" s="6"/>
      <c r="K311" s="6"/>
      <c r="L311" s="6"/>
      <c r="M311" s="6"/>
      <c r="N311" s="6"/>
      <c r="O311" s="6"/>
      <c r="P311" s="6"/>
      <c r="Q311" s="6"/>
      <c r="R311" s="6"/>
      <c r="S311" s="6"/>
      <c r="T311" s="6"/>
      <c r="U311" s="6"/>
      <c r="V311" s="6"/>
      <c r="W311" s="6"/>
      <c r="X311" s="6"/>
      <c r="Y311" s="6"/>
      <c r="Z311" s="6"/>
    </row>
    <row r="312">
      <c r="A312" s="155"/>
      <c r="B312" s="156"/>
      <c r="C312" s="156"/>
      <c r="D312" s="158"/>
      <c r="E312" s="6"/>
      <c r="F312" s="6"/>
      <c r="G312" s="6"/>
      <c r="H312" s="6"/>
      <c r="I312" s="6"/>
      <c r="J312" s="6"/>
      <c r="K312" s="6"/>
      <c r="L312" s="6"/>
      <c r="M312" s="6"/>
      <c r="N312" s="6"/>
      <c r="O312" s="6"/>
      <c r="P312" s="6"/>
      <c r="Q312" s="6"/>
      <c r="R312" s="6"/>
      <c r="S312" s="6"/>
      <c r="T312" s="6"/>
      <c r="U312" s="6"/>
      <c r="V312" s="6"/>
      <c r="W312" s="6"/>
      <c r="X312" s="6"/>
      <c r="Y312" s="6"/>
      <c r="Z312" s="6"/>
    </row>
    <row r="313">
      <c r="A313" s="155"/>
      <c r="B313" s="156"/>
      <c r="C313" s="156"/>
      <c r="D313" s="158"/>
      <c r="E313" s="6"/>
      <c r="F313" s="6"/>
      <c r="G313" s="6"/>
      <c r="H313" s="6"/>
      <c r="I313" s="6"/>
      <c r="J313" s="6"/>
      <c r="K313" s="6"/>
      <c r="L313" s="6"/>
      <c r="M313" s="6"/>
      <c r="N313" s="6"/>
      <c r="O313" s="6"/>
      <c r="P313" s="6"/>
      <c r="Q313" s="6"/>
      <c r="R313" s="6"/>
      <c r="S313" s="6"/>
      <c r="T313" s="6"/>
      <c r="U313" s="6"/>
      <c r="V313" s="6"/>
      <c r="W313" s="6"/>
      <c r="X313" s="6"/>
      <c r="Y313" s="6"/>
      <c r="Z313" s="6"/>
    </row>
    <row r="314">
      <c r="A314" s="155"/>
      <c r="B314" s="156"/>
      <c r="C314" s="156"/>
      <c r="D314" s="158"/>
      <c r="E314" s="6"/>
      <c r="F314" s="6"/>
      <c r="G314" s="6"/>
      <c r="H314" s="6"/>
      <c r="I314" s="6"/>
      <c r="J314" s="6"/>
      <c r="K314" s="6"/>
      <c r="L314" s="6"/>
      <c r="M314" s="6"/>
      <c r="N314" s="6"/>
      <c r="O314" s="6"/>
      <c r="P314" s="6"/>
      <c r="Q314" s="6"/>
      <c r="R314" s="6"/>
      <c r="S314" s="6"/>
      <c r="T314" s="6"/>
      <c r="U314" s="6"/>
      <c r="V314" s="6"/>
      <c r="W314" s="6"/>
      <c r="X314" s="6"/>
      <c r="Y314" s="6"/>
      <c r="Z314" s="6"/>
    </row>
    <row r="315">
      <c r="A315" s="155"/>
      <c r="B315" s="156"/>
      <c r="C315" s="156"/>
      <c r="D315" s="158"/>
      <c r="E315" s="6"/>
      <c r="F315" s="6"/>
      <c r="G315" s="6"/>
      <c r="H315" s="6"/>
      <c r="I315" s="6"/>
      <c r="J315" s="6"/>
      <c r="K315" s="6"/>
      <c r="L315" s="6"/>
      <c r="M315" s="6"/>
      <c r="N315" s="6"/>
      <c r="O315" s="6"/>
      <c r="P315" s="6"/>
      <c r="Q315" s="6"/>
      <c r="R315" s="6"/>
      <c r="S315" s="6"/>
      <c r="T315" s="6"/>
      <c r="U315" s="6"/>
      <c r="V315" s="6"/>
      <c r="W315" s="6"/>
      <c r="X315" s="6"/>
      <c r="Y315" s="6"/>
      <c r="Z315" s="6"/>
    </row>
    <row r="316">
      <c r="A316" s="155"/>
      <c r="B316" s="156"/>
      <c r="C316" s="156"/>
      <c r="D316" s="158"/>
      <c r="E316" s="6"/>
      <c r="F316" s="6"/>
      <c r="G316" s="6"/>
      <c r="H316" s="6"/>
      <c r="I316" s="6"/>
      <c r="J316" s="6"/>
      <c r="K316" s="6"/>
      <c r="L316" s="6"/>
      <c r="M316" s="6"/>
      <c r="N316" s="6"/>
      <c r="O316" s="6"/>
      <c r="P316" s="6"/>
      <c r="Q316" s="6"/>
      <c r="R316" s="6"/>
      <c r="S316" s="6"/>
      <c r="T316" s="6"/>
      <c r="U316" s="6"/>
      <c r="V316" s="6"/>
      <c r="W316" s="6"/>
      <c r="X316" s="6"/>
      <c r="Y316" s="6"/>
      <c r="Z316" s="6"/>
    </row>
    <row r="317">
      <c r="A317" s="155"/>
      <c r="B317" s="156"/>
      <c r="C317" s="156"/>
      <c r="D317" s="158"/>
      <c r="E317" s="6"/>
      <c r="F317" s="6"/>
      <c r="G317" s="6"/>
      <c r="H317" s="6"/>
      <c r="I317" s="6"/>
      <c r="J317" s="6"/>
      <c r="K317" s="6"/>
      <c r="L317" s="6"/>
      <c r="M317" s="6"/>
      <c r="N317" s="6"/>
      <c r="O317" s="6"/>
      <c r="P317" s="6"/>
      <c r="Q317" s="6"/>
      <c r="R317" s="6"/>
      <c r="S317" s="6"/>
      <c r="T317" s="6"/>
      <c r="U317" s="6"/>
      <c r="V317" s="6"/>
      <c r="W317" s="6"/>
      <c r="X317" s="6"/>
      <c r="Y317" s="6"/>
      <c r="Z317" s="6"/>
    </row>
    <row r="318">
      <c r="A318" s="155"/>
      <c r="B318" s="156"/>
      <c r="C318" s="156"/>
      <c r="D318" s="158"/>
      <c r="E318" s="6"/>
      <c r="F318" s="6"/>
      <c r="G318" s="6"/>
      <c r="H318" s="6"/>
      <c r="I318" s="6"/>
      <c r="J318" s="6"/>
      <c r="K318" s="6"/>
      <c r="L318" s="6"/>
      <c r="M318" s="6"/>
      <c r="N318" s="6"/>
      <c r="O318" s="6"/>
      <c r="P318" s="6"/>
      <c r="Q318" s="6"/>
      <c r="R318" s="6"/>
      <c r="S318" s="6"/>
      <c r="T318" s="6"/>
      <c r="U318" s="6"/>
      <c r="V318" s="6"/>
      <c r="W318" s="6"/>
      <c r="X318" s="6"/>
      <c r="Y318" s="6"/>
      <c r="Z318" s="6"/>
    </row>
    <row r="319">
      <c r="A319" s="155"/>
      <c r="B319" s="156"/>
      <c r="C319" s="156"/>
      <c r="D319" s="158"/>
      <c r="E319" s="6"/>
      <c r="F319" s="6"/>
      <c r="G319" s="6"/>
      <c r="H319" s="6"/>
      <c r="I319" s="6"/>
      <c r="J319" s="6"/>
      <c r="K319" s="6"/>
      <c r="L319" s="6"/>
      <c r="M319" s="6"/>
      <c r="N319" s="6"/>
      <c r="O319" s="6"/>
      <c r="P319" s="6"/>
      <c r="Q319" s="6"/>
      <c r="R319" s="6"/>
      <c r="S319" s="6"/>
      <c r="T319" s="6"/>
      <c r="U319" s="6"/>
      <c r="V319" s="6"/>
      <c r="W319" s="6"/>
      <c r="X319" s="6"/>
      <c r="Y319" s="6"/>
      <c r="Z319" s="6"/>
    </row>
    <row r="320">
      <c r="A320" s="155"/>
      <c r="B320" s="156"/>
      <c r="C320" s="156"/>
      <c r="D320" s="158"/>
      <c r="E320" s="6"/>
      <c r="F320" s="6"/>
      <c r="G320" s="6"/>
      <c r="H320" s="6"/>
      <c r="I320" s="6"/>
      <c r="J320" s="6"/>
      <c r="K320" s="6"/>
      <c r="L320" s="6"/>
      <c r="M320" s="6"/>
      <c r="N320" s="6"/>
      <c r="O320" s="6"/>
      <c r="P320" s="6"/>
      <c r="Q320" s="6"/>
      <c r="R320" s="6"/>
      <c r="S320" s="6"/>
      <c r="T320" s="6"/>
      <c r="U320" s="6"/>
      <c r="V320" s="6"/>
      <c r="W320" s="6"/>
      <c r="X320" s="6"/>
      <c r="Y320" s="6"/>
      <c r="Z320" s="6"/>
    </row>
    <row r="321">
      <c r="A321" s="155"/>
      <c r="B321" s="156"/>
      <c r="C321" s="156"/>
      <c r="D321" s="158"/>
      <c r="E321" s="6"/>
      <c r="F321" s="6"/>
      <c r="G321" s="6"/>
      <c r="H321" s="6"/>
      <c r="I321" s="6"/>
      <c r="J321" s="6"/>
      <c r="K321" s="6"/>
      <c r="L321" s="6"/>
      <c r="M321" s="6"/>
      <c r="N321" s="6"/>
      <c r="O321" s="6"/>
      <c r="P321" s="6"/>
      <c r="Q321" s="6"/>
      <c r="R321" s="6"/>
      <c r="S321" s="6"/>
      <c r="T321" s="6"/>
      <c r="U321" s="6"/>
      <c r="V321" s="6"/>
      <c r="W321" s="6"/>
      <c r="X321" s="6"/>
      <c r="Y321" s="6"/>
      <c r="Z321" s="6"/>
    </row>
    <row r="322">
      <c r="A322" s="155"/>
      <c r="B322" s="156"/>
      <c r="C322" s="156"/>
      <c r="D322" s="158"/>
      <c r="E322" s="6"/>
      <c r="F322" s="6"/>
      <c r="G322" s="6"/>
      <c r="H322" s="6"/>
      <c r="I322" s="6"/>
      <c r="J322" s="6"/>
      <c r="K322" s="6"/>
      <c r="L322" s="6"/>
      <c r="M322" s="6"/>
      <c r="N322" s="6"/>
      <c r="O322" s="6"/>
      <c r="P322" s="6"/>
      <c r="Q322" s="6"/>
      <c r="R322" s="6"/>
      <c r="S322" s="6"/>
      <c r="T322" s="6"/>
      <c r="U322" s="6"/>
      <c r="V322" s="6"/>
      <c r="W322" s="6"/>
      <c r="X322" s="6"/>
      <c r="Y322" s="6"/>
      <c r="Z322" s="6"/>
    </row>
    <row r="323">
      <c r="A323" s="155"/>
      <c r="B323" s="156"/>
      <c r="C323" s="156"/>
      <c r="D323" s="158"/>
      <c r="E323" s="6"/>
      <c r="F323" s="6"/>
      <c r="G323" s="6"/>
      <c r="H323" s="6"/>
      <c r="I323" s="6"/>
      <c r="J323" s="6"/>
      <c r="K323" s="6"/>
      <c r="L323" s="6"/>
      <c r="M323" s="6"/>
      <c r="N323" s="6"/>
      <c r="O323" s="6"/>
      <c r="P323" s="6"/>
      <c r="Q323" s="6"/>
      <c r="R323" s="6"/>
      <c r="S323" s="6"/>
      <c r="T323" s="6"/>
      <c r="U323" s="6"/>
      <c r="V323" s="6"/>
      <c r="W323" s="6"/>
      <c r="X323" s="6"/>
      <c r="Y323" s="6"/>
      <c r="Z323" s="6"/>
    </row>
    <row r="324">
      <c r="A324" s="155"/>
      <c r="B324" s="156"/>
      <c r="C324" s="156"/>
      <c r="D324" s="158"/>
      <c r="E324" s="6"/>
      <c r="F324" s="6"/>
      <c r="G324" s="6"/>
      <c r="H324" s="6"/>
      <c r="I324" s="6"/>
      <c r="J324" s="6"/>
      <c r="K324" s="6"/>
      <c r="L324" s="6"/>
      <c r="M324" s="6"/>
      <c r="N324" s="6"/>
      <c r="O324" s="6"/>
      <c r="P324" s="6"/>
      <c r="Q324" s="6"/>
      <c r="R324" s="6"/>
      <c r="S324" s="6"/>
      <c r="T324" s="6"/>
      <c r="U324" s="6"/>
      <c r="V324" s="6"/>
      <c r="W324" s="6"/>
      <c r="X324" s="6"/>
      <c r="Y324" s="6"/>
      <c r="Z324" s="6"/>
    </row>
    <row r="325">
      <c r="A325" s="155"/>
      <c r="B325" s="156"/>
      <c r="C325" s="156"/>
      <c r="D325" s="158"/>
      <c r="E325" s="6"/>
      <c r="F325" s="6"/>
      <c r="G325" s="6"/>
      <c r="H325" s="6"/>
      <c r="I325" s="6"/>
      <c r="J325" s="6"/>
      <c r="K325" s="6"/>
      <c r="L325" s="6"/>
      <c r="M325" s="6"/>
      <c r="N325" s="6"/>
      <c r="O325" s="6"/>
      <c r="P325" s="6"/>
      <c r="Q325" s="6"/>
      <c r="R325" s="6"/>
      <c r="S325" s="6"/>
      <c r="T325" s="6"/>
      <c r="U325" s="6"/>
      <c r="V325" s="6"/>
      <c r="W325" s="6"/>
      <c r="X325" s="6"/>
      <c r="Y325" s="6"/>
      <c r="Z325" s="6"/>
    </row>
    <row r="326">
      <c r="A326" s="155"/>
      <c r="B326" s="156"/>
      <c r="C326" s="156"/>
      <c r="D326" s="158"/>
      <c r="E326" s="6"/>
      <c r="F326" s="6"/>
      <c r="G326" s="6"/>
      <c r="H326" s="6"/>
      <c r="I326" s="6"/>
      <c r="J326" s="6"/>
      <c r="K326" s="6"/>
      <c r="L326" s="6"/>
      <c r="M326" s="6"/>
      <c r="N326" s="6"/>
      <c r="O326" s="6"/>
      <c r="P326" s="6"/>
      <c r="Q326" s="6"/>
      <c r="R326" s="6"/>
      <c r="S326" s="6"/>
      <c r="T326" s="6"/>
      <c r="U326" s="6"/>
      <c r="V326" s="6"/>
      <c r="W326" s="6"/>
      <c r="X326" s="6"/>
      <c r="Y326" s="6"/>
      <c r="Z326" s="6"/>
    </row>
    <row r="327">
      <c r="A327" s="155"/>
      <c r="B327" s="156"/>
      <c r="C327" s="156"/>
      <c r="D327" s="158"/>
      <c r="E327" s="6"/>
      <c r="F327" s="6"/>
      <c r="G327" s="6"/>
      <c r="H327" s="6"/>
      <c r="I327" s="6"/>
      <c r="J327" s="6"/>
      <c r="K327" s="6"/>
      <c r="L327" s="6"/>
      <c r="M327" s="6"/>
      <c r="N327" s="6"/>
      <c r="O327" s="6"/>
      <c r="P327" s="6"/>
      <c r="Q327" s="6"/>
      <c r="R327" s="6"/>
      <c r="S327" s="6"/>
      <c r="T327" s="6"/>
      <c r="U327" s="6"/>
      <c r="V327" s="6"/>
      <c r="W327" s="6"/>
      <c r="X327" s="6"/>
      <c r="Y327" s="6"/>
      <c r="Z327" s="6"/>
    </row>
    <row r="328">
      <c r="A328" s="155"/>
      <c r="B328" s="156"/>
      <c r="C328" s="156"/>
      <c r="D328" s="158"/>
      <c r="E328" s="6"/>
      <c r="F328" s="6"/>
      <c r="G328" s="6"/>
      <c r="H328" s="6"/>
      <c r="I328" s="6"/>
      <c r="J328" s="6"/>
      <c r="K328" s="6"/>
      <c r="L328" s="6"/>
      <c r="M328" s="6"/>
      <c r="N328" s="6"/>
      <c r="O328" s="6"/>
      <c r="P328" s="6"/>
      <c r="Q328" s="6"/>
      <c r="R328" s="6"/>
      <c r="S328" s="6"/>
      <c r="T328" s="6"/>
      <c r="U328" s="6"/>
      <c r="V328" s="6"/>
      <c r="W328" s="6"/>
      <c r="X328" s="6"/>
      <c r="Y328" s="6"/>
      <c r="Z328" s="6"/>
    </row>
    <row r="329">
      <c r="A329" s="155"/>
      <c r="B329" s="156"/>
      <c r="C329" s="156"/>
      <c r="D329" s="158"/>
      <c r="E329" s="6"/>
      <c r="F329" s="6"/>
      <c r="G329" s="6"/>
      <c r="H329" s="6"/>
      <c r="I329" s="6"/>
      <c r="J329" s="6"/>
      <c r="K329" s="6"/>
      <c r="L329" s="6"/>
      <c r="M329" s="6"/>
      <c r="N329" s="6"/>
      <c r="O329" s="6"/>
      <c r="P329" s="6"/>
      <c r="Q329" s="6"/>
      <c r="R329" s="6"/>
      <c r="S329" s="6"/>
      <c r="T329" s="6"/>
      <c r="U329" s="6"/>
      <c r="V329" s="6"/>
      <c r="W329" s="6"/>
      <c r="X329" s="6"/>
      <c r="Y329" s="6"/>
      <c r="Z329" s="6"/>
    </row>
    <row r="330">
      <c r="A330" s="155"/>
      <c r="B330" s="156"/>
      <c r="C330" s="156"/>
      <c r="D330" s="158"/>
      <c r="E330" s="6"/>
      <c r="F330" s="6"/>
      <c r="G330" s="6"/>
      <c r="H330" s="6"/>
      <c r="I330" s="6"/>
      <c r="J330" s="6"/>
      <c r="K330" s="6"/>
      <c r="L330" s="6"/>
      <c r="M330" s="6"/>
      <c r="N330" s="6"/>
      <c r="O330" s="6"/>
      <c r="P330" s="6"/>
      <c r="Q330" s="6"/>
      <c r="R330" s="6"/>
      <c r="S330" s="6"/>
      <c r="T330" s="6"/>
      <c r="U330" s="6"/>
      <c r="V330" s="6"/>
      <c r="W330" s="6"/>
      <c r="X330" s="6"/>
      <c r="Y330" s="6"/>
      <c r="Z330" s="6"/>
    </row>
    <row r="331">
      <c r="A331" s="155"/>
      <c r="B331" s="156"/>
      <c r="C331" s="156"/>
      <c r="D331" s="158"/>
      <c r="E331" s="6"/>
      <c r="F331" s="6"/>
      <c r="G331" s="6"/>
      <c r="H331" s="6"/>
      <c r="I331" s="6"/>
      <c r="J331" s="6"/>
      <c r="K331" s="6"/>
      <c r="L331" s="6"/>
      <c r="M331" s="6"/>
      <c r="N331" s="6"/>
      <c r="O331" s="6"/>
      <c r="P331" s="6"/>
      <c r="Q331" s="6"/>
      <c r="R331" s="6"/>
      <c r="S331" s="6"/>
      <c r="T331" s="6"/>
      <c r="U331" s="6"/>
      <c r="V331" s="6"/>
      <c r="W331" s="6"/>
      <c r="X331" s="6"/>
      <c r="Y331" s="6"/>
      <c r="Z331" s="6"/>
    </row>
    <row r="332">
      <c r="A332" s="155"/>
      <c r="B332" s="156"/>
      <c r="C332" s="156"/>
      <c r="D332" s="158"/>
      <c r="E332" s="6"/>
      <c r="F332" s="6"/>
      <c r="G332" s="6"/>
      <c r="H332" s="6"/>
      <c r="I332" s="6"/>
      <c r="J332" s="6"/>
      <c r="K332" s="6"/>
      <c r="L332" s="6"/>
      <c r="M332" s="6"/>
      <c r="N332" s="6"/>
      <c r="O332" s="6"/>
      <c r="P332" s="6"/>
      <c r="Q332" s="6"/>
      <c r="R332" s="6"/>
      <c r="S332" s="6"/>
      <c r="T332" s="6"/>
      <c r="U332" s="6"/>
      <c r="V332" s="6"/>
      <c r="W332" s="6"/>
      <c r="X332" s="6"/>
      <c r="Y332" s="6"/>
      <c r="Z332" s="6"/>
    </row>
    <row r="333">
      <c r="A333" s="155"/>
      <c r="B333" s="156"/>
      <c r="C333" s="156"/>
      <c r="D333" s="158"/>
      <c r="E333" s="6"/>
      <c r="F333" s="6"/>
      <c r="G333" s="6"/>
      <c r="H333" s="6"/>
      <c r="I333" s="6"/>
      <c r="J333" s="6"/>
      <c r="K333" s="6"/>
      <c r="L333" s="6"/>
      <c r="M333" s="6"/>
      <c r="N333" s="6"/>
      <c r="O333" s="6"/>
      <c r="P333" s="6"/>
      <c r="Q333" s="6"/>
      <c r="R333" s="6"/>
      <c r="S333" s="6"/>
      <c r="T333" s="6"/>
      <c r="U333" s="6"/>
      <c r="V333" s="6"/>
      <c r="W333" s="6"/>
      <c r="X333" s="6"/>
      <c r="Y333" s="6"/>
      <c r="Z333" s="6"/>
    </row>
    <row r="334">
      <c r="A334" s="155"/>
      <c r="B334" s="156"/>
      <c r="C334" s="156"/>
      <c r="D334" s="158"/>
      <c r="E334" s="6"/>
      <c r="F334" s="6"/>
      <c r="G334" s="6"/>
      <c r="H334" s="6"/>
      <c r="I334" s="6"/>
      <c r="J334" s="6"/>
      <c r="K334" s="6"/>
      <c r="L334" s="6"/>
      <c r="M334" s="6"/>
      <c r="N334" s="6"/>
      <c r="O334" s="6"/>
      <c r="P334" s="6"/>
      <c r="Q334" s="6"/>
      <c r="R334" s="6"/>
      <c r="S334" s="6"/>
      <c r="T334" s="6"/>
      <c r="U334" s="6"/>
      <c r="V334" s="6"/>
      <c r="W334" s="6"/>
      <c r="X334" s="6"/>
      <c r="Y334" s="6"/>
      <c r="Z334" s="6"/>
    </row>
    <row r="335">
      <c r="A335" s="155"/>
      <c r="B335" s="156"/>
      <c r="C335" s="156"/>
      <c r="D335" s="158"/>
      <c r="E335" s="6"/>
      <c r="F335" s="6"/>
      <c r="G335" s="6"/>
      <c r="H335" s="6"/>
      <c r="I335" s="6"/>
      <c r="J335" s="6"/>
      <c r="K335" s="6"/>
      <c r="L335" s="6"/>
      <c r="M335" s="6"/>
      <c r="N335" s="6"/>
      <c r="O335" s="6"/>
      <c r="P335" s="6"/>
      <c r="Q335" s="6"/>
      <c r="R335" s="6"/>
      <c r="S335" s="6"/>
      <c r="T335" s="6"/>
      <c r="U335" s="6"/>
      <c r="V335" s="6"/>
      <c r="W335" s="6"/>
      <c r="X335" s="6"/>
      <c r="Y335" s="6"/>
      <c r="Z335" s="6"/>
    </row>
    <row r="336">
      <c r="A336" s="155"/>
      <c r="B336" s="156"/>
      <c r="C336" s="156"/>
      <c r="D336" s="158"/>
      <c r="E336" s="6"/>
      <c r="F336" s="6"/>
      <c r="G336" s="6"/>
      <c r="H336" s="6"/>
      <c r="I336" s="6"/>
      <c r="J336" s="6"/>
      <c r="K336" s="6"/>
      <c r="L336" s="6"/>
      <c r="M336" s="6"/>
      <c r="N336" s="6"/>
      <c r="O336" s="6"/>
      <c r="P336" s="6"/>
      <c r="Q336" s="6"/>
      <c r="R336" s="6"/>
      <c r="S336" s="6"/>
      <c r="T336" s="6"/>
      <c r="U336" s="6"/>
      <c r="V336" s="6"/>
      <c r="W336" s="6"/>
      <c r="X336" s="6"/>
      <c r="Y336" s="6"/>
      <c r="Z336" s="6"/>
    </row>
    <row r="337">
      <c r="A337" s="155"/>
      <c r="B337" s="156"/>
      <c r="C337" s="156"/>
      <c r="D337" s="158"/>
      <c r="E337" s="6"/>
      <c r="F337" s="6"/>
      <c r="G337" s="6"/>
      <c r="H337" s="6"/>
      <c r="I337" s="6"/>
      <c r="J337" s="6"/>
      <c r="K337" s="6"/>
      <c r="L337" s="6"/>
      <c r="M337" s="6"/>
      <c r="N337" s="6"/>
      <c r="O337" s="6"/>
      <c r="P337" s="6"/>
      <c r="Q337" s="6"/>
      <c r="R337" s="6"/>
      <c r="S337" s="6"/>
      <c r="T337" s="6"/>
      <c r="U337" s="6"/>
      <c r="V337" s="6"/>
      <c r="W337" s="6"/>
      <c r="X337" s="6"/>
      <c r="Y337" s="6"/>
      <c r="Z337" s="6"/>
    </row>
    <row r="338">
      <c r="A338" s="155"/>
      <c r="B338" s="156"/>
      <c r="C338" s="156"/>
      <c r="D338" s="158"/>
      <c r="E338" s="6"/>
      <c r="F338" s="6"/>
      <c r="G338" s="6"/>
      <c r="H338" s="6"/>
      <c r="I338" s="6"/>
      <c r="J338" s="6"/>
      <c r="K338" s="6"/>
      <c r="L338" s="6"/>
      <c r="M338" s="6"/>
      <c r="N338" s="6"/>
      <c r="O338" s="6"/>
      <c r="P338" s="6"/>
      <c r="Q338" s="6"/>
      <c r="R338" s="6"/>
      <c r="S338" s="6"/>
      <c r="T338" s="6"/>
      <c r="U338" s="6"/>
      <c r="V338" s="6"/>
      <c r="W338" s="6"/>
      <c r="X338" s="6"/>
      <c r="Y338" s="6"/>
      <c r="Z338" s="6"/>
    </row>
    <row r="339">
      <c r="A339" s="155"/>
      <c r="B339" s="156"/>
      <c r="C339" s="156"/>
      <c r="D339" s="158"/>
      <c r="E339" s="6"/>
      <c r="F339" s="6"/>
      <c r="G339" s="6"/>
      <c r="H339" s="6"/>
      <c r="I339" s="6"/>
      <c r="J339" s="6"/>
      <c r="K339" s="6"/>
      <c r="L339" s="6"/>
      <c r="M339" s="6"/>
      <c r="N339" s="6"/>
      <c r="O339" s="6"/>
      <c r="P339" s="6"/>
      <c r="Q339" s="6"/>
      <c r="R339" s="6"/>
      <c r="S339" s="6"/>
      <c r="T339" s="6"/>
      <c r="U339" s="6"/>
      <c r="V339" s="6"/>
      <c r="W339" s="6"/>
      <c r="X339" s="6"/>
      <c r="Y339" s="6"/>
      <c r="Z339" s="6"/>
    </row>
    <row r="340">
      <c r="A340" s="155"/>
      <c r="B340" s="156"/>
      <c r="C340" s="156"/>
      <c r="D340" s="158"/>
      <c r="E340" s="6"/>
      <c r="F340" s="6"/>
      <c r="G340" s="6"/>
      <c r="H340" s="6"/>
      <c r="I340" s="6"/>
      <c r="J340" s="6"/>
      <c r="K340" s="6"/>
      <c r="L340" s="6"/>
      <c r="M340" s="6"/>
      <c r="N340" s="6"/>
      <c r="O340" s="6"/>
      <c r="P340" s="6"/>
      <c r="Q340" s="6"/>
      <c r="R340" s="6"/>
      <c r="S340" s="6"/>
      <c r="T340" s="6"/>
      <c r="U340" s="6"/>
      <c r="V340" s="6"/>
      <c r="W340" s="6"/>
      <c r="X340" s="6"/>
      <c r="Y340" s="6"/>
      <c r="Z340" s="6"/>
    </row>
    <row r="341">
      <c r="A341" s="155"/>
      <c r="B341" s="156"/>
      <c r="C341" s="156"/>
      <c r="D341" s="158"/>
      <c r="E341" s="6"/>
      <c r="F341" s="6"/>
      <c r="G341" s="6"/>
      <c r="H341" s="6"/>
      <c r="I341" s="6"/>
      <c r="J341" s="6"/>
      <c r="K341" s="6"/>
      <c r="L341" s="6"/>
      <c r="M341" s="6"/>
      <c r="N341" s="6"/>
      <c r="O341" s="6"/>
      <c r="P341" s="6"/>
      <c r="Q341" s="6"/>
      <c r="R341" s="6"/>
      <c r="S341" s="6"/>
      <c r="T341" s="6"/>
      <c r="U341" s="6"/>
      <c r="V341" s="6"/>
      <c r="W341" s="6"/>
      <c r="X341" s="6"/>
      <c r="Y341" s="6"/>
      <c r="Z341" s="6"/>
    </row>
    <row r="342">
      <c r="A342" s="155"/>
      <c r="B342" s="156"/>
      <c r="C342" s="156"/>
      <c r="D342" s="158"/>
      <c r="E342" s="6"/>
      <c r="F342" s="6"/>
      <c r="G342" s="6"/>
      <c r="H342" s="6"/>
      <c r="I342" s="6"/>
      <c r="J342" s="6"/>
      <c r="K342" s="6"/>
      <c r="L342" s="6"/>
      <c r="M342" s="6"/>
      <c r="N342" s="6"/>
      <c r="O342" s="6"/>
      <c r="P342" s="6"/>
      <c r="Q342" s="6"/>
      <c r="R342" s="6"/>
      <c r="S342" s="6"/>
      <c r="T342" s="6"/>
      <c r="U342" s="6"/>
      <c r="V342" s="6"/>
      <c r="W342" s="6"/>
      <c r="X342" s="6"/>
      <c r="Y342" s="6"/>
      <c r="Z342" s="6"/>
    </row>
    <row r="343">
      <c r="A343" s="155"/>
      <c r="B343" s="156"/>
      <c r="C343" s="156"/>
      <c r="D343" s="158"/>
      <c r="E343" s="6"/>
      <c r="F343" s="6"/>
      <c r="G343" s="6"/>
      <c r="H343" s="6"/>
      <c r="I343" s="6"/>
      <c r="J343" s="6"/>
      <c r="K343" s="6"/>
      <c r="L343" s="6"/>
      <c r="M343" s="6"/>
      <c r="N343" s="6"/>
      <c r="O343" s="6"/>
      <c r="P343" s="6"/>
      <c r="Q343" s="6"/>
      <c r="R343" s="6"/>
      <c r="S343" s="6"/>
      <c r="T343" s="6"/>
      <c r="U343" s="6"/>
      <c r="V343" s="6"/>
      <c r="W343" s="6"/>
      <c r="X343" s="6"/>
      <c r="Y343" s="6"/>
      <c r="Z343" s="6"/>
    </row>
    <row r="344">
      <c r="A344" s="155"/>
      <c r="B344" s="156"/>
      <c r="C344" s="156"/>
      <c r="D344" s="158"/>
      <c r="E344" s="6"/>
      <c r="F344" s="6"/>
      <c r="G344" s="6"/>
      <c r="H344" s="6"/>
      <c r="I344" s="6"/>
      <c r="J344" s="6"/>
      <c r="K344" s="6"/>
      <c r="L344" s="6"/>
      <c r="M344" s="6"/>
      <c r="N344" s="6"/>
      <c r="O344" s="6"/>
      <c r="P344" s="6"/>
      <c r="Q344" s="6"/>
      <c r="R344" s="6"/>
      <c r="S344" s="6"/>
      <c r="T344" s="6"/>
      <c r="U344" s="6"/>
      <c r="V344" s="6"/>
      <c r="W344" s="6"/>
      <c r="X344" s="6"/>
      <c r="Y344" s="6"/>
      <c r="Z344" s="6"/>
    </row>
    <row r="345">
      <c r="A345" s="155"/>
      <c r="B345" s="156"/>
      <c r="C345" s="156"/>
      <c r="D345" s="158"/>
      <c r="E345" s="6"/>
      <c r="F345" s="6"/>
      <c r="G345" s="6"/>
      <c r="H345" s="6"/>
      <c r="I345" s="6"/>
      <c r="J345" s="6"/>
      <c r="K345" s="6"/>
      <c r="L345" s="6"/>
      <c r="M345" s="6"/>
      <c r="N345" s="6"/>
      <c r="O345" s="6"/>
      <c r="P345" s="6"/>
      <c r="Q345" s="6"/>
      <c r="R345" s="6"/>
      <c r="S345" s="6"/>
      <c r="T345" s="6"/>
      <c r="U345" s="6"/>
      <c r="V345" s="6"/>
      <c r="W345" s="6"/>
      <c r="X345" s="6"/>
      <c r="Y345" s="6"/>
      <c r="Z345" s="6"/>
    </row>
    <row r="346">
      <c r="A346" s="155"/>
      <c r="B346" s="156"/>
      <c r="C346" s="156"/>
      <c r="D346" s="158"/>
      <c r="E346" s="6"/>
      <c r="F346" s="6"/>
      <c r="G346" s="6"/>
      <c r="H346" s="6"/>
      <c r="I346" s="6"/>
      <c r="J346" s="6"/>
      <c r="K346" s="6"/>
      <c r="L346" s="6"/>
      <c r="M346" s="6"/>
      <c r="N346" s="6"/>
      <c r="O346" s="6"/>
      <c r="P346" s="6"/>
      <c r="Q346" s="6"/>
      <c r="R346" s="6"/>
      <c r="S346" s="6"/>
      <c r="T346" s="6"/>
      <c r="U346" s="6"/>
      <c r="V346" s="6"/>
      <c r="W346" s="6"/>
      <c r="X346" s="6"/>
      <c r="Y346" s="6"/>
      <c r="Z346" s="6"/>
    </row>
    <row r="347">
      <c r="A347" s="155"/>
      <c r="B347" s="156"/>
      <c r="C347" s="156"/>
      <c r="D347" s="158"/>
      <c r="E347" s="6"/>
      <c r="F347" s="6"/>
      <c r="G347" s="6"/>
      <c r="H347" s="6"/>
      <c r="I347" s="6"/>
      <c r="J347" s="6"/>
      <c r="K347" s="6"/>
      <c r="L347" s="6"/>
      <c r="M347" s="6"/>
      <c r="N347" s="6"/>
      <c r="O347" s="6"/>
      <c r="P347" s="6"/>
      <c r="Q347" s="6"/>
      <c r="R347" s="6"/>
      <c r="S347" s="6"/>
      <c r="T347" s="6"/>
      <c r="U347" s="6"/>
      <c r="V347" s="6"/>
      <c r="W347" s="6"/>
      <c r="X347" s="6"/>
      <c r="Y347" s="6"/>
      <c r="Z347" s="6"/>
    </row>
    <row r="348">
      <c r="A348" s="155"/>
      <c r="B348" s="156"/>
      <c r="C348" s="156"/>
      <c r="D348" s="158"/>
      <c r="E348" s="6"/>
      <c r="F348" s="6"/>
      <c r="G348" s="6"/>
      <c r="H348" s="6"/>
      <c r="I348" s="6"/>
      <c r="J348" s="6"/>
      <c r="K348" s="6"/>
      <c r="L348" s="6"/>
      <c r="M348" s="6"/>
      <c r="N348" s="6"/>
      <c r="O348" s="6"/>
      <c r="P348" s="6"/>
      <c r="Q348" s="6"/>
      <c r="R348" s="6"/>
      <c r="S348" s="6"/>
      <c r="T348" s="6"/>
      <c r="U348" s="6"/>
      <c r="V348" s="6"/>
      <c r="W348" s="6"/>
      <c r="X348" s="6"/>
      <c r="Y348" s="6"/>
      <c r="Z348" s="6"/>
    </row>
    <row r="349">
      <c r="A349" s="155"/>
      <c r="B349" s="156"/>
      <c r="C349" s="156"/>
      <c r="D349" s="158"/>
      <c r="E349" s="6"/>
      <c r="F349" s="6"/>
      <c r="G349" s="6"/>
      <c r="H349" s="6"/>
      <c r="I349" s="6"/>
      <c r="J349" s="6"/>
      <c r="K349" s="6"/>
      <c r="L349" s="6"/>
      <c r="M349" s="6"/>
      <c r="N349" s="6"/>
      <c r="O349" s="6"/>
      <c r="P349" s="6"/>
      <c r="Q349" s="6"/>
      <c r="R349" s="6"/>
      <c r="S349" s="6"/>
      <c r="T349" s="6"/>
      <c r="U349" s="6"/>
      <c r="V349" s="6"/>
      <c r="W349" s="6"/>
      <c r="X349" s="6"/>
      <c r="Y349" s="6"/>
      <c r="Z349" s="6"/>
    </row>
    <row r="350">
      <c r="A350" s="155"/>
      <c r="B350" s="156"/>
      <c r="C350" s="156"/>
      <c r="D350" s="158"/>
      <c r="E350" s="6"/>
      <c r="F350" s="6"/>
      <c r="G350" s="6"/>
      <c r="H350" s="6"/>
      <c r="I350" s="6"/>
      <c r="J350" s="6"/>
      <c r="K350" s="6"/>
      <c r="L350" s="6"/>
      <c r="M350" s="6"/>
      <c r="N350" s="6"/>
      <c r="O350" s="6"/>
      <c r="P350" s="6"/>
      <c r="Q350" s="6"/>
      <c r="R350" s="6"/>
      <c r="S350" s="6"/>
      <c r="T350" s="6"/>
      <c r="U350" s="6"/>
      <c r="V350" s="6"/>
      <c r="W350" s="6"/>
      <c r="X350" s="6"/>
      <c r="Y350" s="6"/>
      <c r="Z350" s="6"/>
    </row>
    <row r="351">
      <c r="A351" s="155"/>
      <c r="B351" s="156"/>
      <c r="C351" s="156"/>
      <c r="D351" s="158"/>
      <c r="E351" s="6"/>
      <c r="F351" s="6"/>
      <c r="G351" s="6"/>
      <c r="H351" s="6"/>
      <c r="I351" s="6"/>
      <c r="J351" s="6"/>
      <c r="K351" s="6"/>
      <c r="L351" s="6"/>
      <c r="M351" s="6"/>
      <c r="N351" s="6"/>
      <c r="O351" s="6"/>
      <c r="P351" s="6"/>
      <c r="Q351" s="6"/>
      <c r="R351" s="6"/>
      <c r="S351" s="6"/>
      <c r="T351" s="6"/>
      <c r="U351" s="6"/>
      <c r="V351" s="6"/>
      <c r="W351" s="6"/>
      <c r="X351" s="6"/>
      <c r="Y351" s="6"/>
      <c r="Z351" s="6"/>
    </row>
    <row r="352">
      <c r="A352" s="155"/>
      <c r="B352" s="156"/>
      <c r="C352" s="156"/>
      <c r="D352" s="158"/>
      <c r="E352" s="6"/>
      <c r="F352" s="6"/>
      <c r="G352" s="6"/>
      <c r="H352" s="6"/>
      <c r="I352" s="6"/>
      <c r="J352" s="6"/>
      <c r="K352" s="6"/>
      <c r="L352" s="6"/>
      <c r="M352" s="6"/>
      <c r="N352" s="6"/>
      <c r="O352" s="6"/>
      <c r="P352" s="6"/>
      <c r="Q352" s="6"/>
      <c r="R352" s="6"/>
      <c r="S352" s="6"/>
      <c r="T352" s="6"/>
      <c r="U352" s="6"/>
      <c r="V352" s="6"/>
      <c r="W352" s="6"/>
      <c r="X352" s="6"/>
      <c r="Y352" s="6"/>
      <c r="Z352" s="6"/>
    </row>
    <row r="353">
      <c r="A353" s="155"/>
      <c r="B353" s="156"/>
      <c r="C353" s="156"/>
      <c r="D353" s="158"/>
      <c r="E353" s="6"/>
      <c r="F353" s="6"/>
      <c r="G353" s="6"/>
      <c r="H353" s="6"/>
      <c r="I353" s="6"/>
      <c r="J353" s="6"/>
      <c r="K353" s="6"/>
      <c r="L353" s="6"/>
      <c r="M353" s="6"/>
      <c r="N353" s="6"/>
      <c r="O353" s="6"/>
      <c r="P353" s="6"/>
      <c r="Q353" s="6"/>
      <c r="R353" s="6"/>
      <c r="S353" s="6"/>
      <c r="T353" s="6"/>
      <c r="U353" s="6"/>
      <c r="V353" s="6"/>
      <c r="W353" s="6"/>
      <c r="X353" s="6"/>
      <c r="Y353" s="6"/>
      <c r="Z353" s="6"/>
    </row>
    <row r="354">
      <c r="A354" s="155"/>
      <c r="B354" s="156"/>
      <c r="C354" s="156"/>
      <c r="D354" s="158"/>
      <c r="E354" s="6"/>
      <c r="F354" s="6"/>
      <c r="G354" s="6"/>
      <c r="H354" s="6"/>
      <c r="I354" s="6"/>
      <c r="J354" s="6"/>
      <c r="K354" s="6"/>
      <c r="L354" s="6"/>
      <c r="M354" s="6"/>
      <c r="N354" s="6"/>
      <c r="O354" s="6"/>
      <c r="P354" s="6"/>
      <c r="Q354" s="6"/>
      <c r="R354" s="6"/>
      <c r="S354" s="6"/>
      <c r="T354" s="6"/>
      <c r="U354" s="6"/>
      <c r="V354" s="6"/>
      <c r="W354" s="6"/>
      <c r="X354" s="6"/>
      <c r="Y354" s="6"/>
      <c r="Z354" s="6"/>
    </row>
    <row r="355">
      <c r="A355" s="155"/>
      <c r="B355" s="156"/>
      <c r="C355" s="156"/>
      <c r="D355" s="158"/>
      <c r="E355" s="6"/>
      <c r="F355" s="6"/>
      <c r="G355" s="6"/>
      <c r="H355" s="6"/>
      <c r="I355" s="6"/>
      <c r="J355" s="6"/>
      <c r="K355" s="6"/>
      <c r="L355" s="6"/>
      <c r="M355" s="6"/>
      <c r="N355" s="6"/>
      <c r="O355" s="6"/>
      <c r="P355" s="6"/>
      <c r="Q355" s="6"/>
      <c r="R355" s="6"/>
      <c r="S355" s="6"/>
      <c r="T355" s="6"/>
      <c r="U355" s="6"/>
      <c r="V355" s="6"/>
      <c r="W355" s="6"/>
      <c r="X355" s="6"/>
      <c r="Y355" s="6"/>
      <c r="Z355" s="6"/>
    </row>
    <row r="356">
      <c r="A356" s="155"/>
      <c r="B356" s="156"/>
      <c r="C356" s="156"/>
      <c r="D356" s="158"/>
      <c r="E356" s="6"/>
      <c r="F356" s="6"/>
      <c r="G356" s="6"/>
      <c r="H356" s="6"/>
      <c r="I356" s="6"/>
      <c r="J356" s="6"/>
      <c r="K356" s="6"/>
      <c r="L356" s="6"/>
      <c r="M356" s="6"/>
      <c r="N356" s="6"/>
      <c r="O356" s="6"/>
      <c r="P356" s="6"/>
      <c r="Q356" s="6"/>
      <c r="R356" s="6"/>
      <c r="S356" s="6"/>
      <c r="T356" s="6"/>
      <c r="U356" s="6"/>
      <c r="V356" s="6"/>
      <c r="W356" s="6"/>
      <c r="X356" s="6"/>
      <c r="Y356" s="6"/>
      <c r="Z356" s="6"/>
    </row>
    <row r="357">
      <c r="A357" s="155"/>
      <c r="B357" s="156"/>
      <c r="C357" s="156"/>
      <c r="D357" s="158"/>
      <c r="E357" s="6"/>
      <c r="F357" s="6"/>
      <c r="G357" s="6"/>
      <c r="H357" s="6"/>
      <c r="I357" s="6"/>
      <c r="J357" s="6"/>
      <c r="K357" s="6"/>
      <c r="L357" s="6"/>
      <c r="M357" s="6"/>
      <c r="N357" s="6"/>
      <c r="O357" s="6"/>
      <c r="P357" s="6"/>
      <c r="Q357" s="6"/>
      <c r="R357" s="6"/>
      <c r="S357" s="6"/>
      <c r="T357" s="6"/>
      <c r="U357" s="6"/>
      <c r="V357" s="6"/>
      <c r="W357" s="6"/>
      <c r="X357" s="6"/>
      <c r="Y357" s="6"/>
      <c r="Z357" s="6"/>
    </row>
    <row r="358">
      <c r="A358" s="155"/>
      <c r="B358" s="156"/>
      <c r="C358" s="156"/>
      <c r="D358" s="158"/>
      <c r="E358" s="6"/>
      <c r="F358" s="6"/>
      <c r="G358" s="6"/>
      <c r="H358" s="6"/>
      <c r="I358" s="6"/>
      <c r="J358" s="6"/>
      <c r="K358" s="6"/>
      <c r="L358" s="6"/>
      <c r="M358" s="6"/>
      <c r="N358" s="6"/>
      <c r="O358" s="6"/>
      <c r="P358" s="6"/>
      <c r="Q358" s="6"/>
      <c r="R358" s="6"/>
      <c r="S358" s="6"/>
      <c r="T358" s="6"/>
      <c r="U358" s="6"/>
      <c r="V358" s="6"/>
      <c r="W358" s="6"/>
      <c r="X358" s="6"/>
      <c r="Y358" s="6"/>
      <c r="Z358" s="6"/>
    </row>
    <row r="359">
      <c r="A359" s="155"/>
      <c r="B359" s="156"/>
      <c r="C359" s="156"/>
      <c r="D359" s="158"/>
      <c r="E359" s="6"/>
      <c r="F359" s="6"/>
      <c r="G359" s="6"/>
      <c r="H359" s="6"/>
      <c r="I359" s="6"/>
      <c r="J359" s="6"/>
      <c r="K359" s="6"/>
      <c r="L359" s="6"/>
      <c r="M359" s="6"/>
      <c r="N359" s="6"/>
      <c r="O359" s="6"/>
      <c r="P359" s="6"/>
      <c r="Q359" s="6"/>
      <c r="R359" s="6"/>
      <c r="S359" s="6"/>
      <c r="T359" s="6"/>
      <c r="U359" s="6"/>
      <c r="V359" s="6"/>
      <c r="W359" s="6"/>
      <c r="X359" s="6"/>
      <c r="Y359" s="6"/>
      <c r="Z359" s="6"/>
    </row>
    <row r="360">
      <c r="A360" s="155"/>
      <c r="B360" s="156"/>
      <c r="C360" s="156"/>
      <c r="D360" s="158"/>
      <c r="E360" s="6"/>
      <c r="F360" s="6"/>
      <c r="G360" s="6"/>
      <c r="H360" s="6"/>
      <c r="I360" s="6"/>
      <c r="J360" s="6"/>
      <c r="K360" s="6"/>
      <c r="L360" s="6"/>
      <c r="M360" s="6"/>
      <c r="N360" s="6"/>
      <c r="O360" s="6"/>
      <c r="P360" s="6"/>
      <c r="Q360" s="6"/>
      <c r="R360" s="6"/>
      <c r="S360" s="6"/>
      <c r="T360" s="6"/>
      <c r="U360" s="6"/>
      <c r="V360" s="6"/>
      <c r="W360" s="6"/>
      <c r="X360" s="6"/>
      <c r="Y360" s="6"/>
      <c r="Z360" s="6"/>
    </row>
    <row r="361">
      <c r="A361" s="155"/>
      <c r="B361" s="156"/>
      <c r="C361" s="156"/>
      <c r="D361" s="158"/>
      <c r="E361" s="6"/>
      <c r="F361" s="6"/>
      <c r="G361" s="6"/>
      <c r="H361" s="6"/>
      <c r="I361" s="6"/>
      <c r="J361" s="6"/>
      <c r="K361" s="6"/>
      <c r="L361" s="6"/>
      <c r="M361" s="6"/>
      <c r="N361" s="6"/>
      <c r="O361" s="6"/>
      <c r="P361" s="6"/>
      <c r="Q361" s="6"/>
      <c r="R361" s="6"/>
      <c r="S361" s="6"/>
      <c r="T361" s="6"/>
      <c r="U361" s="6"/>
      <c r="V361" s="6"/>
      <c r="W361" s="6"/>
      <c r="X361" s="6"/>
      <c r="Y361" s="6"/>
      <c r="Z361" s="6"/>
    </row>
    <row r="362">
      <c r="A362" s="155"/>
      <c r="B362" s="156"/>
      <c r="C362" s="156"/>
      <c r="D362" s="158"/>
      <c r="E362" s="6"/>
      <c r="F362" s="6"/>
      <c r="G362" s="6"/>
      <c r="H362" s="6"/>
      <c r="I362" s="6"/>
      <c r="J362" s="6"/>
      <c r="K362" s="6"/>
      <c r="L362" s="6"/>
      <c r="M362" s="6"/>
      <c r="N362" s="6"/>
      <c r="O362" s="6"/>
      <c r="P362" s="6"/>
      <c r="Q362" s="6"/>
      <c r="R362" s="6"/>
      <c r="S362" s="6"/>
      <c r="T362" s="6"/>
      <c r="U362" s="6"/>
      <c r="V362" s="6"/>
      <c r="W362" s="6"/>
      <c r="X362" s="6"/>
      <c r="Y362" s="6"/>
      <c r="Z362" s="6"/>
    </row>
    <row r="363">
      <c r="A363" s="155"/>
      <c r="B363" s="156"/>
      <c r="C363" s="156"/>
      <c r="D363" s="158"/>
      <c r="E363" s="6"/>
      <c r="F363" s="6"/>
      <c r="G363" s="6"/>
      <c r="H363" s="6"/>
      <c r="I363" s="6"/>
      <c r="J363" s="6"/>
      <c r="K363" s="6"/>
      <c r="L363" s="6"/>
      <c r="M363" s="6"/>
      <c r="N363" s="6"/>
      <c r="O363" s="6"/>
      <c r="P363" s="6"/>
      <c r="Q363" s="6"/>
      <c r="R363" s="6"/>
      <c r="S363" s="6"/>
      <c r="T363" s="6"/>
      <c r="U363" s="6"/>
      <c r="V363" s="6"/>
      <c r="W363" s="6"/>
      <c r="X363" s="6"/>
      <c r="Y363" s="6"/>
      <c r="Z363" s="6"/>
    </row>
    <row r="364">
      <c r="A364" s="155"/>
      <c r="B364" s="156"/>
      <c r="C364" s="156"/>
      <c r="D364" s="158"/>
      <c r="E364" s="6"/>
      <c r="F364" s="6"/>
      <c r="G364" s="6"/>
      <c r="H364" s="6"/>
      <c r="I364" s="6"/>
      <c r="J364" s="6"/>
      <c r="K364" s="6"/>
      <c r="L364" s="6"/>
      <c r="M364" s="6"/>
      <c r="N364" s="6"/>
      <c r="O364" s="6"/>
      <c r="P364" s="6"/>
      <c r="Q364" s="6"/>
      <c r="R364" s="6"/>
      <c r="S364" s="6"/>
      <c r="T364" s="6"/>
      <c r="U364" s="6"/>
      <c r="V364" s="6"/>
      <c r="W364" s="6"/>
      <c r="X364" s="6"/>
      <c r="Y364" s="6"/>
      <c r="Z364" s="6"/>
    </row>
    <row r="365">
      <c r="A365" s="155"/>
      <c r="B365" s="156"/>
      <c r="C365" s="156"/>
      <c r="D365" s="158"/>
      <c r="E365" s="6"/>
      <c r="F365" s="6"/>
      <c r="G365" s="6"/>
      <c r="H365" s="6"/>
      <c r="I365" s="6"/>
      <c r="J365" s="6"/>
      <c r="K365" s="6"/>
      <c r="L365" s="6"/>
      <c r="M365" s="6"/>
      <c r="N365" s="6"/>
      <c r="O365" s="6"/>
      <c r="P365" s="6"/>
      <c r="Q365" s="6"/>
      <c r="R365" s="6"/>
      <c r="S365" s="6"/>
      <c r="T365" s="6"/>
      <c r="U365" s="6"/>
      <c r="V365" s="6"/>
      <c r="W365" s="6"/>
      <c r="X365" s="6"/>
      <c r="Y365" s="6"/>
      <c r="Z365" s="6"/>
    </row>
    <row r="366">
      <c r="A366" s="155"/>
      <c r="B366" s="156"/>
      <c r="C366" s="156"/>
      <c r="D366" s="158"/>
      <c r="E366" s="6"/>
      <c r="F366" s="6"/>
      <c r="G366" s="6"/>
      <c r="H366" s="6"/>
      <c r="I366" s="6"/>
      <c r="J366" s="6"/>
      <c r="K366" s="6"/>
      <c r="L366" s="6"/>
      <c r="M366" s="6"/>
      <c r="N366" s="6"/>
      <c r="O366" s="6"/>
      <c r="P366" s="6"/>
      <c r="Q366" s="6"/>
      <c r="R366" s="6"/>
      <c r="S366" s="6"/>
      <c r="T366" s="6"/>
      <c r="U366" s="6"/>
      <c r="V366" s="6"/>
      <c r="W366" s="6"/>
      <c r="X366" s="6"/>
      <c r="Y366" s="6"/>
      <c r="Z366" s="6"/>
    </row>
    <row r="367">
      <c r="A367" s="155"/>
      <c r="B367" s="156"/>
      <c r="C367" s="156"/>
      <c r="D367" s="158"/>
      <c r="E367" s="6"/>
      <c r="F367" s="6"/>
      <c r="G367" s="6"/>
      <c r="H367" s="6"/>
      <c r="I367" s="6"/>
      <c r="J367" s="6"/>
      <c r="K367" s="6"/>
      <c r="L367" s="6"/>
      <c r="M367" s="6"/>
      <c r="N367" s="6"/>
      <c r="O367" s="6"/>
      <c r="P367" s="6"/>
      <c r="Q367" s="6"/>
      <c r="R367" s="6"/>
      <c r="S367" s="6"/>
      <c r="T367" s="6"/>
      <c r="U367" s="6"/>
      <c r="V367" s="6"/>
      <c r="W367" s="6"/>
      <c r="X367" s="6"/>
      <c r="Y367" s="6"/>
      <c r="Z367" s="6"/>
    </row>
    <row r="368">
      <c r="A368" s="155"/>
      <c r="B368" s="156"/>
      <c r="C368" s="156"/>
      <c r="D368" s="158"/>
      <c r="E368" s="6"/>
      <c r="F368" s="6"/>
      <c r="G368" s="6"/>
      <c r="H368" s="6"/>
      <c r="I368" s="6"/>
      <c r="J368" s="6"/>
      <c r="K368" s="6"/>
      <c r="L368" s="6"/>
      <c r="M368" s="6"/>
      <c r="N368" s="6"/>
      <c r="O368" s="6"/>
      <c r="P368" s="6"/>
      <c r="Q368" s="6"/>
      <c r="R368" s="6"/>
      <c r="S368" s="6"/>
      <c r="T368" s="6"/>
      <c r="U368" s="6"/>
      <c r="V368" s="6"/>
      <c r="W368" s="6"/>
      <c r="X368" s="6"/>
      <c r="Y368" s="6"/>
      <c r="Z368" s="6"/>
    </row>
    <row r="369">
      <c r="A369" s="155"/>
      <c r="B369" s="156"/>
      <c r="C369" s="156"/>
      <c r="D369" s="158"/>
      <c r="E369" s="6"/>
      <c r="F369" s="6"/>
      <c r="G369" s="6"/>
      <c r="H369" s="6"/>
      <c r="I369" s="6"/>
      <c r="J369" s="6"/>
      <c r="K369" s="6"/>
      <c r="L369" s="6"/>
      <c r="M369" s="6"/>
      <c r="N369" s="6"/>
      <c r="O369" s="6"/>
      <c r="P369" s="6"/>
      <c r="Q369" s="6"/>
      <c r="R369" s="6"/>
      <c r="S369" s="6"/>
      <c r="T369" s="6"/>
      <c r="U369" s="6"/>
      <c r="V369" s="6"/>
      <c r="W369" s="6"/>
      <c r="X369" s="6"/>
      <c r="Y369" s="6"/>
      <c r="Z369" s="6"/>
    </row>
    <row r="370">
      <c r="A370" s="155"/>
      <c r="B370" s="156"/>
      <c r="C370" s="156"/>
      <c r="D370" s="158"/>
      <c r="E370" s="6"/>
      <c r="F370" s="6"/>
      <c r="G370" s="6"/>
      <c r="H370" s="6"/>
      <c r="I370" s="6"/>
      <c r="J370" s="6"/>
      <c r="K370" s="6"/>
      <c r="L370" s="6"/>
      <c r="M370" s="6"/>
      <c r="N370" s="6"/>
      <c r="O370" s="6"/>
      <c r="P370" s="6"/>
      <c r="Q370" s="6"/>
      <c r="R370" s="6"/>
      <c r="S370" s="6"/>
      <c r="T370" s="6"/>
      <c r="U370" s="6"/>
      <c r="V370" s="6"/>
      <c r="W370" s="6"/>
      <c r="X370" s="6"/>
      <c r="Y370" s="6"/>
      <c r="Z370" s="6"/>
    </row>
    <row r="371">
      <c r="A371" s="155"/>
      <c r="B371" s="156"/>
      <c r="C371" s="156"/>
      <c r="D371" s="158"/>
      <c r="E371" s="6"/>
      <c r="F371" s="6"/>
      <c r="G371" s="6"/>
      <c r="H371" s="6"/>
      <c r="I371" s="6"/>
      <c r="J371" s="6"/>
      <c r="K371" s="6"/>
      <c r="L371" s="6"/>
      <c r="M371" s="6"/>
      <c r="N371" s="6"/>
      <c r="O371" s="6"/>
      <c r="P371" s="6"/>
      <c r="Q371" s="6"/>
      <c r="R371" s="6"/>
      <c r="S371" s="6"/>
      <c r="T371" s="6"/>
      <c r="U371" s="6"/>
      <c r="V371" s="6"/>
      <c r="W371" s="6"/>
      <c r="X371" s="6"/>
      <c r="Y371" s="6"/>
      <c r="Z371" s="6"/>
    </row>
    <row r="372">
      <c r="A372" s="155"/>
      <c r="B372" s="156"/>
      <c r="C372" s="156"/>
      <c r="D372" s="158"/>
      <c r="E372" s="6"/>
      <c r="F372" s="6"/>
      <c r="G372" s="6"/>
      <c r="H372" s="6"/>
      <c r="I372" s="6"/>
      <c r="J372" s="6"/>
      <c r="K372" s="6"/>
      <c r="L372" s="6"/>
      <c r="M372" s="6"/>
      <c r="N372" s="6"/>
      <c r="O372" s="6"/>
      <c r="P372" s="6"/>
      <c r="Q372" s="6"/>
      <c r="R372" s="6"/>
      <c r="S372" s="6"/>
      <c r="T372" s="6"/>
      <c r="U372" s="6"/>
      <c r="V372" s="6"/>
      <c r="W372" s="6"/>
      <c r="X372" s="6"/>
      <c r="Y372" s="6"/>
      <c r="Z372" s="6"/>
    </row>
    <row r="373">
      <c r="A373" s="155"/>
      <c r="B373" s="156"/>
      <c r="C373" s="156"/>
      <c r="D373" s="158"/>
      <c r="E373" s="6"/>
      <c r="F373" s="6"/>
      <c r="G373" s="6"/>
      <c r="H373" s="6"/>
      <c r="I373" s="6"/>
      <c r="J373" s="6"/>
      <c r="K373" s="6"/>
      <c r="L373" s="6"/>
      <c r="M373" s="6"/>
      <c r="N373" s="6"/>
      <c r="O373" s="6"/>
      <c r="P373" s="6"/>
      <c r="Q373" s="6"/>
      <c r="R373" s="6"/>
      <c r="S373" s="6"/>
      <c r="T373" s="6"/>
      <c r="U373" s="6"/>
      <c r="V373" s="6"/>
      <c r="W373" s="6"/>
      <c r="X373" s="6"/>
      <c r="Y373" s="6"/>
      <c r="Z373" s="6"/>
    </row>
    <row r="374">
      <c r="A374" s="155"/>
      <c r="B374" s="156"/>
      <c r="C374" s="156"/>
      <c r="D374" s="158"/>
      <c r="E374" s="6"/>
      <c r="F374" s="6"/>
      <c r="G374" s="6"/>
      <c r="H374" s="6"/>
      <c r="I374" s="6"/>
      <c r="J374" s="6"/>
      <c r="K374" s="6"/>
      <c r="L374" s="6"/>
      <c r="M374" s="6"/>
      <c r="N374" s="6"/>
      <c r="O374" s="6"/>
      <c r="P374" s="6"/>
      <c r="Q374" s="6"/>
      <c r="R374" s="6"/>
      <c r="S374" s="6"/>
      <c r="T374" s="6"/>
      <c r="U374" s="6"/>
      <c r="V374" s="6"/>
      <c r="W374" s="6"/>
      <c r="X374" s="6"/>
      <c r="Y374" s="6"/>
      <c r="Z374" s="6"/>
    </row>
    <row r="375">
      <c r="A375" s="155"/>
      <c r="B375" s="156"/>
      <c r="C375" s="156"/>
      <c r="D375" s="158"/>
      <c r="E375" s="6"/>
      <c r="F375" s="6"/>
      <c r="G375" s="6"/>
      <c r="H375" s="6"/>
      <c r="I375" s="6"/>
      <c r="J375" s="6"/>
      <c r="K375" s="6"/>
      <c r="L375" s="6"/>
      <c r="M375" s="6"/>
      <c r="N375" s="6"/>
      <c r="O375" s="6"/>
      <c r="P375" s="6"/>
      <c r="Q375" s="6"/>
      <c r="R375" s="6"/>
      <c r="S375" s="6"/>
      <c r="T375" s="6"/>
      <c r="U375" s="6"/>
      <c r="V375" s="6"/>
      <c r="W375" s="6"/>
      <c r="X375" s="6"/>
      <c r="Y375" s="6"/>
      <c r="Z375" s="6"/>
    </row>
    <row r="376">
      <c r="A376" s="155"/>
      <c r="B376" s="156"/>
      <c r="C376" s="156"/>
      <c r="D376" s="158"/>
      <c r="E376" s="6"/>
      <c r="F376" s="6"/>
      <c r="G376" s="6"/>
      <c r="H376" s="6"/>
      <c r="I376" s="6"/>
      <c r="J376" s="6"/>
      <c r="K376" s="6"/>
      <c r="L376" s="6"/>
      <c r="M376" s="6"/>
      <c r="N376" s="6"/>
      <c r="O376" s="6"/>
      <c r="P376" s="6"/>
      <c r="Q376" s="6"/>
      <c r="R376" s="6"/>
      <c r="S376" s="6"/>
      <c r="T376" s="6"/>
      <c r="U376" s="6"/>
      <c r="V376" s="6"/>
      <c r="W376" s="6"/>
      <c r="X376" s="6"/>
      <c r="Y376" s="6"/>
      <c r="Z376" s="6"/>
    </row>
    <row r="377">
      <c r="A377" s="155"/>
      <c r="B377" s="156"/>
      <c r="C377" s="156"/>
      <c r="D377" s="158"/>
      <c r="E377" s="6"/>
      <c r="F377" s="6"/>
      <c r="G377" s="6"/>
      <c r="H377" s="6"/>
      <c r="I377" s="6"/>
      <c r="J377" s="6"/>
      <c r="K377" s="6"/>
      <c r="L377" s="6"/>
      <c r="M377" s="6"/>
      <c r="N377" s="6"/>
      <c r="O377" s="6"/>
      <c r="P377" s="6"/>
      <c r="Q377" s="6"/>
      <c r="R377" s="6"/>
      <c r="S377" s="6"/>
      <c r="T377" s="6"/>
      <c r="U377" s="6"/>
      <c r="V377" s="6"/>
      <c r="W377" s="6"/>
      <c r="X377" s="6"/>
      <c r="Y377" s="6"/>
      <c r="Z377" s="6"/>
    </row>
    <row r="378">
      <c r="A378" s="155"/>
      <c r="B378" s="156"/>
      <c r="C378" s="156"/>
      <c r="D378" s="158"/>
      <c r="E378" s="6"/>
      <c r="F378" s="6"/>
      <c r="G378" s="6"/>
      <c r="H378" s="6"/>
      <c r="I378" s="6"/>
      <c r="J378" s="6"/>
      <c r="K378" s="6"/>
      <c r="L378" s="6"/>
      <c r="M378" s="6"/>
      <c r="N378" s="6"/>
      <c r="O378" s="6"/>
      <c r="P378" s="6"/>
      <c r="Q378" s="6"/>
      <c r="R378" s="6"/>
      <c r="S378" s="6"/>
      <c r="T378" s="6"/>
      <c r="U378" s="6"/>
      <c r="V378" s="6"/>
      <c r="W378" s="6"/>
      <c r="X378" s="6"/>
      <c r="Y378" s="6"/>
      <c r="Z378" s="6"/>
    </row>
    <row r="379">
      <c r="A379" s="155"/>
      <c r="B379" s="156"/>
      <c r="C379" s="156"/>
      <c r="D379" s="158"/>
      <c r="E379" s="6"/>
      <c r="F379" s="6"/>
      <c r="G379" s="6"/>
      <c r="H379" s="6"/>
      <c r="I379" s="6"/>
      <c r="J379" s="6"/>
      <c r="K379" s="6"/>
      <c r="L379" s="6"/>
      <c r="M379" s="6"/>
      <c r="N379" s="6"/>
      <c r="O379" s="6"/>
      <c r="P379" s="6"/>
      <c r="Q379" s="6"/>
      <c r="R379" s="6"/>
      <c r="S379" s="6"/>
      <c r="T379" s="6"/>
      <c r="U379" s="6"/>
      <c r="V379" s="6"/>
      <c r="W379" s="6"/>
      <c r="X379" s="6"/>
      <c r="Y379" s="6"/>
      <c r="Z379" s="6"/>
    </row>
    <row r="380">
      <c r="A380" s="155"/>
      <c r="B380" s="156"/>
      <c r="C380" s="156"/>
      <c r="D380" s="158"/>
      <c r="E380" s="6"/>
      <c r="F380" s="6"/>
      <c r="G380" s="6"/>
      <c r="H380" s="6"/>
      <c r="I380" s="6"/>
      <c r="J380" s="6"/>
      <c r="K380" s="6"/>
      <c r="L380" s="6"/>
      <c r="M380" s="6"/>
      <c r="N380" s="6"/>
      <c r="O380" s="6"/>
      <c r="P380" s="6"/>
      <c r="Q380" s="6"/>
      <c r="R380" s="6"/>
      <c r="S380" s="6"/>
      <c r="T380" s="6"/>
      <c r="U380" s="6"/>
      <c r="V380" s="6"/>
      <c r="W380" s="6"/>
      <c r="X380" s="6"/>
      <c r="Y380" s="6"/>
      <c r="Z380" s="6"/>
    </row>
    <row r="381">
      <c r="A381" s="155"/>
      <c r="B381" s="156"/>
      <c r="C381" s="156"/>
      <c r="D381" s="158"/>
      <c r="E381" s="6"/>
      <c r="F381" s="6"/>
      <c r="G381" s="6"/>
      <c r="H381" s="6"/>
      <c r="I381" s="6"/>
      <c r="J381" s="6"/>
      <c r="K381" s="6"/>
      <c r="L381" s="6"/>
      <c r="M381" s="6"/>
      <c r="N381" s="6"/>
      <c r="O381" s="6"/>
      <c r="P381" s="6"/>
      <c r="Q381" s="6"/>
      <c r="R381" s="6"/>
      <c r="S381" s="6"/>
      <c r="T381" s="6"/>
      <c r="U381" s="6"/>
      <c r="V381" s="6"/>
      <c r="W381" s="6"/>
      <c r="X381" s="6"/>
      <c r="Y381" s="6"/>
      <c r="Z381" s="6"/>
    </row>
    <row r="382">
      <c r="A382" s="155"/>
      <c r="B382" s="156"/>
      <c r="C382" s="156"/>
      <c r="D382" s="158"/>
      <c r="E382" s="6"/>
      <c r="F382" s="6"/>
      <c r="G382" s="6"/>
      <c r="H382" s="6"/>
      <c r="I382" s="6"/>
      <c r="J382" s="6"/>
      <c r="K382" s="6"/>
      <c r="L382" s="6"/>
      <c r="M382" s="6"/>
      <c r="N382" s="6"/>
      <c r="O382" s="6"/>
      <c r="P382" s="6"/>
      <c r="Q382" s="6"/>
      <c r="R382" s="6"/>
      <c r="S382" s="6"/>
      <c r="T382" s="6"/>
      <c r="U382" s="6"/>
      <c r="V382" s="6"/>
      <c r="W382" s="6"/>
      <c r="X382" s="6"/>
      <c r="Y382" s="6"/>
      <c r="Z382" s="6"/>
    </row>
    <row r="383">
      <c r="A383" s="155"/>
      <c r="B383" s="156"/>
      <c r="C383" s="156"/>
      <c r="D383" s="158"/>
      <c r="E383" s="6"/>
      <c r="F383" s="6"/>
      <c r="G383" s="6"/>
      <c r="H383" s="6"/>
      <c r="I383" s="6"/>
      <c r="J383" s="6"/>
      <c r="K383" s="6"/>
      <c r="L383" s="6"/>
      <c r="M383" s="6"/>
      <c r="N383" s="6"/>
      <c r="O383" s="6"/>
      <c r="P383" s="6"/>
      <c r="Q383" s="6"/>
      <c r="R383" s="6"/>
      <c r="S383" s="6"/>
      <c r="T383" s="6"/>
      <c r="U383" s="6"/>
      <c r="V383" s="6"/>
      <c r="W383" s="6"/>
      <c r="X383" s="6"/>
      <c r="Y383" s="6"/>
      <c r="Z383" s="6"/>
    </row>
    <row r="384">
      <c r="A384" s="155"/>
      <c r="B384" s="156"/>
      <c r="C384" s="156"/>
      <c r="D384" s="158"/>
      <c r="E384" s="6"/>
      <c r="F384" s="6"/>
      <c r="G384" s="6"/>
      <c r="H384" s="6"/>
      <c r="I384" s="6"/>
      <c r="J384" s="6"/>
      <c r="K384" s="6"/>
      <c r="L384" s="6"/>
      <c r="M384" s="6"/>
      <c r="N384" s="6"/>
      <c r="O384" s="6"/>
      <c r="P384" s="6"/>
      <c r="Q384" s="6"/>
      <c r="R384" s="6"/>
      <c r="S384" s="6"/>
      <c r="T384" s="6"/>
      <c r="U384" s="6"/>
      <c r="V384" s="6"/>
      <c r="W384" s="6"/>
      <c r="X384" s="6"/>
      <c r="Y384" s="6"/>
      <c r="Z384" s="6"/>
    </row>
    <row r="385">
      <c r="A385" s="155"/>
      <c r="B385" s="156"/>
      <c r="C385" s="156"/>
      <c r="D385" s="158"/>
      <c r="E385" s="6"/>
      <c r="F385" s="6"/>
      <c r="G385" s="6"/>
      <c r="H385" s="6"/>
      <c r="I385" s="6"/>
      <c r="J385" s="6"/>
      <c r="K385" s="6"/>
      <c r="L385" s="6"/>
      <c r="M385" s="6"/>
      <c r="N385" s="6"/>
      <c r="O385" s="6"/>
      <c r="P385" s="6"/>
      <c r="Q385" s="6"/>
      <c r="R385" s="6"/>
      <c r="S385" s="6"/>
      <c r="T385" s="6"/>
      <c r="U385" s="6"/>
      <c r="V385" s="6"/>
      <c r="W385" s="6"/>
      <c r="X385" s="6"/>
      <c r="Y385" s="6"/>
      <c r="Z385" s="6"/>
    </row>
    <row r="386">
      <c r="A386" s="155"/>
      <c r="B386" s="156"/>
      <c r="C386" s="156"/>
      <c r="D386" s="158"/>
      <c r="E386" s="6"/>
      <c r="F386" s="6"/>
      <c r="G386" s="6"/>
      <c r="H386" s="6"/>
      <c r="I386" s="6"/>
      <c r="J386" s="6"/>
      <c r="K386" s="6"/>
      <c r="L386" s="6"/>
      <c r="M386" s="6"/>
      <c r="N386" s="6"/>
      <c r="O386" s="6"/>
      <c r="P386" s="6"/>
      <c r="Q386" s="6"/>
      <c r="R386" s="6"/>
      <c r="S386" s="6"/>
      <c r="T386" s="6"/>
      <c r="U386" s="6"/>
      <c r="V386" s="6"/>
      <c r="W386" s="6"/>
      <c r="X386" s="6"/>
      <c r="Y386" s="6"/>
      <c r="Z386" s="6"/>
    </row>
    <row r="387">
      <c r="A387" s="155"/>
      <c r="B387" s="156"/>
      <c r="C387" s="156"/>
      <c r="D387" s="158"/>
      <c r="E387" s="6"/>
      <c r="F387" s="6"/>
      <c r="G387" s="6"/>
      <c r="H387" s="6"/>
      <c r="I387" s="6"/>
      <c r="J387" s="6"/>
      <c r="K387" s="6"/>
      <c r="L387" s="6"/>
      <c r="M387" s="6"/>
      <c r="N387" s="6"/>
      <c r="O387" s="6"/>
      <c r="P387" s="6"/>
      <c r="Q387" s="6"/>
      <c r="R387" s="6"/>
      <c r="S387" s="6"/>
      <c r="T387" s="6"/>
      <c r="U387" s="6"/>
      <c r="V387" s="6"/>
      <c r="W387" s="6"/>
      <c r="X387" s="6"/>
      <c r="Y387" s="6"/>
      <c r="Z387" s="6"/>
    </row>
    <row r="388">
      <c r="A388" s="155"/>
      <c r="B388" s="156"/>
      <c r="C388" s="156"/>
      <c r="D388" s="158"/>
      <c r="E388" s="6"/>
      <c r="F388" s="6"/>
      <c r="G388" s="6"/>
      <c r="H388" s="6"/>
      <c r="I388" s="6"/>
      <c r="J388" s="6"/>
      <c r="K388" s="6"/>
      <c r="L388" s="6"/>
      <c r="M388" s="6"/>
      <c r="N388" s="6"/>
      <c r="O388" s="6"/>
      <c r="P388" s="6"/>
      <c r="Q388" s="6"/>
      <c r="R388" s="6"/>
      <c r="S388" s="6"/>
      <c r="T388" s="6"/>
      <c r="U388" s="6"/>
      <c r="V388" s="6"/>
      <c r="W388" s="6"/>
      <c r="X388" s="6"/>
      <c r="Y388" s="6"/>
      <c r="Z388" s="6"/>
    </row>
    <row r="389">
      <c r="A389" s="155"/>
      <c r="B389" s="156"/>
      <c r="C389" s="156"/>
      <c r="D389" s="158"/>
      <c r="E389" s="6"/>
      <c r="F389" s="6"/>
      <c r="G389" s="6"/>
      <c r="H389" s="6"/>
      <c r="I389" s="6"/>
      <c r="J389" s="6"/>
      <c r="K389" s="6"/>
      <c r="L389" s="6"/>
      <c r="M389" s="6"/>
      <c r="N389" s="6"/>
      <c r="O389" s="6"/>
      <c r="P389" s="6"/>
      <c r="Q389" s="6"/>
      <c r="R389" s="6"/>
      <c r="S389" s="6"/>
      <c r="T389" s="6"/>
      <c r="U389" s="6"/>
      <c r="V389" s="6"/>
      <c r="W389" s="6"/>
      <c r="X389" s="6"/>
      <c r="Y389" s="6"/>
      <c r="Z389" s="6"/>
    </row>
    <row r="390">
      <c r="A390" s="155"/>
      <c r="B390" s="156"/>
      <c r="C390" s="156"/>
      <c r="D390" s="158"/>
      <c r="E390" s="6"/>
      <c r="F390" s="6"/>
      <c r="G390" s="6"/>
      <c r="H390" s="6"/>
      <c r="I390" s="6"/>
      <c r="J390" s="6"/>
      <c r="K390" s="6"/>
      <c r="L390" s="6"/>
      <c r="M390" s="6"/>
      <c r="N390" s="6"/>
      <c r="O390" s="6"/>
      <c r="P390" s="6"/>
      <c r="Q390" s="6"/>
      <c r="R390" s="6"/>
      <c r="S390" s="6"/>
      <c r="T390" s="6"/>
      <c r="U390" s="6"/>
      <c r="V390" s="6"/>
      <c r="W390" s="6"/>
      <c r="X390" s="6"/>
      <c r="Y390" s="6"/>
      <c r="Z390" s="6"/>
    </row>
    <row r="391">
      <c r="A391" s="155"/>
      <c r="B391" s="156"/>
      <c r="C391" s="156"/>
      <c r="D391" s="158"/>
      <c r="E391" s="6"/>
      <c r="F391" s="6"/>
      <c r="G391" s="6"/>
      <c r="H391" s="6"/>
      <c r="I391" s="6"/>
      <c r="J391" s="6"/>
      <c r="K391" s="6"/>
      <c r="L391" s="6"/>
      <c r="M391" s="6"/>
      <c r="N391" s="6"/>
      <c r="O391" s="6"/>
      <c r="P391" s="6"/>
      <c r="Q391" s="6"/>
      <c r="R391" s="6"/>
      <c r="S391" s="6"/>
      <c r="T391" s="6"/>
      <c r="U391" s="6"/>
      <c r="V391" s="6"/>
      <c r="W391" s="6"/>
      <c r="X391" s="6"/>
      <c r="Y391" s="6"/>
      <c r="Z391" s="6"/>
    </row>
    <row r="392">
      <c r="A392" s="155"/>
      <c r="B392" s="156"/>
      <c r="C392" s="156"/>
      <c r="D392" s="158"/>
      <c r="E392" s="6"/>
      <c r="F392" s="6"/>
      <c r="G392" s="6"/>
      <c r="H392" s="6"/>
      <c r="I392" s="6"/>
      <c r="J392" s="6"/>
      <c r="K392" s="6"/>
      <c r="L392" s="6"/>
      <c r="M392" s="6"/>
      <c r="N392" s="6"/>
      <c r="O392" s="6"/>
      <c r="P392" s="6"/>
      <c r="Q392" s="6"/>
      <c r="R392" s="6"/>
      <c r="S392" s="6"/>
      <c r="T392" s="6"/>
      <c r="U392" s="6"/>
      <c r="V392" s="6"/>
      <c r="W392" s="6"/>
      <c r="X392" s="6"/>
      <c r="Y392" s="6"/>
      <c r="Z392" s="6"/>
    </row>
    <row r="393">
      <c r="A393" s="155"/>
      <c r="B393" s="156"/>
      <c r="C393" s="156"/>
      <c r="D393" s="158"/>
      <c r="E393" s="6"/>
      <c r="F393" s="6"/>
      <c r="G393" s="6"/>
      <c r="H393" s="6"/>
      <c r="I393" s="6"/>
      <c r="J393" s="6"/>
      <c r="K393" s="6"/>
      <c r="L393" s="6"/>
      <c r="M393" s="6"/>
      <c r="N393" s="6"/>
      <c r="O393" s="6"/>
      <c r="P393" s="6"/>
      <c r="Q393" s="6"/>
      <c r="R393" s="6"/>
      <c r="S393" s="6"/>
      <c r="T393" s="6"/>
      <c r="U393" s="6"/>
      <c r="V393" s="6"/>
      <c r="W393" s="6"/>
      <c r="X393" s="6"/>
      <c r="Y393" s="6"/>
      <c r="Z393" s="6"/>
    </row>
    <row r="394">
      <c r="A394" s="155"/>
      <c r="B394" s="156"/>
      <c r="C394" s="156"/>
      <c r="D394" s="158"/>
      <c r="E394" s="6"/>
      <c r="F394" s="6"/>
      <c r="G394" s="6"/>
      <c r="H394" s="6"/>
      <c r="I394" s="6"/>
      <c r="J394" s="6"/>
      <c r="K394" s="6"/>
      <c r="L394" s="6"/>
      <c r="M394" s="6"/>
      <c r="N394" s="6"/>
      <c r="O394" s="6"/>
      <c r="P394" s="6"/>
      <c r="Q394" s="6"/>
      <c r="R394" s="6"/>
      <c r="S394" s="6"/>
      <c r="T394" s="6"/>
      <c r="U394" s="6"/>
      <c r="V394" s="6"/>
      <c r="W394" s="6"/>
      <c r="X394" s="6"/>
      <c r="Y394" s="6"/>
      <c r="Z394" s="6"/>
    </row>
    <row r="395">
      <c r="A395" s="155"/>
      <c r="B395" s="156"/>
      <c r="C395" s="156"/>
      <c r="D395" s="158"/>
      <c r="E395" s="6"/>
      <c r="F395" s="6"/>
      <c r="G395" s="6"/>
      <c r="H395" s="6"/>
      <c r="I395" s="6"/>
      <c r="J395" s="6"/>
      <c r="K395" s="6"/>
      <c r="L395" s="6"/>
      <c r="M395" s="6"/>
      <c r="N395" s="6"/>
      <c r="O395" s="6"/>
      <c r="P395" s="6"/>
      <c r="Q395" s="6"/>
      <c r="R395" s="6"/>
      <c r="S395" s="6"/>
      <c r="T395" s="6"/>
      <c r="U395" s="6"/>
      <c r="V395" s="6"/>
      <c r="W395" s="6"/>
      <c r="X395" s="6"/>
      <c r="Y395" s="6"/>
      <c r="Z395" s="6"/>
    </row>
    <row r="396">
      <c r="A396" s="155"/>
      <c r="B396" s="156"/>
      <c r="C396" s="156"/>
      <c r="D396" s="158"/>
      <c r="E396" s="6"/>
      <c r="F396" s="6"/>
      <c r="G396" s="6"/>
      <c r="H396" s="6"/>
      <c r="I396" s="6"/>
      <c r="J396" s="6"/>
      <c r="K396" s="6"/>
      <c r="L396" s="6"/>
      <c r="M396" s="6"/>
      <c r="N396" s="6"/>
      <c r="O396" s="6"/>
      <c r="P396" s="6"/>
      <c r="Q396" s="6"/>
      <c r="R396" s="6"/>
      <c r="S396" s="6"/>
      <c r="T396" s="6"/>
      <c r="U396" s="6"/>
      <c r="V396" s="6"/>
      <c r="W396" s="6"/>
      <c r="X396" s="6"/>
      <c r="Y396" s="6"/>
      <c r="Z396" s="6"/>
    </row>
    <row r="397">
      <c r="A397" s="155"/>
      <c r="B397" s="156"/>
      <c r="C397" s="156"/>
      <c r="D397" s="158"/>
      <c r="E397" s="6"/>
      <c r="F397" s="6"/>
      <c r="G397" s="6"/>
      <c r="H397" s="6"/>
      <c r="I397" s="6"/>
      <c r="J397" s="6"/>
      <c r="K397" s="6"/>
      <c r="L397" s="6"/>
      <c r="M397" s="6"/>
      <c r="N397" s="6"/>
      <c r="O397" s="6"/>
      <c r="P397" s="6"/>
      <c r="Q397" s="6"/>
      <c r="R397" s="6"/>
      <c r="S397" s="6"/>
      <c r="T397" s="6"/>
      <c r="U397" s="6"/>
      <c r="V397" s="6"/>
      <c r="W397" s="6"/>
      <c r="X397" s="6"/>
      <c r="Y397" s="6"/>
      <c r="Z397" s="6"/>
    </row>
    <row r="398">
      <c r="A398" s="155"/>
      <c r="B398" s="156"/>
      <c r="C398" s="156"/>
      <c r="D398" s="158"/>
      <c r="E398" s="6"/>
      <c r="F398" s="6"/>
      <c r="G398" s="6"/>
      <c r="H398" s="6"/>
      <c r="I398" s="6"/>
      <c r="J398" s="6"/>
      <c r="K398" s="6"/>
      <c r="L398" s="6"/>
      <c r="M398" s="6"/>
      <c r="N398" s="6"/>
      <c r="O398" s="6"/>
      <c r="P398" s="6"/>
      <c r="Q398" s="6"/>
      <c r="R398" s="6"/>
      <c r="S398" s="6"/>
      <c r="T398" s="6"/>
      <c r="U398" s="6"/>
      <c r="V398" s="6"/>
      <c r="W398" s="6"/>
      <c r="X398" s="6"/>
      <c r="Y398" s="6"/>
      <c r="Z398" s="6"/>
    </row>
    <row r="399">
      <c r="A399" s="155"/>
      <c r="B399" s="156"/>
      <c r="C399" s="156"/>
      <c r="D399" s="158"/>
      <c r="E399" s="6"/>
      <c r="F399" s="6"/>
      <c r="G399" s="6"/>
      <c r="H399" s="6"/>
      <c r="I399" s="6"/>
      <c r="J399" s="6"/>
      <c r="K399" s="6"/>
      <c r="L399" s="6"/>
      <c r="M399" s="6"/>
      <c r="N399" s="6"/>
      <c r="O399" s="6"/>
      <c r="P399" s="6"/>
      <c r="Q399" s="6"/>
      <c r="R399" s="6"/>
      <c r="S399" s="6"/>
      <c r="T399" s="6"/>
      <c r="U399" s="6"/>
      <c r="V399" s="6"/>
      <c r="W399" s="6"/>
      <c r="X399" s="6"/>
      <c r="Y399" s="6"/>
      <c r="Z399" s="6"/>
    </row>
    <row r="400">
      <c r="A400" s="155"/>
      <c r="B400" s="156"/>
      <c r="C400" s="156"/>
      <c r="D400" s="158"/>
      <c r="E400" s="6"/>
      <c r="F400" s="6"/>
      <c r="G400" s="6"/>
      <c r="H400" s="6"/>
      <c r="I400" s="6"/>
      <c r="J400" s="6"/>
      <c r="K400" s="6"/>
      <c r="L400" s="6"/>
      <c r="M400" s="6"/>
      <c r="N400" s="6"/>
      <c r="O400" s="6"/>
      <c r="P400" s="6"/>
      <c r="Q400" s="6"/>
      <c r="R400" s="6"/>
      <c r="S400" s="6"/>
      <c r="T400" s="6"/>
      <c r="U400" s="6"/>
      <c r="V400" s="6"/>
      <c r="W400" s="6"/>
      <c r="X400" s="6"/>
      <c r="Y400" s="6"/>
      <c r="Z400" s="6"/>
    </row>
    <row r="401">
      <c r="A401" s="155"/>
      <c r="B401" s="156"/>
      <c r="C401" s="156"/>
      <c r="D401" s="158"/>
      <c r="E401" s="6"/>
      <c r="F401" s="6"/>
      <c r="G401" s="6"/>
      <c r="H401" s="6"/>
      <c r="I401" s="6"/>
      <c r="J401" s="6"/>
      <c r="K401" s="6"/>
      <c r="L401" s="6"/>
      <c r="M401" s="6"/>
      <c r="N401" s="6"/>
      <c r="O401" s="6"/>
      <c r="P401" s="6"/>
      <c r="Q401" s="6"/>
      <c r="R401" s="6"/>
      <c r="S401" s="6"/>
      <c r="T401" s="6"/>
      <c r="U401" s="6"/>
      <c r="V401" s="6"/>
      <c r="W401" s="6"/>
      <c r="X401" s="6"/>
      <c r="Y401" s="6"/>
      <c r="Z401" s="6"/>
    </row>
    <row r="402">
      <c r="A402" s="155"/>
      <c r="B402" s="156"/>
      <c r="C402" s="156"/>
      <c r="D402" s="158"/>
      <c r="E402" s="6"/>
      <c r="F402" s="6"/>
      <c r="G402" s="6"/>
      <c r="H402" s="6"/>
      <c r="I402" s="6"/>
      <c r="J402" s="6"/>
      <c r="K402" s="6"/>
      <c r="L402" s="6"/>
      <c r="M402" s="6"/>
      <c r="N402" s="6"/>
      <c r="O402" s="6"/>
      <c r="P402" s="6"/>
      <c r="Q402" s="6"/>
      <c r="R402" s="6"/>
      <c r="S402" s="6"/>
      <c r="T402" s="6"/>
      <c r="U402" s="6"/>
      <c r="V402" s="6"/>
      <c r="W402" s="6"/>
      <c r="X402" s="6"/>
      <c r="Y402" s="6"/>
      <c r="Z402" s="6"/>
    </row>
    <row r="403">
      <c r="A403" s="155"/>
      <c r="B403" s="156"/>
      <c r="C403" s="156"/>
      <c r="D403" s="158"/>
      <c r="E403" s="6"/>
      <c r="F403" s="6"/>
      <c r="G403" s="6"/>
      <c r="H403" s="6"/>
      <c r="I403" s="6"/>
      <c r="J403" s="6"/>
      <c r="K403" s="6"/>
      <c r="L403" s="6"/>
      <c r="M403" s="6"/>
      <c r="N403" s="6"/>
      <c r="O403" s="6"/>
      <c r="P403" s="6"/>
      <c r="Q403" s="6"/>
      <c r="R403" s="6"/>
      <c r="S403" s="6"/>
      <c r="T403" s="6"/>
      <c r="U403" s="6"/>
      <c r="V403" s="6"/>
      <c r="W403" s="6"/>
      <c r="X403" s="6"/>
      <c r="Y403" s="6"/>
      <c r="Z403" s="6"/>
    </row>
    <row r="404">
      <c r="A404" s="155"/>
      <c r="B404" s="156"/>
      <c r="C404" s="156"/>
      <c r="D404" s="158"/>
      <c r="E404" s="6"/>
      <c r="F404" s="6"/>
      <c r="G404" s="6"/>
      <c r="H404" s="6"/>
      <c r="I404" s="6"/>
      <c r="J404" s="6"/>
      <c r="K404" s="6"/>
      <c r="L404" s="6"/>
      <c r="M404" s="6"/>
      <c r="N404" s="6"/>
      <c r="O404" s="6"/>
      <c r="P404" s="6"/>
      <c r="Q404" s="6"/>
      <c r="R404" s="6"/>
      <c r="S404" s="6"/>
      <c r="T404" s="6"/>
      <c r="U404" s="6"/>
      <c r="V404" s="6"/>
      <c r="W404" s="6"/>
      <c r="X404" s="6"/>
      <c r="Y404" s="6"/>
      <c r="Z404" s="6"/>
    </row>
    <row r="405">
      <c r="A405" s="155"/>
      <c r="B405" s="156"/>
      <c r="C405" s="156"/>
      <c r="D405" s="158"/>
      <c r="E405" s="6"/>
      <c r="F405" s="6"/>
      <c r="G405" s="6"/>
      <c r="H405" s="6"/>
      <c r="I405" s="6"/>
      <c r="J405" s="6"/>
      <c r="K405" s="6"/>
      <c r="L405" s="6"/>
      <c r="M405" s="6"/>
      <c r="N405" s="6"/>
      <c r="O405" s="6"/>
      <c r="P405" s="6"/>
      <c r="Q405" s="6"/>
      <c r="R405" s="6"/>
      <c r="S405" s="6"/>
      <c r="T405" s="6"/>
      <c r="U405" s="6"/>
      <c r="V405" s="6"/>
      <c r="W405" s="6"/>
      <c r="X405" s="6"/>
      <c r="Y405" s="6"/>
      <c r="Z405" s="6"/>
    </row>
    <row r="406">
      <c r="A406" s="155"/>
      <c r="B406" s="156"/>
      <c r="C406" s="156"/>
      <c r="D406" s="158"/>
      <c r="E406" s="6"/>
      <c r="F406" s="6"/>
      <c r="G406" s="6"/>
      <c r="H406" s="6"/>
      <c r="I406" s="6"/>
      <c r="J406" s="6"/>
      <c r="K406" s="6"/>
      <c r="L406" s="6"/>
      <c r="M406" s="6"/>
      <c r="N406" s="6"/>
      <c r="O406" s="6"/>
      <c r="P406" s="6"/>
      <c r="Q406" s="6"/>
      <c r="R406" s="6"/>
      <c r="S406" s="6"/>
      <c r="T406" s="6"/>
      <c r="U406" s="6"/>
      <c r="V406" s="6"/>
      <c r="W406" s="6"/>
      <c r="X406" s="6"/>
      <c r="Y406" s="6"/>
      <c r="Z406" s="6"/>
    </row>
    <row r="407">
      <c r="A407" s="155"/>
      <c r="B407" s="156"/>
      <c r="C407" s="156"/>
      <c r="D407" s="158"/>
      <c r="E407" s="6"/>
      <c r="F407" s="6"/>
      <c r="G407" s="6"/>
      <c r="H407" s="6"/>
      <c r="I407" s="6"/>
      <c r="J407" s="6"/>
      <c r="K407" s="6"/>
      <c r="L407" s="6"/>
      <c r="M407" s="6"/>
      <c r="N407" s="6"/>
      <c r="O407" s="6"/>
      <c r="P407" s="6"/>
      <c r="Q407" s="6"/>
      <c r="R407" s="6"/>
      <c r="S407" s="6"/>
      <c r="T407" s="6"/>
      <c r="U407" s="6"/>
      <c r="V407" s="6"/>
      <c r="W407" s="6"/>
      <c r="X407" s="6"/>
      <c r="Y407" s="6"/>
      <c r="Z407" s="6"/>
    </row>
    <row r="408">
      <c r="A408" s="155"/>
      <c r="B408" s="156"/>
      <c r="C408" s="156"/>
      <c r="D408" s="158"/>
      <c r="E408" s="6"/>
      <c r="F408" s="6"/>
      <c r="G408" s="6"/>
      <c r="H408" s="6"/>
      <c r="I408" s="6"/>
      <c r="J408" s="6"/>
      <c r="K408" s="6"/>
      <c r="L408" s="6"/>
      <c r="M408" s="6"/>
      <c r="N408" s="6"/>
      <c r="O408" s="6"/>
      <c r="P408" s="6"/>
      <c r="Q408" s="6"/>
      <c r="R408" s="6"/>
      <c r="S408" s="6"/>
      <c r="T408" s="6"/>
      <c r="U408" s="6"/>
      <c r="V408" s="6"/>
      <c r="W408" s="6"/>
      <c r="X408" s="6"/>
      <c r="Y408" s="6"/>
      <c r="Z408" s="6"/>
    </row>
    <row r="409">
      <c r="A409" s="155"/>
      <c r="B409" s="156"/>
      <c r="C409" s="156"/>
      <c r="D409" s="158"/>
      <c r="E409" s="6"/>
      <c r="F409" s="6"/>
      <c r="G409" s="6"/>
      <c r="H409" s="6"/>
      <c r="I409" s="6"/>
      <c r="J409" s="6"/>
      <c r="K409" s="6"/>
      <c r="L409" s="6"/>
      <c r="M409" s="6"/>
      <c r="N409" s="6"/>
      <c r="O409" s="6"/>
      <c r="P409" s="6"/>
      <c r="Q409" s="6"/>
      <c r="R409" s="6"/>
      <c r="S409" s="6"/>
      <c r="T409" s="6"/>
      <c r="U409" s="6"/>
      <c r="V409" s="6"/>
      <c r="W409" s="6"/>
      <c r="X409" s="6"/>
      <c r="Y409" s="6"/>
      <c r="Z409" s="6"/>
    </row>
    <row r="410">
      <c r="A410" s="155"/>
      <c r="B410" s="156"/>
      <c r="C410" s="156"/>
      <c r="D410" s="158"/>
      <c r="E410" s="6"/>
      <c r="F410" s="6"/>
      <c r="G410" s="6"/>
      <c r="H410" s="6"/>
      <c r="I410" s="6"/>
      <c r="J410" s="6"/>
      <c r="K410" s="6"/>
      <c r="L410" s="6"/>
      <c r="M410" s="6"/>
      <c r="N410" s="6"/>
      <c r="O410" s="6"/>
      <c r="P410" s="6"/>
      <c r="Q410" s="6"/>
      <c r="R410" s="6"/>
      <c r="S410" s="6"/>
      <c r="T410" s="6"/>
      <c r="U410" s="6"/>
      <c r="V410" s="6"/>
      <c r="W410" s="6"/>
      <c r="X410" s="6"/>
      <c r="Y410" s="6"/>
      <c r="Z410" s="6"/>
    </row>
    <row r="411">
      <c r="A411" s="155"/>
      <c r="B411" s="156"/>
      <c r="C411" s="156"/>
      <c r="D411" s="158"/>
      <c r="E411" s="6"/>
      <c r="F411" s="6"/>
      <c r="G411" s="6"/>
      <c r="H411" s="6"/>
      <c r="I411" s="6"/>
      <c r="J411" s="6"/>
      <c r="K411" s="6"/>
      <c r="L411" s="6"/>
      <c r="M411" s="6"/>
      <c r="N411" s="6"/>
      <c r="O411" s="6"/>
      <c r="P411" s="6"/>
      <c r="Q411" s="6"/>
      <c r="R411" s="6"/>
      <c r="S411" s="6"/>
      <c r="T411" s="6"/>
      <c r="U411" s="6"/>
      <c r="V411" s="6"/>
      <c r="W411" s="6"/>
      <c r="X411" s="6"/>
      <c r="Y411" s="6"/>
      <c r="Z411" s="6"/>
    </row>
    <row r="412">
      <c r="A412" s="155"/>
      <c r="B412" s="156"/>
      <c r="C412" s="156"/>
      <c r="D412" s="158"/>
      <c r="E412" s="6"/>
      <c r="F412" s="6"/>
      <c r="G412" s="6"/>
      <c r="H412" s="6"/>
      <c r="I412" s="6"/>
      <c r="J412" s="6"/>
      <c r="K412" s="6"/>
      <c r="L412" s="6"/>
      <c r="M412" s="6"/>
      <c r="N412" s="6"/>
      <c r="O412" s="6"/>
      <c r="P412" s="6"/>
      <c r="Q412" s="6"/>
      <c r="R412" s="6"/>
      <c r="S412" s="6"/>
      <c r="T412" s="6"/>
      <c r="U412" s="6"/>
      <c r="V412" s="6"/>
      <c r="W412" s="6"/>
      <c r="X412" s="6"/>
      <c r="Y412" s="6"/>
      <c r="Z412" s="6"/>
    </row>
    <row r="413">
      <c r="A413" s="155"/>
      <c r="B413" s="156"/>
      <c r="C413" s="156"/>
      <c r="D413" s="158"/>
      <c r="E413" s="6"/>
      <c r="F413" s="6"/>
      <c r="G413" s="6"/>
      <c r="H413" s="6"/>
      <c r="I413" s="6"/>
      <c r="J413" s="6"/>
      <c r="K413" s="6"/>
      <c r="L413" s="6"/>
      <c r="M413" s="6"/>
      <c r="N413" s="6"/>
      <c r="O413" s="6"/>
      <c r="P413" s="6"/>
      <c r="Q413" s="6"/>
      <c r="R413" s="6"/>
      <c r="S413" s="6"/>
      <c r="T413" s="6"/>
      <c r="U413" s="6"/>
      <c r="V413" s="6"/>
      <c r="W413" s="6"/>
      <c r="X413" s="6"/>
      <c r="Y413" s="6"/>
      <c r="Z413" s="6"/>
    </row>
    <row r="414">
      <c r="A414" s="155"/>
      <c r="B414" s="156"/>
      <c r="C414" s="156"/>
      <c r="D414" s="158"/>
      <c r="E414" s="6"/>
      <c r="F414" s="6"/>
      <c r="G414" s="6"/>
      <c r="H414" s="6"/>
      <c r="I414" s="6"/>
      <c r="J414" s="6"/>
      <c r="K414" s="6"/>
      <c r="L414" s="6"/>
      <c r="M414" s="6"/>
      <c r="N414" s="6"/>
      <c r="O414" s="6"/>
      <c r="P414" s="6"/>
      <c r="Q414" s="6"/>
      <c r="R414" s="6"/>
      <c r="S414" s="6"/>
      <c r="T414" s="6"/>
      <c r="U414" s="6"/>
      <c r="V414" s="6"/>
      <c r="W414" s="6"/>
      <c r="X414" s="6"/>
      <c r="Y414" s="6"/>
      <c r="Z414" s="6"/>
    </row>
    <row r="415">
      <c r="A415" s="155"/>
      <c r="B415" s="156"/>
      <c r="C415" s="156"/>
      <c r="D415" s="158"/>
      <c r="E415" s="6"/>
      <c r="F415" s="6"/>
      <c r="G415" s="6"/>
      <c r="H415" s="6"/>
      <c r="I415" s="6"/>
      <c r="J415" s="6"/>
      <c r="K415" s="6"/>
      <c r="L415" s="6"/>
      <c r="M415" s="6"/>
      <c r="N415" s="6"/>
      <c r="O415" s="6"/>
      <c r="P415" s="6"/>
      <c r="Q415" s="6"/>
      <c r="R415" s="6"/>
      <c r="S415" s="6"/>
      <c r="T415" s="6"/>
      <c r="U415" s="6"/>
      <c r="V415" s="6"/>
      <c r="W415" s="6"/>
      <c r="X415" s="6"/>
      <c r="Y415" s="6"/>
      <c r="Z415" s="6"/>
    </row>
    <row r="416">
      <c r="A416" s="155"/>
      <c r="B416" s="156"/>
      <c r="C416" s="156"/>
      <c r="D416" s="158"/>
      <c r="E416" s="6"/>
      <c r="F416" s="6"/>
      <c r="G416" s="6"/>
      <c r="H416" s="6"/>
      <c r="I416" s="6"/>
      <c r="J416" s="6"/>
      <c r="K416" s="6"/>
      <c r="L416" s="6"/>
      <c r="M416" s="6"/>
      <c r="N416" s="6"/>
      <c r="O416" s="6"/>
      <c r="P416" s="6"/>
      <c r="Q416" s="6"/>
      <c r="R416" s="6"/>
      <c r="S416" s="6"/>
      <c r="T416" s="6"/>
      <c r="U416" s="6"/>
      <c r="V416" s="6"/>
      <c r="W416" s="6"/>
      <c r="X416" s="6"/>
      <c r="Y416" s="6"/>
      <c r="Z416" s="6"/>
    </row>
    <row r="417">
      <c r="A417" s="155"/>
      <c r="B417" s="156"/>
      <c r="C417" s="156"/>
      <c r="D417" s="158"/>
      <c r="E417" s="6"/>
      <c r="F417" s="6"/>
      <c r="G417" s="6"/>
      <c r="H417" s="6"/>
      <c r="I417" s="6"/>
      <c r="J417" s="6"/>
      <c r="K417" s="6"/>
      <c r="L417" s="6"/>
      <c r="M417" s="6"/>
      <c r="N417" s="6"/>
      <c r="O417" s="6"/>
      <c r="P417" s="6"/>
      <c r="Q417" s="6"/>
      <c r="R417" s="6"/>
      <c r="S417" s="6"/>
      <c r="T417" s="6"/>
      <c r="U417" s="6"/>
      <c r="V417" s="6"/>
      <c r="W417" s="6"/>
      <c r="X417" s="6"/>
      <c r="Y417" s="6"/>
      <c r="Z417" s="6"/>
    </row>
    <row r="418">
      <c r="A418" s="155"/>
      <c r="B418" s="156"/>
      <c r="C418" s="156"/>
      <c r="D418" s="158"/>
      <c r="E418" s="6"/>
      <c r="F418" s="6"/>
      <c r="G418" s="6"/>
      <c r="H418" s="6"/>
      <c r="I418" s="6"/>
      <c r="J418" s="6"/>
      <c r="K418" s="6"/>
      <c r="L418" s="6"/>
      <c r="M418" s="6"/>
      <c r="N418" s="6"/>
      <c r="O418" s="6"/>
      <c r="P418" s="6"/>
      <c r="Q418" s="6"/>
      <c r="R418" s="6"/>
      <c r="S418" s="6"/>
      <c r="T418" s="6"/>
      <c r="U418" s="6"/>
      <c r="V418" s="6"/>
      <c r="W418" s="6"/>
      <c r="X418" s="6"/>
      <c r="Y418" s="6"/>
      <c r="Z418" s="6"/>
    </row>
    <row r="419">
      <c r="A419" s="155"/>
      <c r="B419" s="156"/>
      <c r="C419" s="156"/>
      <c r="D419" s="158"/>
      <c r="E419" s="6"/>
      <c r="F419" s="6"/>
      <c r="G419" s="6"/>
      <c r="H419" s="6"/>
      <c r="I419" s="6"/>
      <c r="J419" s="6"/>
      <c r="K419" s="6"/>
      <c r="L419" s="6"/>
      <c r="M419" s="6"/>
      <c r="N419" s="6"/>
      <c r="O419" s="6"/>
      <c r="P419" s="6"/>
      <c r="Q419" s="6"/>
      <c r="R419" s="6"/>
      <c r="S419" s="6"/>
      <c r="T419" s="6"/>
      <c r="U419" s="6"/>
      <c r="V419" s="6"/>
      <c r="W419" s="6"/>
      <c r="X419" s="6"/>
      <c r="Y419" s="6"/>
      <c r="Z419" s="6"/>
    </row>
    <row r="420">
      <c r="A420" s="155"/>
      <c r="B420" s="156"/>
      <c r="C420" s="156"/>
      <c r="D420" s="158"/>
      <c r="E420" s="6"/>
      <c r="F420" s="6"/>
      <c r="G420" s="6"/>
      <c r="H420" s="6"/>
      <c r="I420" s="6"/>
      <c r="J420" s="6"/>
      <c r="K420" s="6"/>
      <c r="L420" s="6"/>
      <c r="M420" s="6"/>
      <c r="N420" s="6"/>
      <c r="O420" s="6"/>
      <c r="P420" s="6"/>
      <c r="Q420" s="6"/>
      <c r="R420" s="6"/>
      <c r="S420" s="6"/>
      <c r="T420" s="6"/>
      <c r="U420" s="6"/>
      <c r="V420" s="6"/>
      <c r="W420" s="6"/>
      <c r="X420" s="6"/>
      <c r="Y420" s="6"/>
      <c r="Z420" s="6"/>
    </row>
    <row r="421">
      <c r="A421" s="155"/>
      <c r="B421" s="156"/>
      <c r="C421" s="156"/>
      <c r="D421" s="158"/>
      <c r="E421" s="6"/>
      <c r="F421" s="6"/>
      <c r="G421" s="6"/>
      <c r="H421" s="6"/>
      <c r="I421" s="6"/>
      <c r="J421" s="6"/>
      <c r="K421" s="6"/>
      <c r="L421" s="6"/>
      <c r="M421" s="6"/>
      <c r="N421" s="6"/>
      <c r="O421" s="6"/>
      <c r="P421" s="6"/>
      <c r="Q421" s="6"/>
      <c r="R421" s="6"/>
      <c r="S421" s="6"/>
      <c r="T421" s="6"/>
      <c r="U421" s="6"/>
      <c r="V421" s="6"/>
      <c r="W421" s="6"/>
      <c r="X421" s="6"/>
      <c r="Y421" s="6"/>
      <c r="Z421" s="6"/>
    </row>
    <row r="422">
      <c r="A422" s="155"/>
      <c r="B422" s="156"/>
      <c r="C422" s="156"/>
      <c r="D422" s="158"/>
      <c r="E422" s="6"/>
      <c r="F422" s="6"/>
      <c r="G422" s="6"/>
      <c r="H422" s="6"/>
      <c r="I422" s="6"/>
      <c r="J422" s="6"/>
      <c r="K422" s="6"/>
      <c r="L422" s="6"/>
      <c r="M422" s="6"/>
      <c r="N422" s="6"/>
      <c r="O422" s="6"/>
      <c r="P422" s="6"/>
      <c r="Q422" s="6"/>
      <c r="R422" s="6"/>
      <c r="S422" s="6"/>
      <c r="T422" s="6"/>
      <c r="U422" s="6"/>
      <c r="V422" s="6"/>
      <c r="W422" s="6"/>
      <c r="X422" s="6"/>
      <c r="Y422" s="6"/>
      <c r="Z422" s="6"/>
    </row>
    <row r="423">
      <c r="A423" s="155"/>
      <c r="B423" s="156"/>
      <c r="C423" s="156"/>
      <c r="D423" s="158"/>
      <c r="E423" s="6"/>
      <c r="F423" s="6"/>
      <c r="G423" s="6"/>
      <c r="H423" s="6"/>
      <c r="I423" s="6"/>
      <c r="J423" s="6"/>
      <c r="K423" s="6"/>
      <c r="L423" s="6"/>
      <c r="M423" s="6"/>
      <c r="N423" s="6"/>
      <c r="O423" s="6"/>
      <c r="P423" s="6"/>
      <c r="Q423" s="6"/>
      <c r="R423" s="6"/>
      <c r="S423" s="6"/>
      <c r="T423" s="6"/>
      <c r="U423" s="6"/>
      <c r="V423" s="6"/>
      <c r="W423" s="6"/>
      <c r="X423" s="6"/>
      <c r="Y423" s="6"/>
      <c r="Z423" s="6"/>
    </row>
    <row r="424">
      <c r="A424" s="155"/>
      <c r="B424" s="156"/>
      <c r="C424" s="156"/>
      <c r="D424" s="158"/>
      <c r="E424" s="6"/>
      <c r="F424" s="6"/>
      <c r="G424" s="6"/>
      <c r="H424" s="6"/>
      <c r="I424" s="6"/>
      <c r="J424" s="6"/>
      <c r="K424" s="6"/>
      <c r="L424" s="6"/>
      <c r="M424" s="6"/>
      <c r="N424" s="6"/>
      <c r="O424" s="6"/>
      <c r="P424" s="6"/>
      <c r="Q424" s="6"/>
      <c r="R424" s="6"/>
      <c r="S424" s="6"/>
      <c r="T424" s="6"/>
      <c r="U424" s="6"/>
      <c r="V424" s="6"/>
      <c r="W424" s="6"/>
      <c r="X424" s="6"/>
      <c r="Y424" s="6"/>
      <c r="Z424" s="6"/>
    </row>
    <row r="425">
      <c r="A425" s="155"/>
      <c r="B425" s="156"/>
      <c r="C425" s="156"/>
      <c r="D425" s="158"/>
      <c r="E425" s="6"/>
      <c r="F425" s="6"/>
      <c r="G425" s="6"/>
      <c r="H425" s="6"/>
      <c r="I425" s="6"/>
      <c r="J425" s="6"/>
      <c r="K425" s="6"/>
      <c r="L425" s="6"/>
      <c r="M425" s="6"/>
      <c r="N425" s="6"/>
      <c r="O425" s="6"/>
      <c r="P425" s="6"/>
      <c r="Q425" s="6"/>
      <c r="R425" s="6"/>
      <c r="S425" s="6"/>
      <c r="T425" s="6"/>
      <c r="U425" s="6"/>
      <c r="V425" s="6"/>
      <c r="W425" s="6"/>
      <c r="X425" s="6"/>
      <c r="Y425" s="6"/>
      <c r="Z425" s="6"/>
    </row>
    <row r="426">
      <c r="A426" s="155"/>
      <c r="B426" s="156"/>
      <c r="C426" s="156"/>
      <c r="D426" s="158"/>
      <c r="E426" s="6"/>
      <c r="F426" s="6"/>
      <c r="G426" s="6"/>
      <c r="H426" s="6"/>
      <c r="I426" s="6"/>
      <c r="J426" s="6"/>
      <c r="K426" s="6"/>
      <c r="L426" s="6"/>
      <c r="M426" s="6"/>
      <c r="N426" s="6"/>
      <c r="O426" s="6"/>
      <c r="P426" s="6"/>
      <c r="Q426" s="6"/>
      <c r="R426" s="6"/>
      <c r="S426" s="6"/>
      <c r="T426" s="6"/>
      <c r="U426" s="6"/>
      <c r="V426" s="6"/>
      <c r="W426" s="6"/>
      <c r="X426" s="6"/>
      <c r="Y426" s="6"/>
      <c r="Z426" s="6"/>
    </row>
    <row r="427">
      <c r="A427" s="155"/>
      <c r="B427" s="156"/>
      <c r="C427" s="156"/>
      <c r="D427" s="158"/>
      <c r="E427" s="6"/>
      <c r="F427" s="6"/>
      <c r="G427" s="6"/>
      <c r="H427" s="6"/>
      <c r="I427" s="6"/>
      <c r="J427" s="6"/>
      <c r="K427" s="6"/>
      <c r="L427" s="6"/>
      <c r="M427" s="6"/>
      <c r="N427" s="6"/>
      <c r="O427" s="6"/>
      <c r="P427" s="6"/>
      <c r="Q427" s="6"/>
      <c r="R427" s="6"/>
      <c r="S427" s="6"/>
      <c r="T427" s="6"/>
      <c r="U427" s="6"/>
      <c r="V427" s="6"/>
      <c r="W427" s="6"/>
      <c r="X427" s="6"/>
      <c r="Y427" s="6"/>
      <c r="Z427" s="6"/>
    </row>
    <row r="428">
      <c r="A428" s="155"/>
      <c r="B428" s="156"/>
      <c r="C428" s="156"/>
      <c r="D428" s="158"/>
      <c r="E428" s="6"/>
      <c r="F428" s="6"/>
      <c r="G428" s="6"/>
      <c r="H428" s="6"/>
      <c r="I428" s="6"/>
      <c r="J428" s="6"/>
      <c r="K428" s="6"/>
      <c r="L428" s="6"/>
      <c r="M428" s="6"/>
      <c r="N428" s="6"/>
      <c r="O428" s="6"/>
      <c r="P428" s="6"/>
      <c r="Q428" s="6"/>
      <c r="R428" s="6"/>
      <c r="S428" s="6"/>
      <c r="T428" s="6"/>
      <c r="U428" s="6"/>
      <c r="V428" s="6"/>
      <c r="W428" s="6"/>
      <c r="X428" s="6"/>
      <c r="Y428" s="6"/>
      <c r="Z428" s="6"/>
    </row>
    <row r="429">
      <c r="A429" s="155"/>
      <c r="B429" s="156"/>
      <c r="C429" s="156"/>
      <c r="D429" s="158"/>
      <c r="E429" s="6"/>
      <c r="F429" s="6"/>
      <c r="G429" s="6"/>
      <c r="H429" s="6"/>
      <c r="I429" s="6"/>
      <c r="J429" s="6"/>
      <c r="K429" s="6"/>
      <c r="L429" s="6"/>
      <c r="M429" s="6"/>
      <c r="N429" s="6"/>
      <c r="O429" s="6"/>
      <c r="P429" s="6"/>
      <c r="Q429" s="6"/>
      <c r="R429" s="6"/>
      <c r="S429" s="6"/>
      <c r="T429" s="6"/>
      <c r="U429" s="6"/>
      <c r="V429" s="6"/>
      <c r="W429" s="6"/>
      <c r="X429" s="6"/>
      <c r="Y429" s="6"/>
      <c r="Z429" s="6"/>
    </row>
    <row r="430">
      <c r="A430" s="155"/>
      <c r="B430" s="156"/>
      <c r="C430" s="156"/>
      <c r="D430" s="158"/>
      <c r="E430" s="6"/>
      <c r="F430" s="6"/>
      <c r="G430" s="6"/>
      <c r="H430" s="6"/>
      <c r="I430" s="6"/>
      <c r="J430" s="6"/>
      <c r="K430" s="6"/>
      <c r="L430" s="6"/>
      <c r="M430" s="6"/>
      <c r="N430" s="6"/>
      <c r="O430" s="6"/>
      <c r="P430" s="6"/>
      <c r="Q430" s="6"/>
      <c r="R430" s="6"/>
      <c r="S430" s="6"/>
      <c r="T430" s="6"/>
      <c r="U430" s="6"/>
      <c r="V430" s="6"/>
      <c r="W430" s="6"/>
      <c r="X430" s="6"/>
      <c r="Y430" s="6"/>
      <c r="Z430" s="6"/>
    </row>
    <row r="431">
      <c r="A431" s="155"/>
      <c r="B431" s="156"/>
      <c r="C431" s="156"/>
      <c r="D431" s="158"/>
      <c r="E431" s="6"/>
      <c r="F431" s="6"/>
      <c r="G431" s="6"/>
      <c r="H431" s="6"/>
      <c r="I431" s="6"/>
      <c r="J431" s="6"/>
      <c r="K431" s="6"/>
      <c r="L431" s="6"/>
      <c r="M431" s="6"/>
      <c r="N431" s="6"/>
      <c r="O431" s="6"/>
      <c r="P431" s="6"/>
      <c r="Q431" s="6"/>
      <c r="R431" s="6"/>
      <c r="S431" s="6"/>
      <c r="T431" s="6"/>
      <c r="U431" s="6"/>
      <c r="V431" s="6"/>
      <c r="W431" s="6"/>
      <c r="X431" s="6"/>
      <c r="Y431" s="6"/>
      <c r="Z431" s="6"/>
    </row>
    <row r="432">
      <c r="A432" s="155"/>
      <c r="B432" s="156"/>
      <c r="C432" s="156"/>
      <c r="D432" s="158"/>
      <c r="E432" s="6"/>
      <c r="F432" s="6"/>
      <c r="G432" s="6"/>
      <c r="H432" s="6"/>
      <c r="I432" s="6"/>
      <c r="J432" s="6"/>
      <c r="K432" s="6"/>
      <c r="L432" s="6"/>
      <c r="M432" s="6"/>
      <c r="N432" s="6"/>
      <c r="O432" s="6"/>
      <c r="P432" s="6"/>
      <c r="Q432" s="6"/>
      <c r="R432" s="6"/>
      <c r="S432" s="6"/>
      <c r="T432" s="6"/>
      <c r="U432" s="6"/>
      <c r="V432" s="6"/>
      <c r="W432" s="6"/>
      <c r="X432" s="6"/>
      <c r="Y432" s="6"/>
      <c r="Z432" s="6"/>
    </row>
    <row r="433">
      <c r="A433" s="155"/>
      <c r="B433" s="156"/>
      <c r="C433" s="156"/>
      <c r="D433" s="158"/>
      <c r="E433" s="6"/>
      <c r="F433" s="6"/>
      <c r="G433" s="6"/>
      <c r="H433" s="6"/>
      <c r="I433" s="6"/>
      <c r="J433" s="6"/>
      <c r="K433" s="6"/>
      <c r="L433" s="6"/>
      <c r="M433" s="6"/>
      <c r="N433" s="6"/>
      <c r="O433" s="6"/>
      <c r="P433" s="6"/>
      <c r="Q433" s="6"/>
      <c r="R433" s="6"/>
      <c r="S433" s="6"/>
      <c r="T433" s="6"/>
      <c r="U433" s="6"/>
      <c r="V433" s="6"/>
      <c r="W433" s="6"/>
      <c r="X433" s="6"/>
      <c r="Y433" s="6"/>
      <c r="Z433" s="6"/>
    </row>
    <row r="434">
      <c r="A434" s="155"/>
      <c r="B434" s="156"/>
      <c r="C434" s="156"/>
      <c r="D434" s="158"/>
      <c r="E434" s="6"/>
      <c r="F434" s="6"/>
      <c r="G434" s="6"/>
      <c r="H434" s="6"/>
      <c r="I434" s="6"/>
      <c r="J434" s="6"/>
      <c r="K434" s="6"/>
      <c r="L434" s="6"/>
      <c r="M434" s="6"/>
      <c r="N434" s="6"/>
      <c r="O434" s="6"/>
      <c r="P434" s="6"/>
      <c r="Q434" s="6"/>
      <c r="R434" s="6"/>
      <c r="S434" s="6"/>
      <c r="T434" s="6"/>
      <c r="U434" s="6"/>
      <c r="V434" s="6"/>
      <c r="W434" s="6"/>
      <c r="X434" s="6"/>
      <c r="Y434" s="6"/>
      <c r="Z434" s="6"/>
    </row>
    <row r="435">
      <c r="A435" s="155"/>
      <c r="B435" s="156"/>
      <c r="C435" s="156"/>
      <c r="D435" s="158"/>
      <c r="E435" s="6"/>
      <c r="F435" s="6"/>
      <c r="G435" s="6"/>
      <c r="H435" s="6"/>
      <c r="I435" s="6"/>
      <c r="J435" s="6"/>
      <c r="K435" s="6"/>
      <c r="L435" s="6"/>
      <c r="M435" s="6"/>
      <c r="N435" s="6"/>
      <c r="O435" s="6"/>
      <c r="P435" s="6"/>
      <c r="Q435" s="6"/>
      <c r="R435" s="6"/>
      <c r="S435" s="6"/>
      <c r="T435" s="6"/>
      <c r="U435" s="6"/>
      <c r="V435" s="6"/>
      <c r="W435" s="6"/>
      <c r="X435" s="6"/>
      <c r="Y435" s="6"/>
      <c r="Z435" s="6"/>
    </row>
    <row r="436">
      <c r="A436" s="155"/>
      <c r="B436" s="156"/>
      <c r="C436" s="156"/>
      <c r="D436" s="158"/>
      <c r="E436" s="6"/>
      <c r="F436" s="6"/>
      <c r="G436" s="6"/>
      <c r="H436" s="6"/>
      <c r="I436" s="6"/>
      <c r="J436" s="6"/>
      <c r="K436" s="6"/>
      <c r="L436" s="6"/>
      <c r="M436" s="6"/>
      <c r="N436" s="6"/>
      <c r="O436" s="6"/>
      <c r="P436" s="6"/>
      <c r="Q436" s="6"/>
      <c r="R436" s="6"/>
      <c r="S436" s="6"/>
      <c r="T436" s="6"/>
      <c r="U436" s="6"/>
      <c r="V436" s="6"/>
      <c r="W436" s="6"/>
      <c r="X436" s="6"/>
      <c r="Y436" s="6"/>
      <c r="Z436" s="6"/>
    </row>
    <row r="437">
      <c r="A437" s="155"/>
      <c r="B437" s="156"/>
      <c r="C437" s="156"/>
      <c r="D437" s="158"/>
      <c r="E437" s="6"/>
      <c r="F437" s="6"/>
      <c r="G437" s="6"/>
      <c r="H437" s="6"/>
      <c r="I437" s="6"/>
      <c r="J437" s="6"/>
      <c r="K437" s="6"/>
      <c r="L437" s="6"/>
      <c r="M437" s="6"/>
      <c r="N437" s="6"/>
      <c r="O437" s="6"/>
      <c r="P437" s="6"/>
      <c r="Q437" s="6"/>
      <c r="R437" s="6"/>
      <c r="S437" s="6"/>
      <c r="T437" s="6"/>
      <c r="U437" s="6"/>
      <c r="V437" s="6"/>
      <c r="W437" s="6"/>
      <c r="X437" s="6"/>
      <c r="Y437" s="6"/>
      <c r="Z437" s="6"/>
    </row>
    <row r="438">
      <c r="A438" s="155"/>
      <c r="B438" s="156"/>
      <c r="C438" s="156"/>
      <c r="D438" s="158"/>
      <c r="E438" s="6"/>
      <c r="F438" s="6"/>
      <c r="G438" s="6"/>
      <c r="H438" s="6"/>
      <c r="I438" s="6"/>
      <c r="J438" s="6"/>
      <c r="K438" s="6"/>
      <c r="L438" s="6"/>
      <c r="M438" s="6"/>
      <c r="N438" s="6"/>
      <c r="O438" s="6"/>
      <c r="P438" s="6"/>
      <c r="Q438" s="6"/>
      <c r="R438" s="6"/>
      <c r="S438" s="6"/>
      <c r="T438" s="6"/>
      <c r="U438" s="6"/>
      <c r="V438" s="6"/>
      <c r="W438" s="6"/>
      <c r="X438" s="6"/>
      <c r="Y438" s="6"/>
      <c r="Z438" s="6"/>
    </row>
    <row r="439">
      <c r="A439" s="155"/>
      <c r="B439" s="156"/>
      <c r="C439" s="156"/>
      <c r="D439" s="158"/>
      <c r="E439" s="6"/>
      <c r="F439" s="6"/>
      <c r="G439" s="6"/>
      <c r="H439" s="6"/>
      <c r="I439" s="6"/>
      <c r="J439" s="6"/>
      <c r="K439" s="6"/>
      <c r="L439" s="6"/>
      <c r="M439" s="6"/>
      <c r="N439" s="6"/>
      <c r="O439" s="6"/>
      <c r="P439" s="6"/>
      <c r="Q439" s="6"/>
      <c r="R439" s="6"/>
      <c r="S439" s="6"/>
      <c r="T439" s="6"/>
      <c r="U439" s="6"/>
      <c r="V439" s="6"/>
      <c r="W439" s="6"/>
      <c r="X439" s="6"/>
      <c r="Y439" s="6"/>
      <c r="Z439" s="6"/>
    </row>
    <row r="440">
      <c r="A440" s="155"/>
      <c r="B440" s="156"/>
      <c r="C440" s="156"/>
      <c r="D440" s="158"/>
      <c r="E440" s="6"/>
      <c r="F440" s="6"/>
      <c r="G440" s="6"/>
      <c r="H440" s="6"/>
      <c r="I440" s="6"/>
      <c r="J440" s="6"/>
      <c r="K440" s="6"/>
      <c r="L440" s="6"/>
      <c r="M440" s="6"/>
      <c r="N440" s="6"/>
      <c r="O440" s="6"/>
      <c r="P440" s="6"/>
      <c r="Q440" s="6"/>
      <c r="R440" s="6"/>
      <c r="S440" s="6"/>
      <c r="T440" s="6"/>
      <c r="U440" s="6"/>
      <c r="V440" s="6"/>
      <c r="W440" s="6"/>
      <c r="X440" s="6"/>
      <c r="Y440" s="6"/>
      <c r="Z440" s="6"/>
    </row>
    <row r="441">
      <c r="A441" s="155"/>
      <c r="B441" s="156"/>
      <c r="C441" s="156"/>
      <c r="D441" s="158"/>
      <c r="E441" s="6"/>
      <c r="F441" s="6"/>
      <c r="G441" s="6"/>
      <c r="H441" s="6"/>
      <c r="I441" s="6"/>
      <c r="J441" s="6"/>
      <c r="K441" s="6"/>
      <c r="L441" s="6"/>
      <c r="M441" s="6"/>
      <c r="N441" s="6"/>
      <c r="O441" s="6"/>
      <c r="P441" s="6"/>
      <c r="Q441" s="6"/>
      <c r="R441" s="6"/>
      <c r="S441" s="6"/>
      <c r="T441" s="6"/>
      <c r="U441" s="6"/>
      <c r="V441" s="6"/>
      <c r="W441" s="6"/>
      <c r="X441" s="6"/>
      <c r="Y441" s="6"/>
      <c r="Z441" s="6"/>
    </row>
    <row r="442">
      <c r="A442" s="155"/>
      <c r="B442" s="156"/>
      <c r="C442" s="156"/>
      <c r="D442" s="158"/>
      <c r="E442" s="6"/>
      <c r="F442" s="6"/>
      <c r="G442" s="6"/>
      <c r="H442" s="6"/>
      <c r="I442" s="6"/>
      <c r="J442" s="6"/>
      <c r="K442" s="6"/>
      <c r="L442" s="6"/>
      <c r="M442" s="6"/>
      <c r="N442" s="6"/>
      <c r="O442" s="6"/>
      <c r="P442" s="6"/>
      <c r="Q442" s="6"/>
      <c r="R442" s="6"/>
      <c r="S442" s="6"/>
      <c r="T442" s="6"/>
      <c r="U442" s="6"/>
      <c r="V442" s="6"/>
      <c r="W442" s="6"/>
      <c r="X442" s="6"/>
      <c r="Y442" s="6"/>
      <c r="Z442" s="6"/>
    </row>
    <row r="443">
      <c r="A443" s="155"/>
      <c r="B443" s="156"/>
      <c r="C443" s="156"/>
      <c r="D443" s="158"/>
      <c r="E443" s="6"/>
      <c r="F443" s="6"/>
      <c r="G443" s="6"/>
      <c r="H443" s="6"/>
      <c r="I443" s="6"/>
      <c r="J443" s="6"/>
      <c r="K443" s="6"/>
      <c r="L443" s="6"/>
      <c r="M443" s="6"/>
      <c r="N443" s="6"/>
      <c r="O443" s="6"/>
      <c r="P443" s="6"/>
      <c r="Q443" s="6"/>
      <c r="R443" s="6"/>
      <c r="S443" s="6"/>
      <c r="T443" s="6"/>
      <c r="U443" s="6"/>
      <c r="V443" s="6"/>
      <c r="W443" s="6"/>
      <c r="X443" s="6"/>
      <c r="Y443" s="6"/>
      <c r="Z443" s="6"/>
    </row>
    <row r="444">
      <c r="A444" s="155"/>
      <c r="B444" s="156"/>
      <c r="C444" s="156"/>
      <c r="D444" s="158"/>
      <c r="E444" s="6"/>
      <c r="F444" s="6"/>
      <c r="G444" s="6"/>
      <c r="H444" s="6"/>
      <c r="I444" s="6"/>
      <c r="J444" s="6"/>
      <c r="K444" s="6"/>
      <c r="L444" s="6"/>
      <c r="M444" s="6"/>
      <c r="N444" s="6"/>
      <c r="O444" s="6"/>
      <c r="P444" s="6"/>
      <c r="Q444" s="6"/>
      <c r="R444" s="6"/>
      <c r="S444" s="6"/>
      <c r="T444" s="6"/>
      <c r="U444" s="6"/>
      <c r="V444" s="6"/>
      <c r="W444" s="6"/>
      <c r="X444" s="6"/>
      <c r="Y444" s="6"/>
      <c r="Z444" s="6"/>
    </row>
    <row r="445">
      <c r="A445" s="155"/>
      <c r="B445" s="156"/>
      <c r="C445" s="156"/>
      <c r="D445" s="158"/>
      <c r="E445" s="6"/>
      <c r="F445" s="6"/>
      <c r="G445" s="6"/>
      <c r="H445" s="6"/>
      <c r="I445" s="6"/>
      <c r="J445" s="6"/>
      <c r="K445" s="6"/>
      <c r="L445" s="6"/>
      <c r="M445" s="6"/>
      <c r="N445" s="6"/>
      <c r="O445" s="6"/>
      <c r="P445" s="6"/>
      <c r="Q445" s="6"/>
      <c r="R445" s="6"/>
      <c r="S445" s="6"/>
      <c r="T445" s="6"/>
      <c r="U445" s="6"/>
      <c r="V445" s="6"/>
      <c r="W445" s="6"/>
      <c r="X445" s="6"/>
      <c r="Y445" s="6"/>
      <c r="Z445" s="6"/>
    </row>
    <row r="446">
      <c r="A446" s="155"/>
      <c r="B446" s="156"/>
      <c r="C446" s="156"/>
      <c r="D446" s="158"/>
      <c r="E446" s="6"/>
      <c r="F446" s="6"/>
      <c r="G446" s="6"/>
      <c r="H446" s="6"/>
      <c r="I446" s="6"/>
      <c r="J446" s="6"/>
      <c r="K446" s="6"/>
      <c r="L446" s="6"/>
      <c r="M446" s="6"/>
      <c r="N446" s="6"/>
      <c r="O446" s="6"/>
      <c r="P446" s="6"/>
      <c r="Q446" s="6"/>
      <c r="R446" s="6"/>
      <c r="S446" s="6"/>
      <c r="T446" s="6"/>
      <c r="U446" s="6"/>
      <c r="V446" s="6"/>
      <c r="W446" s="6"/>
      <c r="X446" s="6"/>
      <c r="Y446" s="6"/>
      <c r="Z446" s="6"/>
    </row>
    <row r="447">
      <c r="A447" s="155"/>
      <c r="B447" s="156"/>
      <c r="C447" s="156"/>
      <c r="D447" s="158"/>
      <c r="E447" s="6"/>
      <c r="F447" s="6"/>
      <c r="G447" s="6"/>
      <c r="H447" s="6"/>
      <c r="I447" s="6"/>
      <c r="J447" s="6"/>
      <c r="K447" s="6"/>
      <c r="L447" s="6"/>
      <c r="M447" s="6"/>
      <c r="N447" s="6"/>
      <c r="O447" s="6"/>
      <c r="P447" s="6"/>
      <c r="Q447" s="6"/>
      <c r="R447" s="6"/>
      <c r="S447" s="6"/>
      <c r="T447" s="6"/>
      <c r="U447" s="6"/>
      <c r="V447" s="6"/>
      <c r="W447" s="6"/>
      <c r="X447" s="6"/>
      <c r="Y447" s="6"/>
      <c r="Z447" s="6"/>
    </row>
    <row r="448">
      <c r="A448" s="155"/>
      <c r="B448" s="156"/>
      <c r="C448" s="156"/>
      <c r="D448" s="158"/>
      <c r="E448" s="6"/>
      <c r="F448" s="6"/>
      <c r="G448" s="6"/>
      <c r="H448" s="6"/>
      <c r="I448" s="6"/>
      <c r="J448" s="6"/>
      <c r="K448" s="6"/>
      <c r="L448" s="6"/>
      <c r="M448" s="6"/>
      <c r="N448" s="6"/>
      <c r="O448" s="6"/>
      <c r="P448" s="6"/>
      <c r="Q448" s="6"/>
      <c r="R448" s="6"/>
      <c r="S448" s="6"/>
      <c r="T448" s="6"/>
      <c r="U448" s="6"/>
      <c r="V448" s="6"/>
      <c r="W448" s="6"/>
      <c r="X448" s="6"/>
      <c r="Y448" s="6"/>
      <c r="Z448" s="6"/>
    </row>
    <row r="449">
      <c r="A449" s="155"/>
      <c r="B449" s="156"/>
      <c r="C449" s="156"/>
      <c r="D449" s="158"/>
      <c r="E449" s="6"/>
      <c r="F449" s="6"/>
      <c r="G449" s="6"/>
      <c r="H449" s="6"/>
      <c r="I449" s="6"/>
      <c r="J449" s="6"/>
      <c r="K449" s="6"/>
      <c r="L449" s="6"/>
      <c r="M449" s="6"/>
      <c r="N449" s="6"/>
      <c r="O449" s="6"/>
      <c r="P449" s="6"/>
      <c r="Q449" s="6"/>
      <c r="R449" s="6"/>
      <c r="S449" s="6"/>
      <c r="T449" s="6"/>
      <c r="U449" s="6"/>
      <c r="V449" s="6"/>
      <c r="W449" s="6"/>
      <c r="X449" s="6"/>
      <c r="Y449" s="6"/>
      <c r="Z449" s="6"/>
    </row>
    <row r="450">
      <c r="A450" s="155"/>
      <c r="B450" s="156"/>
      <c r="C450" s="156"/>
      <c r="D450" s="158"/>
      <c r="E450" s="6"/>
      <c r="F450" s="6"/>
      <c r="G450" s="6"/>
      <c r="H450" s="6"/>
      <c r="I450" s="6"/>
      <c r="J450" s="6"/>
      <c r="K450" s="6"/>
      <c r="L450" s="6"/>
      <c r="M450" s="6"/>
      <c r="N450" s="6"/>
      <c r="O450" s="6"/>
      <c r="P450" s="6"/>
      <c r="Q450" s="6"/>
      <c r="R450" s="6"/>
      <c r="S450" s="6"/>
      <c r="T450" s="6"/>
      <c r="U450" s="6"/>
      <c r="V450" s="6"/>
      <c r="W450" s="6"/>
      <c r="X450" s="6"/>
      <c r="Y450" s="6"/>
      <c r="Z450" s="6"/>
    </row>
    <row r="451">
      <c r="A451" s="155"/>
      <c r="B451" s="156"/>
      <c r="C451" s="156"/>
      <c r="D451" s="158"/>
      <c r="E451" s="6"/>
      <c r="F451" s="6"/>
      <c r="G451" s="6"/>
      <c r="H451" s="6"/>
      <c r="I451" s="6"/>
      <c r="J451" s="6"/>
      <c r="K451" s="6"/>
      <c r="L451" s="6"/>
      <c r="M451" s="6"/>
      <c r="N451" s="6"/>
      <c r="O451" s="6"/>
      <c r="P451" s="6"/>
      <c r="Q451" s="6"/>
      <c r="R451" s="6"/>
      <c r="S451" s="6"/>
      <c r="T451" s="6"/>
      <c r="U451" s="6"/>
      <c r="V451" s="6"/>
      <c r="W451" s="6"/>
      <c r="X451" s="6"/>
      <c r="Y451" s="6"/>
      <c r="Z451" s="6"/>
    </row>
    <row r="452">
      <c r="A452" s="155"/>
      <c r="B452" s="156"/>
      <c r="C452" s="156"/>
      <c r="D452" s="158"/>
      <c r="E452" s="6"/>
      <c r="F452" s="6"/>
      <c r="G452" s="6"/>
      <c r="H452" s="6"/>
      <c r="I452" s="6"/>
      <c r="J452" s="6"/>
      <c r="K452" s="6"/>
      <c r="L452" s="6"/>
      <c r="M452" s="6"/>
      <c r="N452" s="6"/>
      <c r="O452" s="6"/>
      <c r="P452" s="6"/>
      <c r="Q452" s="6"/>
      <c r="R452" s="6"/>
      <c r="S452" s="6"/>
      <c r="T452" s="6"/>
      <c r="U452" s="6"/>
      <c r="V452" s="6"/>
      <c r="W452" s="6"/>
      <c r="X452" s="6"/>
      <c r="Y452" s="6"/>
      <c r="Z452" s="6"/>
    </row>
    <row r="453">
      <c r="A453" s="155"/>
      <c r="B453" s="156"/>
      <c r="C453" s="156"/>
      <c r="D453" s="158"/>
      <c r="E453" s="6"/>
      <c r="F453" s="6"/>
      <c r="G453" s="6"/>
      <c r="H453" s="6"/>
      <c r="I453" s="6"/>
      <c r="J453" s="6"/>
      <c r="K453" s="6"/>
      <c r="L453" s="6"/>
      <c r="M453" s="6"/>
      <c r="N453" s="6"/>
      <c r="O453" s="6"/>
      <c r="P453" s="6"/>
      <c r="Q453" s="6"/>
      <c r="R453" s="6"/>
      <c r="S453" s="6"/>
      <c r="T453" s="6"/>
      <c r="U453" s="6"/>
      <c r="V453" s="6"/>
      <c r="W453" s="6"/>
      <c r="X453" s="6"/>
      <c r="Y453" s="6"/>
      <c r="Z453" s="6"/>
    </row>
    <row r="454">
      <c r="A454" s="155"/>
      <c r="B454" s="156"/>
      <c r="C454" s="156"/>
      <c r="D454" s="158"/>
      <c r="E454" s="6"/>
      <c r="F454" s="6"/>
      <c r="G454" s="6"/>
      <c r="H454" s="6"/>
      <c r="I454" s="6"/>
      <c r="J454" s="6"/>
      <c r="K454" s="6"/>
      <c r="L454" s="6"/>
      <c r="M454" s="6"/>
      <c r="N454" s="6"/>
      <c r="O454" s="6"/>
      <c r="P454" s="6"/>
      <c r="Q454" s="6"/>
      <c r="R454" s="6"/>
      <c r="S454" s="6"/>
      <c r="T454" s="6"/>
      <c r="U454" s="6"/>
      <c r="V454" s="6"/>
      <c r="W454" s="6"/>
      <c r="X454" s="6"/>
      <c r="Y454" s="6"/>
      <c r="Z454" s="6"/>
    </row>
    <row r="455">
      <c r="A455" s="155"/>
      <c r="B455" s="156"/>
      <c r="C455" s="156"/>
      <c r="D455" s="158"/>
      <c r="E455" s="6"/>
      <c r="F455" s="6"/>
      <c r="G455" s="6"/>
      <c r="H455" s="6"/>
      <c r="I455" s="6"/>
      <c r="J455" s="6"/>
      <c r="K455" s="6"/>
      <c r="L455" s="6"/>
      <c r="M455" s="6"/>
      <c r="N455" s="6"/>
      <c r="O455" s="6"/>
      <c r="P455" s="6"/>
      <c r="Q455" s="6"/>
      <c r="R455" s="6"/>
      <c r="S455" s="6"/>
      <c r="T455" s="6"/>
      <c r="U455" s="6"/>
      <c r="V455" s="6"/>
      <c r="W455" s="6"/>
      <c r="X455" s="6"/>
      <c r="Y455" s="6"/>
      <c r="Z455" s="6"/>
    </row>
    <row r="456">
      <c r="A456" s="155"/>
      <c r="B456" s="156"/>
      <c r="C456" s="156"/>
      <c r="D456" s="158"/>
      <c r="E456" s="6"/>
      <c r="F456" s="6"/>
      <c r="G456" s="6"/>
      <c r="H456" s="6"/>
      <c r="I456" s="6"/>
      <c r="J456" s="6"/>
      <c r="K456" s="6"/>
      <c r="L456" s="6"/>
      <c r="M456" s="6"/>
      <c r="N456" s="6"/>
      <c r="O456" s="6"/>
      <c r="P456" s="6"/>
      <c r="Q456" s="6"/>
      <c r="R456" s="6"/>
      <c r="S456" s="6"/>
      <c r="T456" s="6"/>
      <c r="U456" s="6"/>
      <c r="V456" s="6"/>
      <c r="W456" s="6"/>
      <c r="X456" s="6"/>
      <c r="Y456" s="6"/>
      <c r="Z456" s="6"/>
    </row>
    <row r="457">
      <c r="A457" s="155"/>
      <c r="B457" s="156"/>
      <c r="C457" s="156"/>
      <c r="D457" s="158"/>
      <c r="E457" s="6"/>
      <c r="F457" s="6"/>
      <c r="G457" s="6"/>
      <c r="H457" s="6"/>
      <c r="I457" s="6"/>
      <c r="J457" s="6"/>
      <c r="K457" s="6"/>
      <c r="L457" s="6"/>
      <c r="M457" s="6"/>
      <c r="N457" s="6"/>
      <c r="O457" s="6"/>
      <c r="P457" s="6"/>
      <c r="Q457" s="6"/>
      <c r="R457" s="6"/>
      <c r="S457" s="6"/>
      <c r="T457" s="6"/>
      <c r="U457" s="6"/>
      <c r="V457" s="6"/>
      <c r="W457" s="6"/>
      <c r="X457" s="6"/>
      <c r="Y457" s="6"/>
      <c r="Z457" s="6"/>
    </row>
    <row r="458">
      <c r="A458" s="155"/>
      <c r="B458" s="156"/>
      <c r="C458" s="156"/>
      <c r="D458" s="158"/>
      <c r="E458" s="6"/>
      <c r="F458" s="6"/>
      <c r="G458" s="6"/>
      <c r="H458" s="6"/>
      <c r="I458" s="6"/>
      <c r="J458" s="6"/>
      <c r="K458" s="6"/>
      <c r="L458" s="6"/>
      <c r="M458" s="6"/>
      <c r="N458" s="6"/>
      <c r="O458" s="6"/>
      <c r="P458" s="6"/>
      <c r="Q458" s="6"/>
      <c r="R458" s="6"/>
      <c r="S458" s="6"/>
      <c r="T458" s="6"/>
      <c r="U458" s="6"/>
      <c r="V458" s="6"/>
      <c r="W458" s="6"/>
      <c r="X458" s="6"/>
      <c r="Y458" s="6"/>
      <c r="Z458" s="6"/>
    </row>
    <row r="459">
      <c r="A459" s="155"/>
      <c r="B459" s="156"/>
      <c r="C459" s="156"/>
      <c r="D459" s="158"/>
      <c r="E459" s="6"/>
      <c r="F459" s="6"/>
      <c r="G459" s="6"/>
      <c r="H459" s="6"/>
      <c r="I459" s="6"/>
      <c r="J459" s="6"/>
      <c r="K459" s="6"/>
      <c r="L459" s="6"/>
      <c r="M459" s="6"/>
      <c r="N459" s="6"/>
      <c r="O459" s="6"/>
      <c r="P459" s="6"/>
      <c r="Q459" s="6"/>
      <c r="R459" s="6"/>
      <c r="S459" s="6"/>
      <c r="T459" s="6"/>
      <c r="U459" s="6"/>
      <c r="V459" s="6"/>
      <c r="W459" s="6"/>
      <c r="X459" s="6"/>
      <c r="Y459" s="6"/>
      <c r="Z459" s="6"/>
    </row>
    <row r="460">
      <c r="A460" s="155"/>
      <c r="B460" s="156"/>
      <c r="C460" s="156"/>
      <c r="D460" s="158"/>
      <c r="E460" s="6"/>
      <c r="F460" s="6"/>
      <c r="G460" s="6"/>
      <c r="H460" s="6"/>
      <c r="I460" s="6"/>
      <c r="J460" s="6"/>
      <c r="K460" s="6"/>
      <c r="L460" s="6"/>
      <c r="M460" s="6"/>
      <c r="N460" s="6"/>
      <c r="O460" s="6"/>
      <c r="P460" s="6"/>
      <c r="Q460" s="6"/>
      <c r="R460" s="6"/>
      <c r="S460" s="6"/>
      <c r="T460" s="6"/>
      <c r="U460" s="6"/>
      <c r="V460" s="6"/>
      <c r="W460" s="6"/>
      <c r="X460" s="6"/>
      <c r="Y460" s="6"/>
      <c r="Z460" s="6"/>
    </row>
    <row r="461">
      <c r="A461" s="155"/>
      <c r="B461" s="156"/>
      <c r="C461" s="156"/>
      <c r="D461" s="158"/>
      <c r="E461" s="6"/>
      <c r="F461" s="6"/>
      <c r="G461" s="6"/>
      <c r="H461" s="6"/>
      <c r="I461" s="6"/>
      <c r="J461" s="6"/>
      <c r="K461" s="6"/>
      <c r="L461" s="6"/>
      <c r="M461" s="6"/>
      <c r="N461" s="6"/>
      <c r="O461" s="6"/>
      <c r="P461" s="6"/>
      <c r="Q461" s="6"/>
      <c r="R461" s="6"/>
      <c r="S461" s="6"/>
      <c r="T461" s="6"/>
      <c r="U461" s="6"/>
      <c r="V461" s="6"/>
      <c r="W461" s="6"/>
      <c r="X461" s="6"/>
      <c r="Y461" s="6"/>
      <c r="Z461" s="6"/>
    </row>
    <row r="462">
      <c r="A462" s="155"/>
      <c r="B462" s="156"/>
      <c r="C462" s="156"/>
      <c r="D462" s="158"/>
      <c r="E462" s="6"/>
      <c r="F462" s="6"/>
      <c r="G462" s="6"/>
      <c r="H462" s="6"/>
      <c r="I462" s="6"/>
      <c r="J462" s="6"/>
      <c r="K462" s="6"/>
      <c r="L462" s="6"/>
      <c r="M462" s="6"/>
      <c r="N462" s="6"/>
      <c r="O462" s="6"/>
      <c r="P462" s="6"/>
      <c r="Q462" s="6"/>
      <c r="R462" s="6"/>
      <c r="S462" s="6"/>
      <c r="T462" s="6"/>
      <c r="U462" s="6"/>
      <c r="V462" s="6"/>
      <c r="W462" s="6"/>
      <c r="X462" s="6"/>
      <c r="Y462" s="6"/>
      <c r="Z462" s="6"/>
    </row>
    <row r="463">
      <c r="A463" s="155"/>
      <c r="B463" s="156"/>
      <c r="C463" s="156"/>
      <c r="D463" s="158"/>
      <c r="E463" s="6"/>
      <c r="F463" s="6"/>
      <c r="G463" s="6"/>
      <c r="H463" s="6"/>
      <c r="I463" s="6"/>
      <c r="J463" s="6"/>
      <c r="K463" s="6"/>
      <c r="L463" s="6"/>
      <c r="M463" s="6"/>
      <c r="N463" s="6"/>
      <c r="O463" s="6"/>
      <c r="P463" s="6"/>
      <c r="Q463" s="6"/>
      <c r="R463" s="6"/>
      <c r="S463" s="6"/>
      <c r="T463" s="6"/>
      <c r="U463" s="6"/>
      <c r="V463" s="6"/>
      <c r="W463" s="6"/>
      <c r="X463" s="6"/>
      <c r="Y463" s="6"/>
      <c r="Z463" s="6"/>
    </row>
    <row r="464">
      <c r="A464" s="155"/>
      <c r="B464" s="156"/>
      <c r="C464" s="156"/>
      <c r="D464" s="158"/>
      <c r="E464" s="6"/>
      <c r="F464" s="6"/>
      <c r="G464" s="6"/>
      <c r="H464" s="6"/>
      <c r="I464" s="6"/>
      <c r="J464" s="6"/>
      <c r="K464" s="6"/>
      <c r="L464" s="6"/>
      <c r="M464" s="6"/>
      <c r="N464" s="6"/>
      <c r="O464" s="6"/>
      <c r="P464" s="6"/>
      <c r="Q464" s="6"/>
      <c r="R464" s="6"/>
      <c r="S464" s="6"/>
      <c r="T464" s="6"/>
      <c r="U464" s="6"/>
      <c r="V464" s="6"/>
      <c r="W464" s="6"/>
      <c r="X464" s="6"/>
      <c r="Y464" s="6"/>
      <c r="Z464" s="6"/>
    </row>
    <row r="465">
      <c r="A465" s="155"/>
      <c r="B465" s="156"/>
      <c r="C465" s="156"/>
      <c r="D465" s="158"/>
      <c r="E465" s="6"/>
      <c r="F465" s="6"/>
      <c r="G465" s="6"/>
      <c r="H465" s="6"/>
      <c r="I465" s="6"/>
      <c r="J465" s="6"/>
      <c r="K465" s="6"/>
      <c r="L465" s="6"/>
      <c r="M465" s="6"/>
      <c r="N465" s="6"/>
      <c r="O465" s="6"/>
      <c r="P465" s="6"/>
      <c r="Q465" s="6"/>
      <c r="R465" s="6"/>
      <c r="S465" s="6"/>
      <c r="T465" s="6"/>
      <c r="U465" s="6"/>
      <c r="V465" s="6"/>
      <c r="W465" s="6"/>
      <c r="X465" s="6"/>
      <c r="Y465" s="6"/>
      <c r="Z465" s="6"/>
    </row>
    <row r="466">
      <c r="A466" s="155"/>
      <c r="B466" s="156"/>
      <c r="C466" s="156"/>
      <c r="D466" s="158"/>
      <c r="E466" s="6"/>
      <c r="F466" s="6"/>
      <c r="G466" s="6"/>
      <c r="H466" s="6"/>
      <c r="I466" s="6"/>
      <c r="J466" s="6"/>
      <c r="K466" s="6"/>
      <c r="L466" s="6"/>
      <c r="M466" s="6"/>
      <c r="N466" s="6"/>
      <c r="O466" s="6"/>
      <c r="P466" s="6"/>
      <c r="Q466" s="6"/>
      <c r="R466" s="6"/>
      <c r="S466" s="6"/>
      <c r="T466" s="6"/>
      <c r="U466" s="6"/>
      <c r="V466" s="6"/>
      <c r="W466" s="6"/>
      <c r="X466" s="6"/>
      <c r="Y466" s="6"/>
      <c r="Z466" s="6"/>
    </row>
    <row r="467">
      <c r="A467" s="155"/>
      <c r="B467" s="156"/>
      <c r="C467" s="156"/>
      <c r="D467" s="158"/>
      <c r="E467" s="6"/>
      <c r="F467" s="6"/>
      <c r="G467" s="6"/>
      <c r="H467" s="6"/>
      <c r="I467" s="6"/>
      <c r="J467" s="6"/>
      <c r="K467" s="6"/>
      <c r="L467" s="6"/>
      <c r="M467" s="6"/>
      <c r="N467" s="6"/>
      <c r="O467" s="6"/>
      <c r="P467" s="6"/>
      <c r="Q467" s="6"/>
      <c r="R467" s="6"/>
      <c r="S467" s="6"/>
      <c r="T467" s="6"/>
      <c r="U467" s="6"/>
      <c r="V467" s="6"/>
      <c r="W467" s="6"/>
      <c r="X467" s="6"/>
      <c r="Y467" s="6"/>
      <c r="Z467" s="6"/>
    </row>
    <row r="468">
      <c r="A468" s="155"/>
      <c r="B468" s="156"/>
      <c r="C468" s="156"/>
      <c r="D468" s="158"/>
      <c r="E468" s="6"/>
      <c r="F468" s="6"/>
      <c r="G468" s="6"/>
      <c r="H468" s="6"/>
      <c r="I468" s="6"/>
      <c r="J468" s="6"/>
      <c r="K468" s="6"/>
      <c r="L468" s="6"/>
      <c r="M468" s="6"/>
      <c r="N468" s="6"/>
      <c r="O468" s="6"/>
      <c r="P468" s="6"/>
      <c r="Q468" s="6"/>
      <c r="R468" s="6"/>
      <c r="S468" s="6"/>
      <c r="T468" s="6"/>
      <c r="U468" s="6"/>
      <c r="V468" s="6"/>
      <c r="W468" s="6"/>
      <c r="X468" s="6"/>
      <c r="Y468" s="6"/>
      <c r="Z468" s="6"/>
    </row>
    <row r="469">
      <c r="A469" s="155"/>
      <c r="B469" s="156"/>
      <c r="C469" s="156"/>
      <c r="D469" s="158"/>
      <c r="E469" s="6"/>
      <c r="F469" s="6"/>
      <c r="G469" s="6"/>
      <c r="H469" s="6"/>
      <c r="I469" s="6"/>
      <c r="J469" s="6"/>
      <c r="K469" s="6"/>
      <c r="L469" s="6"/>
      <c r="M469" s="6"/>
      <c r="N469" s="6"/>
      <c r="O469" s="6"/>
      <c r="P469" s="6"/>
      <c r="Q469" s="6"/>
      <c r="R469" s="6"/>
      <c r="S469" s="6"/>
      <c r="T469" s="6"/>
      <c r="U469" s="6"/>
      <c r="V469" s="6"/>
      <c r="W469" s="6"/>
      <c r="X469" s="6"/>
      <c r="Y469" s="6"/>
      <c r="Z469" s="6"/>
    </row>
    <row r="470">
      <c r="A470" s="155"/>
      <c r="B470" s="156"/>
      <c r="C470" s="156"/>
      <c r="D470" s="158"/>
      <c r="E470" s="6"/>
      <c r="F470" s="6"/>
      <c r="G470" s="6"/>
      <c r="H470" s="6"/>
      <c r="I470" s="6"/>
      <c r="J470" s="6"/>
      <c r="K470" s="6"/>
      <c r="L470" s="6"/>
      <c r="M470" s="6"/>
      <c r="N470" s="6"/>
      <c r="O470" s="6"/>
      <c r="P470" s="6"/>
      <c r="Q470" s="6"/>
      <c r="R470" s="6"/>
      <c r="S470" s="6"/>
      <c r="T470" s="6"/>
      <c r="U470" s="6"/>
      <c r="V470" s="6"/>
      <c r="W470" s="6"/>
      <c r="X470" s="6"/>
      <c r="Y470" s="6"/>
      <c r="Z470" s="6"/>
    </row>
    <row r="471">
      <c r="A471" s="155"/>
      <c r="B471" s="156"/>
      <c r="C471" s="156"/>
      <c r="D471" s="158"/>
      <c r="E471" s="6"/>
      <c r="F471" s="6"/>
      <c r="G471" s="6"/>
      <c r="H471" s="6"/>
      <c r="I471" s="6"/>
      <c r="J471" s="6"/>
      <c r="K471" s="6"/>
      <c r="L471" s="6"/>
      <c r="M471" s="6"/>
      <c r="N471" s="6"/>
      <c r="O471" s="6"/>
      <c r="P471" s="6"/>
      <c r="Q471" s="6"/>
      <c r="R471" s="6"/>
      <c r="S471" s="6"/>
      <c r="T471" s="6"/>
      <c r="U471" s="6"/>
      <c r="V471" s="6"/>
      <c r="W471" s="6"/>
      <c r="X471" s="6"/>
      <c r="Y471" s="6"/>
      <c r="Z471" s="6"/>
    </row>
    <row r="472">
      <c r="A472" s="155"/>
      <c r="B472" s="156"/>
      <c r="C472" s="156"/>
      <c r="D472" s="158"/>
      <c r="E472" s="6"/>
      <c r="F472" s="6"/>
      <c r="G472" s="6"/>
      <c r="H472" s="6"/>
      <c r="I472" s="6"/>
      <c r="J472" s="6"/>
      <c r="K472" s="6"/>
      <c r="L472" s="6"/>
      <c r="M472" s="6"/>
      <c r="N472" s="6"/>
      <c r="O472" s="6"/>
      <c r="P472" s="6"/>
      <c r="Q472" s="6"/>
      <c r="R472" s="6"/>
      <c r="S472" s="6"/>
      <c r="T472" s="6"/>
      <c r="U472" s="6"/>
      <c r="V472" s="6"/>
      <c r="W472" s="6"/>
      <c r="X472" s="6"/>
      <c r="Y472" s="6"/>
      <c r="Z472" s="6"/>
    </row>
    <row r="473">
      <c r="A473" s="155"/>
      <c r="B473" s="156"/>
      <c r="C473" s="156"/>
      <c r="D473" s="158"/>
      <c r="E473" s="6"/>
      <c r="F473" s="6"/>
      <c r="G473" s="6"/>
      <c r="H473" s="6"/>
      <c r="I473" s="6"/>
      <c r="J473" s="6"/>
      <c r="K473" s="6"/>
      <c r="L473" s="6"/>
      <c r="M473" s="6"/>
      <c r="N473" s="6"/>
      <c r="O473" s="6"/>
      <c r="P473" s="6"/>
      <c r="Q473" s="6"/>
      <c r="R473" s="6"/>
      <c r="S473" s="6"/>
      <c r="T473" s="6"/>
      <c r="U473" s="6"/>
      <c r="V473" s="6"/>
      <c r="W473" s="6"/>
      <c r="X473" s="6"/>
      <c r="Y473" s="6"/>
      <c r="Z473" s="6"/>
    </row>
    <row r="474">
      <c r="A474" s="155"/>
      <c r="B474" s="156"/>
      <c r="C474" s="156"/>
      <c r="D474" s="158"/>
      <c r="E474" s="6"/>
      <c r="F474" s="6"/>
      <c r="G474" s="6"/>
      <c r="H474" s="6"/>
      <c r="I474" s="6"/>
      <c r="J474" s="6"/>
      <c r="K474" s="6"/>
      <c r="L474" s="6"/>
      <c r="M474" s="6"/>
      <c r="N474" s="6"/>
      <c r="O474" s="6"/>
      <c r="P474" s="6"/>
      <c r="Q474" s="6"/>
      <c r="R474" s="6"/>
      <c r="S474" s="6"/>
      <c r="T474" s="6"/>
      <c r="U474" s="6"/>
      <c r="V474" s="6"/>
      <c r="W474" s="6"/>
      <c r="X474" s="6"/>
      <c r="Y474" s="6"/>
      <c r="Z474" s="6"/>
    </row>
    <row r="475">
      <c r="A475" s="155"/>
      <c r="B475" s="156"/>
      <c r="C475" s="156"/>
      <c r="D475" s="158"/>
      <c r="E475" s="6"/>
      <c r="F475" s="6"/>
      <c r="G475" s="6"/>
      <c r="H475" s="6"/>
      <c r="I475" s="6"/>
      <c r="J475" s="6"/>
      <c r="K475" s="6"/>
      <c r="L475" s="6"/>
      <c r="M475" s="6"/>
      <c r="N475" s="6"/>
      <c r="O475" s="6"/>
      <c r="P475" s="6"/>
      <c r="Q475" s="6"/>
      <c r="R475" s="6"/>
      <c r="S475" s="6"/>
      <c r="T475" s="6"/>
      <c r="U475" s="6"/>
      <c r="V475" s="6"/>
      <c r="W475" s="6"/>
      <c r="X475" s="6"/>
      <c r="Y475" s="6"/>
      <c r="Z475" s="6"/>
    </row>
    <row r="476">
      <c r="A476" s="155"/>
      <c r="B476" s="156"/>
      <c r="C476" s="156"/>
      <c r="D476" s="158"/>
      <c r="E476" s="6"/>
      <c r="F476" s="6"/>
      <c r="G476" s="6"/>
      <c r="H476" s="6"/>
      <c r="I476" s="6"/>
      <c r="J476" s="6"/>
      <c r="K476" s="6"/>
      <c r="L476" s="6"/>
      <c r="M476" s="6"/>
      <c r="N476" s="6"/>
      <c r="O476" s="6"/>
      <c r="P476" s="6"/>
      <c r="Q476" s="6"/>
      <c r="R476" s="6"/>
      <c r="S476" s="6"/>
      <c r="T476" s="6"/>
      <c r="U476" s="6"/>
      <c r="V476" s="6"/>
      <c r="W476" s="6"/>
      <c r="X476" s="6"/>
      <c r="Y476" s="6"/>
      <c r="Z476" s="6"/>
    </row>
    <row r="477">
      <c r="A477" s="155"/>
      <c r="B477" s="156"/>
      <c r="C477" s="156"/>
      <c r="D477" s="158"/>
      <c r="E477" s="6"/>
      <c r="F477" s="6"/>
      <c r="G477" s="6"/>
      <c r="H477" s="6"/>
      <c r="I477" s="6"/>
      <c r="J477" s="6"/>
      <c r="K477" s="6"/>
      <c r="L477" s="6"/>
      <c r="M477" s="6"/>
      <c r="N477" s="6"/>
      <c r="O477" s="6"/>
      <c r="P477" s="6"/>
      <c r="Q477" s="6"/>
      <c r="R477" s="6"/>
      <c r="S477" s="6"/>
      <c r="T477" s="6"/>
      <c r="U477" s="6"/>
      <c r="V477" s="6"/>
      <c r="W477" s="6"/>
      <c r="X477" s="6"/>
      <c r="Y477" s="6"/>
      <c r="Z477" s="6"/>
    </row>
    <row r="478">
      <c r="A478" s="155"/>
      <c r="B478" s="156"/>
      <c r="C478" s="156"/>
      <c r="D478" s="158"/>
      <c r="E478" s="6"/>
      <c r="F478" s="6"/>
      <c r="G478" s="6"/>
      <c r="H478" s="6"/>
      <c r="I478" s="6"/>
      <c r="J478" s="6"/>
      <c r="K478" s="6"/>
      <c r="L478" s="6"/>
      <c r="M478" s="6"/>
      <c r="N478" s="6"/>
      <c r="O478" s="6"/>
      <c r="P478" s="6"/>
      <c r="Q478" s="6"/>
      <c r="R478" s="6"/>
      <c r="S478" s="6"/>
      <c r="T478" s="6"/>
      <c r="U478" s="6"/>
      <c r="V478" s="6"/>
      <c r="W478" s="6"/>
      <c r="X478" s="6"/>
      <c r="Y478" s="6"/>
      <c r="Z478" s="6"/>
    </row>
    <row r="479">
      <c r="A479" s="155"/>
      <c r="B479" s="156"/>
      <c r="C479" s="156"/>
      <c r="D479" s="158"/>
      <c r="E479" s="6"/>
      <c r="F479" s="6"/>
      <c r="G479" s="6"/>
      <c r="H479" s="6"/>
      <c r="I479" s="6"/>
      <c r="J479" s="6"/>
      <c r="K479" s="6"/>
      <c r="L479" s="6"/>
      <c r="M479" s="6"/>
      <c r="N479" s="6"/>
      <c r="O479" s="6"/>
      <c r="P479" s="6"/>
      <c r="Q479" s="6"/>
      <c r="R479" s="6"/>
      <c r="S479" s="6"/>
      <c r="T479" s="6"/>
      <c r="U479" s="6"/>
      <c r="V479" s="6"/>
      <c r="W479" s="6"/>
      <c r="X479" s="6"/>
      <c r="Y479" s="6"/>
      <c r="Z479" s="6"/>
    </row>
    <row r="480">
      <c r="A480" s="155"/>
      <c r="B480" s="156"/>
      <c r="C480" s="156"/>
      <c r="D480" s="158"/>
      <c r="E480" s="6"/>
      <c r="F480" s="6"/>
      <c r="G480" s="6"/>
      <c r="H480" s="6"/>
      <c r="I480" s="6"/>
      <c r="J480" s="6"/>
      <c r="K480" s="6"/>
      <c r="L480" s="6"/>
      <c r="M480" s="6"/>
      <c r="N480" s="6"/>
      <c r="O480" s="6"/>
      <c r="P480" s="6"/>
      <c r="Q480" s="6"/>
      <c r="R480" s="6"/>
      <c r="S480" s="6"/>
      <c r="T480" s="6"/>
      <c r="U480" s="6"/>
      <c r="V480" s="6"/>
      <c r="W480" s="6"/>
      <c r="X480" s="6"/>
      <c r="Y480" s="6"/>
      <c r="Z480" s="6"/>
    </row>
    <row r="481">
      <c r="A481" s="155"/>
      <c r="B481" s="156"/>
      <c r="C481" s="156"/>
      <c r="D481" s="158"/>
      <c r="E481" s="6"/>
      <c r="F481" s="6"/>
      <c r="G481" s="6"/>
      <c r="H481" s="6"/>
      <c r="I481" s="6"/>
      <c r="J481" s="6"/>
      <c r="K481" s="6"/>
      <c r="L481" s="6"/>
      <c r="M481" s="6"/>
      <c r="N481" s="6"/>
      <c r="O481" s="6"/>
      <c r="P481" s="6"/>
      <c r="Q481" s="6"/>
      <c r="R481" s="6"/>
      <c r="S481" s="6"/>
      <c r="T481" s="6"/>
      <c r="U481" s="6"/>
      <c r="V481" s="6"/>
      <c r="W481" s="6"/>
      <c r="X481" s="6"/>
      <c r="Y481" s="6"/>
      <c r="Z481" s="6"/>
    </row>
    <row r="482">
      <c r="A482" s="155"/>
      <c r="B482" s="156"/>
      <c r="C482" s="156"/>
      <c r="D482" s="158"/>
      <c r="E482" s="6"/>
      <c r="F482" s="6"/>
      <c r="G482" s="6"/>
      <c r="H482" s="6"/>
      <c r="I482" s="6"/>
      <c r="J482" s="6"/>
      <c r="K482" s="6"/>
      <c r="L482" s="6"/>
      <c r="M482" s="6"/>
      <c r="N482" s="6"/>
      <c r="O482" s="6"/>
      <c r="P482" s="6"/>
      <c r="Q482" s="6"/>
      <c r="R482" s="6"/>
      <c r="S482" s="6"/>
      <c r="T482" s="6"/>
      <c r="U482" s="6"/>
      <c r="V482" s="6"/>
      <c r="W482" s="6"/>
      <c r="X482" s="6"/>
      <c r="Y482" s="6"/>
      <c r="Z482" s="6"/>
    </row>
    <row r="483">
      <c r="A483" s="155"/>
      <c r="B483" s="156"/>
      <c r="C483" s="156"/>
      <c r="D483" s="158"/>
      <c r="E483" s="6"/>
      <c r="F483" s="6"/>
      <c r="G483" s="6"/>
      <c r="H483" s="6"/>
      <c r="I483" s="6"/>
      <c r="J483" s="6"/>
      <c r="K483" s="6"/>
      <c r="L483" s="6"/>
      <c r="M483" s="6"/>
      <c r="N483" s="6"/>
      <c r="O483" s="6"/>
      <c r="P483" s="6"/>
      <c r="Q483" s="6"/>
      <c r="R483" s="6"/>
      <c r="S483" s="6"/>
      <c r="T483" s="6"/>
      <c r="U483" s="6"/>
      <c r="V483" s="6"/>
      <c r="W483" s="6"/>
      <c r="X483" s="6"/>
      <c r="Y483" s="6"/>
      <c r="Z483" s="6"/>
    </row>
    <row r="484">
      <c r="A484" s="155"/>
      <c r="B484" s="156"/>
      <c r="C484" s="156"/>
      <c r="D484" s="158"/>
      <c r="E484" s="6"/>
      <c r="F484" s="6"/>
      <c r="G484" s="6"/>
      <c r="H484" s="6"/>
      <c r="I484" s="6"/>
      <c r="J484" s="6"/>
      <c r="K484" s="6"/>
      <c r="L484" s="6"/>
      <c r="M484" s="6"/>
      <c r="N484" s="6"/>
      <c r="O484" s="6"/>
      <c r="P484" s="6"/>
      <c r="Q484" s="6"/>
      <c r="R484" s="6"/>
      <c r="S484" s="6"/>
      <c r="T484" s="6"/>
      <c r="U484" s="6"/>
      <c r="V484" s="6"/>
      <c r="W484" s="6"/>
      <c r="X484" s="6"/>
      <c r="Y484" s="6"/>
      <c r="Z484" s="6"/>
    </row>
    <row r="485">
      <c r="A485" s="155"/>
      <c r="B485" s="156"/>
      <c r="C485" s="156"/>
      <c r="D485" s="158"/>
      <c r="E485" s="6"/>
      <c r="F485" s="6"/>
      <c r="G485" s="6"/>
      <c r="H485" s="6"/>
      <c r="I485" s="6"/>
      <c r="J485" s="6"/>
      <c r="K485" s="6"/>
      <c r="L485" s="6"/>
      <c r="M485" s="6"/>
      <c r="N485" s="6"/>
      <c r="O485" s="6"/>
      <c r="P485" s="6"/>
      <c r="Q485" s="6"/>
      <c r="R485" s="6"/>
      <c r="S485" s="6"/>
      <c r="T485" s="6"/>
      <c r="U485" s="6"/>
      <c r="V485" s="6"/>
      <c r="W485" s="6"/>
      <c r="X485" s="6"/>
      <c r="Y485" s="6"/>
      <c r="Z485" s="6"/>
    </row>
    <row r="486">
      <c r="A486" s="155"/>
      <c r="B486" s="156"/>
      <c r="C486" s="156"/>
      <c r="D486" s="158"/>
      <c r="E486" s="6"/>
      <c r="F486" s="6"/>
      <c r="G486" s="6"/>
      <c r="H486" s="6"/>
      <c r="I486" s="6"/>
      <c r="J486" s="6"/>
      <c r="K486" s="6"/>
      <c r="L486" s="6"/>
      <c r="M486" s="6"/>
      <c r="N486" s="6"/>
      <c r="O486" s="6"/>
      <c r="P486" s="6"/>
      <c r="Q486" s="6"/>
      <c r="R486" s="6"/>
      <c r="S486" s="6"/>
      <c r="T486" s="6"/>
      <c r="U486" s="6"/>
      <c r="V486" s="6"/>
      <c r="W486" s="6"/>
      <c r="X486" s="6"/>
      <c r="Y486" s="6"/>
      <c r="Z486" s="6"/>
    </row>
    <row r="487">
      <c r="A487" s="155"/>
      <c r="B487" s="156"/>
      <c r="C487" s="156"/>
      <c r="D487" s="158"/>
      <c r="E487" s="6"/>
      <c r="F487" s="6"/>
      <c r="G487" s="6"/>
      <c r="H487" s="6"/>
      <c r="I487" s="6"/>
      <c r="J487" s="6"/>
      <c r="K487" s="6"/>
      <c r="L487" s="6"/>
      <c r="M487" s="6"/>
      <c r="N487" s="6"/>
      <c r="O487" s="6"/>
      <c r="P487" s="6"/>
      <c r="Q487" s="6"/>
      <c r="R487" s="6"/>
      <c r="S487" s="6"/>
      <c r="T487" s="6"/>
      <c r="U487" s="6"/>
      <c r="V487" s="6"/>
      <c r="W487" s="6"/>
      <c r="X487" s="6"/>
      <c r="Y487" s="6"/>
      <c r="Z487" s="6"/>
    </row>
    <row r="488">
      <c r="A488" s="155"/>
      <c r="B488" s="156"/>
      <c r="C488" s="156"/>
      <c r="D488" s="158"/>
      <c r="E488" s="6"/>
      <c r="F488" s="6"/>
      <c r="G488" s="6"/>
      <c r="H488" s="6"/>
      <c r="I488" s="6"/>
      <c r="J488" s="6"/>
      <c r="K488" s="6"/>
      <c r="L488" s="6"/>
      <c r="M488" s="6"/>
      <c r="N488" s="6"/>
      <c r="O488" s="6"/>
      <c r="P488" s="6"/>
      <c r="Q488" s="6"/>
      <c r="R488" s="6"/>
      <c r="S488" s="6"/>
      <c r="T488" s="6"/>
      <c r="U488" s="6"/>
      <c r="V488" s="6"/>
      <c r="W488" s="6"/>
      <c r="X488" s="6"/>
      <c r="Y488" s="6"/>
      <c r="Z488" s="6"/>
    </row>
    <row r="489">
      <c r="A489" s="155"/>
      <c r="B489" s="156"/>
      <c r="C489" s="156"/>
      <c r="D489" s="158"/>
      <c r="E489" s="6"/>
      <c r="F489" s="6"/>
      <c r="G489" s="6"/>
      <c r="H489" s="6"/>
      <c r="I489" s="6"/>
      <c r="J489" s="6"/>
      <c r="K489" s="6"/>
      <c r="L489" s="6"/>
      <c r="M489" s="6"/>
      <c r="N489" s="6"/>
      <c r="O489" s="6"/>
      <c r="P489" s="6"/>
      <c r="Q489" s="6"/>
      <c r="R489" s="6"/>
      <c r="S489" s="6"/>
      <c r="T489" s="6"/>
      <c r="U489" s="6"/>
      <c r="V489" s="6"/>
      <c r="W489" s="6"/>
      <c r="X489" s="6"/>
      <c r="Y489" s="6"/>
      <c r="Z489" s="6"/>
    </row>
    <row r="490">
      <c r="A490" s="155"/>
      <c r="B490" s="156"/>
      <c r="C490" s="156"/>
      <c r="D490" s="158"/>
      <c r="E490" s="6"/>
      <c r="F490" s="6"/>
      <c r="G490" s="6"/>
      <c r="H490" s="6"/>
      <c r="I490" s="6"/>
      <c r="J490" s="6"/>
      <c r="K490" s="6"/>
      <c r="L490" s="6"/>
      <c r="M490" s="6"/>
      <c r="N490" s="6"/>
      <c r="O490" s="6"/>
      <c r="P490" s="6"/>
      <c r="Q490" s="6"/>
      <c r="R490" s="6"/>
      <c r="S490" s="6"/>
      <c r="T490" s="6"/>
      <c r="U490" s="6"/>
      <c r="V490" s="6"/>
      <c r="W490" s="6"/>
      <c r="X490" s="6"/>
      <c r="Y490" s="6"/>
      <c r="Z490" s="6"/>
    </row>
    <row r="491">
      <c r="A491" s="155"/>
      <c r="B491" s="156"/>
      <c r="C491" s="156"/>
      <c r="D491" s="158"/>
      <c r="E491" s="6"/>
      <c r="F491" s="6"/>
      <c r="G491" s="6"/>
      <c r="H491" s="6"/>
      <c r="I491" s="6"/>
      <c r="J491" s="6"/>
      <c r="K491" s="6"/>
      <c r="L491" s="6"/>
      <c r="M491" s="6"/>
      <c r="N491" s="6"/>
      <c r="O491" s="6"/>
      <c r="P491" s="6"/>
      <c r="Q491" s="6"/>
      <c r="R491" s="6"/>
      <c r="S491" s="6"/>
      <c r="T491" s="6"/>
      <c r="U491" s="6"/>
      <c r="V491" s="6"/>
      <c r="W491" s="6"/>
      <c r="X491" s="6"/>
      <c r="Y491" s="6"/>
      <c r="Z491" s="6"/>
    </row>
    <row r="492">
      <c r="A492" s="155"/>
      <c r="B492" s="156"/>
      <c r="C492" s="156"/>
      <c r="D492" s="158"/>
      <c r="E492" s="6"/>
      <c r="F492" s="6"/>
      <c r="G492" s="6"/>
      <c r="H492" s="6"/>
      <c r="I492" s="6"/>
      <c r="J492" s="6"/>
      <c r="K492" s="6"/>
      <c r="L492" s="6"/>
      <c r="M492" s="6"/>
      <c r="N492" s="6"/>
      <c r="O492" s="6"/>
      <c r="P492" s="6"/>
      <c r="Q492" s="6"/>
      <c r="R492" s="6"/>
      <c r="S492" s="6"/>
      <c r="T492" s="6"/>
      <c r="U492" s="6"/>
      <c r="V492" s="6"/>
      <c r="W492" s="6"/>
      <c r="X492" s="6"/>
      <c r="Y492" s="6"/>
      <c r="Z492" s="6"/>
    </row>
    <row r="493">
      <c r="A493" s="155"/>
      <c r="B493" s="156"/>
      <c r="C493" s="156"/>
      <c r="D493" s="158"/>
      <c r="E493" s="6"/>
      <c r="F493" s="6"/>
      <c r="G493" s="6"/>
      <c r="H493" s="6"/>
      <c r="I493" s="6"/>
      <c r="J493" s="6"/>
      <c r="K493" s="6"/>
      <c r="L493" s="6"/>
      <c r="M493" s="6"/>
      <c r="N493" s="6"/>
      <c r="O493" s="6"/>
      <c r="P493" s="6"/>
      <c r="Q493" s="6"/>
      <c r="R493" s="6"/>
      <c r="S493" s="6"/>
      <c r="T493" s="6"/>
      <c r="U493" s="6"/>
      <c r="V493" s="6"/>
      <c r="W493" s="6"/>
      <c r="X493" s="6"/>
      <c r="Y493" s="6"/>
      <c r="Z493" s="6"/>
    </row>
    <row r="494">
      <c r="A494" s="155"/>
      <c r="B494" s="156"/>
      <c r="C494" s="156"/>
      <c r="D494" s="158"/>
      <c r="E494" s="6"/>
      <c r="F494" s="6"/>
      <c r="G494" s="6"/>
      <c r="H494" s="6"/>
      <c r="I494" s="6"/>
      <c r="J494" s="6"/>
      <c r="K494" s="6"/>
      <c r="L494" s="6"/>
      <c r="M494" s="6"/>
      <c r="N494" s="6"/>
      <c r="O494" s="6"/>
      <c r="P494" s="6"/>
      <c r="Q494" s="6"/>
      <c r="R494" s="6"/>
      <c r="S494" s="6"/>
      <c r="T494" s="6"/>
      <c r="U494" s="6"/>
      <c r="V494" s="6"/>
      <c r="W494" s="6"/>
      <c r="X494" s="6"/>
      <c r="Y494" s="6"/>
      <c r="Z494" s="6"/>
    </row>
    <row r="495">
      <c r="A495" s="155"/>
      <c r="B495" s="156"/>
      <c r="C495" s="156"/>
      <c r="D495" s="158"/>
      <c r="E495" s="6"/>
      <c r="F495" s="6"/>
      <c r="G495" s="6"/>
      <c r="H495" s="6"/>
      <c r="I495" s="6"/>
      <c r="J495" s="6"/>
      <c r="K495" s="6"/>
      <c r="L495" s="6"/>
      <c r="M495" s="6"/>
      <c r="N495" s="6"/>
      <c r="O495" s="6"/>
      <c r="P495" s="6"/>
      <c r="Q495" s="6"/>
      <c r="R495" s="6"/>
      <c r="S495" s="6"/>
      <c r="T495" s="6"/>
      <c r="U495" s="6"/>
      <c r="V495" s="6"/>
      <c r="W495" s="6"/>
      <c r="X495" s="6"/>
      <c r="Y495" s="6"/>
      <c r="Z495" s="6"/>
    </row>
    <row r="496">
      <c r="A496" s="155"/>
      <c r="B496" s="156"/>
      <c r="C496" s="156"/>
      <c r="D496" s="158"/>
      <c r="E496" s="6"/>
      <c r="F496" s="6"/>
      <c r="G496" s="6"/>
      <c r="H496" s="6"/>
      <c r="I496" s="6"/>
      <c r="J496" s="6"/>
      <c r="K496" s="6"/>
      <c r="L496" s="6"/>
      <c r="M496" s="6"/>
      <c r="N496" s="6"/>
      <c r="O496" s="6"/>
      <c r="P496" s="6"/>
      <c r="Q496" s="6"/>
      <c r="R496" s="6"/>
      <c r="S496" s="6"/>
      <c r="T496" s="6"/>
      <c r="U496" s="6"/>
      <c r="V496" s="6"/>
      <c r="W496" s="6"/>
      <c r="X496" s="6"/>
      <c r="Y496" s="6"/>
      <c r="Z496" s="6"/>
    </row>
    <row r="497">
      <c r="A497" s="155"/>
      <c r="B497" s="156"/>
      <c r="C497" s="156"/>
      <c r="D497" s="158"/>
      <c r="E497" s="6"/>
      <c r="F497" s="6"/>
      <c r="G497" s="6"/>
      <c r="H497" s="6"/>
      <c r="I497" s="6"/>
      <c r="J497" s="6"/>
      <c r="K497" s="6"/>
      <c r="L497" s="6"/>
      <c r="M497" s="6"/>
      <c r="N497" s="6"/>
      <c r="O497" s="6"/>
      <c r="P497" s="6"/>
      <c r="Q497" s="6"/>
      <c r="R497" s="6"/>
      <c r="S497" s="6"/>
      <c r="T497" s="6"/>
      <c r="U497" s="6"/>
      <c r="V497" s="6"/>
      <c r="W497" s="6"/>
      <c r="X497" s="6"/>
      <c r="Y497" s="6"/>
      <c r="Z497" s="6"/>
    </row>
    <row r="498">
      <c r="A498" s="155"/>
      <c r="B498" s="156"/>
      <c r="C498" s="156"/>
      <c r="D498" s="158"/>
      <c r="E498" s="6"/>
      <c r="F498" s="6"/>
      <c r="G498" s="6"/>
      <c r="H498" s="6"/>
      <c r="I498" s="6"/>
      <c r="J498" s="6"/>
      <c r="K498" s="6"/>
      <c r="L498" s="6"/>
      <c r="M498" s="6"/>
      <c r="N498" s="6"/>
      <c r="O498" s="6"/>
      <c r="P498" s="6"/>
      <c r="Q498" s="6"/>
      <c r="R498" s="6"/>
      <c r="S498" s="6"/>
      <c r="T498" s="6"/>
      <c r="U498" s="6"/>
      <c r="V498" s="6"/>
      <c r="W498" s="6"/>
      <c r="X498" s="6"/>
      <c r="Y498" s="6"/>
      <c r="Z498" s="6"/>
    </row>
    <row r="499">
      <c r="A499" s="155"/>
      <c r="B499" s="156"/>
      <c r="C499" s="156"/>
      <c r="D499" s="158"/>
      <c r="E499" s="6"/>
      <c r="F499" s="6"/>
      <c r="G499" s="6"/>
      <c r="H499" s="6"/>
      <c r="I499" s="6"/>
      <c r="J499" s="6"/>
      <c r="K499" s="6"/>
      <c r="L499" s="6"/>
      <c r="M499" s="6"/>
      <c r="N499" s="6"/>
      <c r="O499" s="6"/>
      <c r="P499" s="6"/>
      <c r="Q499" s="6"/>
      <c r="R499" s="6"/>
      <c r="S499" s="6"/>
      <c r="T499" s="6"/>
      <c r="U499" s="6"/>
      <c r="V499" s="6"/>
      <c r="W499" s="6"/>
      <c r="X499" s="6"/>
      <c r="Y499" s="6"/>
      <c r="Z499" s="6"/>
    </row>
    <row r="500">
      <c r="A500" s="155"/>
      <c r="B500" s="156"/>
      <c r="C500" s="156"/>
      <c r="D500" s="158"/>
      <c r="E500" s="6"/>
      <c r="F500" s="6"/>
      <c r="G500" s="6"/>
      <c r="H500" s="6"/>
      <c r="I500" s="6"/>
      <c r="J500" s="6"/>
      <c r="K500" s="6"/>
      <c r="L500" s="6"/>
      <c r="M500" s="6"/>
      <c r="N500" s="6"/>
      <c r="O500" s="6"/>
      <c r="P500" s="6"/>
      <c r="Q500" s="6"/>
      <c r="R500" s="6"/>
      <c r="S500" s="6"/>
      <c r="T500" s="6"/>
      <c r="U500" s="6"/>
      <c r="V500" s="6"/>
      <c r="W500" s="6"/>
      <c r="X500" s="6"/>
      <c r="Y500" s="6"/>
      <c r="Z500" s="6"/>
    </row>
    <row r="501">
      <c r="A501" s="155"/>
      <c r="B501" s="156"/>
      <c r="C501" s="156"/>
      <c r="D501" s="158"/>
      <c r="E501" s="6"/>
      <c r="F501" s="6"/>
      <c r="G501" s="6"/>
      <c r="H501" s="6"/>
      <c r="I501" s="6"/>
      <c r="J501" s="6"/>
      <c r="K501" s="6"/>
      <c r="L501" s="6"/>
      <c r="M501" s="6"/>
      <c r="N501" s="6"/>
      <c r="O501" s="6"/>
      <c r="P501" s="6"/>
      <c r="Q501" s="6"/>
      <c r="R501" s="6"/>
      <c r="S501" s="6"/>
      <c r="T501" s="6"/>
      <c r="U501" s="6"/>
      <c r="V501" s="6"/>
      <c r="W501" s="6"/>
      <c r="X501" s="6"/>
      <c r="Y501" s="6"/>
      <c r="Z501" s="6"/>
    </row>
    <row r="502">
      <c r="A502" s="155"/>
      <c r="B502" s="156"/>
      <c r="C502" s="156"/>
      <c r="D502" s="158"/>
      <c r="E502" s="6"/>
      <c r="F502" s="6"/>
      <c r="G502" s="6"/>
      <c r="H502" s="6"/>
      <c r="I502" s="6"/>
      <c r="J502" s="6"/>
      <c r="K502" s="6"/>
      <c r="L502" s="6"/>
      <c r="M502" s="6"/>
      <c r="N502" s="6"/>
      <c r="O502" s="6"/>
      <c r="P502" s="6"/>
      <c r="Q502" s="6"/>
      <c r="R502" s="6"/>
      <c r="S502" s="6"/>
      <c r="T502" s="6"/>
      <c r="U502" s="6"/>
      <c r="V502" s="6"/>
      <c r="W502" s="6"/>
      <c r="X502" s="6"/>
      <c r="Y502" s="6"/>
      <c r="Z502" s="6"/>
    </row>
    <row r="503">
      <c r="A503" s="155"/>
      <c r="B503" s="156"/>
      <c r="C503" s="156"/>
      <c r="D503" s="158"/>
      <c r="E503" s="6"/>
      <c r="F503" s="6"/>
      <c r="G503" s="6"/>
      <c r="H503" s="6"/>
      <c r="I503" s="6"/>
      <c r="J503" s="6"/>
      <c r="K503" s="6"/>
      <c r="L503" s="6"/>
      <c r="M503" s="6"/>
      <c r="N503" s="6"/>
      <c r="O503" s="6"/>
      <c r="P503" s="6"/>
      <c r="Q503" s="6"/>
      <c r="R503" s="6"/>
      <c r="S503" s="6"/>
      <c r="T503" s="6"/>
      <c r="U503" s="6"/>
      <c r="V503" s="6"/>
      <c r="W503" s="6"/>
      <c r="X503" s="6"/>
      <c r="Y503" s="6"/>
      <c r="Z503" s="6"/>
    </row>
    <row r="504">
      <c r="A504" s="155"/>
      <c r="B504" s="156"/>
      <c r="C504" s="156"/>
      <c r="D504" s="158"/>
      <c r="E504" s="6"/>
      <c r="F504" s="6"/>
      <c r="G504" s="6"/>
      <c r="H504" s="6"/>
      <c r="I504" s="6"/>
      <c r="J504" s="6"/>
      <c r="K504" s="6"/>
      <c r="L504" s="6"/>
      <c r="M504" s="6"/>
      <c r="N504" s="6"/>
      <c r="O504" s="6"/>
      <c r="P504" s="6"/>
      <c r="Q504" s="6"/>
      <c r="R504" s="6"/>
      <c r="S504" s="6"/>
      <c r="T504" s="6"/>
      <c r="U504" s="6"/>
      <c r="V504" s="6"/>
      <c r="W504" s="6"/>
      <c r="X504" s="6"/>
      <c r="Y504" s="6"/>
      <c r="Z504" s="6"/>
    </row>
    <row r="505">
      <c r="A505" s="155"/>
      <c r="B505" s="156"/>
      <c r="C505" s="156"/>
      <c r="D505" s="158"/>
      <c r="E505" s="6"/>
      <c r="F505" s="6"/>
      <c r="G505" s="6"/>
      <c r="H505" s="6"/>
      <c r="I505" s="6"/>
      <c r="J505" s="6"/>
      <c r="K505" s="6"/>
      <c r="L505" s="6"/>
      <c r="M505" s="6"/>
      <c r="N505" s="6"/>
      <c r="O505" s="6"/>
      <c r="P505" s="6"/>
      <c r="Q505" s="6"/>
      <c r="R505" s="6"/>
      <c r="S505" s="6"/>
      <c r="T505" s="6"/>
      <c r="U505" s="6"/>
      <c r="V505" s="6"/>
      <c r="W505" s="6"/>
      <c r="X505" s="6"/>
      <c r="Y505" s="6"/>
      <c r="Z505" s="6"/>
    </row>
    <row r="506">
      <c r="A506" s="155"/>
      <c r="B506" s="156"/>
      <c r="C506" s="156"/>
      <c r="D506" s="158"/>
      <c r="E506" s="6"/>
      <c r="F506" s="6"/>
      <c r="G506" s="6"/>
      <c r="H506" s="6"/>
      <c r="I506" s="6"/>
      <c r="J506" s="6"/>
      <c r="K506" s="6"/>
      <c r="L506" s="6"/>
      <c r="M506" s="6"/>
      <c r="N506" s="6"/>
      <c r="O506" s="6"/>
      <c r="P506" s="6"/>
      <c r="Q506" s="6"/>
      <c r="R506" s="6"/>
      <c r="S506" s="6"/>
      <c r="T506" s="6"/>
      <c r="U506" s="6"/>
      <c r="V506" s="6"/>
      <c r="W506" s="6"/>
      <c r="X506" s="6"/>
      <c r="Y506" s="6"/>
      <c r="Z506" s="6"/>
    </row>
    <row r="507">
      <c r="A507" s="155"/>
      <c r="B507" s="156"/>
      <c r="C507" s="156"/>
      <c r="D507" s="158"/>
      <c r="E507" s="6"/>
      <c r="F507" s="6"/>
      <c r="G507" s="6"/>
      <c r="H507" s="6"/>
      <c r="I507" s="6"/>
      <c r="J507" s="6"/>
      <c r="K507" s="6"/>
      <c r="L507" s="6"/>
      <c r="M507" s="6"/>
      <c r="N507" s="6"/>
      <c r="O507" s="6"/>
      <c r="P507" s="6"/>
      <c r="Q507" s="6"/>
      <c r="R507" s="6"/>
      <c r="S507" s="6"/>
      <c r="T507" s="6"/>
      <c r="U507" s="6"/>
      <c r="V507" s="6"/>
      <c r="W507" s="6"/>
      <c r="X507" s="6"/>
      <c r="Y507" s="6"/>
      <c r="Z507" s="6"/>
    </row>
    <row r="508">
      <c r="A508" s="155"/>
      <c r="B508" s="156"/>
      <c r="C508" s="156"/>
      <c r="D508" s="158"/>
      <c r="E508" s="6"/>
      <c r="F508" s="6"/>
      <c r="G508" s="6"/>
      <c r="H508" s="6"/>
      <c r="I508" s="6"/>
      <c r="J508" s="6"/>
      <c r="K508" s="6"/>
      <c r="L508" s="6"/>
      <c r="M508" s="6"/>
      <c r="N508" s="6"/>
      <c r="O508" s="6"/>
      <c r="P508" s="6"/>
      <c r="Q508" s="6"/>
      <c r="R508" s="6"/>
      <c r="S508" s="6"/>
      <c r="T508" s="6"/>
      <c r="U508" s="6"/>
      <c r="V508" s="6"/>
      <c r="W508" s="6"/>
      <c r="X508" s="6"/>
      <c r="Y508" s="6"/>
      <c r="Z508" s="6"/>
    </row>
    <row r="509">
      <c r="A509" s="155"/>
      <c r="B509" s="156"/>
      <c r="C509" s="156"/>
      <c r="D509" s="158"/>
      <c r="E509" s="6"/>
      <c r="F509" s="6"/>
      <c r="G509" s="6"/>
      <c r="H509" s="6"/>
      <c r="I509" s="6"/>
      <c r="J509" s="6"/>
      <c r="K509" s="6"/>
      <c r="L509" s="6"/>
      <c r="M509" s="6"/>
      <c r="N509" s="6"/>
      <c r="O509" s="6"/>
      <c r="P509" s="6"/>
      <c r="Q509" s="6"/>
      <c r="R509" s="6"/>
      <c r="S509" s="6"/>
      <c r="T509" s="6"/>
      <c r="U509" s="6"/>
      <c r="V509" s="6"/>
      <c r="W509" s="6"/>
      <c r="X509" s="6"/>
      <c r="Y509" s="6"/>
      <c r="Z509" s="6"/>
    </row>
    <row r="510">
      <c r="A510" s="155"/>
      <c r="B510" s="156"/>
      <c r="C510" s="156"/>
      <c r="D510" s="158"/>
      <c r="E510" s="6"/>
      <c r="F510" s="6"/>
      <c r="G510" s="6"/>
      <c r="H510" s="6"/>
      <c r="I510" s="6"/>
      <c r="J510" s="6"/>
      <c r="K510" s="6"/>
      <c r="L510" s="6"/>
      <c r="M510" s="6"/>
      <c r="N510" s="6"/>
      <c r="O510" s="6"/>
      <c r="P510" s="6"/>
      <c r="Q510" s="6"/>
      <c r="R510" s="6"/>
      <c r="S510" s="6"/>
      <c r="T510" s="6"/>
      <c r="U510" s="6"/>
      <c r="V510" s="6"/>
      <c r="W510" s="6"/>
      <c r="X510" s="6"/>
      <c r="Y510" s="6"/>
      <c r="Z510" s="6"/>
    </row>
    <row r="511">
      <c r="A511" s="155"/>
      <c r="B511" s="156"/>
      <c r="C511" s="156"/>
      <c r="D511" s="158"/>
      <c r="E511" s="6"/>
      <c r="F511" s="6"/>
      <c r="G511" s="6"/>
      <c r="H511" s="6"/>
      <c r="I511" s="6"/>
      <c r="J511" s="6"/>
      <c r="K511" s="6"/>
      <c r="L511" s="6"/>
      <c r="M511" s="6"/>
      <c r="N511" s="6"/>
      <c r="O511" s="6"/>
      <c r="P511" s="6"/>
      <c r="Q511" s="6"/>
      <c r="R511" s="6"/>
      <c r="S511" s="6"/>
      <c r="T511" s="6"/>
      <c r="U511" s="6"/>
      <c r="V511" s="6"/>
      <c r="W511" s="6"/>
      <c r="X511" s="6"/>
      <c r="Y511" s="6"/>
      <c r="Z511" s="6"/>
    </row>
    <row r="512">
      <c r="A512" s="155"/>
      <c r="B512" s="156"/>
      <c r="C512" s="156"/>
      <c r="D512" s="158"/>
      <c r="E512" s="6"/>
      <c r="F512" s="6"/>
      <c r="G512" s="6"/>
      <c r="H512" s="6"/>
      <c r="I512" s="6"/>
      <c r="J512" s="6"/>
      <c r="K512" s="6"/>
      <c r="L512" s="6"/>
      <c r="M512" s="6"/>
      <c r="N512" s="6"/>
      <c r="O512" s="6"/>
      <c r="P512" s="6"/>
      <c r="Q512" s="6"/>
      <c r="R512" s="6"/>
      <c r="S512" s="6"/>
      <c r="T512" s="6"/>
      <c r="U512" s="6"/>
      <c r="V512" s="6"/>
      <c r="W512" s="6"/>
      <c r="X512" s="6"/>
      <c r="Y512" s="6"/>
      <c r="Z512" s="6"/>
    </row>
    <row r="513">
      <c r="A513" s="155"/>
      <c r="B513" s="156"/>
      <c r="C513" s="156"/>
      <c r="D513" s="158"/>
      <c r="E513" s="6"/>
      <c r="F513" s="6"/>
      <c r="G513" s="6"/>
      <c r="H513" s="6"/>
      <c r="I513" s="6"/>
      <c r="J513" s="6"/>
      <c r="K513" s="6"/>
      <c r="L513" s="6"/>
      <c r="M513" s="6"/>
      <c r="N513" s="6"/>
      <c r="O513" s="6"/>
      <c r="P513" s="6"/>
      <c r="Q513" s="6"/>
      <c r="R513" s="6"/>
      <c r="S513" s="6"/>
      <c r="T513" s="6"/>
      <c r="U513" s="6"/>
      <c r="V513" s="6"/>
      <c r="W513" s="6"/>
      <c r="X513" s="6"/>
      <c r="Y513" s="6"/>
      <c r="Z513" s="6"/>
    </row>
    <row r="514">
      <c r="A514" s="155"/>
      <c r="B514" s="156"/>
      <c r="C514" s="156"/>
      <c r="D514" s="158"/>
      <c r="E514" s="6"/>
      <c r="F514" s="6"/>
      <c r="G514" s="6"/>
      <c r="H514" s="6"/>
      <c r="I514" s="6"/>
      <c r="J514" s="6"/>
      <c r="K514" s="6"/>
      <c r="L514" s="6"/>
      <c r="M514" s="6"/>
      <c r="N514" s="6"/>
      <c r="O514" s="6"/>
      <c r="P514" s="6"/>
      <c r="Q514" s="6"/>
      <c r="R514" s="6"/>
      <c r="S514" s="6"/>
      <c r="T514" s="6"/>
      <c r="U514" s="6"/>
      <c r="V514" s="6"/>
      <c r="W514" s="6"/>
      <c r="X514" s="6"/>
      <c r="Y514" s="6"/>
      <c r="Z514" s="6"/>
    </row>
    <row r="515">
      <c r="A515" s="155"/>
      <c r="B515" s="156"/>
      <c r="C515" s="156"/>
      <c r="D515" s="158"/>
      <c r="E515" s="6"/>
      <c r="F515" s="6"/>
      <c r="G515" s="6"/>
      <c r="H515" s="6"/>
      <c r="I515" s="6"/>
      <c r="J515" s="6"/>
      <c r="K515" s="6"/>
      <c r="L515" s="6"/>
      <c r="M515" s="6"/>
      <c r="N515" s="6"/>
      <c r="O515" s="6"/>
      <c r="P515" s="6"/>
      <c r="Q515" s="6"/>
      <c r="R515" s="6"/>
      <c r="S515" s="6"/>
      <c r="T515" s="6"/>
      <c r="U515" s="6"/>
      <c r="V515" s="6"/>
      <c r="W515" s="6"/>
      <c r="X515" s="6"/>
      <c r="Y515" s="6"/>
      <c r="Z515" s="6"/>
    </row>
    <row r="516">
      <c r="A516" s="155"/>
      <c r="B516" s="156"/>
      <c r="C516" s="156"/>
      <c r="D516" s="158"/>
      <c r="E516" s="6"/>
      <c r="F516" s="6"/>
      <c r="G516" s="6"/>
      <c r="H516" s="6"/>
      <c r="I516" s="6"/>
      <c r="J516" s="6"/>
      <c r="K516" s="6"/>
      <c r="L516" s="6"/>
      <c r="M516" s="6"/>
      <c r="N516" s="6"/>
      <c r="O516" s="6"/>
      <c r="P516" s="6"/>
      <c r="Q516" s="6"/>
      <c r="R516" s="6"/>
      <c r="S516" s="6"/>
      <c r="T516" s="6"/>
      <c r="U516" s="6"/>
      <c r="V516" s="6"/>
      <c r="W516" s="6"/>
      <c r="X516" s="6"/>
      <c r="Y516" s="6"/>
      <c r="Z516" s="6"/>
    </row>
    <row r="517">
      <c r="A517" s="155"/>
      <c r="B517" s="156"/>
      <c r="C517" s="156"/>
      <c r="D517" s="158"/>
      <c r="E517" s="6"/>
      <c r="F517" s="6"/>
      <c r="G517" s="6"/>
      <c r="H517" s="6"/>
      <c r="I517" s="6"/>
      <c r="J517" s="6"/>
      <c r="K517" s="6"/>
      <c r="L517" s="6"/>
      <c r="M517" s="6"/>
      <c r="N517" s="6"/>
      <c r="O517" s="6"/>
      <c r="P517" s="6"/>
      <c r="Q517" s="6"/>
      <c r="R517" s="6"/>
      <c r="S517" s="6"/>
      <c r="T517" s="6"/>
      <c r="U517" s="6"/>
      <c r="V517" s="6"/>
      <c r="W517" s="6"/>
      <c r="X517" s="6"/>
      <c r="Y517" s="6"/>
      <c r="Z517" s="6"/>
    </row>
    <row r="518">
      <c r="A518" s="155"/>
      <c r="B518" s="156"/>
      <c r="C518" s="156"/>
      <c r="D518" s="158"/>
      <c r="E518" s="6"/>
      <c r="F518" s="6"/>
      <c r="G518" s="6"/>
      <c r="H518" s="6"/>
      <c r="I518" s="6"/>
      <c r="J518" s="6"/>
      <c r="K518" s="6"/>
      <c r="L518" s="6"/>
      <c r="M518" s="6"/>
      <c r="N518" s="6"/>
      <c r="O518" s="6"/>
      <c r="P518" s="6"/>
      <c r="Q518" s="6"/>
      <c r="R518" s="6"/>
      <c r="S518" s="6"/>
      <c r="T518" s="6"/>
      <c r="U518" s="6"/>
      <c r="V518" s="6"/>
      <c r="W518" s="6"/>
      <c r="X518" s="6"/>
      <c r="Y518" s="6"/>
      <c r="Z518" s="6"/>
    </row>
    <row r="519">
      <c r="A519" s="155"/>
      <c r="B519" s="156"/>
      <c r="C519" s="156"/>
      <c r="D519" s="158"/>
      <c r="E519" s="6"/>
      <c r="F519" s="6"/>
      <c r="G519" s="6"/>
      <c r="H519" s="6"/>
      <c r="I519" s="6"/>
      <c r="J519" s="6"/>
      <c r="K519" s="6"/>
      <c r="L519" s="6"/>
      <c r="M519" s="6"/>
      <c r="N519" s="6"/>
      <c r="O519" s="6"/>
      <c r="P519" s="6"/>
      <c r="Q519" s="6"/>
      <c r="R519" s="6"/>
      <c r="S519" s="6"/>
      <c r="T519" s="6"/>
      <c r="U519" s="6"/>
      <c r="V519" s="6"/>
      <c r="W519" s="6"/>
      <c r="X519" s="6"/>
      <c r="Y519" s="6"/>
      <c r="Z519" s="6"/>
    </row>
    <row r="520">
      <c r="A520" s="155"/>
      <c r="B520" s="156"/>
      <c r="C520" s="156"/>
      <c r="D520" s="158"/>
      <c r="E520" s="6"/>
      <c r="F520" s="6"/>
      <c r="G520" s="6"/>
      <c r="H520" s="6"/>
      <c r="I520" s="6"/>
      <c r="J520" s="6"/>
      <c r="K520" s="6"/>
      <c r="L520" s="6"/>
      <c r="M520" s="6"/>
      <c r="N520" s="6"/>
      <c r="O520" s="6"/>
      <c r="P520" s="6"/>
      <c r="Q520" s="6"/>
      <c r="R520" s="6"/>
      <c r="S520" s="6"/>
      <c r="T520" s="6"/>
      <c r="U520" s="6"/>
      <c r="V520" s="6"/>
      <c r="W520" s="6"/>
      <c r="X520" s="6"/>
      <c r="Y520" s="6"/>
      <c r="Z520" s="6"/>
    </row>
    <row r="521">
      <c r="A521" s="155"/>
      <c r="B521" s="156"/>
      <c r="C521" s="156"/>
      <c r="D521" s="158"/>
      <c r="E521" s="6"/>
      <c r="F521" s="6"/>
      <c r="G521" s="6"/>
      <c r="H521" s="6"/>
      <c r="I521" s="6"/>
      <c r="J521" s="6"/>
      <c r="K521" s="6"/>
      <c r="L521" s="6"/>
      <c r="M521" s="6"/>
      <c r="N521" s="6"/>
      <c r="O521" s="6"/>
      <c r="P521" s="6"/>
      <c r="Q521" s="6"/>
      <c r="R521" s="6"/>
      <c r="S521" s="6"/>
      <c r="T521" s="6"/>
      <c r="U521" s="6"/>
      <c r="V521" s="6"/>
      <c r="W521" s="6"/>
      <c r="X521" s="6"/>
      <c r="Y521" s="6"/>
      <c r="Z521" s="6"/>
    </row>
    <row r="522">
      <c r="A522" s="155"/>
      <c r="B522" s="156"/>
      <c r="C522" s="156"/>
      <c r="D522" s="158"/>
      <c r="E522" s="6"/>
      <c r="F522" s="6"/>
      <c r="G522" s="6"/>
      <c r="H522" s="6"/>
      <c r="I522" s="6"/>
      <c r="J522" s="6"/>
      <c r="K522" s="6"/>
      <c r="L522" s="6"/>
      <c r="M522" s="6"/>
      <c r="N522" s="6"/>
      <c r="O522" s="6"/>
      <c r="P522" s="6"/>
      <c r="Q522" s="6"/>
      <c r="R522" s="6"/>
      <c r="S522" s="6"/>
      <c r="T522" s="6"/>
      <c r="U522" s="6"/>
      <c r="V522" s="6"/>
      <c r="W522" s="6"/>
      <c r="X522" s="6"/>
      <c r="Y522" s="6"/>
      <c r="Z522" s="6"/>
    </row>
    <row r="523">
      <c r="A523" s="155"/>
      <c r="B523" s="156"/>
      <c r="C523" s="156"/>
      <c r="D523" s="158"/>
      <c r="E523" s="6"/>
      <c r="F523" s="6"/>
      <c r="G523" s="6"/>
      <c r="H523" s="6"/>
      <c r="I523" s="6"/>
      <c r="J523" s="6"/>
      <c r="K523" s="6"/>
      <c r="L523" s="6"/>
      <c r="M523" s="6"/>
      <c r="N523" s="6"/>
      <c r="O523" s="6"/>
      <c r="P523" s="6"/>
      <c r="Q523" s="6"/>
      <c r="R523" s="6"/>
      <c r="S523" s="6"/>
      <c r="T523" s="6"/>
      <c r="U523" s="6"/>
      <c r="V523" s="6"/>
      <c r="W523" s="6"/>
      <c r="X523" s="6"/>
      <c r="Y523" s="6"/>
      <c r="Z523" s="6"/>
    </row>
    <row r="524">
      <c r="A524" s="155"/>
      <c r="B524" s="156"/>
      <c r="C524" s="156"/>
      <c r="D524" s="158"/>
      <c r="E524" s="6"/>
      <c r="F524" s="6"/>
      <c r="G524" s="6"/>
      <c r="H524" s="6"/>
      <c r="I524" s="6"/>
      <c r="J524" s="6"/>
      <c r="K524" s="6"/>
      <c r="L524" s="6"/>
      <c r="M524" s="6"/>
      <c r="N524" s="6"/>
      <c r="O524" s="6"/>
      <c r="P524" s="6"/>
      <c r="Q524" s="6"/>
      <c r="R524" s="6"/>
      <c r="S524" s="6"/>
      <c r="T524" s="6"/>
      <c r="U524" s="6"/>
      <c r="V524" s="6"/>
      <c r="W524" s="6"/>
      <c r="X524" s="6"/>
      <c r="Y524" s="6"/>
      <c r="Z524" s="6"/>
    </row>
    <row r="525">
      <c r="A525" s="155"/>
      <c r="B525" s="156"/>
      <c r="C525" s="156"/>
      <c r="D525" s="158"/>
      <c r="E525" s="6"/>
      <c r="F525" s="6"/>
      <c r="G525" s="6"/>
      <c r="H525" s="6"/>
      <c r="I525" s="6"/>
      <c r="J525" s="6"/>
      <c r="K525" s="6"/>
      <c r="L525" s="6"/>
      <c r="M525" s="6"/>
      <c r="N525" s="6"/>
      <c r="O525" s="6"/>
      <c r="P525" s="6"/>
      <c r="Q525" s="6"/>
      <c r="R525" s="6"/>
      <c r="S525" s="6"/>
      <c r="T525" s="6"/>
      <c r="U525" s="6"/>
      <c r="V525" s="6"/>
      <c r="W525" s="6"/>
      <c r="X525" s="6"/>
      <c r="Y525" s="6"/>
      <c r="Z525" s="6"/>
    </row>
    <row r="526">
      <c r="A526" s="155"/>
      <c r="B526" s="156"/>
      <c r="C526" s="156"/>
      <c r="D526" s="158"/>
      <c r="E526" s="6"/>
      <c r="F526" s="6"/>
      <c r="G526" s="6"/>
      <c r="H526" s="6"/>
      <c r="I526" s="6"/>
      <c r="J526" s="6"/>
      <c r="K526" s="6"/>
      <c r="L526" s="6"/>
      <c r="M526" s="6"/>
      <c r="N526" s="6"/>
      <c r="O526" s="6"/>
      <c r="P526" s="6"/>
      <c r="Q526" s="6"/>
      <c r="R526" s="6"/>
      <c r="S526" s="6"/>
      <c r="T526" s="6"/>
      <c r="U526" s="6"/>
      <c r="V526" s="6"/>
      <c r="W526" s="6"/>
      <c r="X526" s="6"/>
      <c r="Y526" s="6"/>
      <c r="Z526" s="6"/>
    </row>
    <row r="527">
      <c r="A527" s="155"/>
      <c r="B527" s="156"/>
      <c r="C527" s="156"/>
      <c r="D527" s="158"/>
      <c r="E527" s="6"/>
      <c r="F527" s="6"/>
      <c r="G527" s="6"/>
      <c r="H527" s="6"/>
      <c r="I527" s="6"/>
      <c r="J527" s="6"/>
      <c r="K527" s="6"/>
      <c r="L527" s="6"/>
      <c r="M527" s="6"/>
      <c r="N527" s="6"/>
      <c r="O527" s="6"/>
      <c r="P527" s="6"/>
      <c r="Q527" s="6"/>
      <c r="R527" s="6"/>
      <c r="S527" s="6"/>
      <c r="T527" s="6"/>
      <c r="U527" s="6"/>
      <c r="V527" s="6"/>
      <c r="W527" s="6"/>
      <c r="X527" s="6"/>
      <c r="Y527" s="6"/>
      <c r="Z527" s="6"/>
    </row>
    <row r="528">
      <c r="A528" s="155"/>
      <c r="B528" s="156"/>
      <c r="C528" s="156"/>
      <c r="D528" s="158"/>
      <c r="E528" s="6"/>
      <c r="F528" s="6"/>
      <c r="G528" s="6"/>
      <c r="H528" s="6"/>
      <c r="I528" s="6"/>
      <c r="J528" s="6"/>
      <c r="K528" s="6"/>
      <c r="L528" s="6"/>
      <c r="M528" s="6"/>
      <c r="N528" s="6"/>
      <c r="O528" s="6"/>
      <c r="P528" s="6"/>
      <c r="Q528" s="6"/>
      <c r="R528" s="6"/>
      <c r="S528" s="6"/>
      <c r="T528" s="6"/>
      <c r="U528" s="6"/>
      <c r="V528" s="6"/>
      <c r="W528" s="6"/>
      <c r="X528" s="6"/>
      <c r="Y528" s="6"/>
      <c r="Z528" s="6"/>
    </row>
    <row r="529">
      <c r="A529" s="155"/>
      <c r="B529" s="156"/>
      <c r="C529" s="156"/>
      <c r="D529" s="158"/>
      <c r="E529" s="6"/>
      <c r="F529" s="6"/>
      <c r="G529" s="6"/>
      <c r="H529" s="6"/>
      <c r="I529" s="6"/>
      <c r="J529" s="6"/>
      <c r="K529" s="6"/>
      <c r="L529" s="6"/>
      <c r="M529" s="6"/>
      <c r="N529" s="6"/>
      <c r="O529" s="6"/>
      <c r="P529" s="6"/>
      <c r="Q529" s="6"/>
      <c r="R529" s="6"/>
      <c r="S529" s="6"/>
      <c r="T529" s="6"/>
      <c r="U529" s="6"/>
      <c r="V529" s="6"/>
      <c r="W529" s="6"/>
      <c r="X529" s="6"/>
      <c r="Y529" s="6"/>
      <c r="Z529" s="6"/>
    </row>
    <row r="530">
      <c r="A530" s="155"/>
      <c r="B530" s="156"/>
      <c r="C530" s="156"/>
      <c r="D530" s="158"/>
      <c r="E530" s="6"/>
      <c r="F530" s="6"/>
      <c r="G530" s="6"/>
      <c r="H530" s="6"/>
      <c r="I530" s="6"/>
      <c r="J530" s="6"/>
      <c r="K530" s="6"/>
      <c r="L530" s="6"/>
      <c r="M530" s="6"/>
      <c r="N530" s="6"/>
      <c r="O530" s="6"/>
      <c r="P530" s="6"/>
      <c r="Q530" s="6"/>
      <c r="R530" s="6"/>
      <c r="S530" s="6"/>
      <c r="T530" s="6"/>
      <c r="U530" s="6"/>
      <c r="V530" s="6"/>
      <c r="W530" s="6"/>
      <c r="X530" s="6"/>
      <c r="Y530" s="6"/>
      <c r="Z530" s="6"/>
    </row>
    <row r="531">
      <c r="A531" s="155"/>
      <c r="B531" s="156"/>
      <c r="C531" s="156"/>
      <c r="D531" s="158"/>
      <c r="E531" s="6"/>
      <c r="F531" s="6"/>
      <c r="G531" s="6"/>
      <c r="H531" s="6"/>
      <c r="I531" s="6"/>
      <c r="J531" s="6"/>
      <c r="K531" s="6"/>
      <c r="L531" s="6"/>
      <c r="M531" s="6"/>
      <c r="N531" s="6"/>
      <c r="O531" s="6"/>
      <c r="P531" s="6"/>
      <c r="Q531" s="6"/>
      <c r="R531" s="6"/>
      <c r="S531" s="6"/>
      <c r="T531" s="6"/>
      <c r="U531" s="6"/>
      <c r="V531" s="6"/>
      <c r="W531" s="6"/>
      <c r="X531" s="6"/>
      <c r="Y531" s="6"/>
      <c r="Z531" s="6"/>
    </row>
    <row r="532">
      <c r="A532" s="155"/>
      <c r="B532" s="156"/>
      <c r="C532" s="156"/>
      <c r="D532" s="158"/>
      <c r="E532" s="6"/>
      <c r="F532" s="6"/>
      <c r="G532" s="6"/>
      <c r="H532" s="6"/>
      <c r="I532" s="6"/>
      <c r="J532" s="6"/>
      <c r="K532" s="6"/>
      <c r="L532" s="6"/>
      <c r="M532" s="6"/>
      <c r="N532" s="6"/>
      <c r="O532" s="6"/>
      <c r="P532" s="6"/>
      <c r="Q532" s="6"/>
      <c r="R532" s="6"/>
      <c r="S532" s="6"/>
      <c r="T532" s="6"/>
      <c r="U532" s="6"/>
      <c r="V532" s="6"/>
      <c r="W532" s="6"/>
      <c r="X532" s="6"/>
      <c r="Y532" s="6"/>
      <c r="Z532" s="6"/>
    </row>
    <row r="533">
      <c r="A533" s="155"/>
      <c r="B533" s="156"/>
      <c r="C533" s="156"/>
      <c r="D533" s="158"/>
      <c r="E533" s="6"/>
      <c r="F533" s="6"/>
      <c r="G533" s="6"/>
      <c r="H533" s="6"/>
      <c r="I533" s="6"/>
      <c r="J533" s="6"/>
      <c r="K533" s="6"/>
      <c r="L533" s="6"/>
      <c r="M533" s="6"/>
      <c r="N533" s="6"/>
      <c r="O533" s="6"/>
      <c r="P533" s="6"/>
      <c r="Q533" s="6"/>
      <c r="R533" s="6"/>
      <c r="S533" s="6"/>
      <c r="T533" s="6"/>
      <c r="U533" s="6"/>
      <c r="V533" s="6"/>
      <c r="W533" s="6"/>
      <c r="X533" s="6"/>
      <c r="Y533" s="6"/>
      <c r="Z533" s="6"/>
    </row>
    <row r="534">
      <c r="A534" s="155"/>
      <c r="B534" s="156"/>
      <c r="C534" s="156"/>
      <c r="D534" s="158"/>
      <c r="E534" s="6"/>
      <c r="F534" s="6"/>
      <c r="G534" s="6"/>
      <c r="H534" s="6"/>
      <c r="I534" s="6"/>
      <c r="J534" s="6"/>
      <c r="K534" s="6"/>
      <c r="L534" s="6"/>
      <c r="M534" s="6"/>
      <c r="N534" s="6"/>
      <c r="O534" s="6"/>
      <c r="P534" s="6"/>
      <c r="Q534" s="6"/>
      <c r="R534" s="6"/>
      <c r="S534" s="6"/>
      <c r="T534" s="6"/>
      <c r="U534" s="6"/>
      <c r="V534" s="6"/>
      <c r="W534" s="6"/>
      <c r="X534" s="6"/>
      <c r="Y534" s="6"/>
      <c r="Z534" s="6"/>
    </row>
    <row r="535">
      <c r="A535" s="155"/>
      <c r="B535" s="156"/>
      <c r="C535" s="156"/>
      <c r="D535" s="158"/>
      <c r="E535" s="6"/>
      <c r="F535" s="6"/>
      <c r="G535" s="6"/>
      <c r="H535" s="6"/>
      <c r="I535" s="6"/>
      <c r="J535" s="6"/>
      <c r="K535" s="6"/>
      <c r="L535" s="6"/>
      <c r="M535" s="6"/>
      <c r="N535" s="6"/>
      <c r="O535" s="6"/>
      <c r="P535" s="6"/>
      <c r="Q535" s="6"/>
      <c r="R535" s="6"/>
      <c r="S535" s="6"/>
      <c r="T535" s="6"/>
      <c r="U535" s="6"/>
      <c r="V535" s="6"/>
      <c r="W535" s="6"/>
      <c r="X535" s="6"/>
      <c r="Y535" s="6"/>
      <c r="Z535" s="6"/>
    </row>
    <row r="536">
      <c r="A536" s="155"/>
      <c r="B536" s="156"/>
      <c r="C536" s="156"/>
      <c r="D536" s="158"/>
      <c r="E536" s="6"/>
      <c r="F536" s="6"/>
      <c r="G536" s="6"/>
      <c r="H536" s="6"/>
      <c r="I536" s="6"/>
      <c r="J536" s="6"/>
      <c r="K536" s="6"/>
      <c r="L536" s="6"/>
      <c r="M536" s="6"/>
      <c r="N536" s="6"/>
      <c r="O536" s="6"/>
      <c r="P536" s="6"/>
      <c r="Q536" s="6"/>
      <c r="R536" s="6"/>
      <c r="S536" s="6"/>
      <c r="T536" s="6"/>
      <c r="U536" s="6"/>
      <c r="V536" s="6"/>
      <c r="W536" s="6"/>
      <c r="X536" s="6"/>
      <c r="Y536" s="6"/>
      <c r="Z536" s="6"/>
    </row>
    <row r="537">
      <c r="A537" s="155"/>
      <c r="B537" s="156"/>
      <c r="C537" s="156"/>
      <c r="D537" s="158"/>
      <c r="E537" s="6"/>
      <c r="F537" s="6"/>
      <c r="G537" s="6"/>
      <c r="H537" s="6"/>
      <c r="I537" s="6"/>
      <c r="J537" s="6"/>
      <c r="K537" s="6"/>
      <c r="L537" s="6"/>
      <c r="M537" s="6"/>
      <c r="N537" s="6"/>
      <c r="O537" s="6"/>
      <c r="P537" s="6"/>
      <c r="Q537" s="6"/>
      <c r="R537" s="6"/>
      <c r="S537" s="6"/>
      <c r="T537" s="6"/>
      <c r="U537" s="6"/>
      <c r="V537" s="6"/>
      <c r="W537" s="6"/>
      <c r="X537" s="6"/>
      <c r="Y537" s="6"/>
      <c r="Z537" s="6"/>
    </row>
    <row r="538">
      <c r="A538" s="155"/>
      <c r="B538" s="156"/>
      <c r="C538" s="156"/>
      <c r="D538" s="158"/>
      <c r="E538" s="6"/>
      <c r="F538" s="6"/>
      <c r="G538" s="6"/>
      <c r="H538" s="6"/>
      <c r="I538" s="6"/>
      <c r="J538" s="6"/>
      <c r="K538" s="6"/>
      <c r="L538" s="6"/>
      <c r="M538" s="6"/>
      <c r="N538" s="6"/>
      <c r="O538" s="6"/>
      <c r="P538" s="6"/>
      <c r="Q538" s="6"/>
      <c r="R538" s="6"/>
      <c r="S538" s="6"/>
      <c r="T538" s="6"/>
      <c r="U538" s="6"/>
      <c r="V538" s="6"/>
      <c r="W538" s="6"/>
      <c r="X538" s="6"/>
      <c r="Y538" s="6"/>
      <c r="Z538" s="6"/>
    </row>
    <row r="539">
      <c r="A539" s="155"/>
      <c r="B539" s="156"/>
      <c r="C539" s="156"/>
      <c r="D539" s="158"/>
      <c r="E539" s="6"/>
      <c r="F539" s="6"/>
      <c r="G539" s="6"/>
      <c r="H539" s="6"/>
      <c r="I539" s="6"/>
      <c r="J539" s="6"/>
      <c r="K539" s="6"/>
      <c r="L539" s="6"/>
      <c r="M539" s="6"/>
      <c r="N539" s="6"/>
      <c r="O539" s="6"/>
      <c r="P539" s="6"/>
      <c r="Q539" s="6"/>
      <c r="R539" s="6"/>
      <c r="S539" s="6"/>
      <c r="T539" s="6"/>
      <c r="U539" s="6"/>
      <c r="V539" s="6"/>
      <c r="W539" s="6"/>
      <c r="X539" s="6"/>
      <c r="Y539" s="6"/>
      <c r="Z539" s="6"/>
    </row>
    <row r="540">
      <c r="A540" s="155"/>
      <c r="B540" s="156"/>
      <c r="C540" s="156"/>
      <c r="D540" s="158"/>
      <c r="E540" s="6"/>
      <c r="F540" s="6"/>
      <c r="G540" s="6"/>
      <c r="H540" s="6"/>
      <c r="I540" s="6"/>
      <c r="J540" s="6"/>
      <c r="K540" s="6"/>
      <c r="L540" s="6"/>
      <c r="M540" s="6"/>
      <c r="N540" s="6"/>
      <c r="O540" s="6"/>
      <c r="P540" s="6"/>
      <c r="Q540" s="6"/>
      <c r="R540" s="6"/>
      <c r="S540" s="6"/>
      <c r="T540" s="6"/>
      <c r="U540" s="6"/>
      <c r="V540" s="6"/>
      <c r="W540" s="6"/>
      <c r="X540" s="6"/>
      <c r="Y540" s="6"/>
      <c r="Z540" s="6"/>
    </row>
    <row r="541">
      <c r="A541" s="155"/>
      <c r="B541" s="156"/>
      <c r="C541" s="156"/>
      <c r="D541" s="158"/>
      <c r="E541" s="6"/>
      <c r="F541" s="6"/>
      <c r="G541" s="6"/>
      <c r="H541" s="6"/>
      <c r="I541" s="6"/>
      <c r="J541" s="6"/>
      <c r="K541" s="6"/>
      <c r="L541" s="6"/>
      <c r="M541" s="6"/>
      <c r="N541" s="6"/>
      <c r="O541" s="6"/>
      <c r="P541" s="6"/>
      <c r="Q541" s="6"/>
      <c r="R541" s="6"/>
      <c r="S541" s="6"/>
      <c r="T541" s="6"/>
      <c r="U541" s="6"/>
      <c r="V541" s="6"/>
      <c r="W541" s="6"/>
      <c r="X541" s="6"/>
      <c r="Y541" s="6"/>
      <c r="Z541" s="6"/>
    </row>
    <row r="542">
      <c r="A542" s="155"/>
      <c r="B542" s="156"/>
      <c r="C542" s="156"/>
      <c r="D542" s="158"/>
      <c r="E542" s="6"/>
      <c r="F542" s="6"/>
      <c r="G542" s="6"/>
      <c r="H542" s="6"/>
      <c r="I542" s="6"/>
      <c r="J542" s="6"/>
      <c r="K542" s="6"/>
      <c r="L542" s="6"/>
      <c r="M542" s="6"/>
      <c r="N542" s="6"/>
      <c r="O542" s="6"/>
      <c r="P542" s="6"/>
      <c r="Q542" s="6"/>
      <c r="R542" s="6"/>
      <c r="S542" s="6"/>
      <c r="T542" s="6"/>
      <c r="U542" s="6"/>
      <c r="V542" s="6"/>
      <c r="W542" s="6"/>
      <c r="X542" s="6"/>
      <c r="Y542" s="6"/>
      <c r="Z542" s="6"/>
    </row>
    <row r="543">
      <c r="A543" s="155"/>
      <c r="B543" s="156"/>
      <c r="C543" s="156"/>
      <c r="D543" s="158"/>
      <c r="E543" s="6"/>
      <c r="F543" s="6"/>
      <c r="G543" s="6"/>
      <c r="H543" s="6"/>
      <c r="I543" s="6"/>
      <c r="J543" s="6"/>
      <c r="K543" s="6"/>
      <c r="L543" s="6"/>
      <c r="M543" s="6"/>
      <c r="N543" s="6"/>
      <c r="O543" s="6"/>
      <c r="P543" s="6"/>
      <c r="Q543" s="6"/>
      <c r="R543" s="6"/>
      <c r="S543" s="6"/>
      <c r="T543" s="6"/>
      <c r="U543" s="6"/>
      <c r="V543" s="6"/>
      <c r="W543" s="6"/>
      <c r="X543" s="6"/>
      <c r="Y543" s="6"/>
      <c r="Z543" s="6"/>
    </row>
    <row r="544">
      <c r="A544" s="155"/>
      <c r="B544" s="156"/>
      <c r="C544" s="156"/>
      <c r="D544" s="158"/>
      <c r="E544" s="6"/>
      <c r="F544" s="6"/>
      <c r="G544" s="6"/>
      <c r="H544" s="6"/>
      <c r="I544" s="6"/>
      <c r="J544" s="6"/>
      <c r="K544" s="6"/>
      <c r="L544" s="6"/>
      <c r="M544" s="6"/>
      <c r="N544" s="6"/>
      <c r="O544" s="6"/>
      <c r="P544" s="6"/>
      <c r="Q544" s="6"/>
      <c r="R544" s="6"/>
      <c r="S544" s="6"/>
      <c r="T544" s="6"/>
      <c r="U544" s="6"/>
      <c r="V544" s="6"/>
      <c r="W544" s="6"/>
      <c r="X544" s="6"/>
      <c r="Y544" s="6"/>
      <c r="Z544" s="6"/>
    </row>
    <row r="545">
      <c r="A545" s="155"/>
      <c r="B545" s="156"/>
      <c r="C545" s="156"/>
      <c r="D545" s="158"/>
      <c r="E545" s="6"/>
      <c r="F545" s="6"/>
      <c r="G545" s="6"/>
      <c r="H545" s="6"/>
      <c r="I545" s="6"/>
      <c r="J545" s="6"/>
      <c r="K545" s="6"/>
      <c r="L545" s="6"/>
      <c r="M545" s="6"/>
      <c r="N545" s="6"/>
      <c r="O545" s="6"/>
      <c r="P545" s="6"/>
      <c r="Q545" s="6"/>
      <c r="R545" s="6"/>
      <c r="S545" s="6"/>
      <c r="T545" s="6"/>
      <c r="U545" s="6"/>
      <c r="V545" s="6"/>
      <c r="W545" s="6"/>
      <c r="X545" s="6"/>
      <c r="Y545" s="6"/>
      <c r="Z545" s="6"/>
    </row>
    <row r="546">
      <c r="A546" s="155"/>
      <c r="B546" s="156"/>
      <c r="C546" s="156"/>
      <c r="D546" s="158"/>
      <c r="E546" s="6"/>
      <c r="F546" s="6"/>
      <c r="G546" s="6"/>
      <c r="H546" s="6"/>
      <c r="I546" s="6"/>
      <c r="J546" s="6"/>
      <c r="K546" s="6"/>
      <c r="L546" s="6"/>
      <c r="M546" s="6"/>
      <c r="N546" s="6"/>
      <c r="O546" s="6"/>
      <c r="P546" s="6"/>
      <c r="Q546" s="6"/>
      <c r="R546" s="6"/>
      <c r="S546" s="6"/>
      <c r="T546" s="6"/>
      <c r="U546" s="6"/>
      <c r="V546" s="6"/>
      <c r="W546" s="6"/>
      <c r="X546" s="6"/>
      <c r="Y546" s="6"/>
      <c r="Z546" s="6"/>
    </row>
    <row r="547">
      <c r="A547" s="155"/>
      <c r="B547" s="156"/>
      <c r="C547" s="156"/>
      <c r="D547" s="158"/>
      <c r="E547" s="6"/>
      <c r="F547" s="6"/>
      <c r="G547" s="6"/>
      <c r="H547" s="6"/>
      <c r="I547" s="6"/>
      <c r="J547" s="6"/>
      <c r="K547" s="6"/>
      <c r="L547" s="6"/>
      <c r="M547" s="6"/>
      <c r="N547" s="6"/>
      <c r="O547" s="6"/>
      <c r="P547" s="6"/>
      <c r="Q547" s="6"/>
      <c r="R547" s="6"/>
      <c r="S547" s="6"/>
      <c r="T547" s="6"/>
      <c r="U547" s="6"/>
      <c r="V547" s="6"/>
      <c r="W547" s="6"/>
      <c r="X547" s="6"/>
      <c r="Y547" s="6"/>
      <c r="Z547" s="6"/>
    </row>
    <row r="548">
      <c r="A548" s="155"/>
      <c r="B548" s="156"/>
      <c r="C548" s="156"/>
      <c r="D548" s="158"/>
      <c r="E548" s="6"/>
      <c r="F548" s="6"/>
      <c r="G548" s="6"/>
      <c r="H548" s="6"/>
      <c r="I548" s="6"/>
      <c r="J548" s="6"/>
      <c r="K548" s="6"/>
      <c r="L548" s="6"/>
      <c r="M548" s="6"/>
      <c r="N548" s="6"/>
      <c r="O548" s="6"/>
      <c r="P548" s="6"/>
      <c r="Q548" s="6"/>
      <c r="R548" s="6"/>
      <c r="S548" s="6"/>
      <c r="T548" s="6"/>
      <c r="U548" s="6"/>
      <c r="V548" s="6"/>
      <c r="W548" s="6"/>
      <c r="X548" s="6"/>
      <c r="Y548" s="6"/>
      <c r="Z548" s="6"/>
    </row>
    <row r="549">
      <c r="A549" s="155"/>
      <c r="B549" s="156"/>
      <c r="C549" s="156"/>
      <c r="D549" s="158"/>
      <c r="E549" s="6"/>
      <c r="F549" s="6"/>
      <c r="G549" s="6"/>
      <c r="H549" s="6"/>
      <c r="I549" s="6"/>
      <c r="J549" s="6"/>
      <c r="K549" s="6"/>
      <c r="L549" s="6"/>
      <c r="M549" s="6"/>
      <c r="N549" s="6"/>
      <c r="O549" s="6"/>
      <c r="P549" s="6"/>
      <c r="Q549" s="6"/>
      <c r="R549" s="6"/>
      <c r="S549" s="6"/>
      <c r="T549" s="6"/>
      <c r="U549" s="6"/>
      <c r="V549" s="6"/>
      <c r="W549" s="6"/>
      <c r="X549" s="6"/>
      <c r="Y549" s="6"/>
      <c r="Z549" s="6"/>
    </row>
    <row r="550">
      <c r="A550" s="155"/>
      <c r="B550" s="156"/>
      <c r="C550" s="156"/>
      <c r="D550" s="158"/>
      <c r="E550" s="6"/>
      <c r="F550" s="6"/>
      <c r="G550" s="6"/>
      <c r="H550" s="6"/>
      <c r="I550" s="6"/>
      <c r="J550" s="6"/>
      <c r="K550" s="6"/>
      <c r="L550" s="6"/>
      <c r="M550" s="6"/>
      <c r="N550" s="6"/>
      <c r="O550" s="6"/>
      <c r="P550" s="6"/>
      <c r="Q550" s="6"/>
      <c r="R550" s="6"/>
      <c r="S550" s="6"/>
      <c r="T550" s="6"/>
      <c r="U550" s="6"/>
      <c r="V550" s="6"/>
      <c r="W550" s="6"/>
      <c r="X550" s="6"/>
      <c r="Y550" s="6"/>
      <c r="Z550" s="6"/>
    </row>
    <row r="551">
      <c r="A551" s="155"/>
      <c r="B551" s="156"/>
      <c r="C551" s="156"/>
      <c r="D551" s="158"/>
      <c r="E551" s="6"/>
      <c r="F551" s="6"/>
      <c r="G551" s="6"/>
      <c r="H551" s="6"/>
      <c r="I551" s="6"/>
      <c r="J551" s="6"/>
      <c r="K551" s="6"/>
      <c r="L551" s="6"/>
      <c r="M551" s="6"/>
      <c r="N551" s="6"/>
      <c r="O551" s="6"/>
      <c r="P551" s="6"/>
      <c r="Q551" s="6"/>
      <c r="R551" s="6"/>
      <c r="S551" s="6"/>
      <c r="T551" s="6"/>
      <c r="U551" s="6"/>
      <c r="V551" s="6"/>
      <c r="W551" s="6"/>
      <c r="X551" s="6"/>
      <c r="Y551" s="6"/>
      <c r="Z551" s="6"/>
    </row>
    <row r="552">
      <c r="A552" s="155"/>
      <c r="B552" s="156"/>
      <c r="C552" s="156"/>
      <c r="D552" s="158"/>
      <c r="E552" s="6"/>
      <c r="F552" s="6"/>
      <c r="G552" s="6"/>
      <c r="H552" s="6"/>
      <c r="I552" s="6"/>
      <c r="J552" s="6"/>
      <c r="K552" s="6"/>
      <c r="L552" s="6"/>
      <c r="M552" s="6"/>
      <c r="N552" s="6"/>
      <c r="O552" s="6"/>
      <c r="P552" s="6"/>
      <c r="Q552" s="6"/>
      <c r="R552" s="6"/>
      <c r="S552" s="6"/>
      <c r="T552" s="6"/>
      <c r="U552" s="6"/>
      <c r="V552" s="6"/>
      <c r="W552" s="6"/>
      <c r="X552" s="6"/>
      <c r="Y552" s="6"/>
      <c r="Z552" s="6"/>
    </row>
    <row r="553">
      <c r="A553" s="155"/>
      <c r="B553" s="156"/>
      <c r="C553" s="156"/>
      <c r="D553" s="158"/>
      <c r="E553" s="6"/>
      <c r="F553" s="6"/>
      <c r="G553" s="6"/>
      <c r="H553" s="6"/>
      <c r="I553" s="6"/>
      <c r="J553" s="6"/>
      <c r="K553" s="6"/>
      <c r="L553" s="6"/>
      <c r="M553" s="6"/>
      <c r="N553" s="6"/>
      <c r="O553" s="6"/>
      <c r="P553" s="6"/>
      <c r="Q553" s="6"/>
      <c r="R553" s="6"/>
      <c r="S553" s="6"/>
      <c r="T553" s="6"/>
      <c r="U553" s="6"/>
      <c r="V553" s="6"/>
      <c r="W553" s="6"/>
      <c r="X553" s="6"/>
      <c r="Y553" s="6"/>
      <c r="Z553" s="6"/>
    </row>
    <row r="554">
      <c r="A554" s="155"/>
      <c r="B554" s="156"/>
      <c r="C554" s="156"/>
      <c r="D554" s="158"/>
      <c r="E554" s="6"/>
      <c r="F554" s="6"/>
      <c r="G554" s="6"/>
      <c r="H554" s="6"/>
      <c r="I554" s="6"/>
      <c r="J554" s="6"/>
      <c r="K554" s="6"/>
      <c r="L554" s="6"/>
      <c r="M554" s="6"/>
      <c r="N554" s="6"/>
      <c r="O554" s="6"/>
      <c r="P554" s="6"/>
      <c r="Q554" s="6"/>
      <c r="R554" s="6"/>
      <c r="S554" s="6"/>
      <c r="T554" s="6"/>
      <c r="U554" s="6"/>
      <c r="V554" s="6"/>
      <c r="W554" s="6"/>
      <c r="X554" s="6"/>
      <c r="Y554" s="6"/>
      <c r="Z554" s="6"/>
    </row>
    <row r="555">
      <c r="A555" s="155"/>
      <c r="B555" s="156"/>
      <c r="C555" s="156"/>
      <c r="D555" s="158"/>
      <c r="E555" s="6"/>
      <c r="F555" s="6"/>
      <c r="G555" s="6"/>
      <c r="H555" s="6"/>
      <c r="I555" s="6"/>
      <c r="J555" s="6"/>
      <c r="K555" s="6"/>
      <c r="L555" s="6"/>
      <c r="M555" s="6"/>
      <c r="N555" s="6"/>
      <c r="O555" s="6"/>
      <c r="P555" s="6"/>
      <c r="Q555" s="6"/>
      <c r="R555" s="6"/>
      <c r="S555" s="6"/>
      <c r="T555" s="6"/>
      <c r="U555" s="6"/>
      <c r="V555" s="6"/>
      <c r="W555" s="6"/>
      <c r="X555" s="6"/>
      <c r="Y555" s="6"/>
      <c r="Z555" s="6"/>
    </row>
    <row r="556">
      <c r="A556" s="155"/>
      <c r="B556" s="156"/>
      <c r="C556" s="156"/>
      <c r="D556" s="158"/>
      <c r="E556" s="6"/>
      <c r="F556" s="6"/>
      <c r="G556" s="6"/>
      <c r="H556" s="6"/>
      <c r="I556" s="6"/>
      <c r="J556" s="6"/>
      <c r="K556" s="6"/>
      <c r="L556" s="6"/>
      <c r="M556" s="6"/>
      <c r="N556" s="6"/>
      <c r="O556" s="6"/>
      <c r="P556" s="6"/>
      <c r="Q556" s="6"/>
      <c r="R556" s="6"/>
      <c r="S556" s="6"/>
      <c r="T556" s="6"/>
      <c r="U556" s="6"/>
      <c r="V556" s="6"/>
      <c r="W556" s="6"/>
      <c r="X556" s="6"/>
      <c r="Y556" s="6"/>
      <c r="Z556" s="6"/>
    </row>
    <row r="557">
      <c r="A557" s="155"/>
      <c r="B557" s="156"/>
      <c r="C557" s="156"/>
      <c r="D557" s="158"/>
      <c r="E557" s="6"/>
      <c r="F557" s="6"/>
      <c r="G557" s="6"/>
      <c r="H557" s="6"/>
      <c r="I557" s="6"/>
      <c r="J557" s="6"/>
      <c r="K557" s="6"/>
      <c r="L557" s="6"/>
      <c r="M557" s="6"/>
      <c r="N557" s="6"/>
      <c r="O557" s="6"/>
      <c r="P557" s="6"/>
      <c r="Q557" s="6"/>
      <c r="R557" s="6"/>
      <c r="S557" s="6"/>
      <c r="T557" s="6"/>
      <c r="U557" s="6"/>
      <c r="V557" s="6"/>
      <c r="W557" s="6"/>
      <c r="X557" s="6"/>
      <c r="Y557" s="6"/>
      <c r="Z557" s="6"/>
    </row>
    <row r="558">
      <c r="A558" s="155"/>
      <c r="B558" s="156"/>
      <c r="C558" s="156"/>
      <c r="D558" s="158"/>
      <c r="E558" s="6"/>
      <c r="F558" s="6"/>
      <c r="G558" s="6"/>
      <c r="H558" s="6"/>
      <c r="I558" s="6"/>
      <c r="J558" s="6"/>
      <c r="K558" s="6"/>
      <c r="L558" s="6"/>
      <c r="M558" s="6"/>
      <c r="N558" s="6"/>
      <c r="O558" s="6"/>
      <c r="P558" s="6"/>
      <c r="Q558" s="6"/>
      <c r="R558" s="6"/>
      <c r="S558" s="6"/>
      <c r="T558" s="6"/>
      <c r="U558" s="6"/>
      <c r="V558" s="6"/>
      <c r="W558" s="6"/>
      <c r="X558" s="6"/>
      <c r="Y558" s="6"/>
      <c r="Z558" s="6"/>
    </row>
    <row r="559">
      <c r="A559" s="155"/>
      <c r="B559" s="156"/>
      <c r="C559" s="156"/>
      <c r="D559" s="158"/>
      <c r="E559" s="6"/>
      <c r="F559" s="6"/>
      <c r="G559" s="6"/>
      <c r="H559" s="6"/>
      <c r="I559" s="6"/>
      <c r="J559" s="6"/>
      <c r="K559" s="6"/>
      <c r="L559" s="6"/>
      <c r="M559" s="6"/>
      <c r="N559" s="6"/>
      <c r="O559" s="6"/>
      <c r="P559" s="6"/>
      <c r="Q559" s="6"/>
      <c r="R559" s="6"/>
      <c r="S559" s="6"/>
      <c r="T559" s="6"/>
      <c r="U559" s="6"/>
      <c r="V559" s="6"/>
      <c r="W559" s="6"/>
      <c r="X559" s="6"/>
      <c r="Y559" s="6"/>
      <c r="Z559" s="6"/>
    </row>
    <row r="560">
      <c r="A560" s="155"/>
      <c r="B560" s="156"/>
      <c r="C560" s="156"/>
      <c r="D560" s="158"/>
      <c r="E560" s="6"/>
      <c r="F560" s="6"/>
      <c r="G560" s="6"/>
      <c r="H560" s="6"/>
      <c r="I560" s="6"/>
      <c r="J560" s="6"/>
      <c r="K560" s="6"/>
      <c r="L560" s="6"/>
      <c r="M560" s="6"/>
      <c r="N560" s="6"/>
      <c r="O560" s="6"/>
      <c r="P560" s="6"/>
      <c r="Q560" s="6"/>
      <c r="R560" s="6"/>
      <c r="S560" s="6"/>
      <c r="T560" s="6"/>
      <c r="U560" s="6"/>
      <c r="V560" s="6"/>
      <c r="W560" s="6"/>
      <c r="X560" s="6"/>
      <c r="Y560" s="6"/>
      <c r="Z560" s="6"/>
    </row>
    <row r="561">
      <c r="A561" s="155"/>
      <c r="B561" s="156"/>
      <c r="C561" s="156"/>
      <c r="D561" s="158"/>
      <c r="E561" s="6"/>
      <c r="F561" s="6"/>
      <c r="G561" s="6"/>
      <c r="H561" s="6"/>
      <c r="I561" s="6"/>
      <c r="J561" s="6"/>
      <c r="K561" s="6"/>
      <c r="L561" s="6"/>
      <c r="M561" s="6"/>
      <c r="N561" s="6"/>
      <c r="O561" s="6"/>
      <c r="P561" s="6"/>
      <c r="Q561" s="6"/>
      <c r="R561" s="6"/>
      <c r="S561" s="6"/>
      <c r="T561" s="6"/>
      <c r="U561" s="6"/>
      <c r="V561" s="6"/>
      <c r="W561" s="6"/>
      <c r="X561" s="6"/>
      <c r="Y561" s="6"/>
      <c r="Z561" s="6"/>
    </row>
    <row r="562">
      <c r="A562" s="155"/>
      <c r="B562" s="156"/>
      <c r="C562" s="156"/>
      <c r="D562" s="158"/>
      <c r="E562" s="6"/>
      <c r="F562" s="6"/>
      <c r="G562" s="6"/>
      <c r="H562" s="6"/>
      <c r="I562" s="6"/>
      <c r="J562" s="6"/>
      <c r="K562" s="6"/>
      <c r="L562" s="6"/>
      <c r="M562" s="6"/>
      <c r="N562" s="6"/>
      <c r="O562" s="6"/>
      <c r="P562" s="6"/>
      <c r="Q562" s="6"/>
      <c r="R562" s="6"/>
      <c r="S562" s="6"/>
      <c r="T562" s="6"/>
      <c r="U562" s="6"/>
      <c r="V562" s="6"/>
      <c r="W562" s="6"/>
      <c r="X562" s="6"/>
      <c r="Y562" s="6"/>
      <c r="Z562" s="6"/>
    </row>
    <row r="563">
      <c r="A563" s="155"/>
      <c r="B563" s="156"/>
      <c r="C563" s="156"/>
      <c r="D563" s="158"/>
      <c r="E563" s="6"/>
      <c r="F563" s="6"/>
      <c r="G563" s="6"/>
      <c r="H563" s="6"/>
      <c r="I563" s="6"/>
      <c r="J563" s="6"/>
      <c r="K563" s="6"/>
      <c r="L563" s="6"/>
      <c r="M563" s="6"/>
      <c r="N563" s="6"/>
      <c r="O563" s="6"/>
      <c r="P563" s="6"/>
      <c r="Q563" s="6"/>
      <c r="R563" s="6"/>
      <c r="S563" s="6"/>
      <c r="T563" s="6"/>
      <c r="U563" s="6"/>
      <c r="V563" s="6"/>
      <c r="W563" s="6"/>
      <c r="X563" s="6"/>
      <c r="Y563" s="6"/>
      <c r="Z563" s="6"/>
    </row>
    <row r="564">
      <c r="A564" s="155"/>
      <c r="B564" s="156"/>
      <c r="C564" s="156"/>
      <c r="D564" s="158"/>
      <c r="E564" s="6"/>
      <c r="F564" s="6"/>
      <c r="G564" s="6"/>
      <c r="H564" s="6"/>
      <c r="I564" s="6"/>
      <c r="J564" s="6"/>
      <c r="K564" s="6"/>
      <c r="L564" s="6"/>
      <c r="M564" s="6"/>
      <c r="N564" s="6"/>
      <c r="O564" s="6"/>
      <c r="P564" s="6"/>
      <c r="Q564" s="6"/>
      <c r="R564" s="6"/>
      <c r="S564" s="6"/>
      <c r="T564" s="6"/>
      <c r="U564" s="6"/>
      <c r="V564" s="6"/>
      <c r="W564" s="6"/>
      <c r="X564" s="6"/>
      <c r="Y564" s="6"/>
      <c r="Z564" s="6"/>
    </row>
    <row r="565">
      <c r="A565" s="155"/>
      <c r="B565" s="156"/>
      <c r="C565" s="156"/>
      <c r="D565" s="158"/>
      <c r="E565" s="6"/>
      <c r="F565" s="6"/>
      <c r="G565" s="6"/>
      <c r="H565" s="6"/>
      <c r="I565" s="6"/>
      <c r="J565" s="6"/>
      <c r="K565" s="6"/>
      <c r="L565" s="6"/>
      <c r="M565" s="6"/>
      <c r="N565" s="6"/>
      <c r="O565" s="6"/>
      <c r="P565" s="6"/>
      <c r="Q565" s="6"/>
      <c r="R565" s="6"/>
      <c r="S565" s="6"/>
      <c r="T565" s="6"/>
      <c r="U565" s="6"/>
      <c r="V565" s="6"/>
      <c r="W565" s="6"/>
      <c r="X565" s="6"/>
      <c r="Y565" s="6"/>
      <c r="Z565" s="6"/>
    </row>
    <row r="566">
      <c r="A566" s="155"/>
      <c r="B566" s="156"/>
      <c r="C566" s="156"/>
      <c r="D566" s="158"/>
      <c r="E566" s="6"/>
      <c r="F566" s="6"/>
      <c r="G566" s="6"/>
      <c r="H566" s="6"/>
      <c r="I566" s="6"/>
      <c r="J566" s="6"/>
      <c r="K566" s="6"/>
      <c r="L566" s="6"/>
      <c r="M566" s="6"/>
      <c r="N566" s="6"/>
      <c r="O566" s="6"/>
      <c r="P566" s="6"/>
      <c r="Q566" s="6"/>
      <c r="R566" s="6"/>
      <c r="S566" s="6"/>
      <c r="T566" s="6"/>
      <c r="U566" s="6"/>
      <c r="V566" s="6"/>
      <c r="W566" s="6"/>
      <c r="X566" s="6"/>
      <c r="Y566" s="6"/>
      <c r="Z566" s="6"/>
    </row>
    <row r="567">
      <c r="A567" s="155"/>
      <c r="B567" s="156"/>
      <c r="C567" s="156"/>
      <c r="D567" s="158"/>
      <c r="E567" s="6"/>
      <c r="F567" s="6"/>
      <c r="G567" s="6"/>
      <c r="H567" s="6"/>
      <c r="I567" s="6"/>
      <c r="J567" s="6"/>
      <c r="K567" s="6"/>
      <c r="L567" s="6"/>
      <c r="M567" s="6"/>
      <c r="N567" s="6"/>
      <c r="O567" s="6"/>
      <c r="P567" s="6"/>
      <c r="Q567" s="6"/>
      <c r="R567" s="6"/>
      <c r="S567" s="6"/>
      <c r="T567" s="6"/>
      <c r="U567" s="6"/>
      <c r="V567" s="6"/>
      <c r="W567" s="6"/>
      <c r="X567" s="6"/>
      <c r="Y567" s="6"/>
      <c r="Z567" s="6"/>
    </row>
    <row r="568">
      <c r="A568" s="155"/>
      <c r="B568" s="156"/>
      <c r="C568" s="156"/>
      <c r="D568" s="158"/>
      <c r="E568" s="6"/>
      <c r="F568" s="6"/>
      <c r="G568" s="6"/>
      <c r="H568" s="6"/>
      <c r="I568" s="6"/>
      <c r="J568" s="6"/>
      <c r="K568" s="6"/>
      <c r="L568" s="6"/>
      <c r="M568" s="6"/>
      <c r="N568" s="6"/>
      <c r="O568" s="6"/>
      <c r="P568" s="6"/>
      <c r="Q568" s="6"/>
      <c r="R568" s="6"/>
      <c r="S568" s="6"/>
      <c r="T568" s="6"/>
      <c r="U568" s="6"/>
      <c r="V568" s="6"/>
      <c r="W568" s="6"/>
      <c r="X568" s="6"/>
      <c r="Y568" s="6"/>
      <c r="Z568" s="6"/>
    </row>
    <row r="569">
      <c r="A569" s="155"/>
      <c r="B569" s="156"/>
      <c r="C569" s="156"/>
      <c r="D569" s="158"/>
      <c r="E569" s="6"/>
      <c r="F569" s="6"/>
      <c r="G569" s="6"/>
      <c r="H569" s="6"/>
      <c r="I569" s="6"/>
      <c r="J569" s="6"/>
      <c r="K569" s="6"/>
      <c r="L569" s="6"/>
      <c r="M569" s="6"/>
      <c r="N569" s="6"/>
      <c r="O569" s="6"/>
      <c r="P569" s="6"/>
      <c r="Q569" s="6"/>
      <c r="R569" s="6"/>
      <c r="S569" s="6"/>
      <c r="T569" s="6"/>
      <c r="U569" s="6"/>
      <c r="V569" s="6"/>
      <c r="W569" s="6"/>
      <c r="X569" s="6"/>
      <c r="Y569" s="6"/>
      <c r="Z569" s="6"/>
    </row>
    <row r="570">
      <c r="A570" s="155"/>
      <c r="B570" s="156"/>
      <c r="C570" s="156"/>
      <c r="D570" s="158"/>
      <c r="E570" s="6"/>
      <c r="F570" s="6"/>
      <c r="G570" s="6"/>
      <c r="H570" s="6"/>
      <c r="I570" s="6"/>
      <c r="J570" s="6"/>
      <c r="K570" s="6"/>
      <c r="L570" s="6"/>
      <c r="M570" s="6"/>
      <c r="N570" s="6"/>
      <c r="O570" s="6"/>
      <c r="P570" s="6"/>
      <c r="Q570" s="6"/>
      <c r="R570" s="6"/>
      <c r="S570" s="6"/>
      <c r="T570" s="6"/>
      <c r="U570" s="6"/>
      <c r="V570" s="6"/>
      <c r="W570" s="6"/>
      <c r="X570" s="6"/>
      <c r="Y570" s="6"/>
      <c r="Z570" s="6"/>
    </row>
    <row r="571">
      <c r="A571" s="155"/>
      <c r="B571" s="156"/>
      <c r="C571" s="156"/>
      <c r="D571" s="158"/>
      <c r="E571" s="6"/>
      <c r="F571" s="6"/>
      <c r="G571" s="6"/>
      <c r="H571" s="6"/>
      <c r="I571" s="6"/>
      <c r="J571" s="6"/>
      <c r="K571" s="6"/>
      <c r="L571" s="6"/>
      <c r="M571" s="6"/>
      <c r="N571" s="6"/>
      <c r="O571" s="6"/>
      <c r="P571" s="6"/>
      <c r="Q571" s="6"/>
      <c r="R571" s="6"/>
      <c r="S571" s="6"/>
      <c r="T571" s="6"/>
      <c r="U571" s="6"/>
      <c r="V571" s="6"/>
      <c r="W571" s="6"/>
      <c r="X571" s="6"/>
      <c r="Y571" s="6"/>
      <c r="Z571" s="6"/>
    </row>
    <row r="572">
      <c r="A572" s="155"/>
      <c r="B572" s="156"/>
      <c r="C572" s="156"/>
      <c r="D572" s="158"/>
      <c r="E572" s="6"/>
      <c r="F572" s="6"/>
      <c r="G572" s="6"/>
      <c r="H572" s="6"/>
      <c r="I572" s="6"/>
      <c r="J572" s="6"/>
      <c r="K572" s="6"/>
      <c r="L572" s="6"/>
      <c r="M572" s="6"/>
      <c r="N572" s="6"/>
      <c r="O572" s="6"/>
      <c r="P572" s="6"/>
      <c r="Q572" s="6"/>
      <c r="R572" s="6"/>
      <c r="S572" s="6"/>
      <c r="T572" s="6"/>
      <c r="U572" s="6"/>
      <c r="V572" s="6"/>
      <c r="W572" s="6"/>
      <c r="X572" s="6"/>
      <c r="Y572" s="6"/>
      <c r="Z572" s="6"/>
    </row>
    <row r="573">
      <c r="A573" s="155"/>
      <c r="B573" s="156"/>
      <c r="C573" s="156"/>
      <c r="D573" s="158"/>
      <c r="E573" s="6"/>
      <c r="F573" s="6"/>
      <c r="G573" s="6"/>
      <c r="H573" s="6"/>
      <c r="I573" s="6"/>
      <c r="J573" s="6"/>
      <c r="K573" s="6"/>
      <c r="L573" s="6"/>
      <c r="M573" s="6"/>
      <c r="N573" s="6"/>
      <c r="O573" s="6"/>
      <c r="P573" s="6"/>
      <c r="Q573" s="6"/>
      <c r="R573" s="6"/>
      <c r="S573" s="6"/>
      <c r="T573" s="6"/>
      <c r="U573" s="6"/>
      <c r="V573" s="6"/>
      <c r="W573" s="6"/>
      <c r="X573" s="6"/>
      <c r="Y573" s="6"/>
      <c r="Z573" s="6"/>
    </row>
    <row r="574">
      <c r="A574" s="155"/>
      <c r="B574" s="156"/>
      <c r="C574" s="156"/>
      <c r="D574" s="158"/>
      <c r="E574" s="6"/>
      <c r="F574" s="6"/>
      <c r="G574" s="6"/>
      <c r="H574" s="6"/>
      <c r="I574" s="6"/>
      <c r="J574" s="6"/>
      <c r="K574" s="6"/>
      <c r="L574" s="6"/>
      <c r="M574" s="6"/>
      <c r="N574" s="6"/>
      <c r="O574" s="6"/>
      <c r="P574" s="6"/>
      <c r="Q574" s="6"/>
      <c r="R574" s="6"/>
      <c r="S574" s="6"/>
      <c r="T574" s="6"/>
      <c r="U574" s="6"/>
      <c r="V574" s="6"/>
      <c r="W574" s="6"/>
      <c r="X574" s="6"/>
      <c r="Y574" s="6"/>
      <c r="Z574" s="6"/>
    </row>
    <row r="575">
      <c r="A575" s="155"/>
      <c r="B575" s="156"/>
      <c r="C575" s="156"/>
      <c r="D575" s="158"/>
      <c r="E575" s="6"/>
      <c r="F575" s="6"/>
      <c r="G575" s="6"/>
      <c r="H575" s="6"/>
      <c r="I575" s="6"/>
      <c r="J575" s="6"/>
      <c r="K575" s="6"/>
      <c r="L575" s="6"/>
      <c r="M575" s="6"/>
      <c r="N575" s="6"/>
      <c r="O575" s="6"/>
      <c r="P575" s="6"/>
      <c r="Q575" s="6"/>
      <c r="R575" s="6"/>
      <c r="S575" s="6"/>
      <c r="T575" s="6"/>
      <c r="U575" s="6"/>
      <c r="V575" s="6"/>
      <c r="W575" s="6"/>
      <c r="X575" s="6"/>
      <c r="Y575" s="6"/>
      <c r="Z575" s="6"/>
    </row>
    <row r="576">
      <c r="A576" s="155"/>
      <c r="B576" s="156"/>
      <c r="C576" s="156"/>
      <c r="D576" s="158"/>
      <c r="E576" s="6"/>
      <c r="F576" s="6"/>
      <c r="G576" s="6"/>
      <c r="H576" s="6"/>
      <c r="I576" s="6"/>
      <c r="J576" s="6"/>
      <c r="K576" s="6"/>
      <c r="L576" s="6"/>
      <c r="M576" s="6"/>
      <c r="N576" s="6"/>
      <c r="O576" s="6"/>
      <c r="P576" s="6"/>
      <c r="Q576" s="6"/>
      <c r="R576" s="6"/>
      <c r="S576" s="6"/>
      <c r="T576" s="6"/>
      <c r="U576" s="6"/>
      <c r="V576" s="6"/>
      <c r="W576" s="6"/>
      <c r="X576" s="6"/>
      <c r="Y576" s="6"/>
      <c r="Z576" s="6"/>
    </row>
    <row r="577">
      <c r="A577" s="155"/>
      <c r="B577" s="156"/>
      <c r="C577" s="156"/>
      <c r="D577" s="158"/>
      <c r="E577" s="6"/>
      <c r="F577" s="6"/>
      <c r="G577" s="6"/>
      <c r="H577" s="6"/>
      <c r="I577" s="6"/>
      <c r="J577" s="6"/>
      <c r="K577" s="6"/>
      <c r="L577" s="6"/>
      <c r="M577" s="6"/>
      <c r="N577" s="6"/>
      <c r="O577" s="6"/>
      <c r="P577" s="6"/>
      <c r="Q577" s="6"/>
      <c r="R577" s="6"/>
      <c r="S577" s="6"/>
      <c r="T577" s="6"/>
      <c r="U577" s="6"/>
      <c r="V577" s="6"/>
      <c r="W577" s="6"/>
      <c r="X577" s="6"/>
      <c r="Y577" s="6"/>
      <c r="Z577" s="6"/>
    </row>
    <row r="578">
      <c r="A578" s="155"/>
      <c r="B578" s="156"/>
      <c r="C578" s="156"/>
      <c r="D578" s="158"/>
      <c r="E578" s="6"/>
      <c r="F578" s="6"/>
      <c r="G578" s="6"/>
      <c r="H578" s="6"/>
      <c r="I578" s="6"/>
      <c r="J578" s="6"/>
      <c r="K578" s="6"/>
      <c r="L578" s="6"/>
      <c r="M578" s="6"/>
      <c r="N578" s="6"/>
      <c r="O578" s="6"/>
      <c r="P578" s="6"/>
      <c r="Q578" s="6"/>
      <c r="R578" s="6"/>
      <c r="S578" s="6"/>
      <c r="T578" s="6"/>
      <c r="U578" s="6"/>
      <c r="V578" s="6"/>
      <c r="W578" s="6"/>
      <c r="X578" s="6"/>
      <c r="Y578" s="6"/>
      <c r="Z578" s="6"/>
    </row>
    <row r="579">
      <c r="A579" s="155"/>
      <c r="B579" s="156"/>
      <c r="C579" s="156"/>
      <c r="D579" s="158"/>
      <c r="E579" s="6"/>
      <c r="F579" s="6"/>
      <c r="G579" s="6"/>
      <c r="H579" s="6"/>
      <c r="I579" s="6"/>
      <c r="J579" s="6"/>
      <c r="K579" s="6"/>
      <c r="L579" s="6"/>
      <c r="M579" s="6"/>
      <c r="N579" s="6"/>
      <c r="O579" s="6"/>
      <c r="P579" s="6"/>
      <c r="Q579" s="6"/>
      <c r="R579" s="6"/>
      <c r="S579" s="6"/>
      <c r="T579" s="6"/>
      <c r="U579" s="6"/>
      <c r="V579" s="6"/>
      <c r="W579" s="6"/>
      <c r="X579" s="6"/>
      <c r="Y579" s="6"/>
      <c r="Z579" s="6"/>
    </row>
    <row r="580">
      <c r="A580" s="155"/>
      <c r="B580" s="156"/>
      <c r="C580" s="156"/>
      <c r="D580" s="158"/>
      <c r="E580" s="6"/>
      <c r="F580" s="6"/>
      <c r="G580" s="6"/>
      <c r="H580" s="6"/>
      <c r="I580" s="6"/>
      <c r="J580" s="6"/>
      <c r="K580" s="6"/>
      <c r="L580" s="6"/>
      <c r="M580" s="6"/>
      <c r="N580" s="6"/>
      <c r="O580" s="6"/>
      <c r="P580" s="6"/>
      <c r="Q580" s="6"/>
      <c r="R580" s="6"/>
      <c r="S580" s="6"/>
      <c r="T580" s="6"/>
      <c r="U580" s="6"/>
      <c r="V580" s="6"/>
      <c r="W580" s="6"/>
      <c r="X580" s="6"/>
      <c r="Y580" s="6"/>
      <c r="Z580" s="6"/>
    </row>
    <row r="581">
      <c r="A581" s="155"/>
      <c r="B581" s="156"/>
      <c r="C581" s="156"/>
      <c r="D581" s="158"/>
      <c r="E581" s="6"/>
      <c r="F581" s="6"/>
      <c r="G581" s="6"/>
      <c r="H581" s="6"/>
      <c r="I581" s="6"/>
      <c r="J581" s="6"/>
      <c r="K581" s="6"/>
      <c r="L581" s="6"/>
      <c r="M581" s="6"/>
      <c r="N581" s="6"/>
      <c r="O581" s="6"/>
      <c r="P581" s="6"/>
      <c r="Q581" s="6"/>
      <c r="R581" s="6"/>
      <c r="S581" s="6"/>
      <c r="T581" s="6"/>
      <c r="U581" s="6"/>
      <c r="V581" s="6"/>
      <c r="W581" s="6"/>
      <c r="X581" s="6"/>
      <c r="Y581" s="6"/>
      <c r="Z581" s="6"/>
    </row>
    <row r="582">
      <c r="A582" s="155"/>
      <c r="B582" s="156"/>
      <c r="C582" s="156"/>
      <c r="D582" s="158"/>
      <c r="E582" s="6"/>
      <c r="F582" s="6"/>
      <c r="G582" s="6"/>
      <c r="H582" s="6"/>
      <c r="I582" s="6"/>
      <c r="J582" s="6"/>
      <c r="K582" s="6"/>
      <c r="L582" s="6"/>
      <c r="M582" s="6"/>
      <c r="N582" s="6"/>
      <c r="O582" s="6"/>
      <c r="P582" s="6"/>
      <c r="Q582" s="6"/>
      <c r="R582" s="6"/>
      <c r="S582" s="6"/>
      <c r="T582" s="6"/>
      <c r="U582" s="6"/>
      <c r="V582" s="6"/>
      <c r="W582" s="6"/>
      <c r="X582" s="6"/>
      <c r="Y582" s="6"/>
      <c r="Z582" s="6"/>
    </row>
    <row r="583">
      <c r="A583" s="155"/>
      <c r="B583" s="156"/>
      <c r="C583" s="156"/>
      <c r="D583" s="158"/>
      <c r="E583" s="6"/>
      <c r="F583" s="6"/>
      <c r="G583" s="6"/>
      <c r="H583" s="6"/>
      <c r="I583" s="6"/>
      <c r="J583" s="6"/>
      <c r="K583" s="6"/>
      <c r="L583" s="6"/>
      <c r="M583" s="6"/>
      <c r="N583" s="6"/>
      <c r="O583" s="6"/>
      <c r="P583" s="6"/>
      <c r="Q583" s="6"/>
      <c r="R583" s="6"/>
      <c r="S583" s="6"/>
      <c r="T583" s="6"/>
      <c r="U583" s="6"/>
      <c r="V583" s="6"/>
      <c r="W583" s="6"/>
      <c r="X583" s="6"/>
      <c r="Y583" s="6"/>
      <c r="Z583" s="6"/>
    </row>
    <row r="584">
      <c r="A584" s="155"/>
      <c r="B584" s="156"/>
      <c r="C584" s="156"/>
      <c r="D584" s="158"/>
      <c r="E584" s="6"/>
      <c r="F584" s="6"/>
      <c r="G584" s="6"/>
      <c r="H584" s="6"/>
      <c r="I584" s="6"/>
      <c r="J584" s="6"/>
      <c r="K584" s="6"/>
      <c r="L584" s="6"/>
      <c r="M584" s="6"/>
      <c r="N584" s="6"/>
      <c r="O584" s="6"/>
      <c r="P584" s="6"/>
      <c r="Q584" s="6"/>
      <c r="R584" s="6"/>
      <c r="S584" s="6"/>
      <c r="T584" s="6"/>
      <c r="U584" s="6"/>
      <c r="V584" s="6"/>
      <c r="W584" s="6"/>
      <c r="X584" s="6"/>
      <c r="Y584" s="6"/>
      <c r="Z584" s="6"/>
    </row>
    <row r="585">
      <c r="A585" s="155"/>
      <c r="B585" s="156"/>
      <c r="C585" s="156"/>
      <c r="D585" s="158"/>
      <c r="E585" s="6"/>
      <c r="F585" s="6"/>
      <c r="G585" s="6"/>
      <c r="H585" s="6"/>
      <c r="I585" s="6"/>
      <c r="J585" s="6"/>
      <c r="K585" s="6"/>
      <c r="L585" s="6"/>
      <c r="M585" s="6"/>
      <c r="N585" s="6"/>
      <c r="O585" s="6"/>
      <c r="P585" s="6"/>
      <c r="Q585" s="6"/>
      <c r="R585" s="6"/>
      <c r="S585" s="6"/>
      <c r="T585" s="6"/>
      <c r="U585" s="6"/>
      <c r="V585" s="6"/>
      <c r="W585" s="6"/>
      <c r="X585" s="6"/>
      <c r="Y585" s="6"/>
      <c r="Z585" s="6"/>
    </row>
    <row r="586">
      <c r="A586" s="155"/>
      <c r="B586" s="156"/>
      <c r="C586" s="156"/>
      <c r="D586" s="158"/>
      <c r="E586" s="6"/>
      <c r="F586" s="6"/>
      <c r="G586" s="6"/>
      <c r="H586" s="6"/>
      <c r="I586" s="6"/>
      <c r="J586" s="6"/>
      <c r="K586" s="6"/>
      <c r="L586" s="6"/>
      <c r="M586" s="6"/>
      <c r="N586" s="6"/>
      <c r="O586" s="6"/>
      <c r="P586" s="6"/>
      <c r="Q586" s="6"/>
      <c r="R586" s="6"/>
      <c r="S586" s="6"/>
      <c r="T586" s="6"/>
      <c r="U586" s="6"/>
      <c r="V586" s="6"/>
      <c r="W586" s="6"/>
      <c r="X586" s="6"/>
      <c r="Y586" s="6"/>
      <c r="Z586" s="6"/>
    </row>
    <row r="587">
      <c r="A587" s="155"/>
      <c r="B587" s="156"/>
      <c r="C587" s="156"/>
      <c r="D587" s="158"/>
      <c r="E587" s="6"/>
      <c r="F587" s="6"/>
      <c r="G587" s="6"/>
      <c r="H587" s="6"/>
      <c r="I587" s="6"/>
      <c r="J587" s="6"/>
      <c r="K587" s="6"/>
      <c r="L587" s="6"/>
      <c r="M587" s="6"/>
      <c r="N587" s="6"/>
      <c r="O587" s="6"/>
      <c r="P587" s="6"/>
      <c r="Q587" s="6"/>
      <c r="R587" s="6"/>
      <c r="S587" s="6"/>
      <c r="T587" s="6"/>
      <c r="U587" s="6"/>
      <c r="V587" s="6"/>
      <c r="W587" s="6"/>
      <c r="X587" s="6"/>
      <c r="Y587" s="6"/>
      <c r="Z587" s="6"/>
    </row>
    <row r="588">
      <c r="A588" s="155"/>
      <c r="B588" s="156"/>
      <c r="C588" s="156"/>
      <c r="D588" s="158"/>
      <c r="E588" s="6"/>
      <c r="F588" s="6"/>
      <c r="G588" s="6"/>
      <c r="H588" s="6"/>
      <c r="I588" s="6"/>
      <c r="J588" s="6"/>
      <c r="K588" s="6"/>
      <c r="L588" s="6"/>
      <c r="M588" s="6"/>
      <c r="N588" s="6"/>
      <c r="O588" s="6"/>
      <c r="P588" s="6"/>
      <c r="Q588" s="6"/>
      <c r="R588" s="6"/>
      <c r="S588" s="6"/>
      <c r="T588" s="6"/>
      <c r="U588" s="6"/>
      <c r="V588" s="6"/>
      <c r="W588" s="6"/>
      <c r="X588" s="6"/>
      <c r="Y588" s="6"/>
      <c r="Z588" s="6"/>
    </row>
    <row r="589">
      <c r="A589" s="155"/>
      <c r="B589" s="156"/>
      <c r="C589" s="156"/>
      <c r="D589" s="158"/>
      <c r="E589" s="6"/>
      <c r="F589" s="6"/>
      <c r="G589" s="6"/>
      <c r="H589" s="6"/>
      <c r="I589" s="6"/>
      <c r="J589" s="6"/>
      <c r="K589" s="6"/>
      <c r="L589" s="6"/>
      <c r="M589" s="6"/>
      <c r="N589" s="6"/>
      <c r="O589" s="6"/>
      <c r="P589" s="6"/>
      <c r="Q589" s="6"/>
      <c r="R589" s="6"/>
      <c r="S589" s="6"/>
      <c r="T589" s="6"/>
      <c r="U589" s="6"/>
      <c r="V589" s="6"/>
      <c r="W589" s="6"/>
      <c r="X589" s="6"/>
      <c r="Y589" s="6"/>
      <c r="Z589" s="6"/>
    </row>
    <row r="590">
      <c r="A590" s="155"/>
      <c r="B590" s="156"/>
      <c r="C590" s="156"/>
      <c r="D590" s="158"/>
      <c r="E590" s="6"/>
      <c r="F590" s="6"/>
      <c r="G590" s="6"/>
      <c r="H590" s="6"/>
      <c r="I590" s="6"/>
      <c r="J590" s="6"/>
      <c r="K590" s="6"/>
      <c r="L590" s="6"/>
      <c r="M590" s="6"/>
      <c r="N590" s="6"/>
      <c r="O590" s="6"/>
      <c r="P590" s="6"/>
      <c r="Q590" s="6"/>
      <c r="R590" s="6"/>
      <c r="S590" s="6"/>
      <c r="T590" s="6"/>
      <c r="U590" s="6"/>
      <c r="V590" s="6"/>
      <c r="W590" s="6"/>
      <c r="X590" s="6"/>
      <c r="Y590" s="6"/>
      <c r="Z590" s="6"/>
    </row>
    <row r="591">
      <c r="A591" s="155"/>
      <c r="B591" s="156"/>
      <c r="C591" s="156"/>
      <c r="D591" s="158"/>
      <c r="E591" s="6"/>
      <c r="F591" s="6"/>
      <c r="G591" s="6"/>
      <c r="H591" s="6"/>
      <c r="I591" s="6"/>
      <c r="J591" s="6"/>
      <c r="K591" s="6"/>
      <c r="L591" s="6"/>
      <c r="M591" s="6"/>
      <c r="N591" s="6"/>
      <c r="O591" s="6"/>
      <c r="P591" s="6"/>
      <c r="Q591" s="6"/>
      <c r="R591" s="6"/>
      <c r="S591" s="6"/>
      <c r="T591" s="6"/>
      <c r="U591" s="6"/>
      <c r="V591" s="6"/>
      <c r="W591" s="6"/>
      <c r="X591" s="6"/>
      <c r="Y591" s="6"/>
      <c r="Z591" s="6"/>
    </row>
    <row r="592">
      <c r="A592" s="155"/>
      <c r="B592" s="156"/>
      <c r="C592" s="156"/>
      <c r="D592" s="158"/>
      <c r="E592" s="6"/>
      <c r="F592" s="6"/>
      <c r="G592" s="6"/>
      <c r="H592" s="6"/>
      <c r="I592" s="6"/>
      <c r="J592" s="6"/>
      <c r="K592" s="6"/>
      <c r="L592" s="6"/>
      <c r="M592" s="6"/>
      <c r="N592" s="6"/>
      <c r="O592" s="6"/>
      <c r="P592" s="6"/>
      <c r="Q592" s="6"/>
      <c r="R592" s="6"/>
      <c r="S592" s="6"/>
      <c r="T592" s="6"/>
      <c r="U592" s="6"/>
      <c r="V592" s="6"/>
      <c r="W592" s="6"/>
      <c r="X592" s="6"/>
      <c r="Y592" s="6"/>
      <c r="Z592" s="6"/>
    </row>
    <row r="593">
      <c r="A593" s="155"/>
      <c r="B593" s="156"/>
      <c r="C593" s="156"/>
      <c r="D593" s="158"/>
      <c r="E593" s="6"/>
      <c r="F593" s="6"/>
      <c r="G593" s="6"/>
      <c r="H593" s="6"/>
      <c r="I593" s="6"/>
      <c r="J593" s="6"/>
      <c r="K593" s="6"/>
      <c r="L593" s="6"/>
      <c r="M593" s="6"/>
      <c r="N593" s="6"/>
      <c r="O593" s="6"/>
      <c r="P593" s="6"/>
      <c r="Q593" s="6"/>
      <c r="R593" s="6"/>
      <c r="S593" s="6"/>
      <c r="T593" s="6"/>
      <c r="U593" s="6"/>
      <c r="V593" s="6"/>
      <c r="W593" s="6"/>
      <c r="X593" s="6"/>
      <c r="Y593" s="6"/>
      <c r="Z593" s="6"/>
    </row>
    <row r="594">
      <c r="A594" s="155"/>
      <c r="B594" s="156"/>
      <c r="C594" s="156"/>
      <c r="D594" s="158"/>
      <c r="E594" s="6"/>
      <c r="F594" s="6"/>
      <c r="G594" s="6"/>
      <c r="H594" s="6"/>
      <c r="I594" s="6"/>
      <c r="J594" s="6"/>
      <c r="K594" s="6"/>
      <c r="L594" s="6"/>
      <c r="M594" s="6"/>
      <c r="N594" s="6"/>
      <c r="O594" s="6"/>
      <c r="P594" s="6"/>
      <c r="Q594" s="6"/>
      <c r="R594" s="6"/>
      <c r="S594" s="6"/>
      <c r="T594" s="6"/>
      <c r="U594" s="6"/>
      <c r="V594" s="6"/>
      <c r="W594" s="6"/>
      <c r="X594" s="6"/>
      <c r="Y594" s="6"/>
      <c r="Z594" s="6"/>
    </row>
    <row r="595">
      <c r="A595" s="155"/>
      <c r="B595" s="156"/>
      <c r="C595" s="156"/>
      <c r="D595" s="158"/>
      <c r="E595" s="6"/>
      <c r="F595" s="6"/>
      <c r="G595" s="6"/>
      <c r="H595" s="6"/>
      <c r="I595" s="6"/>
      <c r="J595" s="6"/>
      <c r="K595" s="6"/>
      <c r="L595" s="6"/>
      <c r="M595" s="6"/>
      <c r="N595" s="6"/>
      <c r="O595" s="6"/>
      <c r="P595" s="6"/>
      <c r="Q595" s="6"/>
      <c r="R595" s="6"/>
      <c r="S595" s="6"/>
      <c r="T595" s="6"/>
      <c r="U595" s="6"/>
      <c r="V595" s="6"/>
      <c r="W595" s="6"/>
      <c r="X595" s="6"/>
      <c r="Y595" s="6"/>
      <c r="Z595" s="6"/>
    </row>
    <row r="596">
      <c r="A596" s="155"/>
      <c r="B596" s="156"/>
      <c r="C596" s="156"/>
      <c r="D596" s="158"/>
      <c r="E596" s="6"/>
      <c r="F596" s="6"/>
      <c r="G596" s="6"/>
      <c r="H596" s="6"/>
      <c r="I596" s="6"/>
      <c r="J596" s="6"/>
      <c r="K596" s="6"/>
      <c r="L596" s="6"/>
      <c r="M596" s="6"/>
      <c r="N596" s="6"/>
      <c r="O596" s="6"/>
      <c r="P596" s="6"/>
      <c r="Q596" s="6"/>
      <c r="R596" s="6"/>
      <c r="S596" s="6"/>
      <c r="T596" s="6"/>
      <c r="U596" s="6"/>
      <c r="V596" s="6"/>
      <c r="W596" s="6"/>
      <c r="X596" s="6"/>
      <c r="Y596" s="6"/>
      <c r="Z596" s="6"/>
    </row>
    <row r="597">
      <c r="A597" s="155"/>
      <c r="B597" s="156"/>
      <c r="C597" s="156"/>
      <c r="D597" s="158"/>
      <c r="E597" s="6"/>
      <c r="F597" s="6"/>
      <c r="G597" s="6"/>
      <c r="H597" s="6"/>
      <c r="I597" s="6"/>
      <c r="J597" s="6"/>
      <c r="K597" s="6"/>
      <c r="L597" s="6"/>
      <c r="M597" s="6"/>
      <c r="N597" s="6"/>
      <c r="O597" s="6"/>
      <c r="P597" s="6"/>
      <c r="Q597" s="6"/>
      <c r="R597" s="6"/>
      <c r="S597" s="6"/>
      <c r="T597" s="6"/>
      <c r="U597" s="6"/>
      <c r="V597" s="6"/>
      <c r="W597" s="6"/>
      <c r="X597" s="6"/>
      <c r="Y597" s="6"/>
      <c r="Z597" s="6"/>
    </row>
    <row r="598">
      <c r="A598" s="155"/>
      <c r="B598" s="156"/>
      <c r="C598" s="156"/>
      <c r="D598" s="158"/>
      <c r="E598" s="6"/>
      <c r="F598" s="6"/>
      <c r="G598" s="6"/>
      <c r="H598" s="6"/>
      <c r="I598" s="6"/>
      <c r="J598" s="6"/>
      <c r="K598" s="6"/>
      <c r="L598" s="6"/>
      <c r="M598" s="6"/>
      <c r="N598" s="6"/>
      <c r="O598" s="6"/>
      <c r="P598" s="6"/>
      <c r="Q598" s="6"/>
      <c r="R598" s="6"/>
      <c r="S598" s="6"/>
      <c r="T598" s="6"/>
      <c r="U598" s="6"/>
      <c r="V598" s="6"/>
      <c r="W598" s="6"/>
      <c r="X598" s="6"/>
      <c r="Y598" s="6"/>
      <c r="Z598" s="6"/>
    </row>
    <row r="599">
      <c r="A599" s="155"/>
      <c r="B599" s="156"/>
      <c r="C599" s="156"/>
      <c r="D599" s="158"/>
      <c r="E599" s="6"/>
      <c r="F599" s="6"/>
      <c r="G599" s="6"/>
      <c r="H599" s="6"/>
      <c r="I599" s="6"/>
      <c r="J599" s="6"/>
      <c r="K599" s="6"/>
      <c r="L599" s="6"/>
      <c r="M599" s="6"/>
      <c r="N599" s="6"/>
      <c r="O599" s="6"/>
      <c r="P599" s="6"/>
      <c r="Q599" s="6"/>
      <c r="R599" s="6"/>
      <c r="S599" s="6"/>
      <c r="T599" s="6"/>
      <c r="U599" s="6"/>
      <c r="V599" s="6"/>
      <c r="W599" s="6"/>
      <c r="X599" s="6"/>
      <c r="Y599" s="6"/>
      <c r="Z599" s="6"/>
    </row>
    <row r="600">
      <c r="A600" s="155"/>
      <c r="B600" s="156"/>
      <c r="C600" s="156"/>
      <c r="D600" s="158"/>
      <c r="E600" s="6"/>
      <c r="F600" s="6"/>
      <c r="G600" s="6"/>
      <c r="H600" s="6"/>
      <c r="I600" s="6"/>
      <c r="J600" s="6"/>
      <c r="K600" s="6"/>
      <c r="L600" s="6"/>
      <c r="M600" s="6"/>
      <c r="N600" s="6"/>
      <c r="O600" s="6"/>
      <c r="P600" s="6"/>
      <c r="Q600" s="6"/>
      <c r="R600" s="6"/>
      <c r="S600" s="6"/>
      <c r="T600" s="6"/>
      <c r="U600" s="6"/>
      <c r="V600" s="6"/>
      <c r="W600" s="6"/>
      <c r="X600" s="6"/>
      <c r="Y600" s="6"/>
      <c r="Z600" s="6"/>
    </row>
    <row r="601">
      <c r="A601" s="155"/>
      <c r="B601" s="156"/>
      <c r="C601" s="156"/>
      <c r="D601" s="158"/>
      <c r="E601" s="6"/>
      <c r="F601" s="6"/>
      <c r="G601" s="6"/>
      <c r="H601" s="6"/>
      <c r="I601" s="6"/>
      <c r="J601" s="6"/>
      <c r="K601" s="6"/>
      <c r="L601" s="6"/>
      <c r="M601" s="6"/>
      <c r="N601" s="6"/>
      <c r="O601" s="6"/>
      <c r="P601" s="6"/>
      <c r="Q601" s="6"/>
      <c r="R601" s="6"/>
      <c r="S601" s="6"/>
      <c r="T601" s="6"/>
      <c r="U601" s="6"/>
      <c r="V601" s="6"/>
      <c r="W601" s="6"/>
      <c r="X601" s="6"/>
      <c r="Y601" s="6"/>
      <c r="Z601" s="6"/>
    </row>
    <row r="602">
      <c r="A602" s="155"/>
      <c r="B602" s="156"/>
      <c r="C602" s="156"/>
      <c r="D602" s="158"/>
      <c r="E602" s="6"/>
      <c r="F602" s="6"/>
      <c r="G602" s="6"/>
      <c r="H602" s="6"/>
      <c r="I602" s="6"/>
      <c r="J602" s="6"/>
      <c r="K602" s="6"/>
      <c r="L602" s="6"/>
      <c r="M602" s="6"/>
      <c r="N602" s="6"/>
      <c r="O602" s="6"/>
      <c r="P602" s="6"/>
      <c r="Q602" s="6"/>
      <c r="R602" s="6"/>
      <c r="S602" s="6"/>
      <c r="T602" s="6"/>
      <c r="U602" s="6"/>
      <c r="V602" s="6"/>
      <c r="W602" s="6"/>
      <c r="X602" s="6"/>
      <c r="Y602" s="6"/>
      <c r="Z602" s="6"/>
    </row>
    <row r="603">
      <c r="A603" s="155"/>
      <c r="B603" s="156"/>
      <c r="C603" s="156"/>
      <c r="D603" s="158"/>
      <c r="E603" s="6"/>
      <c r="F603" s="6"/>
      <c r="G603" s="6"/>
      <c r="H603" s="6"/>
      <c r="I603" s="6"/>
      <c r="J603" s="6"/>
      <c r="K603" s="6"/>
      <c r="L603" s="6"/>
      <c r="M603" s="6"/>
      <c r="N603" s="6"/>
      <c r="O603" s="6"/>
      <c r="P603" s="6"/>
      <c r="Q603" s="6"/>
      <c r="R603" s="6"/>
      <c r="S603" s="6"/>
      <c r="T603" s="6"/>
      <c r="U603" s="6"/>
      <c r="V603" s="6"/>
      <c r="W603" s="6"/>
      <c r="X603" s="6"/>
      <c r="Y603" s="6"/>
      <c r="Z603" s="6"/>
    </row>
    <row r="604">
      <c r="A604" s="155"/>
      <c r="B604" s="156"/>
      <c r="C604" s="156"/>
      <c r="D604" s="158"/>
      <c r="E604" s="6"/>
      <c r="F604" s="6"/>
      <c r="G604" s="6"/>
      <c r="H604" s="6"/>
      <c r="I604" s="6"/>
      <c r="J604" s="6"/>
      <c r="K604" s="6"/>
      <c r="L604" s="6"/>
      <c r="M604" s="6"/>
      <c r="N604" s="6"/>
      <c r="O604" s="6"/>
      <c r="P604" s="6"/>
      <c r="Q604" s="6"/>
      <c r="R604" s="6"/>
      <c r="S604" s="6"/>
      <c r="T604" s="6"/>
      <c r="U604" s="6"/>
      <c r="V604" s="6"/>
      <c r="W604" s="6"/>
      <c r="X604" s="6"/>
      <c r="Y604" s="6"/>
      <c r="Z604" s="6"/>
    </row>
    <row r="605">
      <c r="A605" s="155"/>
      <c r="B605" s="156"/>
      <c r="C605" s="156"/>
      <c r="D605" s="158"/>
      <c r="E605" s="6"/>
      <c r="F605" s="6"/>
      <c r="G605" s="6"/>
      <c r="H605" s="6"/>
      <c r="I605" s="6"/>
      <c r="J605" s="6"/>
      <c r="K605" s="6"/>
      <c r="L605" s="6"/>
      <c r="M605" s="6"/>
      <c r="N605" s="6"/>
      <c r="O605" s="6"/>
      <c r="P605" s="6"/>
      <c r="Q605" s="6"/>
      <c r="R605" s="6"/>
      <c r="S605" s="6"/>
      <c r="T605" s="6"/>
      <c r="U605" s="6"/>
      <c r="V605" s="6"/>
      <c r="W605" s="6"/>
      <c r="X605" s="6"/>
      <c r="Y605" s="6"/>
      <c r="Z605" s="6"/>
    </row>
    <row r="606">
      <c r="A606" s="155"/>
      <c r="B606" s="156"/>
      <c r="C606" s="156"/>
      <c r="D606" s="158"/>
      <c r="E606" s="6"/>
      <c r="F606" s="6"/>
      <c r="G606" s="6"/>
      <c r="H606" s="6"/>
      <c r="I606" s="6"/>
      <c r="J606" s="6"/>
      <c r="K606" s="6"/>
      <c r="L606" s="6"/>
      <c r="M606" s="6"/>
      <c r="N606" s="6"/>
      <c r="O606" s="6"/>
      <c r="P606" s="6"/>
      <c r="Q606" s="6"/>
      <c r="R606" s="6"/>
      <c r="S606" s="6"/>
      <c r="T606" s="6"/>
      <c r="U606" s="6"/>
      <c r="V606" s="6"/>
      <c r="W606" s="6"/>
      <c r="X606" s="6"/>
      <c r="Y606" s="6"/>
      <c r="Z606" s="6"/>
    </row>
    <row r="607">
      <c r="A607" s="155"/>
      <c r="B607" s="156"/>
      <c r="C607" s="156"/>
      <c r="D607" s="158"/>
      <c r="E607" s="6"/>
      <c r="F607" s="6"/>
      <c r="G607" s="6"/>
      <c r="H607" s="6"/>
      <c r="I607" s="6"/>
      <c r="J607" s="6"/>
      <c r="K607" s="6"/>
      <c r="L607" s="6"/>
      <c r="M607" s="6"/>
      <c r="N607" s="6"/>
      <c r="O607" s="6"/>
      <c r="P607" s="6"/>
      <c r="Q607" s="6"/>
      <c r="R607" s="6"/>
      <c r="S607" s="6"/>
      <c r="T607" s="6"/>
      <c r="U607" s="6"/>
      <c r="V607" s="6"/>
      <c r="W607" s="6"/>
      <c r="X607" s="6"/>
      <c r="Y607" s="6"/>
      <c r="Z607" s="6"/>
    </row>
    <row r="608">
      <c r="A608" s="155"/>
      <c r="B608" s="156"/>
      <c r="C608" s="156"/>
      <c r="D608" s="158"/>
      <c r="E608" s="6"/>
      <c r="F608" s="6"/>
      <c r="G608" s="6"/>
      <c r="H608" s="6"/>
      <c r="I608" s="6"/>
      <c r="J608" s="6"/>
      <c r="K608" s="6"/>
      <c r="L608" s="6"/>
      <c r="M608" s="6"/>
      <c r="N608" s="6"/>
      <c r="O608" s="6"/>
      <c r="P608" s="6"/>
      <c r="Q608" s="6"/>
      <c r="R608" s="6"/>
      <c r="S608" s="6"/>
      <c r="T608" s="6"/>
      <c r="U608" s="6"/>
      <c r="V608" s="6"/>
      <c r="W608" s="6"/>
      <c r="X608" s="6"/>
      <c r="Y608" s="6"/>
      <c r="Z608" s="6"/>
    </row>
    <row r="609">
      <c r="A609" s="155"/>
      <c r="B609" s="156"/>
      <c r="C609" s="156"/>
      <c r="D609" s="158"/>
      <c r="E609" s="6"/>
      <c r="F609" s="6"/>
      <c r="G609" s="6"/>
      <c r="H609" s="6"/>
      <c r="I609" s="6"/>
      <c r="J609" s="6"/>
      <c r="K609" s="6"/>
      <c r="L609" s="6"/>
      <c r="M609" s="6"/>
      <c r="N609" s="6"/>
      <c r="O609" s="6"/>
      <c r="P609" s="6"/>
      <c r="Q609" s="6"/>
      <c r="R609" s="6"/>
      <c r="S609" s="6"/>
      <c r="T609" s="6"/>
      <c r="U609" s="6"/>
      <c r="V609" s="6"/>
      <c r="W609" s="6"/>
      <c r="X609" s="6"/>
      <c r="Y609" s="6"/>
      <c r="Z609" s="6"/>
    </row>
    <row r="610">
      <c r="A610" s="155"/>
      <c r="B610" s="156"/>
      <c r="C610" s="156"/>
      <c r="D610" s="158"/>
      <c r="E610" s="6"/>
      <c r="F610" s="6"/>
      <c r="G610" s="6"/>
      <c r="H610" s="6"/>
      <c r="I610" s="6"/>
      <c r="J610" s="6"/>
      <c r="K610" s="6"/>
      <c r="L610" s="6"/>
      <c r="M610" s="6"/>
      <c r="N610" s="6"/>
      <c r="O610" s="6"/>
      <c r="P610" s="6"/>
      <c r="Q610" s="6"/>
      <c r="R610" s="6"/>
      <c r="S610" s="6"/>
      <c r="T610" s="6"/>
      <c r="U610" s="6"/>
      <c r="V610" s="6"/>
      <c r="W610" s="6"/>
      <c r="X610" s="6"/>
      <c r="Y610" s="6"/>
      <c r="Z610" s="6"/>
    </row>
    <row r="611">
      <c r="A611" s="155"/>
      <c r="B611" s="156"/>
      <c r="C611" s="156"/>
      <c r="D611" s="158"/>
      <c r="E611" s="6"/>
      <c r="F611" s="6"/>
      <c r="G611" s="6"/>
      <c r="H611" s="6"/>
      <c r="I611" s="6"/>
      <c r="J611" s="6"/>
      <c r="K611" s="6"/>
      <c r="L611" s="6"/>
      <c r="M611" s="6"/>
      <c r="N611" s="6"/>
      <c r="O611" s="6"/>
      <c r="P611" s="6"/>
      <c r="Q611" s="6"/>
      <c r="R611" s="6"/>
      <c r="S611" s="6"/>
      <c r="T611" s="6"/>
      <c r="U611" s="6"/>
      <c r="V611" s="6"/>
      <c r="W611" s="6"/>
      <c r="X611" s="6"/>
      <c r="Y611" s="6"/>
      <c r="Z611" s="6"/>
    </row>
    <row r="612">
      <c r="A612" s="155"/>
      <c r="B612" s="156"/>
      <c r="C612" s="156"/>
      <c r="D612" s="158"/>
      <c r="E612" s="6"/>
      <c r="F612" s="6"/>
      <c r="G612" s="6"/>
      <c r="H612" s="6"/>
      <c r="I612" s="6"/>
      <c r="J612" s="6"/>
      <c r="K612" s="6"/>
      <c r="L612" s="6"/>
      <c r="M612" s="6"/>
      <c r="N612" s="6"/>
      <c r="O612" s="6"/>
      <c r="P612" s="6"/>
      <c r="Q612" s="6"/>
      <c r="R612" s="6"/>
      <c r="S612" s="6"/>
      <c r="T612" s="6"/>
      <c r="U612" s="6"/>
      <c r="V612" s="6"/>
      <c r="W612" s="6"/>
      <c r="X612" s="6"/>
      <c r="Y612" s="6"/>
      <c r="Z612" s="6"/>
    </row>
    <row r="613">
      <c r="A613" s="155"/>
      <c r="B613" s="156"/>
      <c r="C613" s="156"/>
      <c r="D613" s="158"/>
      <c r="E613" s="6"/>
      <c r="F613" s="6"/>
      <c r="G613" s="6"/>
      <c r="H613" s="6"/>
      <c r="I613" s="6"/>
      <c r="J613" s="6"/>
      <c r="K613" s="6"/>
      <c r="L613" s="6"/>
      <c r="M613" s="6"/>
      <c r="N613" s="6"/>
      <c r="O613" s="6"/>
      <c r="P613" s="6"/>
      <c r="Q613" s="6"/>
      <c r="R613" s="6"/>
      <c r="S613" s="6"/>
      <c r="T613" s="6"/>
      <c r="U613" s="6"/>
      <c r="V613" s="6"/>
      <c r="W613" s="6"/>
      <c r="X613" s="6"/>
      <c r="Y613" s="6"/>
      <c r="Z613" s="6"/>
    </row>
    <row r="614">
      <c r="A614" s="155"/>
      <c r="B614" s="156"/>
      <c r="C614" s="156"/>
      <c r="D614" s="158"/>
      <c r="E614" s="6"/>
      <c r="F614" s="6"/>
      <c r="G614" s="6"/>
      <c r="H614" s="6"/>
      <c r="I614" s="6"/>
      <c r="J614" s="6"/>
      <c r="K614" s="6"/>
      <c r="L614" s="6"/>
      <c r="M614" s="6"/>
      <c r="N614" s="6"/>
      <c r="O614" s="6"/>
      <c r="P614" s="6"/>
      <c r="Q614" s="6"/>
      <c r="R614" s="6"/>
      <c r="S614" s="6"/>
      <c r="T614" s="6"/>
      <c r="U614" s="6"/>
      <c r="V614" s="6"/>
      <c r="W614" s="6"/>
      <c r="X614" s="6"/>
      <c r="Y614" s="6"/>
      <c r="Z614" s="6"/>
    </row>
    <row r="615">
      <c r="A615" s="155"/>
      <c r="B615" s="156"/>
      <c r="C615" s="156"/>
      <c r="D615" s="158"/>
      <c r="E615" s="6"/>
      <c r="F615" s="6"/>
      <c r="G615" s="6"/>
      <c r="H615" s="6"/>
      <c r="I615" s="6"/>
      <c r="J615" s="6"/>
      <c r="K615" s="6"/>
      <c r="L615" s="6"/>
      <c r="M615" s="6"/>
      <c r="N615" s="6"/>
      <c r="O615" s="6"/>
      <c r="P615" s="6"/>
      <c r="Q615" s="6"/>
      <c r="R615" s="6"/>
      <c r="S615" s="6"/>
      <c r="T615" s="6"/>
      <c r="U615" s="6"/>
      <c r="V615" s="6"/>
      <c r="W615" s="6"/>
      <c r="X615" s="6"/>
      <c r="Y615" s="6"/>
      <c r="Z615" s="6"/>
    </row>
    <row r="616">
      <c r="A616" s="155"/>
      <c r="B616" s="156"/>
      <c r="C616" s="156"/>
      <c r="D616" s="158"/>
      <c r="E616" s="6"/>
      <c r="F616" s="6"/>
      <c r="G616" s="6"/>
      <c r="H616" s="6"/>
      <c r="I616" s="6"/>
      <c r="J616" s="6"/>
      <c r="K616" s="6"/>
      <c r="L616" s="6"/>
      <c r="M616" s="6"/>
      <c r="N616" s="6"/>
      <c r="O616" s="6"/>
      <c r="P616" s="6"/>
      <c r="Q616" s="6"/>
      <c r="R616" s="6"/>
      <c r="S616" s="6"/>
      <c r="T616" s="6"/>
      <c r="U616" s="6"/>
      <c r="V616" s="6"/>
      <c r="W616" s="6"/>
      <c r="X616" s="6"/>
      <c r="Y616" s="6"/>
      <c r="Z616" s="6"/>
    </row>
    <row r="617">
      <c r="A617" s="155"/>
      <c r="B617" s="156"/>
      <c r="C617" s="156"/>
      <c r="D617" s="158"/>
      <c r="E617" s="6"/>
      <c r="F617" s="6"/>
      <c r="G617" s="6"/>
      <c r="H617" s="6"/>
      <c r="I617" s="6"/>
      <c r="J617" s="6"/>
      <c r="K617" s="6"/>
      <c r="L617" s="6"/>
      <c r="M617" s="6"/>
      <c r="N617" s="6"/>
      <c r="O617" s="6"/>
      <c r="P617" s="6"/>
      <c r="Q617" s="6"/>
      <c r="R617" s="6"/>
      <c r="S617" s="6"/>
      <c r="T617" s="6"/>
      <c r="U617" s="6"/>
      <c r="V617" s="6"/>
      <c r="W617" s="6"/>
      <c r="X617" s="6"/>
      <c r="Y617" s="6"/>
      <c r="Z617" s="6"/>
    </row>
    <row r="618">
      <c r="A618" s="155"/>
      <c r="B618" s="156"/>
      <c r="C618" s="156"/>
      <c r="D618" s="158"/>
      <c r="E618" s="6"/>
      <c r="F618" s="6"/>
      <c r="G618" s="6"/>
      <c r="H618" s="6"/>
      <c r="I618" s="6"/>
      <c r="J618" s="6"/>
      <c r="K618" s="6"/>
      <c r="L618" s="6"/>
      <c r="M618" s="6"/>
      <c r="N618" s="6"/>
      <c r="O618" s="6"/>
      <c r="P618" s="6"/>
      <c r="Q618" s="6"/>
      <c r="R618" s="6"/>
      <c r="S618" s="6"/>
      <c r="T618" s="6"/>
      <c r="U618" s="6"/>
      <c r="V618" s="6"/>
      <c r="W618" s="6"/>
      <c r="X618" s="6"/>
      <c r="Y618" s="6"/>
      <c r="Z618" s="6"/>
    </row>
    <row r="619">
      <c r="A619" s="155"/>
      <c r="B619" s="156"/>
      <c r="C619" s="156"/>
      <c r="D619" s="158"/>
      <c r="E619" s="6"/>
      <c r="F619" s="6"/>
      <c r="G619" s="6"/>
      <c r="H619" s="6"/>
      <c r="I619" s="6"/>
      <c r="J619" s="6"/>
      <c r="K619" s="6"/>
      <c r="L619" s="6"/>
      <c r="M619" s="6"/>
      <c r="N619" s="6"/>
      <c r="O619" s="6"/>
      <c r="P619" s="6"/>
      <c r="Q619" s="6"/>
      <c r="R619" s="6"/>
      <c r="S619" s="6"/>
      <c r="T619" s="6"/>
      <c r="U619" s="6"/>
      <c r="V619" s="6"/>
      <c r="W619" s="6"/>
      <c r="X619" s="6"/>
      <c r="Y619" s="6"/>
      <c r="Z619" s="6"/>
    </row>
    <row r="620">
      <c r="A620" s="155"/>
      <c r="B620" s="156"/>
      <c r="C620" s="156"/>
      <c r="D620" s="158"/>
      <c r="E620" s="6"/>
      <c r="F620" s="6"/>
      <c r="G620" s="6"/>
      <c r="H620" s="6"/>
      <c r="I620" s="6"/>
      <c r="J620" s="6"/>
      <c r="K620" s="6"/>
      <c r="L620" s="6"/>
      <c r="M620" s="6"/>
      <c r="N620" s="6"/>
      <c r="O620" s="6"/>
      <c r="P620" s="6"/>
      <c r="Q620" s="6"/>
      <c r="R620" s="6"/>
      <c r="S620" s="6"/>
      <c r="T620" s="6"/>
      <c r="U620" s="6"/>
      <c r="V620" s="6"/>
      <c r="W620" s="6"/>
      <c r="X620" s="6"/>
      <c r="Y620" s="6"/>
      <c r="Z620" s="6"/>
    </row>
    <row r="621">
      <c r="A621" s="155"/>
      <c r="B621" s="156"/>
      <c r="C621" s="156"/>
      <c r="D621" s="158"/>
      <c r="E621" s="6"/>
      <c r="F621" s="6"/>
      <c r="G621" s="6"/>
      <c r="H621" s="6"/>
      <c r="I621" s="6"/>
      <c r="J621" s="6"/>
      <c r="K621" s="6"/>
      <c r="L621" s="6"/>
      <c r="M621" s="6"/>
      <c r="N621" s="6"/>
      <c r="O621" s="6"/>
      <c r="P621" s="6"/>
      <c r="Q621" s="6"/>
      <c r="R621" s="6"/>
      <c r="S621" s="6"/>
      <c r="T621" s="6"/>
      <c r="U621" s="6"/>
      <c r="V621" s="6"/>
      <c r="W621" s="6"/>
      <c r="X621" s="6"/>
      <c r="Y621" s="6"/>
      <c r="Z621" s="6"/>
    </row>
    <row r="622">
      <c r="A622" s="155"/>
      <c r="B622" s="156"/>
      <c r="C622" s="156"/>
      <c r="D622" s="158"/>
      <c r="E622" s="6"/>
      <c r="F622" s="6"/>
      <c r="G622" s="6"/>
      <c r="H622" s="6"/>
      <c r="I622" s="6"/>
      <c r="J622" s="6"/>
      <c r="K622" s="6"/>
      <c r="L622" s="6"/>
      <c r="M622" s="6"/>
      <c r="N622" s="6"/>
      <c r="O622" s="6"/>
      <c r="P622" s="6"/>
      <c r="Q622" s="6"/>
      <c r="R622" s="6"/>
      <c r="S622" s="6"/>
      <c r="T622" s="6"/>
      <c r="U622" s="6"/>
      <c r="V622" s="6"/>
      <c r="W622" s="6"/>
      <c r="X622" s="6"/>
      <c r="Y622" s="6"/>
      <c r="Z622" s="6"/>
    </row>
    <row r="623">
      <c r="A623" s="155"/>
      <c r="B623" s="156"/>
      <c r="C623" s="156"/>
      <c r="D623" s="158"/>
      <c r="E623" s="6"/>
      <c r="F623" s="6"/>
      <c r="G623" s="6"/>
      <c r="H623" s="6"/>
      <c r="I623" s="6"/>
      <c r="J623" s="6"/>
      <c r="K623" s="6"/>
      <c r="L623" s="6"/>
      <c r="M623" s="6"/>
      <c r="N623" s="6"/>
      <c r="O623" s="6"/>
      <c r="P623" s="6"/>
      <c r="Q623" s="6"/>
      <c r="R623" s="6"/>
      <c r="S623" s="6"/>
      <c r="T623" s="6"/>
      <c r="U623" s="6"/>
      <c r="V623" s="6"/>
      <c r="W623" s="6"/>
      <c r="X623" s="6"/>
      <c r="Y623" s="6"/>
      <c r="Z623" s="6"/>
    </row>
    <row r="624">
      <c r="A624" s="155"/>
      <c r="B624" s="156"/>
      <c r="C624" s="156"/>
      <c r="D624" s="158"/>
      <c r="E624" s="6"/>
      <c r="F624" s="6"/>
      <c r="G624" s="6"/>
      <c r="H624" s="6"/>
      <c r="I624" s="6"/>
      <c r="J624" s="6"/>
      <c r="K624" s="6"/>
      <c r="L624" s="6"/>
      <c r="M624" s="6"/>
      <c r="N624" s="6"/>
      <c r="O624" s="6"/>
      <c r="P624" s="6"/>
      <c r="Q624" s="6"/>
      <c r="R624" s="6"/>
      <c r="S624" s="6"/>
      <c r="T624" s="6"/>
      <c r="U624" s="6"/>
      <c r="V624" s="6"/>
      <c r="W624" s="6"/>
      <c r="X624" s="6"/>
      <c r="Y624" s="6"/>
      <c r="Z624" s="6"/>
    </row>
    <row r="625">
      <c r="A625" s="155"/>
      <c r="B625" s="156"/>
      <c r="C625" s="156"/>
      <c r="D625" s="158"/>
      <c r="E625" s="6"/>
      <c r="F625" s="6"/>
      <c r="G625" s="6"/>
      <c r="H625" s="6"/>
      <c r="I625" s="6"/>
      <c r="J625" s="6"/>
      <c r="K625" s="6"/>
      <c r="L625" s="6"/>
      <c r="M625" s="6"/>
      <c r="N625" s="6"/>
      <c r="O625" s="6"/>
      <c r="P625" s="6"/>
      <c r="Q625" s="6"/>
      <c r="R625" s="6"/>
      <c r="S625" s="6"/>
      <c r="T625" s="6"/>
      <c r="U625" s="6"/>
      <c r="V625" s="6"/>
      <c r="W625" s="6"/>
      <c r="X625" s="6"/>
      <c r="Y625" s="6"/>
      <c r="Z625" s="6"/>
    </row>
    <row r="626">
      <c r="A626" s="155"/>
      <c r="B626" s="156"/>
      <c r="C626" s="156"/>
      <c r="D626" s="158"/>
      <c r="E626" s="6"/>
      <c r="F626" s="6"/>
      <c r="G626" s="6"/>
      <c r="H626" s="6"/>
      <c r="I626" s="6"/>
      <c r="J626" s="6"/>
      <c r="K626" s="6"/>
      <c r="L626" s="6"/>
      <c r="M626" s="6"/>
      <c r="N626" s="6"/>
      <c r="O626" s="6"/>
      <c r="P626" s="6"/>
      <c r="Q626" s="6"/>
      <c r="R626" s="6"/>
      <c r="S626" s="6"/>
      <c r="T626" s="6"/>
      <c r="U626" s="6"/>
      <c r="V626" s="6"/>
      <c r="W626" s="6"/>
      <c r="X626" s="6"/>
      <c r="Y626" s="6"/>
      <c r="Z626" s="6"/>
    </row>
    <row r="627">
      <c r="A627" s="155"/>
      <c r="B627" s="156"/>
      <c r="C627" s="156"/>
      <c r="D627" s="158"/>
      <c r="E627" s="6"/>
      <c r="F627" s="6"/>
      <c r="G627" s="6"/>
      <c r="H627" s="6"/>
      <c r="I627" s="6"/>
      <c r="J627" s="6"/>
      <c r="K627" s="6"/>
      <c r="L627" s="6"/>
      <c r="M627" s="6"/>
      <c r="N627" s="6"/>
      <c r="O627" s="6"/>
      <c r="P627" s="6"/>
      <c r="Q627" s="6"/>
      <c r="R627" s="6"/>
      <c r="S627" s="6"/>
      <c r="T627" s="6"/>
      <c r="U627" s="6"/>
      <c r="V627" s="6"/>
      <c r="W627" s="6"/>
      <c r="X627" s="6"/>
      <c r="Y627" s="6"/>
      <c r="Z627" s="6"/>
    </row>
    <row r="628">
      <c r="A628" s="155"/>
      <c r="B628" s="156"/>
      <c r="C628" s="156"/>
      <c r="D628" s="158"/>
      <c r="E628" s="6"/>
      <c r="F628" s="6"/>
      <c r="G628" s="6"/>
      <c r="H628" s="6"/>
      <c r="I628" s="6"/>
      <c r="J628" s="6"/>
      <c r="K628" s="6"/>
      <c r="L628" s="6"/>
      <c r="M628" s="6"/>
      <c r="N628" s="6"/>
      <c r="O628" s="6"/>
      <c r="P628" s="6"/>
      <c r="Q628" s="6"/>
      <c r="R628" s="6"/>
      <c r="S628" s="6"/>
      <c r="T628" s="6"/>
      <c r="U628" s="6"/>
      <c r="V628" s="6"/>
      <c r="W628" s="6"/>
      <c r="X628" s="6"/>
      <c r="Y628" s="6"/>
      <c r="Z628" s="6"/>
    </row>
    <row r="629">
      <c r="A629" s="155"/>
      <c r="B629" s="156"/>
      <c r="C629" s="156"/>
      <c r="D629" s="158"/>
      <c r="E629" s="6"/>
      <c r="F629" s="6"/>
      <c r="G629" s="6"/>
      <c r="H629" s="6"/>
      <c r="I629" s="6"/>
      <c r="J629" s="6"/>
      <c r="K629" s="6"/>
      <c r="L629" s="6"/>
      <c r="M629" s="6"/>
      <c r="N629" s="6"/>
      <c r="O629" s="6"/>
      <c r="P629" s="6"/>
      <c r="Q629" s="6"/>
      <c r="R629" s="6"/>
      <c r="S629" s="6"/>
      <c r="T629" s="6"/>
      <c r="U629" s="6"/>
      <c r="V629" s="6"/>
      <c r="W629" s="6"/>
      <c r="X629" s="6"/>
      <c r="Y629" s="6"/>
      <c r="Z629" s="6"/>
    </row>
    <row r="630">
      <c r="A630" s="155"/>
      <c r="B630" s="156"/>
      <c r="C630" s="156"/>
      <c r="D630" s="158"/>
      <c r="E630" s="6"/>
      <c r="F630" s="6"/>
      <c r="G630" s="6"/>
      <c r="H630" s="6"/>
      <c r="I630" s="6"/>
      <c r="J630" s="6"/>
      <c r="K630" s="6"/>
      <c r="L630" s="6"/>
      <c r="M630" s="6"/>
      <c r="N630" s="6"/>
      <c r="O630" s="6"/>
      <c r="P630" s="6"/>
      <c r="Q630" s="6"/>
      <c r="R630" s="6"/>
      <c r="S630" s="6"/>
      <c r="T630" s="6"/>
      <c r="U630" s="6"/>
      <c r="V630" s="6"/>
      <c r="W630" s="6"/>
      <c r="X630" s="6"/>
      <c r="Y630" s="6"/>
      <c r="Z630" s="6"/>
    </row>
    <row r="631">
      <c r="A631" s="155"/>
      <c r="B631" s="156"/>
      <c r="C631" s="156"/>
      <c r="D631" s="158"/>
      <c r="E631" s="6"/>
      <c r="F631" s="6"/>
      <c r="G631" s="6"/>
      <c r="H631" s="6"/>
      <c r="I631" s="6"/>
      <c r="J631" s="6"/>
      <c r="K631" s="6"/>
      <c r="L631" s="6"/>
      <c r="M631" s="6"/>
      <c r="N631" s="6"/>
      <c r="O631" s="6"/>
      <c r="P631" s="6"/>
      <c r="Q631" s="6"/>
      <c r="R631" s="6"/>
      <c r="S631" s="6"/>
      <c r="T631" s="6"/>
      <c r="U631" s="6"/>
      <c r="V631" s="6"/>
      <c r="W631" s="6"/>
      <c r="X631" s="6"/>
      <c r="Y631" s="6"/>
      <c r="Z631" s="6"/>
    </row>
    <row r="632">
      <c r="A632" s="155"/>
      <c r="B632" s="156"/>
      <c r="C632" s="156"/>
      <c r="D632" s="158"/>
      <c r="E632" s="6"/>
      <c r="F632" s="6"/>
      <c r="G632" s="6"/>
      <c r="H632" s="6"/>
      <c r="I632" s="6"/>
      <c r="J632" s="6"/>
      <c r="K632" s="6"/>
      <c r="L632" s="6"/>
      <c r="M632" s="6"/>
      <c r="N632" s="6"/>
      <c r="O632" s="6"/>
      <c r="P632" s="6"/>
      <c r="Q632" s="6"/>
      <c r="R632" s="6"/>
      <c r="S632" s="6"/>
      <c r="T632" s="6"/>
      <c r="U632" s="6"/>
      <c r="V632" s="6"/>
      <c r="W632" s="6"/>
      <c r="X632" s="6"/>
      <c r="Y632" s="6"/>
      <c r="Z632" s="6"/>
    </row>
    <row r="633">
      <c r="A633" s="155"/>
      <c r="B633" s="156"/>
      <c r="C633" s="156"/>
      <c r="D633" s="158"/>
      <c r="E633" s="6"/>
      <c r="F633" s="6"/>
      <c r="G633" s="6"/>
      <c r="H633" s="6"/>
      <c r="I633" s="6"/>
      <c r="J633" s="6"/>
      <c r="K633" s="6"/>
      <c r="L633" s="6"/>
      <c r="M633" s="6"/>
      <c r="N633" s="6"/>
      <c r="O633" s="6"/>
      <c r="P633" s="6"/>
      <c r="Q633" s="6"/>
      <c r="R633" s="6"/>
      <c r="S633" s="6"/>
      <c r="T633" s="6"/>
      <c r="U633" s="6"/>
      <c r="V633" s="6"/>
      <c r="W633" s="6"/>
      <c r="X633" s="6"/>
      <c r="Y633" s="6"/>
      <c r="Z633" s="6"/>
    </row>
    <row r="634">
      <c r="A634" s="155"/>
      <c r="B634" s="156"/>
      <c r="C634" s="156"/>
      <c r="D634" s="158"/>
      <c r="E634" s="6"/>
      <c r="F634" s="6"/>
      <c r="G634" s="6"/>
      <c r="H634" s="6"/>
      <c r="I634" s="6"/>
      <c r="J634" s="6"/>
      <c r="K634" s="6"/>
      <c r="L634" s="6"/>
      <c r="M634" s="6"/>
      <c r="N634" s="6"/>
      <c r="O634" s="6"/>
      <c r="P634" s="6"/>
      <c r="Q634" s="6"/>
      <c r="R634" s="6"/>
      <c r="S634" s="6"/>
      <c r="T634" s="6"/>
      <c r="U634" s="6"/>
      <c r="V634" s="6"/>
      <c r="W634" s="6"/>
      <c r="X634" s="6"/>
      <c r="Y634" s="6"/>
      <c r="Z634" s="6"/>
    </row>
    <row r="635">
      <c r="A635" s="155"/>
      <c r="B635" s="156"/>
      <c r="C635" s="156"/>
      <c r="D635" s="158"/>
      <c r="E635" s="6"/>
      <c r="F635" s="6"/>
      <c r="G635" s="6"/>
      <c r="H635" s="6"/>
      <c r="I635" s="6"/>
      <c r="J635" s="6"/>
      <c r="K635" s="6"/>
      <c r="L635" s="6"/>
      <c r="M635" s="6"/>
      <c r="N635" s="6"/>
      <c r="O635" s="6"/>
      <c r="P635" s="6"/>
      <c r="Q635" s="6"/>
      <c r="R635" s="6"/>
      <c r="S635" s="6"/>
      <c r="T635" s="6"/>
      <c r="U635" s="6"/>
      <c r="V635" s="6"/>
      <c r="W635" s="6"/>
      <c r="X635" s="6"/>
      <c r="Y635" s="6"/>
      <c r="Z635" s="6"/>
    </row>
    <row r="636">
      <c r="A636" s="155"/>
      <c r="B636" s="156"/>
      <c r="C636" s="156"/>
      <c r="D636" s="158"/>
      <c r="E636" s="6"/>
      <c r="F636" s="6"/>
      <c r="G636" s="6"/>
      <c r="H636" s="6"/>
      <c r="I636" s="6"/>
      <c r="J636" s="6"/>
      <c r="K636" s="6"/>
      <c r="L636" s="6"/>
      <c r="M636" s="6"/>
      <c r="N636" s="6"/>
      <c r="O636" s="6"/>
      <c r="P636" s="6"/>
      <c r="Q636" s="6"/>
      <c r="R636" s="6"/>
      <c r="S636" s="6"/>
      <c r="T636" s="6"/>
      <c r="U636" s="6"/>
      <c r="V636" s="6"/>
      <c r="W636" s="6"/>
      <c r="X636" s="6"/>
      <c r="Y636" s="6"/>
      <c r="Z636" s="6"/>
    </row>
    <row r="637">
      <c r="A637" s="155"/>
      <c r="B637" s="156"/>
      <c r="C637" s="156"/>
      <c r="D637" s="158"/>
      <c r="E637" s="6"/>
      <c r="F637" s="6"/>
      <c r="G637" s="6"/>
      <c r="H637" s="6"/>
      <c r="I637" s="6"/>
      <c r="J637" s="6"/>
      <c r="K637" s="6"/>
      <c r="L637" s="6"/>
      <c r="M637" s="6"/>
      <c r="N637" s="6"/>
      <c r="O637" s="6"/>
      <c r="P637" s="6"/>
      <c r="Q637" s="6"/>
      <c r="R637" s="6"/>
      <c r="S637" s="6"/>
      <c r="T637" s="6"/>
      <c r="U637" s="6"/>
      <c r="V637" s="6"/>
      <c r="W637" s="6"/>
      <c r="X637" s="6"/>
      <c r="Y637" s="6"/>
      <c r="Z637" s="6"/>
    </row>
    <row r="638">
      <c r="A638" s="155"/>
      <c r="B638" s="156"/>
      <c r="C638" s="156"/>
      <c r="D638" s="158"/>
      <c r="E638" s="6"/>
      <c r="F638" s="6"/>
      <c r="G638" s="6"/>
      <c r="H638" s="6"/>
      <c r="I638" s="6"/>
      <c r="J638" s="6"/>
      <c r="K638" s="6"/>
      <c r="L638" s="6"/>
      <c r="M638" s="6"/>
      <c r="N638" s="6"/>
      <c r="O638" s="6"/>
      <c r="P638" s="6"/>
      <c r="Q638" s="6"/>
      <c r="R638" s="6"/>
      <c r="S638" s="6"/>
      <c r="T638" s="6"/>
      <c r="U638" s="6"/>
      <c r="V638" s="6"/>
      <c r="W638" s="6"/>
      <c r="X638" s="6"/>
      <c r="Y638" s="6"/>
      <c r="Z638" s="6"/>
    </row>
    <row r="639">
      <c r="A639" s="155"/>
      <c r="B639" s="156"/>
      <c r="C639" s="156"/>
      <c r="D639" s="158"/>
      <c r="E639" s="6"/>
      <c r="F639" s="6"/>
      <c r="G639" s="6"/>
      <c r="H639" s="6"/>
      <c r="I639" s="6"/>
      <c r="J639" s="6"/>
      <c r="K639" s="6"/>
      <c r="L639" s="6"/>
      <c r="M639" s="6"/>
      <c r="N639" s="6"/>
      <c r="O639" s="6"/>
      <c r="P639" s="6"/>
      <c r="Q639" s="6"/>
      <c r="R639" s="6"/>
      <c r="S639" s="6"/>
      <c r="T639" s="6"/>
      <c r="U639" s="6"/>
      <c r="V639" s="6"/>
      <c r="W639" s="6"/>
      <c r="X639" s="6"/>
      <c r="Y639" s="6"/>
      <c r="Z639" s="6"/>
    </row>
    <row r="640">
      <c r="A640" s="155"/>
      <c r="B640" s="156"/>
      <c r="C640" s="156"/>
      <c r="D640" s="158"/>
      <c r="E640" s="6"/>
      <c r="F640" s="6"/>
      <c r="G640" s="6"/>
      <c r="H640" s="6"/>
      <c r="I640" s="6"/>
      <c r="J640" s="6"/>
      <c r="K640" s="6"/>
      <c r="L640" s="6"/>
      <c r="M640" s="6"/>
      <c r="N640" s="6"/>
      <c r="O640" s="6"/>
      <c r="P640" s="6"/>
      <c r="Q640" s="6"/>
      <c r="R640" s="6"/>
      <c r="S640" s="6"/>
      <c r="T640" s="6"/>
      <c r="U640" s="6"/>
      <c r="V640" s="6"/>
      <c r="W640" s="6"/>
      <c r="X640" s="6"/>
      <c r="Y640" s="6"/>
      <c r="Z640" s="6"/>
    </row>
    <row r="641">
      <c r="A641" s="155"/>
      <c r="B641" s="156"/>
      <c r="C641" s="156"/>
      <c r="D641" s="158"/>
      <c r="E641" s="6"/>
      <c r="F641" s="6"/>
      <c r="G641" s="6"/>
      <c r="H641" s="6"/>
      <c r="I641" s="6"/>
      <c r="J641" s="6"/>
      <c r="K641" s="6"/>
      <c r="L641" s="6"/>
      <c r="M641" s="6"/>
      <c r="N641" s="6"/>
      <c r="O641" s="6"/>
      <c r="P641" s="6"/>
      <c r="Q641" s="6"/>
      <c r="R641" s="6"/>
      <c r="S641" s="6"/>
      <c r="T641" s="6"/>
      <c r="U641" s="6"/>
      <c r="V641" s="6"/>
      <c r="W641" s="6"/>
      <c r="X641" s="6"/>
      <c r="Y641" s="6"/>
      <c r="Z641" s="6"/>
    </row>
    <row r="642">
      <c r="A642" s="155"/>
      <c r="B642" s="156"/>
      <c r="C642" s="156"/>
      <c r="D642" s="158"/>
      <c r="E642" s="6"/>
      <c r="F642" s="6"/>
      <c r="G642" s="6"/>
      <c r="H642" s="6"/>
      <c r="I642" s="6"/>
      <c r="J642" s="6"/>
      <c r="K642" s="6"/>
      <c r="L642" s="6"/>
      <c r="M642" s="6"/>
      <c r="N642" s="6"/>
      <c r="O642" s="6"/>
      <c r="P642" s="6"/>
      <c r="Q642" s="6"/>
      <c r="R642" s="6"/>
      <c r="S642" s="6"/>
      <c r="T642" s="6"/>
      <c r="U642" s="6"/>
      <c r="V642" s="6"/>
      <c r="W642" s="6"/>
      <c r="X642" s="6"/>
      <c r="Y642" s="6"/>
      <c r="Z642" s="6"/>
    </row>
    <row r="643">
      <c r="A643" s="155"/>
      <c r="B643" s="156"/>
      <c r="C643" s="156"/>
      <c r="D643" s="158"/>
      <c r="E643" s="6"/>
      <c r="F643" s="6"/>
      <c r="G643" s="6"/>
      <c r="H643" s="6"/>
      <c r="I643" s="6"/>
      <c r="J643" s="6"/>
      <c r="K643" s="6"/>
      <c r="L643" s="6"/>
      <c r="M643" s="6"/>
      <c r="N643" s="6"/>
      <c r="O643" s="6"/>
      <c r="P643" s="6"/>
      <c r="Q643" s="6"/>
      <c r="R643" s="6"/>
      <c r="S643" s="6"/>
      <c r="T643" s="6"/>
      <c r="U643" s="6"/>
      <c r="V643" s="6"/>
      <c r="W643" s="6"/>
      <c r="X643" s="6"/>
      <c r="Y643" s="6"/>
      <c r="Z643" s="6"/>
    </row>
    <row r="644">
      <c r="A644" s="155"/>
      <c r="B644" s="156"/>
      <c r="C644" s="156"/>
      <c r="D644" s="158"/>
      <c r="E644" s="6"/>
      <c r="F644" s="6"/>
      <c r="G644" s="6"/>
      <c r="H644" s="6"/>
      <c r="I644" s="6"/>
      <c r="J644" s="6"/>
      <c r="K644" s="6"/>
      <c r="L644" s="6"/>
      <c r="M644" s="6"/>
      <c r="N644" s="6"/>
      <c r="O644" s="6"/>
      <c r="P644" s="6"/>
      <c r="Q644" s="6"/>
      <c r="R644" s="6"/>
      <c r="S644" s="6"/>
      <c r="T644" s="6"/>
      <c r="U644" s="6"/>
      <c r="V644" s="6"/>
      <c r="W644" s="6"/>
      <c r="X644" s="6"/>
      <c r="Y644" s="6"/>
      <c r="Z644" s="6"/>
    </row>
    <row r="645">
      <c r="A645" s="155"/>
      <c r="B645" s="156"/>
      <c r="C645" s="156"/>
      <c r="D645" s="158"/>
      <c r="E645" s="6"/>
      <c r="F645" s="6"/>
      <c r="G645" s="6"/>
      <c r="H645" s="6"/>
      <c r="I645" s="6"/>
      <c r="J645" s="6"/>
      <c r="K645" s="6"/>
      <c r="L645" s="6"/>
      <c r="M645" s="6"/>
      <c r="N645" s="6"/>
      <c r="O645" s="6"/>
      <c r="P645" s="6"/>
      <c r="Q645" s="6"/>
      <c r="R645" s="6"/>
      <c r="S645" s="6"/>
      <c r="T645" s="6"/>
      <c r="U645" s="6"/>
      <c r="V645" s="6"/>
      <c r="W645" s="6"/>
      <c r="X645" s="6"/>
      <c r="Y645" s="6"/>
      <c r="Z645" s="6"/>
    </row>
    <row r="646">
      <c r="A646" s="155"/>
      <c r="B646" s="156"/>
      <c r="C646" s="156"/>
      <c r="D646" s="158"/>
      <c r="E646" s="6"/>
      <c r="F646" s="6"/>
      <c r="G646" s="6"/>
      <c r="H646" s="6"/>
      <c r="I646" s="6"/>
      <c r="J646" s="6"/>
      <c r="K646" s="6"/>
      <c r="L646" s="6"/>
      <c r="M646" s="6"/>
      <c r="N646" s="6"/>
      <c r="O646" s="6"/>
      <c r="P646" s="6"/>
      <c r="Q646" s="6"/>
      <c r="R646" s="6"/>
      <c r="S646" s="6"/>
      <c r="T646" s="6"/>
      <c r="U646" s="6"/>
      <c r="V646" s="6"/>
      <c r="W646" s="6"/>
      <c r="X646" s="6"/>
      <c r="Y646" s="6"/>
      <c r="Z646" s="6"/>
    </row>
    <row r="647">
      <c r="A647" s="155"/>
      <c r="B647" s="156"/>
      <c r="C647" s="156"/>
      <c r="D647" s="158"/>
      <c r="E647" s="6"/>
      <c r="F647" s="6"/>
      <c r="G647" s="6"/>
      <c r="H647" s="6"/>
      <c r="I647" s="6"/>
      <c r="J647" s="6"/>
      <c r="K647" s="6"/>
      <c r="L647" s="6"/>
      <c r="M647" s="6"/>
      <c r="N647" s="6"/>
      <c r="O647" s="6"/>
      <c r="P647" s="6"/>
      <c r="Q647" s="6"/>
      <c r="R647" s="6"/>
      <c r="S647" s="6"/>
      <c r="T647" s="6"/>
      <c r="U647" s="6"/>
      <c r="V647" s="6"/>
      <c r="W647" s="6"/>
      <c r="X647" s="6"/>
      <c r="Y647" s="6"/>
      <c r="Z647" s="6"/>
    </row>
    <row r="648">
      <c r="A648" s="155"/>
      <c r="B648" s="156"/>
      <c r="C648" s="156"/>
      <c r="D648" s="158"/>
      <c r="E648" s="6"/>
      <c r="F648" s="6"/>
      <c r="G648" s="6"/>
      <c r="H648" s="6"/>
      <c r="I648" s="6"/>
      <c r="J648" s="6"/>
      <c r="K648" s="6"/>
      <c r="L648" s="6"/>
      <c r="M648" s="6"/>
      <c r="N648" s="6"/>
      <c r="O648" s="6"/>
      <c r="P648" s="6"/>
      <c r="Q648" s="6"/>
      <c r="R648" s="6"/>
      <c r="S648" s="6"/>
      <c r="T648" s="6"/>
      <c r="U648" s="6"/>
      <c r="V648" s="6"/>
      <c r="W648" s="6"/>
      <c r="X648" s="6"/>
      <c r="Y648" s="6"/>
      <c r="Z648" s="6"/>
    </row>
    <row r="649">
      <c r="A649" s="155"/>
      <c r="B649" s="156"/>
      <c r="C649" s="156"/>
      <c r="D649" s="158"/>
      <c r="E649" s="6"/>
      <c r="F649" s="6"/>
      <c r="G649" s="6"/>
      <c r="H649" s="6"/>
      <c r="I649" s="6"/>
      <c r="J649" s="6"/>
      <c r="K649" s="6"/>
      <c r="L649" s="6"/>
      <c r="M649" s="6"/>
      <c r="N649" s="6"/>
      <c r="O649" s="6"/>
      <c r="P649" s="6"/>
      <c r="Q649" s="6"/>
      <c r="R649" s="6"/>
      <c r="S649" s="6"/>
      <c r="T649" s="6"/>
      <c r="U649" s="6"/>
      <c r="V649" s="6"/>
      <c r="W649" s="6"/>
      <c r="X649" s="6"/>
      <c r="Y649" s="6"/>
      <c r="Z649" s="6"/>
    </row>
    <row r="650">
      <c r="A650" s="155"/>
      <c r="B650" s="156"/>
      <c r="C650" s="156"/>
      <c r="D650" s="158"/>
      <c r="E650" s="6"/>
      <c r="F650" s="6"/>
      <c r="G650" s="6"/>
      <c r="H650" s="6"/>
      <c r="I650" s="6"/>
      <c r="J650" s="6"/>
      <c r="K650" s="6"/>
      <c r="L650" s="6"/>
      <c r="M650" s="6"/>
      <c r="N650" s="6"/>
      <c r="O650" s="6"/>
      <c r="P650" s="6"/>
      <c r="Q650" s="6"/>
      <c r="R650" s="6"/>
      <c r="S650" s="6"/>
      <c r="T650" s="6"/>
      <c r="U650" s="6"/>
      <c r="V650" s="6"/>
      <c r="W650" s="6"/>
      <c r="X650" s="6"/>
      <c r="Y650" s="6"/>
      <c r="Z650" s="6"/>
    </row>
    <row r="651">
      <c r="A651" s="155"/>
      <c r="B651" s="156"/>
      <c r="C651" s="156"/>
      <c r="D651" s="158"/>
      <c r="E651" s="6"/>
      <c r="F651" s="6"/>
      <c r="G651" s="6"/>
      <c r="H651" s="6"/>
      <c r="I651" s="6"/>
      <c r="J651" s="6"/>
      <c r="K651" s="6"/>
      <c r="L651" s="6"/>
      <c r="M651" s="6"/>
      <c r="N651" s="6"/>
      <c r="O651" s="6"/>
      <c r="P651" s="6"/>
      <c r="Q651" s="6"/>
      <c r="R651" s="6"/>
      <c r="S651" s="6"/>
      <c r="T651" s="6"/>
      <c r="U651" s="6"/>
      <c r="V651" s="6"/>
      <c r="W651" s="6"/>
      <c r="X651" s="6"/>
      <c r="Y651" s="6"/>
      <c r="Z651" s="6"/>
    </row>
    <row r="652">
      <c r="A652" s="155"/>
      <c r="B652" s="156"/>
      <c r="C652" s="156"/>
      <c r="D652" s="158"/>
      <c r="E652" s="6"/>
      <c r="F652" s="6"/>
      <c r="G652" s="6"/>
      <c r="H652" s="6"/>
      <c r="I652" s="6"/>
      <c r="J652" s="6"/>
      <c r="K652" s="6"/>
      <c r="L652" s="6"/>
      <c r="M652" s="6"/>
      <c r="N652" s="6"/>
      <c r="O652" s="6"/>
      <c r="P652" s="6"/>
      <c r="Q652" s="6"/>
      <c r="R652" s="6"/>
      <c r="S652" s="6"/>
      <c r="T652" s="6"/>
      <c r="U652" s="6"/>
      <c r="V652" s="6"/>
      <c r="W652" s="6"/>
      <c r="X652" s="6"/>
      <c r="Y652" s="6"/>
      <c r="Z652" s="6"/>
    </row>
    <row r="653">
      <c r="A653" s="155"/>
      <c r="B653" s="156"/>
      <c r="C653" s="156"/>
      <c r="D653" s="158"/>
      <c r="E653" s="6"/>
      <c r="F653" s="6"/>
      <c r="G653" s="6"/>
      <c r="H653" s="6"/>
      <c r="I653" s="6"/>
      <c r="J653" s="6"/>
      <c r="K653" s="6"/>
      <c r="L653" s="6"/>
      <c r="M653" s="6"/>
      <c r="N653" s="6"/>
      <c r="O653" s="6"/>
      <c r="P653" s="6"/>
      <c r="Q653" s="6"/>
      <c r="R653" s="6"/>
      <c r="S653" s="6"/>
      <c r="T653" s="6"/>
      <c r="U653" s="6"/>
      <c r="V653" s="6"/>
      <c r="W653" s="6"/>
      <c r="X653" s="6"/>
      <c r="Y653" s="6"/>
      <c r="Z653" s="6"/>
    </row>
    <row r="654">
      <c r="A654" s="155"/>
      <c r="B654" s="156"/>
      <c r="C654" s="156"/>
      <c r="D654" s="158"/>
      <c r="E654" s="6"/>
      <c r="F654" s="6"/>
      <c r="G654" s="6"/>
      <c r="H654" s="6"/>
      <c r="I654" s="6"/>
      <c r="J654" s="6"/>
      <c r="K654" s="6"/>
      <c r="L654" s="6"/>
      <c r="M654" s="6"/>
      <c r="N654" s="6"/>
      <c r="O654" s="6"/>
      <c r="P654" s="6"/>
      <c r="Q654" s="6"/>
      <c r="R654" s="6"/>
      <c r="S654" s="6"/>
      <c r="T654" s="6"/>
      <c r="U654" s="6"/>
      <c r="V654" s="6"/>
      <c r="W654" s="6"/>
      <c r="X654" s="6"/>
      <c r="Y654" s="6"/>
      <c r="Z654" s="6"/>
    </row>
    <row r="655">
      <c r="A655" s="155"/>
      <c r="B655" s="156"/>
      <c r="C655" s="156"/>
      <c r="D655" s="158"/>
      <c r="E655" s="6"/>
      <c r="F655" s="6"/>
      <c r="G655" s="6"/>
      <c r="H655" s="6"/>
      <c r="I655" s="6"/>
      <c r="J655" s="6"/>
      <c r="K655" s="6"/>
      <c r="L655" s="6"/>
      <c r="M655" s="6"/>
      <c r="N655" s="6"/>
      <c r="O655" s="6"/>
      <c r="P655" s="6"/>
      <c r="Q655" s="6"/>
      <c r="R655" s="6"/>
      <c r="S655" s="6"/>
      <c r="T655" s="6"/>
      <c r="U655" s="6"/>
      <c r="V655" s="6"/>
      <c r="W655" s="6"/>
      <c r="X655" s="6"/>
      <c r="Y655" s="6"/>
      <c r="Z655" s="6"/>
    </row>
    <row r="656">
      <c r="A656" s="155"/>
      <c r="B656" s="156"/>
      <c r="C656" s="156"/>
      <c r="D656" s="158"/>
      <c r="E656" s="6"/>
      <c r="F656" s="6"/>
      <c r="G656" s="6"/>
      <c r="H656" s="6"/>
      <c r="I656" s="6"/>
      <c r="J656" s="6"/>
      <c r="K656" s="6"/>
      <c r="L656" s="6"/>
      <c r="M656" s="6"/>
      <c r="N656" s="6"/>
      <c r="O656" s="6"/>
      <c r="P656" s="6"/>
      <c r="Q656" s="6"/>
      <c r="R656" s="6"/>
      <c r="S656" s="6"/>
      <c r="T656" s="6"/>
      <c r="U656" s="6"/>
      <c r="V656" s="6"/>
      <c r="W656" s="6"/>
      <c r="X656" s="6"/>
      <c r="Y656" s="6"/>
      <c r="Z656" s="6"/>
    </row>
    <row r="657">
      <c r="A657" s="155"/>
      <c r="B657" s="156"/>
      <c r="C657" s="156"/>
      <c r="D657" s="158"/>
      <c r="E657" s="6"/>
      <c r="F657" s="6"/>
      <c r="G657" s="6"/>
      <c r="H657" s="6"/>
      <c r="I657" s="6"/>
      <c r="J657" s="6"/>
      <c r="K657" s="6"/>
      <c r="L657" s="6"/>
      <c r="M657" s="6"/>
      <c r="N657" s="6"/>
      <c r="O657" s="6"/>
      <c r="P657" s="6"/>
      <c r="Q657" s="6"/>
      <c r="R657" s="6"/>
      <c r="S657" s="6"/>
      <c r="T657" s="6"/>
      <c r="U657" s="6"/>
      <c r="V657" s="6"/>
      <c r="W657" s="6"/>
      <c r="X657" s="6"/>
      <c r="Y657" s="6"/>
      <c r="Z657" s="6"/>
    </row>
    <row r="658">
      <c r="A658" s="155"/>
      <c r="B658" s="156"/>
      <c r="C658" s="156"/>
      <c r="D658" s="158"/>
      <c r="E658" s="6"/>
      <c r="F658" s="6"/>
      <c r="G658" s="6"/>
      <c r="H658" s="6"/>
      <c r="I658" s="6"/>
      <c r="J658" s="6"/>
      <c r="K658" s="6"/>
      <c r="L658" s="6"/>
      <c r="M658" s="6"/>
      <c r="N658" s="6"/>
      <c r="O658" s="6"/>
      <c r="P658" s="6"/>
      <c r="Q658" s="6"/>
      <c r="R658" s="6"/>
      <c r="S658" s="6"/>
      <c r="T658" s="6"/>
      <c r="U658" s="6"/>
      <c r="V658" s="6"/>
      <c r="W658" s="6"/>
      <c r="X658" s="6"/>
      <c r="Y658" s="6"/>
      <c r="Z658" s="6"/>
    </row>
    <row r="659">
      <c r="A659" s="155"/>
      <c r="B659" s="156"/>
      <c r="C659" s="156"/>
      <c r="D659" s="158"/>
      <c r="E659" s="6"/>
      <c r="F659" s="6"/>
      <c r="G659" s="6"/>
      <c r="H659" s="6"/>
      <c r="I659" s="6"/>
      <c r="J659" s="6"/>
      <c r="K659" s="6"/>
      <c r="L659" s="6"/>
      <c r="M659" s="6"/>
      <c r="N659" s="6"/>
      <c r="O659" s="6"/>
      <c r="P659" s="6"/>
      <c r="Q659" s="6"/>
      <c r="R659" s="6"/>
      <c r="S659" s="6"/>
      <c r="T659" s="6"/>
      <c r="U659" s="6"/>
      <c r="V659" s="6"/>
      <c r="W659" s="6"/>
      <c r="X659" s="6"/>
      <c r="Y659" s="6"/>
      <c r="Z659" s="6"/>
    </row>
    <row r="660">
      <c r="A660" s="155"/>
      <c r="B660" s="156"/>
      <c r="C660" s="156"/>
      <c r="D660" s="158"/>
      <c r="E660" s="6"/>
      <c r="F660" s="6"/>
      <c r="G660" s="6"/>
      <c r="H660" s="6"/>
      <c r="I660" s="6"/>
      <c r="J660" s="6"/>
      <c r="K660" s="6"/>
      <c r="L660" s="6"/>
      <c r="M660" s="6"/>
      <c r="N660" s="6"/>
      <c r="O660" s="6"/>
      <c r="P660" s="6"/>
      <c r="Q660" s="6"/>
      <c r="R660" s="6"/>
      <c r="S660" s="6"/>
      <c r="T660" s="6"/>
      <c r="U660" s="6"/>
      <c r="V660" s="6"/>
      <c r="W660" s="6"/>
      <c r="X660" s="6"/>
      <c r="Y660" s="6"/>
      <c r="Z660" s="6"/>
    </row>
    <row r="661">
      <c r="A661" s="155"/>
      <c r="B661" s="156"/>
      <c r="C661" s="156"/>
      <c r="D661" s="158"/>
      <c r="E661" s="6"/>
      <c r="F661" s="6"/>
      <c r="G661" s="6"/>
      <c r="H661" s="6"/>
      <c r="I661" s="6"/>
      <c r="J661" s="6"/>
      <c r="K661" s="6"/>
      <c r="L661" s="6"/>
      <c r="M661" s="6"/>
      <c r="N661" s="6"/>
      <c r="O661" s="6"/>
      <c r="P661" s="6"/>
      <c r="Q661" s="6"/>
      <c r="R661" s="6"/>
      <c r="S661" s="6"/>
      <c r="T661" s="6"/>
      <c r="U661" s="6"/>
      <c r="V661" s="6"/>
      <c r="W661" s="6"/>
      <c r="X661" s="6"/>
      <c r="Y661" s="6"/>
      <c r="Z661" s="6"/>
    </row>
    <row r="662">
      <c r="A662" s="155"/>
      <c r="B662" s="156"/>
      <c r="C662" s="156"/>
      <c r="D662" s="158"/>
      <c r="E662" s="6"/>
      <c r="F662" s="6"/>
      <c r="G662" s="6"/>
      <c r="H662" s="6"/>
      <c r="I662" s="6"/>
      <c r="J662" s="6"/>
      <c r="K662" s="6"/>
      <c r="L662" s="6"/>
      <c r="M662" s="6"/>
      <c r="N662" s="6"/>
      <c r="O662" s="6"/>
      <c r="P662" s="6"/>
      <c r="Q662" s="6"/>
      <c r="R662" s="6"/>
      <c r="S662" s="6"/>
      <c r="T662" s="6"/>
      <c r="U662" s="6"/>
      <c r="V662" s="6"/>
      <c r="W662" s="6"/>
      <c r="X662" s="6"/>
      <c r="Y662" s="6"/>
      <c r="Z662" s="6"/>
    </row>
    <row r="663">
      <c r="A663" s="155"/>
      <c r="B663" s="156"/>
      <c r="C663" s="156"/>
      <c r="D663" s="158"/>
      <c r="E663" s="6"/>
      <c r="F663" s="6"/>
      <c r="G663" s="6"/>
      <c r="H663" s="6"/>
      <c r="I663" s="6"/>
      <c r="J663" s="6"/>
      <c r="K663" s="6"/>
      <c r="L663" s="6"/>
      <c r="M663" s="6"/>
      <c r="N663" s="6"/>
      <c r="O663" s="6"/>
      <c r="P663" s="6"/>
      <c r="Q663" s="6"/>
      <c r="R663" s="6"/>
      <c r="S663" s="6"/>
      <c r="T663" s="6"/>
      <c r="U663" s="6"/>
      <c r="V663" s="6"/>
      <c r="W663" s="6"/>
      <c r="X663" s="6"/>
      <c r="Y663" s="6"/>
      <c r="Z663" s="6"/>
    </row>
    <row r="664">
      <c r="A664" s="155"/>
      <c r="B664" s="156"/>
      <c r="C664" s="156"/>
      <c r="D664" s="158"/>
      <c r="E664" s="6"/>
      <c r="F664" s="6"/>
      <c r="G664" s="6"/>
      <c r="H664" s="6"/>
      <c r="I664" s="6"/>
      <c r="J664" s="6"/>
      <c r="K664" s="6"/>
      <c r="L664" s="6"/>
      <c r="M664" s="6"/>
      <c r="N664" s="6"/>
      <c r="O664" s="6"/>
      <c r="P664" s="6"/>
      <c r="Q664" s="6"/>
      <c r="R664" s="6"/>
      <c r="S664" s="6"/>
      <c r="T664" s="6"/>
      <c r="U664" s="6"/>
      <c r="V664" s="6"/>
      <c r="W664" s="6"/>
      <c r="X664" s="6"/>
      <c r="Y664" s="6"/>
      <c r="Z664" s="6"/>
    </row>
    <row r="665">
      <c r="A665" s="155"/>
      <c r="B665" s="156"/>
      <c r="C665" s="156"/>
      <c r="D665" s="158"/>
      <c r="E665" s="6"/>
      <c r="F665" s="6"/>
      <c r="G665" s="6"/>
      <c r="H665" s="6"/>
      <c r="I665" s="6"/>
      <c r="J665" s="6"/>
      <c r="K665" s="6"/>
      <c r="L665" s="6"/>
      <c r="M665" s="6"/>
      <c r="N665" s="6"/>
      <c r="O665" s="6"/>
      <c r="P665" s="6"/>
      <c r="Q665" s="6"/>
      <c r="R665" s="6"/>
      <c r="S665" s="6"/>
      <c r="T665" s="6"/>
      <c r="U665" s="6"/>
      <c r="V665" s="6"/>
      <c r="W665" s="6"/>
      <c r="X665" s="6"/>
      <c r="Y665" s="6"/>
      <c r="Z665" s="6"/>
    </row>
    <row r="666">
      <c r="A666" s="155"/>
      <c r="B666" s="156"/>
      <c r="C666" s="156"/>
      <c r="D666" s="158"/>
      <c r="E666" s="6"/>
      <c r="F666" s="6"/>
      <c r="G666" s="6"/>
      <c r="H666" s="6"/>
      <c r="I666" s="6"/>
      <c r="J666" s="6"/>
      <c r="K666" s="6"/>
      <c r="L666" s="6"/>
      <c r="M666" s="6"/>
      <c r="N666" s="6"/>
      <c r="O666" s="6"/>
      <c r="P666" s="6"/>
      <c r="Q666" s="6"/>
      <c r="R666" s="6"/>
      <c r="S666" s="6"/>
      <c r="T666" s="6"/>
      <c r="U666" s="6"/>
      <c r="V666" s="6"/>
      <c r="W666" s="6"/>
      <c r="X666" s="6"/>
      <c r="Y666" s="6"/>
      <c r="Z666" s="6"/>
    </row>
    <row r="667">
      <c r="A667" s="155"/>
      <c r="B667" s="156"/>
      <c r="C667" s="156"/>
      <c r="D667" s="158"/>
      <c r="E667" s="6"/>
      <c r="F667" s="6"/>
      <c r="G667" s="6"/>
      <c r="H667" s="6"/>
      <c r="I667" s="6"/>
      <c r="J667" s="6"/>
      <c r="K667" s="6"/>
      <c r="L667" s="6"/>
      <c r="M667" s="6"/>
      <c r="N667" s="6"/>
      <c r="O667" s="6"/>
      <c r="P667" s="6"/>
      <c r="Q667" s="6"/>
      <c r="R667" s="6"/>
      <c r="S667" s="6"/>
      <c r="T667" s="6"/>
      <c r="U667" s="6"/>
      <c r="V667" s="6"/>
      <c r="W667" s="6"/>
      <c r="X667" s="6"/>
      <c r="Y667" s="6"/>
      <c r="Z667" s="6"/>
    </row>
    <row r="668">
      <c r="A668" s="155"/>
      <c r="B668" s="156"/>
      <c r="C668" s="156"/>
      <c r="D668" s="158"/>
      <c r="E668" s="6"/>
      <c r="F668" s="6"/>
      <c r="G668" s="6"/>
      <c r="H668" s="6"/>
      <c r="I668" s="6"/>
      <c r="J668" s="6"/>
      <c r="K668" s="6"/>
      <c r="L668" s="6"/>
      <c r="M668" s="6"/>
      <c r="N668" s="6"/>
      <c r="O668" s="6"/>
      <c r="P668" s="6"/>
      <c r="Q668" s="6"/>
      <c r="R668" s="6"/>
      <c r="S668" s="6"/>
      <c r="T668" s="6"/>
      <c r="U668" s="6"/>
      <c r="V668" s="6"/>
      <c r="W668" s="6"/>
      <c r="X668" s="6"/>
      <c r="Y668" s="6"/>
      <c r="Z668" s="6"/>
    </row>
    <row r="669">
      <c r="A669" s="155"/>
      <c r="B669" s="156"/>
      <c r="C669" s="156"/>
      <c r="D669" s="158"/>
      <c r="E669" s="6"/>
      <c r="F669" s="6"/>
      <c r="G669" s="6"/>
      <c r="H669" s="6"/>
      <c r="I669" s="6"/>
      <c r="J669" s="6"/>
      <c r="K669" s="6"/>
      <c r="L669" s="6"/>
      <c r="M669" s="6"/>
      <c r="N669" s="6"/>
      <c r="O669" s="6"/>
      <c r="P669" s="6"/>
      <c r="Q669" s="6"/>
      <c r="R669" s="6"/>
      <c r="S669" s="6"/>
      <c r="T669" s="6"/>
      <c r="U669" s="6"/>
      <c r="V669" s="6"/>
      <c r="W669" s="6"/>
      <c r="X669" s="6"/>
      <c r="Y669" s="6"/>
      <c r="Z669" s="6"/>
    </row>
    <row r="670">
      <c r="A670" s="155"/>
      <c r="B670" s="156"/>
      <c r="C670" s="156"/>
      <c r="D670" s="158"/>
      <c r="E670" s="6"/>
      <c r="F670" s="6"/>
      <c r="G670" s="6"/>
      <c r="H670" s="6"/>
      <c r="I670" s="6"/>
      <c r="J670" s="6"/>
      <c r="K670" s="6"/>
      <c r="L670" s="6"/>
      <c r="M670" s="6"/>
      <c r="N670" s="6"/>
      <c r="O670" s="6"/>
      <c r="P670" s="6"/>
      <c r="Q670" s="6"/>
      <c r="R670" s="6"/>
      <c r="S670" s="6"/>
      <c r="T670" s="6"/>
      <c r="U670" s="6"/>
      <c r="V670" s="6"/>
      <c r="W670" s="6"/>
      <c r="X670" s="6"/>
      <c r="Y670" s="6"/>
      <c r="Z670" s="6"/>
    </row>
    <row r="671">
      <c r="A671" s="155"/>
      <c r="B671" s="156"/>
      <c r="C671" s="156"/>
      <c r="D671" s="158"/>
      <c r="E671" s="6"/>
      <c r="F671" s="6"/>
      <c r="G671" s="6"/>
      <c r="H671" s="6"/>
      <c r="I671" s="6"/>
      <c r="J671" s="6"/>
      <c r="K671" s="6"/>
      <c r="L671" s="6"/>
      <c r="M671" s="6"/>
      <c r="N671" s="6"/>
      <c r="O671" s="6"/>
      <c r="P671" s="6"/>
      <c r="Q671" s="6"/>
      <c r="R671" s="6"/>
      <c r="S671" s="6"/>
      <c r="T671" s="6"/>
      <c r="U671" s="6"/>
      <c r="V671" s="6"/>
      <c r="W671" s="6"/>
      <c r="X671" s="6"/>
      <c r="Y671" s="6"/>
      <c r="Z671" s="6"/>
    </row>
    <row r="672">
      <c r="A672" s="155"/>
      <c r="B672" s="156"/>
      <c r="C672" s="156"/>
      <c r="D672" s="158"/>
      <c r="E672" s="6"/>
      <c r="F672" s="6"/>
      <c r="G672" s="6"/>
      <c r="H672" s="6"/>
      <c r="I672" s="6"/>
      <c r="J672" s="6"/>
      <c r="K672" s="6"/>
      <c r="L672" s="6"/>
      <c r="M672" s="6"/>
      <c r="N672" s="6"/>
      <c r="O672" s="6"/>
      <c r="P672" s="6"/>
      <c r="Q672" s="6"/>
      <c r="R672" s="6"/>
      <c r="S672" s="6"/>
      <c r="T672" s="6"/>
      <c r="U672" s="6"/>
      <c r="V672" s="6"/>
      <c r="W672" s="6"/>
      <c r="X672" s="6"/>
      <c r="Y672" s="6"/>
      <c r="Z672" s="6"/>
    </row>
    <row r="673">
      <c r="A673" s="155"/>
      <c r="B673" s="156"/>
      <c r="C673" s="156"/>
      <c r="D673" s="158"/>
      <c r="E673" s="6"/>
      <c r="F673" s="6"/>
      <c r="G673" s="6"/>
      <c r="H673" s="6"/>
      <c r="I673" s="6"/>
      <c r="J673" s="6"/>
      <c r="K673" s="6"/>
      <c r="L673" s="6"/>
      <c r="M673" s="6"/>
      <c r="N673" s="6"/>
      <c r="O673" s="6"/>
      <c r="P673" s="6"/>
      <c r="Q673" s="6"/>
      <c r="R673" s="6"/>
      <c r="S673" s="6"/>
      <c r="T673" s="6"/>
      <c r="U673" s="6"/>
      <c r="V673" s="6"/>
      <c r="W673" s="6"/>
      <c r="X673" s="6"/>
      <c r="Y673" s="6"/>
      <c r="Z673" s="6"/>
    </row>
    <row r="674">
      <c r="A674" s="155"/>
      <c r="B674" s="156"/>
      <c r="C674" s="156"/>
      <c r="D674" s="158"/>
      <c r="E674" s="6"/>
      <c r="F674" s="6"/>
      <c r="G674" s="6"/>
      <c r="H674" s="6"/>
      <c r="I674" s="6"/>
      <c r="J674" s="6"/>
      <c r="K674" s="6"/>
      <c r="L674" s="6"/>
      <c r="M674" s="6"/>
      <c r="N674" s="6"/>
      <c r="O674" s="6"/>
      <c r="P674" s="6"/>
      <c r="Q674" s="6"/>
      <c r="R674" s="6"/>
      <c r="S674" s="6"/>
      <c r="T674" s="6"/>
      <c r="U674" s="6"/>
      <c r="V674" s="6"/>
      <c r="W674" s="6"/>
      <c r="X674" s="6"/>
      <c r="Y674" s="6"/>
      <c r="Z674" s="6"/>
    </row>
    <row r="675">
      <c r="A675" s="155"/>
      <c r="B675" s="156"/>
      <c r="C675" s="156"/>
      <c r="D675" s="158"/>
      <c r="E675" s="6"/>
      <c r="F675" s="6"/>
      <c r="G675" s="6"/>
      <c r="H675" s="6"/>
      <c r="I675" s="6"/>
      <c r="J675" s="6"/>
      <c r="K675" s="6"/>
      <c r="L675" s="6"/>
      <c r="M675" s="6"/>
      <c r="N675" s="6"/>
      <c r="O675" s="6"/>
      <c r="P675" s="6"/>
      <c r="Q675" s="6"/>
      <c r="R675" s="6"/>
      <c r="S675" s="6"/>
      <c r="T675" s="6"/>
      <c r="U675" s="6"/>
      <c r="V675" s="6"/>
      <c r="W675" s="6"/>
      <c r="X675" s="6"/>
      <c r="Y675" s="6"/>
      <c r="Z675" s="6"/>
    </row>
    <row r="676">
      <c r="A676" s="155"/>
      <c r="B676" s="156"/>
      <c r="C676" s="156"/>
      <c r="D676" s="158"/>
      <c r="E676" s="6"/>
      <c r="F676" s="6"/>
      <c r="G676" s="6"/>
      <c r="H676" s="6"/>
      <c r="I676" s="6"/>
      <c r="J676" s="6"/>
      <c r="K676" s="6"/>
      <c r="L676" s="6"/>
      <c r="M676" s="6"/>
      <c r="N676" s="6"/>
      <c r="O676" s="6"/>
      <c r="P676" s="6"/>
      <c r="Q676" s="6"/>
      <c r="R676" s="6"/>
      <c r="S676" s="6"/>
      <c r="T676" s="6"/>
      <c r="U676" s="6"/>
      <c r="V676" s="6"/>
      <c r="W676" s="6"/>
      <c r="X676" s="6"/>
      <c r="Y676" s="6"/>
      <c r="Z676" s="6"/>
    </row>
    <row r="677">
      <c r="A677" s="155"/>
      <c r="B677" s="156"/>
      <c r="C677" s="156"/>
      <c r="D677" s="158"/>
      <c r="E677" s="6"/>
      <c r="F677" s="6"/>
      <c r="G677" s="6"/>
      <c r="H677" s="6"/>
      <c r="I677" s="6"/>
      <c r="J677" s="6"/>
      <c r="K677" s="6"/>
      <c r="L677" s="6"/>
      <c r="M677" s="6"/>
      <c r="N677" s="6"/>
      <c r="O677" s="6"/>
      <c r="P677" s="6"/>
      <c r="Q677" s="6"/>
      <c r="R677" s="6"/>
      <c r="S677" s="6"/>
      <c r="T677" s="6"/>
      <c r="U677" s="6"/>
      <c r="V677" s="6"/>
      <c r="W677" s="6"/>
      <c r="X677" s="6"/>
      <c r="Y677" s="6"/>
      <c r="Z677" s="6"/>
    </row>
    <row r="678">
      <c r="A678" s="155"/>
      <c r="B678" s="156"/>
      <c r="C678" s="156"/>
      <c r="D678" s="158"/>
      <c r="E678" s="6"/>
      <c r="F678" s="6"/>
      <c r="G678" s="6"/>
      <c r="H678" s="6"/>
      <c r="I678" s="6"/>
      <c r="J678" s="6"/>
      <c r="K678" s="6"/>
      <c r="L678" s="6"/>
      <c r="M678" s="6"/>
      <c r="N678" s="6"/>
      <c r="O678" s="6"/>
      <c r="P678" s="6"/>
      <c r="Q678" s="6"/>
      <c r="R678" s="6"/>
      <c r="S678" s="6"/>
      <c r="T678" s="6"/>
      <c r="U678" s="6"/>
      <c r="V678" s="6"/>
      <c r="W678" s="6"/>
      <c r="X678" s="6"/>
      <c r="Y678" s="6"/>
      <c r="Z678" s="6"/>
    </row>
    <row r="679">
      <c r="A679" s="155"/>
      <c r="B679" s="156"/>
      <c r="C679" s="156"/>
      <c r="D679" s="158"/>
      <c r="E679" s="6"/>
      <c r="F679" s="6"/>
      <c r="G679" s="6"/>
      <c r="H679" s="6"/>
      <c r="I679" s="6"/>
      <c r="J679" s="6"/>
      <c r="K679" s="6"/>
      <c r="L679" s="6"/>
      <c r="M679" s="6"/>
      <c r="N679" s="6"/>
      <c r="O679" s="6"/>
      <c r="P679" s="6"/>
      <c r="Q679" s="6"/>
      <c r="R679" s="6"/>
      <c r="S679" s="6"/>
      <c r="T679" s="6"/>
      <c r="U679" s="6"/>
      <c r="V679" s="6"/>
      <c r="W679" s="6"/>
      <c r="X679" s="6"/>
      <c r="Y679" s="6"/>
      <c r="Z679" s="6"/>
    </row>
    <row r="680">
      <c r="A680" s="155"/>
      <c r="B680" s="156"/>
      <c r="C680" s="156"/>
      <c r="D680" s="158"/>
      <c r="E680" s="6"/>
      <c r="F680" s="6"/>
      <c r="G680" s="6"/>
      <c r="H680" s="6"/>
      <c r="I680" s="6"/>
      <c r="J680" s="6"/>
      <c r="K680" s="6"/>
      <c r="L680" s="6"/>
      <c r="M680" s="6"/>
      <c r="N680" s="6"/>
      <c r="O680" s="6"/>
      <c r="P680" s="6"/>
      <c r="Q680" s="6"/>
      <c r="R680" s="6"/>
      <c r="S680" s="6"/>
      <c r="T680" s="6"/>
      <c r="U680" s="6"/>
      <c r="V680" s="6"/>
      <c r="W680" s="6"/>
      <c r="X680" s="6"/>
      <c r="Y680" s="6"/>
      <c r="Z680" s="6"/>
    </row>
    <row r="681">
      <c r="A681" s="155"/>
      <c r="B681" s="156"/>
      <c r="C681" s="156"/>
      <c r="D681" s="158"/>
      <c r="E681" s="6"/>
      <c r="F681" s="6"/>
      <c r="G681" s="6"/>
      <c r="H681" s="6"/>
      <c r="I681" s="6"/>
      <c r="J681" s="6"/>
      <c r="K681" s="6"/>
      <c r="L681" s="6"/>
      <c r="M681" s="6"/>
      <c r="N681" s="6"/>
      <c r="O681" s="6"/>
      <c r="P681" s="6"/>
      <c r="Q681" s="6"/>
      <c r="R681" s="6"/>
      <c r="S681" s="6"/>
      <c r="T681" s="6"/>
      <c r="U681" s="6"/>
      <c r="V681" s="6"/>
      <c r="W681" s="6"/>
      <c r="X681" s="6"/>
      <c r="Y681" s="6"/>
      <c r="Z681" s="6"/>
    </row>
    <row r="682">
      <c r="A682" s="155"/>
      <c r="B682" s="156"/>
      <c r="C682" s="156"/>
      <c r="D682" s="158"/>
      <c r="E682" s="6"/>
      <c r="F682" s="6"/>
      <c r="G682" s="6"/>
      <c r="H682" s="6"/>
      <c r="I682" s="6"/>
      <c r="J682" s="6"/>
      <c r="K682" s="6"/>
      <c r="L682" s="6"/>
      <c r="M682" s="6"/>
      <c r="N682" s="6"/>
      <c r="O682" s="6"/>
      <c r="P682" s="6"/>
      <c r="Q682" s="6"/>
      <c r="R682" s="6"/>
      <c r="S682" s="6"/>
      <c r="T682" s="6"/>
      <c r="U682" s="6"/>
      <c r="V682" s="6"/>
      <c r="W682" s="6"/>
      <c r="X682" s="6"/>
      <c r="Y682" s="6"/>
      <c r="Z682" s="6"/>
    </row>
    <row r="683">
      <c r="A683" s="155"/>
      <c r="B683" s="156"/>
      <c r="C683" s="156"/>
      <c r="D683" s="158"/>
      <c r="E683" s="6"/>
      <c r="F683" s="6"/>
      <c r="G683" s="6"/>
      <c r="H683" s="6"/>
      <c r="I683" s="6"/>
      <c r="J683" s="6"/>
      <c r="K683" s="6"/>
      <c r="L683" s="6"/>
      <c r="M683" s="6"/>
      <c r="N683" s="6"/>
      <c r="O683" s="6"/>
      <c r="P683" s="6"/>
      <c r="Q683" s="6"/>
      <c r="R683" s="6"/>
      <c r="S683" s="6"/>
      <c r="T683" s="6"/>
      <c r="U683" s="6"/>
      <c r="V683" s="6"/>
      <c r="W683" s="6"/>
      <c r="X683" s="6"/>
      <c r="Y683" s="6"/>
      <c r="Z683" s="6"/>
    </row>
    <row r="684">
      <c r="A684" s="155"/>
      <c r="B684" s="156"/>
      <c r="C684" s="156"/>
      <c r="D684" s="158"/>
      <c r="E684" s="6"/>
      <c r="F684" s="6"/>
      <c r="G684" s="6"/>
      <c r="H684" s="6"/>
      <c r="I684" s="6"/>
      <c r="J684" s="6"/>
      <c r="K684" s="6"/>
      <c r="L684" s="6"/>
      <c r="M684" s="6"/>
      <c r="N684" s="6"/>
      <c r="O684" s="6"/>
      <c r="P684" s="6"/>
      <c r="Q684" s="6"/>
      <c r="R684" s="6"/>
      <c r="S684" s="6"/>
      <c r="T684" s="6"/>
      <c r="U684" s="6"/>
      <c r="V684" s="6"/>
      <c r="W684" s="6"/>
      <c r="X684" s="6"/>
      <c r="Y684" s="6"/>
      <c r="Z684" s="6"/>
    </row>
    <row r="685">
      <c r="A685" s="155"/>
      <c r="B685" s="156"/>
      <c r="C685" s="156"/>
      <c r="D685" s="158"/>
      <c r="E685" s="6"/>
      <c r="F685" s="6"/>
      <c r="G685" s="6"/>
      <c r="H685" s="6"/>
      <c r="I685" s="6"/>
      <c r="J685" s="6"/>
      <c r="K685" s="6"/>
      <c r="L685" s="6"/>
      <c r="M685" s="6"/>
      <c r="N685" s="6"/>
      <c r="O685" s="6"/>
      <c r="P685" s="6"/>
      <c r="Q685" s="6"/>
      <c r="R685" s="6"/>
      <c r="S685" s="6"/>
      <c r="T685" s="6"/>
      <c r="U685" s="6"/>
      <c r="V685" s="6"/>
      <c r="W685" s="6"/>
      <c r="X685" s="6"/>
      <c r="Y685" s="6"/>
      <c r="Z685" s="6"/>
    </row>
    <row r="686">
      <c r="A686" s="155"/>
      <c r="B686" s="156"/>
      <c r="C686" s="156"/>
      <c r="D686" s="158"/>
      <c r="E686" s="6"/>
      <c r="F686" s="6"/>
      <c r="G686" s="6"/>
      <c r="H686" s="6"/>
      <c r="I686" s="6"/>
      <c r="J686" s="6"/>
      <c r="K686" s="6"/>
      <c r="L686" s="6"/>
      <c r="M686" s="6"/>
      <c r="N686" s="6"/>
      <c r="O686" s="6"/>
      <c r="P686" s="6"/>
      <c r="Q686" s="6"/>
      <c r="R686" s="6"/>
      <c r="S686" s="6"/>
      <c r="T686" s="6"/>
      <c r="U686" s="6"/>
      <c r="V686" s="6"/>
      <c r="W686" s="6"/>
      <c r="X686" s="6"/>
      <c r="Y686" s="6"/>
      <c r="Z686" s="6"/>
    </row>
    <row r="687">
      <c r="A687" s="155"/>
      <c r="B687" s="156"/>
      <c r="C687" s="156"/>
      <c r="D687" s="158"/>
      <c r="E687" s="6"/>
      <c r="F687" s="6"/>
      <c r="G687" s="6"/>
      <c r="H687" s="6"/>
      <c r="I687" s="6"/>
      <c r="J687" s="6"/>
      <c r="K687" s="6"/>
      <c r="L687" s="6"/>
      <c r="M687" s="6"/>
      <c r="N687" s="6"/>
      <c r="O687" s="6"/>
      <c r="P687" s="6"/>
      <c r="Q687" s="6"/>
      <c r="R687" s="6"/>
      <c r="S687" s="6"/>
      <c r="T687" s="6"/>
      <c r="U687" s="6"/>
      <c r="V687" s="6"/>
      <c r="W687" s="6"/>
      <c r="X687" s="6"/>
      <c r="Y687" s="6"/>
      <c r="Z687" s="6"/>
    </row>
    <row r="688">
      <c r="A688" s="155"/>
      <c r="B688" s="156"/>
      <c r="C688" s="156"/>
      <c r="D688" s="158"/>
      <c r="E688" s="6"/>
      <c r="F688" s="6"/>
      <c r="G688" s="6"/>
      <c r="H688" s="6"/>
      <c r="I688" s="6"/>
      <c r="J688" s="6"/>
      <c r="K688" s="6"/>
      <c r="L688" s="6"/>
      <c r="M688" s="6"/>
      <c r="N688" s="6"/>
      <c r="O688" s="6"/>
      <c r="P688" s="6"/>
      <c r="Q688" s="6"/>
      <c r="R688" s="6"/>
      <c r="S688" s="6"/>
      <c r="T688" s="6"/>
      <c r="U688" s="6"/>
      <c r="V688" s="6"/>
      <c r="W688" s="6"/>
      <c r="X688" s="6"/>
      <c r="Y688" s="6"/>
      <c r="Z688" s="6"/>
    </row>
    <row r="689">
      <c r="A689" s="155"/>
      <c r="B689" s="156"/>
      <c r="C689" s="156"/>
      <c r="D689" s="158"/>
      <c r="E689" s="6"/>
      <c r="F689" s="6"/>
      <c r="G689" s="6"/>
      <c r="H689" s="6"/>
      <c r="I689" s="6"/>
      <c r="J689" s="6"/>
      <c r="K689" s="6"/>
      <c r="L689" s="6"/>
      <c r="M689" s="6"/>
      <c r="N689" s="6"/>
      <c r="O689" s="6"/>
      <c r="P689" s="6"/>
      <c r="Q689" s="6"/>
      <c r="R689" s="6"/>
      <c r="S689" s="6"/>
      <c r="T689" s="6"/>
      <c r="U689" s="6"/>
      <c r="V689" s="6"/>
      <c r="W689" s="6"/>
      <c r="X689" s="6"/>
      <c r="Y689" s="6"/>
      <c r="Z689" s="6"/>
    </row>
    <row r="690">
      <c r="A690" s="155"/>
      <c r="B690" s="156"/>
      <c r="C690" s="156"/>
      <c r="D690" s="158"/>
      <c r="E690" s="6"/>
      <c r="F690" s="6"/>
      <c r="G690" s="6"/>
      <c r="H690" s="6"/>
      <c r="I690" s="6"/>
      <c r="J690" s="6"/>
      <c r="K690" s="6"/>
      <c r="L690" s="6"/>
      <c r="M690" s="6"/>
      <c r="N690" s="6"/>
      <c r="O690" s="6"/>
      <c r="P690" s="6"/>
      <c r="Q690" s="6"/>
      <c r="R690" s="6"/>
      <c r="S690" s="6"/>
      <c r="T690" s="6"/>
      <c r="U690" s="6"/>
      <c r="V690" s="6"/>
      <c r="W690" s="6"/>
      <c r="X690" s="6"/>
      <c r="Y690" s="6"/>
      <c r="Z690" s="6"/>
    </row>
    <row r="691">
      <c r="A691" s="155"/>
      <c r="B691" s="156"/>
      <c r="C691" s="156"/>
      <c r="D691" s="158"/>
      <c r="E691" s="6"/>
      <c r="F691" s="6"/>
      <c r="G691" s="6"/>
      <c r="H691" s="6"/>
      <c r="I691" s="6"/>
      <c r="J691" s="6"/>
      <c r="K691" s="6"/>
      <c r="L691" s="6"/>
      <c r="M691" s="6"/>
      <c r="N691" s="6"/>
      <c r="O691" s="6"/>
      <c r="P691" s="6"/>
      <c r="Q691" s="6"/>
      <c r="R691" s="6"/>
      <c r="S691" s="6"/>
      <c r="T691" s="6"/>
      <c r="U691" s="6"/>
      <c r="V691" s="6"/>
      <c r="W691" s="6"/>
      <c r="X691" s="6"/>
      <c r="Y691" s="6"/>
      <c r="Z691" s="6"/>
    </row>
    <row r="692">
      <c r="A692" s="155"/>
      <c r="B692" s="156"/>
      <c r="C692" s="156"/>
      <c r="D692" s="158"/>
      <c r="E692" s="6"/>
      <c r="F692" s="6"/>
      <c r="G692" s="6"/>
      <c r="H692" s="6"/>
      <c r="I692" s="6"/>
      <c r="J692" s="6"/>
      <c r="K692" s="6"/>
      <c r="L692" s="6"/>
      <c r="M692" s="6"/>
      <c r="N692" s="6"/>
      <c r="O692" s="6"/>
      <c r="P692" s="6"/>
      <c r="Q692" s="6"/>
      <c r="R692" s="6"/>
      <c r="S692" s="6"/>
      <c r="T692" s="6"/>
      <c r="U692" s="6"/>
      <c r="V692" s="6"/>
      <c r="W692" s="6"/>
      <c r="X692" s="6"/>
      <c r="Y692" s="6"/>
      <c r="Z692" s="6"/>
    </row>
    <row r="693">
      <c r="A693" s="155"/>
      <c r="B693" s="156"/>
      <c r="C693" s="156"/>
      <c r="D693" s="158"/>
      <c r="E693" s="6"/>
      <c r="F693" s="6"/>
      <c r="G693" s="6"/>
      <c r="H693" s="6"/>
      <c r="I693" s="6"/>
      <c r="J693" s="6"/>
      <c r="K693" s="6"/>
      <c r="L693" s="6"/>
      <c r="M693" s="6"/>
      <c r="N693" s="6"/>
      <c r="O693" s="6"/>
      <c r="P693" s="6"/>
      <c r="Q693" s="6"/>
      <c r="R693" s="6"/>
      <c r="S693" s="6"/>
      <c r="T693" s="6"/>
      <c r="U693" s="6"/>
      <c r="V693" s="6"/>
      <c r="W693" s="6"/>
      <c r="X693" s="6"/>
      <c r="Y693" s="6"/>
      <c r="Z693" s="6"/>
    </row>
    <row r="694">
      <c r="A694" s="155"/>
      <c r="B694" s="156"/>
      <c r="C694" s="156"/>
      <c r="D694" s="158"/>
      <c r="E694" s="6"/>
      <c r="F694" s="6"/>
      <c r="G694" s="6"/>
      <c r="H694" s="6"/>
      <c r="I694" s="6"/>
      <c r="J694" s="6"/>
      <c r="K694" s="6"/>
      <c r="L694" s="6"/>
      <c r="M694" s="6"/>
      <c r="N694" s="6"/>
      <c r="O694" s="6"/>
      <c r="P694" s="6"/>
      <c r="Q694" s="6"/>
      <c r="R694" s="6"/>
      <c r="S694" s="6"/>
      <c r="T694" s="6"/>
      <c r="U694" s="6"/>
      <c r="V694" s="6"/>
      <c r="W694" s="6"/>
      <c r="X694" s="6"/>
      <c r="Y694" s="6"/>
      <c r="Z694" s="6"/>
    </row>
    <row r="695">
      <c r="A695" s="155"/>
      <c r="B695" s="156"/>
      <c r="C695" s="156"/>
      <c r="D695" s="158"/>
      <c r="E695" s="6"/>
      <c r="F695" s="6"/>
      <c r="G695" s="6"/>
      <c r="H695" s="6"/>
      <c r="I695" s="6"/>
      <c r="J695" s="6"/>
      <c r="K695" s="6"/>
      <c r="L695" s="6"/>
      <c r="M695" s="6"/>
      <c r="N695" s="6"/>
      <c r="O695" s="6"/>
      <c r="P695" s="6"/>
      <c r="Q695" s="6"/>
      <c r="R695" s="6"/>
      <c r="S695" s="6"/>
      <c r="T695" s="6"/>
      <c r="U695" s="6"/>
      <c r="V695" s="6"/>
      <c r="W695" s="6"/>
      <c r="X695" s="6"/>
      <c r="Y695" s="6"/>
      <c r="Z695" s="6"/>
    </row>
    <row r="696">
      <c r="A696" s="155"/>
      <c r="B696" s="156"/>
      <c r="C696" s="156"/>
      <c r="D696" s="158"/>
      <c r="E696" s="6"/>
      <c r="F696" s="6"/>
      <c r="G696" s="6"/>
      <c r="H696" s="6"/>
      <c r="I696" s="6"/>
      <c r="J696" s="6"/>
      <c r="K696" s="6"/>
      <c r="L696" s="6"/>
      <c r="M696" s="6"/>
      <c r="N696" s="6"/>
      <c r="O696" s="6"/>
      <c r="P696" s="6"/>
      <c r="Q696" s="6"/>
      <c r="R696" s="6"/>
      <c r="S696" s="6"/>
      <c r="T696" s="6"/>
      <c r="U696" s="6"/>
      <c r="V696" s="6"/>
      <c r="W696" s="6"/>
      <c r="X696" s="6"/>
      <c r="Y696" s="6"/>
      <c r="Z696" s="6"/>
    </row>
    <row r="697">
      <c r="A697" s="155"/>
      <c r="B697" s="156"/>
      <c r="C697" s="156"/>
      <c r="D697" s="158"/>
      <c r="E697" s="6"/>
      <c r="F697" s="6"/>
      <c r="G697" s="6"/>
      <c r="H697" s="6"/>
      <c r="I697" s="6"/>
      <c r="J697" s="6"/>
      <c r="K697" s="6"/>
      <c r="L697" s="6"/>
      <c r="M697" s="6"/>
      <c r="N697" s="6"/>
      <c r="O697" s="6"/>
      <c r="P697" s="6"/>
      <c r="Q697" s="6"/>
      <c r="R697" s="6"/>
      <c r="S697" s="6"/>
      <c r="T697" s="6"/>
      <c r="U697" s="6"/>
      <c r="V697" s="6"/>
      <c r="W697" s="6"/>
      <c r="X697" s="6"/>
      <c r="Y697" s="6"/>
      <c r="Z697" s="6"/>
    </row>
    <row r="698">
      <c r="A698" s="155"/>
      <c r="B698" s="156"/>
      <c r="C698" s="156"/>
      <c r="D698" s="158"/>
      <c r="E698" s="6"/>
      <c r="F698" s="6"/>
      <c r="G698" s="6"/>
      <c r="H698" s="6"/>
      <c r="I698" s="6"/>
      <c r="J698" s="6"/>
      <c r="K698" s="6"/>
      <c r="L698" s="6"/>
      <c r="M698" s="6"/>
      <c r="N698" s="6"/>
      <c r="O698" s="6"/>
      <c r="P698" s="6"/>
      <c r="Q698" s="6"/>
      <c r="R698" s="6"/>
      <c r="S698" s="6"/>
      <c r="T698" s="6"/>
      <c r="U698" s="6"/>
      <c r="V698" s="6"/>
      <c r="W698" s="6"/>
      <c r="X698" s="6"/>
      <c r="Y698" s="6"/>
      <c r="Z698" s="6"/>
    </row>
    <row r="699">
      <c r="A699" s="155"/>
      <c r="B699" s="156"/>
      <c r="C699" s="156"/>
      <c r="D699" s="158"/>
      <c r="E699" s="6"/>
      <c r="F699" s="6"/>
      <c r="G699" s="6"/>
      <c r="H699" s="6"/>
      <c r="I699" s="6"/>
      <c r="J699" s="6"/>
      <c r="K699" s="6"/>
      <c r="L699" s="6"/>
      <c r="M699" s="6"/>
      <c r="N699" s="6"/>
      <c r="O699" s="6"/>
      <c r="P699" s="6"/>
      <c r="Q699" s="6"/>
      <c r="R699" s="6"/>
      <c r="S699" s="6"/>
      <c r="T699" s="6"/>
      <c r="U699" s="6"/>
      <c r="V699" s="6"/>
      <c r="W699" s="6"/>
      <c r="X699" s="6"/>
      <c r="Y699" s="6"/>
      <c r="Z699" s="6"/>
    </row>
    <row r="700">
      <c r="A700" s="155"/>
      <c r="B700" s="156"/>
      <c r="C700" s="156"/>
      <c r="D700" s="158"/>
      <c r="E700" s="6"/>
      <c r="F700" s="6"/>
      <c r="G700" s="6"/>
      <c r="H700" s="6"/>
      <c r="I700" s="6"/>
      <c r="J700" s="6"/>
      <c r="K700" s="6"/>
      <c r="L700" s="6"/>
      <c r="M700" s="6"/>
      <c r="N700" s="6"/>
      <c r="O700" s="6"/>
      <c r="P700" s="6"/>
      <c r="Q700" s="6"/>
      <c r="R700" s="6"/>
      <c r="S700" s="6"/>
      <c r="T700" s="6"/>
      <c r="U700" s="6"/>
      <c r="V700" s="6"/>
      <c r="W700" s="6"/>
      <c r="X700" s="6"/>
      <c r="Y700" s="6"/>
      <c r="Z700" s="6"/>
    </row>
    <row r="701">
      <c r="A701" s="155"/>
      <c r="B701" s="156"/>
      <c r="C701" s="156"/>
      <c r="D701" s="158"/>
      <c r="E701" s="6"/>
      <c r="F701" s="6"/>
      <c r="G701" s="6"/>
      <c r="H701" s="6"/>
      <c r="I701" s="6"/>
      <c r="J701" s="6"/>
      <c r="K701" s="6"/>
      <c r="L701" s="6"/>
      <c r="M701" s="6"/>
      <c r="N701" s="6"/>
      <c r="O701" s="6"/>
      <c r="P701" s="6"/>
      <c r="Q701" s="6"/>
      <c r="R701" s="6"/>
      <c r="S701" s="6"/>
      <c r="T701" s="6"/>
      <c r="U701" s="6"/>
      <c r="V701" s="6"/>
      <c r="W701" s="6"/>
      <c r="X701" s="6"/>
      <c r="Y701" s="6"/>
      <c r="Z701" s="6"/>
    </row>
    <row r="702">
      <c r="A702" s="155"/>
      <c r="B702" s="156"/>
      <c r="C702" s="156"/>
      <c r="D702" s="158"/>
      <c r="E702" s="6"/>
      <c r="F702" s="6"/>
      <c r="G702" s="6"/>
      <c r="H702" s="6"/>
      <c r="I702" s="6"/>
      <c r="J702" s="6"/>
      <c r="K702" s="6"/>
      <c r="L702" s="6"/>
      <c r="M702" s="6"/>
      <c r="N702" s="6"/>
      <c r="O702" s="6"/>
      <c r="P702" s="6"/>
      <c r="Q702" s="6"/>
      <c r="R702" s="6"/>
      <c r="S702" s="6"/>
      <c r="T702" s="6"/>
      <c r="U702" s="6"/>
      <c r="V702" s="6"/>
      <c r="W702" s="6"/>
      <c r="X702" s="6"/>
      <c r="Y702" s="6"/>
      <c r="Z702" s="6"/>
    </row>
    <row r="703">
      <c r="A703" s="155"/>
      <c r="B703" s="156"/>
      <c r="C703" s="156"/>
      <c r="D703" s="158"/>
      <c r="E703" s="6"/>
      <c r="F703" s="6"/>
      <c r="G703" s="6"/>
      <c r="H703" s="6"/>
      <c r="I703" s="6"/>
      <c r="J703" s="6"/>
      <c r="K703" s="6"/>
      <c r="L703" s="6"/>
      <c r="M703" s="6"/>
      <c r="N703" s="6"/>
      <c r="O703" s="6"/>
      <c r="P703" s="6"/>
      <c r="Q703" s="6"/>
      <c r="R703" s="6"/>
      <c r="S703" s="6"/>
      <c r="T703" s="6"/>
      <c r="U703" s="6"/>
      <c r="V703" s="6"/>
      <c r="W703" s="6"/>
      <c r="X703" s="6"/>
      <c r="Y703" s="6"/>
      <c r="Z703" s="6"/>
    </row>
    <row r="704">
      <c r="A704" s="155"/>
      <c r="B704" s="156"/>
      <c r="C704" s="156"/>
      <c r="D704" s="158"/>
      <c r="E704" s="6"/>
      <c r="F704" s="6"/>
      <c r="G704" s="6"/>
      <c r="H704" s="6"/>
      <c r="I704" s="6"/>
      <c r="J704" s="6"/>
      <c r="K704" s="6"/>
      <c r="L704" s="6"/>
      <c r="M704" s="6"/>
      <c r="N704" s="6"/>
      <c r="O704" s="6"/>
      <c r="P704" s="6"/>
      <c r="Q704" s="6"/>
      <c r="R704" s="6"/>
      <c r="S704" s="6"/>
      <c r="T704" s="6"/>
      <c r="U704" s="6"/>
      <c r="V704" s="6"/>
      <c r="W704" s="6"/>
      <c r="X704" s="6"/>
      <c r="Y704" s="6"/>
      <c r="Z704" s="6"/>
    </row>
    <row r="705">
      <c r="A705" s="155"/>
      <c r="B705" s="156"/>
      <c r="C705" s="156"/>
      <c r="D705" s="158"/>
      <c r="E705" s="6"/>
      <c r="F705" s="6"/>
      <c r="G705" s="6"/>
      <c r="H705" s="6"/>
      <c r="I705" s="6"/>
      <c r="J705" s="6"/>
      <c r="K705" s="6"/>
      <c r="L705" s="6"/>
      <c r="M705" s="6"/>
      <c r="N705" s="6"/>
      <c r="O705" s="6"/>
      <c r="P705" s="6"/>
      <c r="Q705" s="6"/>
      <c r="R705" s="6"/>
      <c r="S705" s="6"/>
      <c r="T705" s="6"/>
      <c r="U705" s="6"/>
      <c r="V705" s="6"/>
      <c r="W705" s="6"/>
      <c r="X705" s="6"/>
      <c r="Y705" s="6"/>
      <c r="Z705" s="6"/>
    </row>
    <row r="706">
      <c r="A706" s="155"/>
      <c r="B706" s="156"/>
      <c r="C706" s="156"/>
      <c r="D706" s="158"/>
      <c r="E706" s="6"/>
      <c r="F706" s="6"/>
      <c r="G706" s="6"/>
      <c r="H706" s="6"/>
      <c r="I706" s="6"/>
      <c r="J706" s="6"/>
      <c r="K706" s="6"/>
      <c r="L706" s="6"/>
      <c r="M706" s="6"/>
      <c r="N706" s="6"/>
      <c r="O706" s="6"/>
      <c r="P706" s="6"/>
      <c r="Q706" s="6"/>
      <c r="R706" s="6"/>
      <c r="S706" s="6"/>
      <c r="T706" s="6"/>
      <c r="U706" s="6"/>
      <c r="V706" s="6"/>
      <c r="W706" s="6"/>
      <c r="X706" s="6"/>
      <c r="Y706" s="6"/>
      <c r="Z706" s="6"/>
    </row>
    <row r="707">
      <c r="A707" s="155"/>
      <c r="B707" s="156"/>
      <c r="C707" s="156"/>
      <c r="D707" s="158"/>
      <c r="E707" s="6"/>
      <c r="F707" s="6"/>
      <c r="G707" s="6"/>
      <c r="H707" s="6"/>
      <c r="I707" s="6"/>
      <c r="J707" s="6"/>
      <c r="K707" s="6"/>
      <c r="L707" s="6"/>
      <c r="M707" s="6"/>
      <c r="N707" s="6"/>
      <c r="O707" s="6"/>
      <c r="P707" s="6"/>
      <c r="Q707" s="6"/>
      <c r="R707" s="6"/>
      <c r="S707" s="6"/>
      <c r="T707" s="6"/>
      <c r="U707" s="6"/>
      <c r="V707" s="6"/>
      <c r="W707" s="6"/>
      <c r="X707" s="6"/>
      <c r="Y707" s="6"/>
      <c r="Z707" s="6"/>
    </row>
    <row r="708">
      <c r="A708" s="155"/>
      <c r="B708" s="156"/>
      <c r="C708" s="156"/>
      <c r="D708" s="158"/>
      <c r="E708" s="6"/>
      <c r="F708" s="6"/>
      <c r="G708" s="6"/>
      <c r="H708" s="6"/>
      <c r="I708" s="6"/>
      <c r="J708" s="6"/>
      <c r="K708" s="6"/>
      <c r="L708" s="6"/>
      <c r="M708" s="6"/>
      <c r="N708" s="6"/>
      <c r="O708" s="6"/>
      <c r="P708" s="6"/>
      <c r="Q708" s="6"/>
      <c r="R708" s="6"/>
      <c r="S708" s="6"/>
      <c r="T708" s="6"/>
      <c r="U708" s="6"/>
      <c r="V708" s="6"/>
      <c r="W708" s="6"/>
      <c r="X708" s="6"/>
      <c r="Y708" s="6"/>
      <c r="Z708" s="6"/>
    </row>
    <row r="709">
      <c r="A709" s="155"/>
      <c r="B709" s="156"/>
      <c r="C709" s="156"/>
      <c r="D709" s="158"/>
      <c r="E709" s="6"/>
      <c r="F709" s="6"/>
      <c r="G709" s="6"/>
      <c r="H709" s="6"/>
      <c r="I709" s="6"/>
      <c r="J709" s="6"/>
      <c r="K709" s="6"/>
      <c r="L709" s="6"/>
      <c r="M709" s="6"/>
      <c r="N709" s="6"/>
      <c r="O709" s="6"/>
      <c r="P709" s="6"/>
      <c r="Q709" s="6"/>
      <c r="R709" s="6"/>
      <c r="S709" s="6"/>
      <c r="T709" s="6"/>
      <c r="U709" s="6"/>
      <c r="V709" s="6"/>
      <c r="W709" s="6"/>
      <c r="X709" s="6"/>
      <c r="Y709" s="6"/>
      <c r="Z709" s="6"/>
    </row>
    <row r="710">
      <c r="A710" s="155"/>
      <c r="B710" s="156"/>
      <c r="C710" s="156"/>
      <c r="D710" s="158"/>
      <c r="E710" s="6"/>
      <c r="F710" s="6"/>
      <c r="G710" s="6"/>
      <c r="H710" s="6"/>
      <c r="I710" s="6"/>
      <c r="J710" s="6"/>
      <c r="K710" s="6"/>
      <c r="L710" s="6"/>
      <c r="M710" s="6"/>
      <c r="N710" s="6"/>
      <c r="O710" s="6"/>
      <c r="P710" s="6"/>
      <c r="Q710" s="6"/>
      <c r="R710" s="6"/>
      <c r="S710" s="6"/>
      <c r="T710" s="6"/>
      <c r="U710" s="6"/>
      <c r="V710" s="6"/>
      <c r="W710" s="6"/>
      <c r="X710" s="6"/>
      <c r="Y710" s="6"/>
      <c r="Z710" s="6"/>
    </row>
    <row r="711">
      <c r="A711" s="155"/>
      <c r="B711" s="156"/>
      <c r="C711" s="156"/>
      <c r="D711" s="158"/>
      <c r="E711" s="6"/>
      <c r="F711" s="6"/>
      <c r="G711" s="6"/>
      <c r="H711" s="6"/>
      <c r="I711" s="6"/>
      <c r="J711" s="6"/>
      <c r="K711" s="6"/>
      <c r="L711" s="6"/>
      <c r="M711" s="6"/>
      <c r="N711" s="6"/>
      <c r="O711" s="6"/>
      <c r="P711" s="6"/>
      <c r="Q711" s="6"/>
      <c r="R711" s="6"/>
      <c r="S711" s="6"/>
      <c r="T711" s="6"/>
      <c r="U711" s="6"/>
      <c r="V711" s="6"/>
      <c r="W711" s="6"/>
      <c r="X711" s="6"/>
      <c r="Y711" s="6"/>
      <c r="Z711" s="6"/>
    </row>
    <row r="712">
      <c r="A712" s="155"/>
      <c r="B712" s="156"/>
      <c r="C712" s="156"/>
      <c r="D712" s="158"/>
      <c r="E712" s="6"/>
      <c r="F712" s="6"/>
      <c r="G712" s="6"/>
      <c r="H712" s="6"/>
      <c r="I712" s="6"/>
      <c r="J712" s="6"/>
      <c r="K712" s="6"/>
      <c r="L712" s="6"/>
      <c r="M712" s="6"/>
      <c r="N712" s="6"/>
      <c r="O712" s="6"/>
      <c r="P712" s="6"/>
      <c r="Q712" s="6"/>
      <c r="R712" s="6"/>
      <c r="S712" s="6"/>
      <c r="T712" s="6"/>
      <c r="U712" s="6"/>
      <c r="V712" s="6"/>
      <c r="W712" s="6"/>
      <c r="X712" s="6"/>
      <c r="Y712" s="6"/>
      <c r="Z712" s="6"/>
    </row>
    <row r="713">
      <c r="A713" s="155"/>
      <c r="B713" s="156"/>
      <c r="C713" s="156"/>
      <c r="D713" s="158"/>
      <c r="E713" s="6"/>
      <c r="F713" s="6"/>
      <c r="G713" s="6"/>
      <c r="H713" s="6"/>
      <c r="I713" s="6"/>
      <c r="J713" s="6"/>
      <c r="K713" s="6"/>
      <c r="L713" s="6"/>
      <c r="M713" s="6"/>
      <c r="N713" s="6"/>
      <c r="O713" s="6"/>
      <c r="P713" s="6"/>
      <c r="Q713" s="6"/>
      <c r="R713" s="6"/>
      <c r="S713" s="6"/>
      <c r="T713" s="6"/>
      <c r="U713" s="6"/>
      <c r="V713" s="6"/>
      <c r="W713" s="6"/>
      <c r="X713" s="6"/>
      <c r="Y713" s="6"/>
      <c r="Z713" s="6"/>
    </row>
    <row r="714">
      <c r="A714" s="155"/>
      <c r="B714" s="156"/>
      <c r="C714" s="156"/>
      <c r="D714" s="158"/>
      <c r="E714" s="6"/>
      <c r="F714" s="6"/>
      <c r="G714" s="6"/>
      <c r="H714" s="6"/>
      <c r="I714" s="6"/>
      <c r="J714" s="6"/>
      <c r="K714" s="6"/>
      <c r="L714" s="6"/>
      <c r="M714" s="6"/>
      <c r="N714" s="6"/>
      <c r="O714" s="6"/>
      <c r="P714" s="6"/>
      <c r="Q714" s="6"/>
      <c r="R714" s="6"/>
      <c r="S714" s="6"/>
      <c r="T714" s="6"/>
      <c r="U714" s="6"/>
      <c r="V714" s="6"/>
      <c r="W714" s="6"/>
      <c r="X714" s="6"/>
      <c r="Y714" s="6"/>
      <c r="Z714" s="6"/>
    </row>
    <row r="715">
      <c r="A715" s="155"/>
      <c r="B715" s="156"/>
      <c r="C715" s="156"/>
      <c r="D715" s="158"/>
      <c r="E715" s="6"/>
      <c r="F715" s="6"/>
      <c r="G715" s="6"/>
      <c r="H715" s="6"/>
      <c r="I715" s="6"/>
      <c r="J715" s="6"/>
      <c r="K715" s="6"/>
      <c r="L715" s="6"/>
      <c r="M715" s="6"/>
      <c r="N715" s="6"/>
      <c r="O715" s="6"/>
      <c r="P715" s="6"/>
      <c r="Q715" s="6"/>
      <c r="R715" s="6"/>
      <c r="S715" s="6"/>
      <c r="T715" s="6"/>
      <c r="U715" s="6"/>
      <c r="V715" s="6"/>
      <c r="W715" s="6"/>
      <c r="X715" s="6"/>
      <c r="Y715" s="6"/>
      <c r="Z715" s="6"/>
    </row>
    <row r="716">
      <c r="A716" s="155"/>
      <c r="B716" s="156"/>
      <c r="C716" s="156"/>
      <c r="D716" s="158"/>
      <c r="E716" s="6"/>
      <c r="F716" s="6"/>
      <c r="G716" s="6"/>
      <c r="H716" s="6"/>
      <c r="I716" s="6"/>
      <c r="J716" s="6"/>
      <c r="K716" s="6"/>
      <c r="L716" s="6"/>
      <c r="M716" s="6"/>
      <c r="N716" s="6"/>
      <c r="O716" s="6"/>
      <c r="P716" s="6"/>
      <c r="Q716" s="6"/>
      <c r="R716" s="6"/>
      <c r="S716" s="6"/>
      <c r="T716" s="6"/>
      <c r="U716" s="6"/>
      <c r="V716" s="6"/>
      <c r="W716" s="6"/>
      <c r="X716" s="6"/>
      <c r="Y716" s="6"/>
      <c r="Z716" s="6"/>
    </row>
    <row r="717">
      <c r="A717" s="155"/>
      <c r="B717" s="156"/>
      <c r="C717" s="156"/>
      <c r="D717" s="158"/>
      <c r="E717" s="6"/>
      <c r="F717" s="6"/>
      <c r="G717" s="6"/>
      <c r="H717" s="6"/>
      <c r="I717" s="6"/>
      <c r="J717" s="6"/>
      <c r="K717" s="6"/>
      <c r="L717" s="6"/>
      <c r="M717" s="6"/>
      <c r="N717" s="6"/>
      <c r="O717" s="6"/>
      <c r="P717" s="6"/>
      <c r="Q717" s="6"/>
      <c r="R717" s="6"/>
      <c r="S717" s="6"/>
      <c r="T717" s="6"/>
      <c r="U717" s="6"/>
      <c r="V717" s="6"/>
      <c r="W717" s="6"/>
      <c r="X717" s="6"/>
      <c r="Y717" s="6"/>
      <c r="Z717" s="6"/>
    </row>
    <row r="718">
      <c r="A718" s="155"/>
      <c r="B718" s="156"/>
      <c r="C718" s="156"/>
      <c r="D718" s="158"/>
      <c r="E718" s="6"/>
      <c r="F718" s="6"/>
      <c r="G718" s="6"/>
      <c r="H718" s="6"/>
      <c r="I718" s="6"/>
      <c r="J718" s="6"/>
      <c r="K718" s="6"/>
      <c r="L718" s="6"/>
      <c r="M718" s="6"/>
      <c r="N718" s="6"/>
      <c r="O718" s="6"/>
      <c r="P718" s="6"/>
      <c r="Q718" s="6"/>
      <c r="R718" s="6"/>
      <c r="S718" s="6"/>
      <c r="T718" s="6"/>
      <c r="U718" s="6"/>
      <c r="V718" s="6"/>
      <c r="W718" s="6"/>
      <c r="X718" s="6"/>
      <c r="Y718" s="6"/>
      <c r="Z718" s="6"/>
    </row>
    <row r="719">
      <c r="A719" s="155"/>
      <c r="B719" s="156"/>
      <c r="C719" s="156"/>
      <c r="D719" s="158"/>
      <c r="E719" s="6"/>
      <c r="F719" s="6"/>
      <c r="G719" s="6"/>
      <c r="H719" s="6"/>
      <c r="I719" s="6"/>
      <c r="J719" s="6"/>
      <c r="K719" s="6"/>
      <c r="L719" s="6"/>
      <c r="M719" s="6"/>
      <c r="N719" s="6"/>
      <c r="O719" s="6"/>
      <c r="P719" s="6"/>
      <c r="Q719" s="6"/>
      <c r="R719" s="6"/>
      <c r="S719" s="6"/>
      <c r="T719" s="6"/>
      <c r="U719" s="6"/>
      <c r="V719" s="6"/>
      <c r="W719" s="6"/>
      <c r="X719" s="6"/>
      <c r="Y719" s="6"/>
      <c r="Z719" s="6"/>
    </row>
    <row r="720">
      <c r="A720" s="155"/>
      <c r="B720" s="156"/>
      <c r="C720" s="156"/>
      <c r="D720" s="158"/>
      <c r="E720" s="6"/>
      <c r="F720" s="6"/>
      <c r="G720" s="6"/>
      <c r="H720" s="6"/>
      <c r="I720" s="6"/>
      <c r="J720" s="6"/>
      <c r="K720" s="6"/>
      <c r="L720" s="6"/>
      <c r="M720" s="6"/>
      <c r="N720" s="6"/>
      <c r="O720" s="6"/>
      <c r="P720" s="6"/>
      <c r="Q720" s="6"/>
      <c r="R720" s="6"/>
      <c r="S720" s="6"/>
      <c r="T720" s="6"/>
      <c r="U720" s="6"/>
      <c r="V720" s="6"/>
      <c r="W720" s="6"/>
      <c r="X720" s="6"/>
      <c r="Y720" s="6"/>
      <c r="Z720" s="6"/>
    </row>
    <row r="721">
      <c r="A721" s="155"/>
      <c r="B721" s="156"/>
      <c r="C721" s="156"/>
      <c r="D721" s="158"/>
      <c r="E721" s="6"/>
      <c r="F721" s="6"/>
      <c r="G721" s="6"/>
      <c r="H721" s="6"/>
      <c r="I721" s="6"/>
      <c r="J721" s="6"/>
      <c r="K721" s="6"/>
      <c r="L721" s="6"/>
      <c r="M721" s="6"/>
      <c r="N721" s="6"/>
      <c r="O721" s="6"/>
      <c r="P721" s="6"/>
      <c r="Q721" s="6"/>
      <c r="R721" s="6"/>
      <c r="S721" s="6"/>
      <c r="T721" s="6"/>
      <c r="U721" s="6"/>
      <c r="V721" s="6"/>
      <c r="W721" s="6"/>
      <c r="X721" s="6"/>
      <c r="Y721" s="6"/>
      <c r="Z721" s="6"/>
    </row>
    <row r="722">
      <c r="A722" s="155"/>
      <c r="B722" s="156"/>
      <c r="C722" s="156"/>
      <c r="D722" s="158"/>
      <c r="E722" s="6"/>
      <c r="F722" s="6"/>
      <c r="G722" s="6"/>
      <c r="H722" s="6"/>
      <c r="I722" s="6"/>
      <c r="J722" s="6"/>
      <c r="K722" s="6"/>
      <c r="L722" s="6"/>
      <c r="M722" s="6"/>
      <c r="N722" s="6"/>
      <c r="O722" s="6"/>
      <c r="P722" s="6"/>
      <c r="Q722" s="6"/>
      <c r="R722" s="6"/>
      <c r="S722" s="6"/>
      <c r="T722" s="6"/>
      <c r="U722" s="6"/>
      <c r="V722" s="6"/>
      <c r="W722" s="6"/>
      <c r="X722" s="6"/>
      <c r="Y722" s="6"/>
      <c r="Z722" s="6"/>
    </row>
    <row r="723">
      <c r="A723" s="155"/>
      <c r="B723" s="156"/>
      <c r="C723" s="156"/>
      <c r="D723" s="158"/>
      <c r="E723" s="6"/>
      <c r="F723" s="6"/>
      <c r="G723" s="6"/>
      <c r="H723" s="6"/>
      <c r="I723" s="6"/>
      <c r="J723" s="6"/>
      <c r="K723" s="6"/>
      <c r="L723" s="6"/>
      <c r="M723" s="6"/>
      <c r="N723" s="6"/>
      <c r="O723" s="6"/>
      <c r="P723" s="6"/>
      <c r="Q723" s="6"/>
      <c r="R723" s="6"/>
      <c r="S723" s="6"/>
      <c r="T723" s="6"/>
      <c r="U723" s="6"/>
      <c r="V723" s="6"/>
      <c r="W723" s="6"/>
      <c r="X723" s="6"/>
      <c r="Y723" s="6"/>
      <c r="Z723" s="6"/>
    </row>
    <row r="724">
      <c r="A724" s="155"/>
      <c r="B724" s="156"/>
      <c r="C724" s="156"/>
      <c r="D724" s="158"/>
      <c r="E724" s="6"/>
      <c r="F724" s="6"/>
      <c r="G724" s="6"/>
      <c r="H724" s="6"/>
      <c r="I724" s="6"/>
      <c r="J724" s="6"/>
      <c r="K724" s="6"/>
      <c r="L724" s="6"/>
      <c r="M724" s="6"/>
      <c r="N724" s="6"/>
      <c r="O724" s="6"/>
      <c r="P724" s="6"/>
      <c r="Q724" s="6"/>
      <c r="R724" s="6"/>
      <c r="S724" s="6"/>
      <c r="T724" s="6"/>
      <c r="U724" s="6"/>
      <c r="V724" s="6"/>
      <c r="W724" s="6"/>
      <c r="X724" s="6"/>
      <c r="Y724" s="6"/>
      <c r="Z724" s="6"/>
    </row>
    <row r="725">
      <c r="A725" s="155"/>
      <c r="B725" s="156"/>
      <c r="C725" s="156"/>
      <c r="D725" s="158"/>
      <c r="E725" s="6"/>
      <c r="F725" s="6"/>
      <c r="G725" s="6"/>
      <c r="H725" s="6"/>
      <c r="I725" s="6"/>
      <c r="J725" s="6"/>
      <c r="K725" s="6"/>
      <c r="L725" s="6"/>
      <c r="M725" s="6"/>
      <c r="N725" s="6"/>
      <c r="O725" s="6"/>
      <c r="P725" s="6"/>
      <c r="Q725" s="6"/>
      <c r="R725" s="6"/>
      <c r="S725" s="6"/>
      <c r="T725" s="6"/>
      <c r="U725" s="6"/>
      <c r="V725" s="6"/>
      <c r="W725" s="6"/>
      <c r="X725" s="6"/>
      <c r="Y725" s="6"/>
      <c r="Z725" s="6"/>
    </row>
    <row r="726">
      <c r="A726" s="155"/>
      <c r="B726" s="156"/>
      <c r="C726" s="156"/>
      <c r="D726" s="158"/>
      <c r="E726" s="6"/>
      <c r="F726" s="6"/>
      <c r="G726" s="6"/>
      <c r="H726" s="6"/>
      <c r="I726" s="6"/>
      <c r="J726" s="6"/>
      <c r="K726" s="6"/>
      <c r="L726" s="6"/>
      <c r="M726" s="6"/>
      <c r="N726" s="6"/>
      <c r="O726" s="6"/>
      <c r="P726" s="6"/>
      <c r="Q726" s="6"/>
      <c r="R726" s="6"/>
      <c r="S726" s="6"/>
      <c r="T726" s="6"/>
      <c r="U726" s="6"/>
      <c r="V726" s="6"/>
      <c r="W726" s="6"/>
      <c r="X726" s="6"/>
      <c r="Y726" s="6"/>
      <c r="Z726" s="6"/>
    </row>
    <row r="727">
      <c r="A727" s="155"/>
      <c r="B727" s="156"/>
      <c r="C727" s="156"/>
      <c r="D727" s="158"/>
      <c r="E727" s="6"/>
      <c r="F727" s="6"/>
      <c r="G727" s="6"/>
      <c r="H727" s="6"/>
      <c r="I727" s="6"/>
      <c r="J727" s="6"/>
      <c r="K727" s="6"/>
      <c r="L727" s="6"/>
      <c r="M727" s="6"/>
      <c r="N727" s="6"/>
      <c r="O727" s="6"/>
      <c r="P727" s="6"/>
      <c r="Q727" s="6"/>
      <c r="R727" s="6"/>
      <c r="S727" s="6"/>
      <c r="T727" s="6"/>
      <c r="U727" s="6"/>
      <c r="V727" s="6"/>
      <c r="W727" s="6"/>
      <c r="X727" s="6"/>
      <c r="Y727" s="6"/>
      <c r="Z727" s="6"/>
    </row>
    <row r="728">
      <c r="A728" s="155"/>
      <c r="B728" s="156"/>
      <c r="C728" s="156"/>
      <c r="D728" s="158"/>
      <c r="E728" s="6"/>
      <c r="F728" s="6"/>
      <c r="G728" s="6"/>
      <c r="H728" s="6"/>
      <c r="I728" s="6"/>
      <c r="J728" s="6"/>
      <c r="K728" s="6"/>
      <c r="L728" s="6"/>
      <c r="M728" s="6"/>
      <c r="N728" s="6"/>
      <c r="O728" s="6"/>
      <c r="P728" s="6"/>
      <c r="Q728" s="6"/>
      <c r="R728" s="6"/>
      <c r="S728" s="6"/>
      <c r="T728" s="6"/>
      <c r="U728" s="6"/>
      <c r="V728" s="6"/>
      <c r="W728" s="6"/>
      <c r="X728" s="6"/>
      <c r="Y728" s="6"/>
      <c r="Z728" s="6"/>
    </row>
    <row r="729">
      <c r="A729" s="155"/>
      <c r="B729" s="156"/>
      <c r="C729" s="156"/>
      <c r="D729" s="158"/>
      <c r="E729" s="6"/>
      <c r="F729" s="6"/>
      <c r="G729" s="6"/>
      <c r="H729" s="6"/>
      <c r="I729" s="6"/>
      <c r="J729" s="6"/>
      <c r="K729" s="6"/>
      <c r="L729" s="6"/>
      <c r="M729" s="6"/>
      <c r="N729" s="6"/>
      <c r="O729" s="6"/>
      <c r="P729" s="6"/>
      <c r="Q729" s="6"/>
      <c r="R729" s="6"/>
      <c r="S729" s="6"/>
      <c r="T729" s="6"/>
      <c r="U729" s="6"/>
      <c r="V729" s="6"/>
      <c r="W729" s="6"/>
      <c r="X729" s="6"/>
      <c r="Y729" s="6"/>
      <c r="Z729" s="6"/>
    </row>
    <row r="730">
      <c r="A730" s="155"/>
      <c r="B730" s="156"/>
      <c r="C730" s="156"/>
      <c r="D730" s="158"/>
      <c r="E730" s="6"/>
      <c r="F730" s="6"/>
      <c r="G730" s="6"/>
      <c r="H730" s="6"/>
      <c r="I730" s="6"/>
      <c r="J730" s="6"/>
      <c r="K730" s="6"/>
      <c r="L730" s="6"/>
      <c r="M730" s="6"/>
      <c r="N730" s="6"/>
      <c r="O730" s="6"/>
      <c r="P730" s="6"/>
      <c r="Q730" s="6"/>
      <c r="R730" s="6"/>
      <c r="S730" s="6"/>
      <c r="T730" s="6"/>
      <c r="U730" s="6"/>
      <c r="V730" s="6"/>
      <c r="W730" s="6"/>
      <c r="X730" s="6"/>
      <c r="Y730" s="6"/>
      <c r="Z730" s="6"/>
    </row>
    <row r="731">
      <c r="A731" s="155"/>
      <c r="B731" s="156"/>
      <c r="C731" s="156"/>
      <c r="D731" s="158"/>
      <c r="E731" s="6"/>
      <c r="F731" s="6"/>
      <c r="G731" s="6"/>
      <c r="H731" s="6"/>
      <c r="I731" s="6"/>
      <c r="J731" s="6"/>
      <c r="K731" s="6"/>
      <c r="L731" s="6"/>
      <c r="M731" s="6"/>
      <c r="N731" s="6"/>
      <c r="O731" s="6"/>
      <c r="P731" s="6"/>
      <c r="Q731" s="6"/>
      <c r="R731" s="6"/>
      <c r="S731" s="6"/>
      <c r="T731" s="6"/>
      <c r="U731" s="6"/>
      <c r="V731" s="6"/>
      <c r="W731" s="6"/>
      <c r="X731" s="6"/>
      <c r="Y731" s="6"/>
      <c r="Z731" s="6"/>
    </row>
    <row r="732">
      <c r="A732" s="155"/>
      <c r="B732" s="156"/>
      <c r="C732" s="156"/>
      <c r="D732" s="158"/>
      <c r="E732" s="6"/>
      <c r="F732" s="6"/>
      <c r="G732" s="6"/>
      <c r="H732" s="6"/>
      <c r="I732" s="6"/>
      <c r="J732" s="6"/>
      <c r="K732" s="6"/>
      <c r="L732" s="6"/>
      <c r="M732" s="6"/>
      <c r="N732" s="6"/>
      <c r="O732" s="6"/>
      <c r="P732" s="6"/>
      <c r="Q732" s="6"/>
      <c r="R732" s="6"/>
      <c r="S732" s="6"/>
      <c r="T732" s="6"/>
      <c r="U732" s="6"/>
      <c r="V732" s="6"/>
      <c r="W732" s="6"/>
      <c r="X732" s="6"/>
      <c r="Y732" s="6"/>
      <c r="Z732" s="6"/>
    </row>
    <row r="733">
      <c r="A733" s="155"/>
      <c r="B733" s="156"/>
      <c r="C733" s="156"/>
      <c r="D733" s="158"/>
      <c r="E733" s="6"/>
      <c r="F733" s="6"/>
      <c r="G733" s="6"/>
      <c r="H733" s="6"/>
      <c r="I733" s="6"/>
      <c r="J733" s="6"/>
      <c r="K733" s="6"/>
      <c r="L733" s="6"/>
      <c r="M733" s="6"/>
      <c r="N733" s="6"/>
      <c r="O733" s="6"/>
      <c r="P733" s="6"/>
      <c r="Q733" s="6"/>
      <c r="R733" s="6"/>
      <c r="S733" s="6"/>
      <c r="T733" s="6"/>
      <c r="U733" s="6"/>
      <c r="V733" s="6"/>
      <c r="W733" s="6"/>
      <c r="X733" s="6"/>
      <c r="Y733" s="6"/>
      <c r="Z733" s="6"/>
    </row>
    <row r="734">
      <c r="A734" s="155"/>
      <c r="B734" s="156"/>
      <c r="C734" s="156"/>
      <c r="D734" s="158"/>
      <c r="E734" s="6"/>
      <c r="F734" s="6"/>
      <c r="G734" s="6"/>
      <c r="H734" s="6"/>
      <c r="I734" s="6"/>
      <c r="J734" s="6"/>
      <c r="K734" s="6"/>
      <c r="L734" s="6"/>
      <c r="M734" s="6"/>
      <c r="N734" s="6"/>
      <c r="O734" s="6"/>
      <c r="P734" s="6"/>
      <c r="Q734" s="6"/>
      <c r="R734" s="6"/>
      <c r="S734" s="6"/>
      <c r="T734" s="6"/>
      <c r="U734" s="6"/>
      <c r="V734" s="6"/>
      <c r="W734" s="6"/>
      <c r="X734" s="6"/>
      <c r="Y734" s="6"/>
      <c r="Z734" s="6"/>
    </row>
    <row r="735">
      <c r="A735" s="155"/>
      <c r="B735" s="156"/>
      <c r="C735" s="156"/>
      <c r="D735" s="158"/>
      <c r="E735" s="6"/>
      <c r="F735" s="6"/>
      <c r="G735" s="6"/>
      <c r="H735" s="6"/>
      <c r="I735" s="6"/>
      <c r="J735" s="6"/>
      <c r="K735" s="6"/>
      <c r="L735" s="6"/>
      <c r="M735" s="6"/>
      <c r="N735" s="6"/>
      <c r="O735" s="6"/>
      <c r="P735" s="6"/>
      <c r="Q735" s="6"/>
      <c r="R735" s="6"/>
      <c r="S735" s="6"/>
      <c r="T735" s="6"/>
      <c r="U735" s="6"/>
      <c r="V735" s="6"/>
      <c r="W735" s="6"/>
      <c r="X735" s="6"/>
      <c r="Y735" s="6"/>
      <c r="Z735" s="6"/>
    </row>
    <row r="736">
      <c r="A736" s="155"/>
      <c r="B736" s="156"/>
      <c r="C736" s="156"/>
      <c r="D736" s="158"/>
      <c r="E736" s="6"/>
      <c r="F736" s="6"/>
      <c r="G736" s="6"/>
      <c r="H736" s="6"/>
      <c r="I736" s="6"/>
      <c r="J736" s="6"/>
      <c r="K736" s="6"/>
      <c r="L736" s="6"/>
      <c r="M736" s="6"/>
      <c r="N736" s="6"/>
      <c r="O736" s="6"/>
      <c r="P736" s="6"/>
      <c r="Q736" s="6"/>
      <c r="R736" s="6"/>
      <c r="S736" s="6"/>
      <c r="T736" s="6"/>
      <c r="U736" s="6"/>
      <c r="V736" s="6"/>
      <c r="W736" s="6"/>
      <c r="X736" s="6"/>
      <c r="Y736" s="6"/>
      <c r="Z736" s="6"/>
    </row>
    <row r="737">
      <c r="A737" s="155"/>
      <c r="B737" s="156"/>
      <c r="C737" s="156"/>
      <c r="D737" s="158"/>
      <c r="E737" s="6"/>
      <c r="F737" s="6"/>
      <c r="G737" s="6"/>
      <c r="H737" s="6"/>
      <c r="I737" s="6"/>
      <c r="J737" s="6"/>
      <c r="K737" s="6"/>
      <c r="L737" s="6"/>
      <c r="M737" s="6"/>
      <c r="N737" s="6"/>
      <c r="O737" s="6"/>
      <c r="P737" s="6"/>
      <c r="Q737" s="6"/>
      <c r="R737" s="6"/>
      <c r="S737" s="6"/>
      <c r="T737" s="6"/>
      <c r="U737" s="6"/>
      <c r="V737" s="6"/>
      <c r="W737" s="6"/>
      <c r="X737" s="6"/>
      <c r="Y737" s="6"/>
      <c r="Z737" s="6"/>
    </row>
    <row r="738">
      <c r="A738" s="155"/>
      <c r="B738" s="156"/>
      <c r="C738" s="156"/>
      <c r="D738" s="158"/>
      <c r="E738" s="6"/>
      <c r="F738" s="6"/>
      <c r="G738" s="6"/>
      <c r="H738" s="6"/>
      <c r="I738" s="6"/>
      <c r="J738" s="6"/>
      <c r="K738" s="6"/>
      <c r="L738" s="6"/>
      <c r="M738" s="6"/>
      <c r="N738" s="6"/>
      <c r="O738" s="6"/>
      <c r="P738" s="6"/>
      <c r="Q738" s="6"/>
      <c r="R738" s="6"/>
      <c r="S738" s="6"/>
      <c r="T738" s="6"/>
      <c r="U738" s="6"/>
      <c r="V738" s="6"/>
      <c r="W738" s="6"/>
      <c r="X738" s="6"/>
      <c r="Y738" s="6"/>
      <c r="Z738" s="6"/>
    </row>
    <row r="739">
      <c r="A739" s="155"/>
      <c r="B739" s="156"/>
      <c r="C739" s="156"/>
      <c r="D739" s="158"/>
      <c r="E739" s="6"/>
      <c r="F739" s="6"/>
      <c r="G739" s="6"/>
      <c r="H739" s="6"/>
      <c r="I739" s="6"/>
      <c r="J739" s="6"/>
      <c r="K739" s="6"/>
      <c r="L739" s="6"/>
      <c r="M739" s="6"/>
      <c r="N739" s="6"/>
      <c r="O739" s="6"/>
      <c r="P739" s="6"/>
      <c r="Q739" s="6"/>
      <c r="R739" s="6"/>
      <c r="S739" s="6"/>
      <c r="T739" s="6"/>
      <c r="U739" s="6"/>
      <c r="V739" s="6"/>
      <c r="W739" s="6"/>
      <c r="X739" s="6"/>
      <c r="Y739" s="6"/>
      <c r="Z739" s="6"/>
    </row>
    <row r="740">
      <c r="A740" s="155"/>
      <c r="B740" s="156"/>
      <c r="C740" s="156"/>
      <c r="D740" s="158"/>
      <c r="E740" s="6"/>
      <c r="F740" s="6"/>
      <c r="G740" s="6"/>
      <c r="H740" s="6"/>
      <c r="I740" s="6"/>
      <c r="J740" s="6"/>
      <c r="K740" s="6"/>
      <c r="L740" s="6"/>
      <c r="M740" s="6"/>
      <c r="N740" s="6"/>
      <c r="O740" s="6"/>
      <c r="P740" s="6"/>
      <c r="Q740" s="6"/>
      <c r="R740" s="6"/>
      <c r="S740" s="6"/>
      <c r="T740" s="6"/>
      <c r="U740" s="6"/>
      <c r="V740" s="6"/>
      <c r="W740" s="6"/>
      <c r="X740" s="6"/>
      <c r="Y740" s="6"/>
      <c r="Z740" s="6"/>
    </row>
    <row r="741">
      <c r="A741" s="155"/>
      <c r="B741" s="156"/>
      <c r="C741" s="156"/>
      <c r="D741" s="158"/>
      <c r="E741" s="6"/>
      <c r="F741" s="6"/>
      <c r="G741" s="6"/>
      <c r="H741" s="6"/>
      <c r="I741" s="6"/>
      <c r="J741" s="6"/>
      <c r="K741" s="6"/>
      <c r="L741" s="6"/>
      <c r="M741" s="6"/>
      <c r="N741" s="6"/>
      <c r="O741" s="6"/>
      <c r="P741" s="6"/>
      <c r="Q741" s="6"/>
      <c r="R741" s="6"/>
      <c r="S741" s="6"/>
      <c r="T741" s="6"/>
      <c r="U741" s="6"/>
      <c r="V741" s="6"/>
      <c r="W741" s="6"/>
      <c r="X741" s="6"/>
      <c r="Y741" s="6"/>
      <c r="Z741" s="6"/>
    </row>
    <row r="742">
      <c r="A742" s="155"/>
      <c r="B742" s="156"/>
      <c r="C742" s="156"/>
      <c r="D742" s="158"/>
      <c r="E742" s="6"/>
      <c r="F742" s="6"/>
      <c r="G742" s="6"/>
      <c r="H742" s="6"/>
      <c r="I742" s="6"/>
      <c r="J742" s="6"/>
      <c r="K742" s="6"/>
      <c r="L742" s="6"/>
      <c r="M742" s="6"/>
      <c r="N742" s="6"/>
      <c r="O742" s="6"/>
      <c r="P742" s="6"/>
      <c r="Q742" s="6"/>
      <c r="R742" s="6"/>
      <c r="S742" s="6"/>
      <c r="T742" s="6"/>
      <c r="U742" s="6"/>
      <c r="V742" s="6"/>
      <c r="W742" s="6"/>
      <c r="X742" s="6"/>
      <c r="Y742" s="6"/>
      <c r="Z742" s="6"/>
    </row>
    <row r="743">
      <c r="A743" s="155"/>
      <c r="B743" s="156"/>
      <c r="C743" s="156"/>
      <c r="D743" s="158"/>
      <c r="E743" s="6"/>
      <c r="F743" s="6"/>
      <c r="G743" s="6"/>
      <c r="H743" s="6"/>
      <c r="I743" s="6"/>
      <c r="J743" s="6"/>
      <c r="K743" s="6"/>
      <c r="L743" s="6"/>
      <c r="M743" s="6"/>
      <c r="N743" s="6"/>
      <c r="O743" s="6"/>
      <c r="P743" s="6"/>
      <c r="Q743" s="6"/>
      <c r="R743" s="6"/>
      <c r="S743" s="6"/>
      <c r="T743" s="6"/>
      <c r="U743" s="6"/>
      <c r="V743" s="6"/>
      <c r="W743" s="6"/>
      <c r="X743" s="6"/>
      <c r="Y743" s="6"/>
      <c r="Z743" s="6"/>
    </row>
    <row r="744">
      <c r="A744" s="155"/>
      <c r="B744" s="156"/>
      <c r="C744" s="156"/>
      <c r="D744" s="158"/>
      <c r="E744" s="6"/>
      <c r="F744" s="6"/>
      <c r="G744" s="6"/>
      <c r="H744" s="6"/>
      <c r="I744" s="6"/>
      <c r="J744" s="6"/>
      <c r="K744" s="6"/>
      <c r="L744" s="6"/>
      <c r="M744" s="6"/>
      <c r="N744" s="6"/>
      <c r="O744" s="6"/>
      <c r="P744" s="6"/>
      <c r="Q744" s="6"/>
      <c r="R744" s="6"/>
      <c r="S744" s="6"/>
      <c r="T744" s="6"/>
      <c r="U744" s="6"/>
      <c r="V744" s="6"/>
      <c r="W744" s="6"/>
      <c r="X744" s="6"/>
      <c r="Y744" s="6"/>
      <c r="Z744" s="6"/>
    </row>
    <row r="745">
      <c r="A745" s="155"/>
      <c r="B745" s="156"/>
      <c r="C745" s="156"/>
      <c r="D745" s="158"/>
      <c r="E745" s="6"/>
      <c r="F745" s="6"/>
      <c r="G745" s="6"/>
      <c r="H745" s="6"/>
      <c r="I745" s="6"/>
      <c r="J745" s="6"/>
      <c r="K745" s="6"/>
      <c r="L745" s="6"/>
      <c r="M745" s="6"/>
      <c r="N745" s="6"/>
      <c r="O745" s="6"/>
      <c r="P745" s="6"/>
      <c r="Q745" s="6"/>
      <c r="R745" s="6"/>
      <c r="S745" s="6"/>
      <c r="T745" s="6"/>
      <c r="U745" s="6"/>
      <c r="V745" s="6"/>
      <c r="W745" s="6"/>
      <c r="X745" s="6"/>
      <c r="Y745" s="6"/>
      <c r="Z745" s="6"/>
    </row>
    <row r="746">
      <c r="A746" s="155"/>
      <c r="B746" s="156"/>
      <c r="C746" s="156"/>
      <c r="D746" s="158"/>
      <c r="E746" s="6"/>
      <c r="F746" s="6"/>
      <c r="G746" s="6"/>
      <c r="H746" s="6"/>
      <c r="I746" s="6"/>
      <c r="J746" s="6"/>
      <c r="K746" s="6"/>
      <c r="L746" s="6"/>
      <c r="M746" s="6"/>
      <c r="N746" s="6"/>
      <c r="O746" s="6"/>
      <c r="P746" s="6"/>
      <c r="Q746" s="6"/>
      <c r="R746" s="6"/>
      <c r="S746" s="6"/>
      <c r="T746" s="6"/>
      <c r="U746" s="6"/>
      <c r="V746" s="6"/>
      <c r="W746" s="6"/>
      <c r="X746" s="6"/>
      <c r="Y746" s="6"/>
      <c r="Z746" s="6"/>
    </row>
    <row r="747">
      <c r="A747" s="155"/>
      <c r="B747" s="156"/>
      <c r="C747" s="156"/>
      <c r="D747" s="158"/>
      <c r="E747" s="6"/>
      <c r="F747" s="6"/>
      <c r="G747" s="6"/>
      <c r="H747" s="6"/>
      <c r="I747" s="6"/>
      <c r="J747" s="6"/>
      <c r="K747" s="6"/>
      <c r="L747" s="6"/>
      <c r="M747" s="6"/>
      <c r="N747" s="6"/>
      <c r="O747" s="6"/>
      <c r="P747" s="6"/>
      <c r="Q747" s="6"/>
      <c r="R747" s="6"/>
      <c r="S747" s="6"/>
      <c r="T747" s="6"/>
      <c r="U747" s="6"/>
      <c r="V747" s="6"/>
      <c r="W747" s="6"/>
      <c r="X747" s="6"/>
      <c r="Y747" s="6"/>
      <c r="Z747" s="6"/>
    </row>
    <row r="748">
      <c r="A748" s="155"/>
      <c r="B748" s="156"/>
      <c r="C748" s="156"/>
      <c r="D748" s="158"/>
      <c r="E748" s="6"/>
      <c r="F748" s="6"/>
      <c r="G748" s="6"/>
      <c r="H748" s="6"/>
      <c r="I748" s="6"/>
      <c r="J748" s="6"/>
      <c r="K748" s="6"/>
      <c r="L748" s="6"/>
      <c r="M748" s="6"/>
      <c r="N748" s="6"/>
      <c r="O748" s="6"/>
      <c r="P748" s="6"/>
      <c r="Q748" s="6"/>
      <c r="R748" s="6"/>
      <c r="S748" s="6"/>
      <c r="T748" s="6"/>
      <c r="U748" s="6"/>
      <c r="V748" s="6"/>
      <c r="W748" s="6"/>
      <c r="X748" s="6"/>
      <c r="Y748" s="6"/>
      <c r="Z748" s="6"/>
    </row>
    <row r="749">
      <c r="A749" s="155"/>
      <c r="B749" s="156"/>
      <c r="C749" s="156"/>
      <c r="D749" s="158"/>
      <c r="E749" s="6"/>
      <c r="F749" s="6"/>
      <c r="G749" s="6"/>
      <c r="H749" s="6"/>
      <c r="I749" s="6"/>
      <c r="J749" s="6"/>
      <c r="K749" s="6"/>
      <c r="L749" s="6"/>
      <c r="M749" s="6"/>
      <c r="N749" s="6"/>
      <c r="O749" s="6"/>
      <c r="P749" s="6"/>
      <c r="Q749" s="6"/>
      <c r="R749" s="6"/>
      <c r="S749" s="6"/>
      <c r="T749" s="6"/>
      <c r="U749" s="6"/>
      <c r="V749" s="6"/>
      <c r="W749" s="6"/>
      <c r="X749" s="6"/>
      <c r="Y749" s="6"/>
      <c r="Z749" s="6"/>
    </row>
    <row r="750">
      <c r="A750" s="155"/>
      <c r="B750" s="156"/>
      <c r="C750" s="156"/>
      <c r="D750" s="158"/>
      <c r="E750" s="6"/>
      <c r="F750" s="6"/>
      <c r="G750" s="6"/>
      <c r="H750" s="6"/>
      <c r="I750" s="6"/>
      <c r="J750" s="6"/>
      <c r="K750" s="6"/>
      <c r="L750" s="6"/>
      <c r="M750" s="6"/>
      <c r="N750" s="6"/>
      <c r="O750" s="6"/>
      <c r="P750" s="6"/>
      <c r="Q750" s="6"/>
      <c r="R750" s="6"/>
      <c r="S750" s="6"/>
      <c r="T750" s="6"/>
      <c r="U750" s="6"/>
      <c r="V750" s="6"/>
      <c r="W750" s="6"/>
      <c r="X750" s="6"/>
      <c r="Y750" s="6"/>
      <c r="Z750" s="6"/>
    </row>
    <row r="751">
      <c r="A751" s="155"/>
      <c r="B751" s="156"/>
      <c r="C751" s="156"/>
      <c r="D751" s="158"/>
      <c r="E751" s="6"/>
      <c r="F751" s="6"/>
      <c r="G751" s="6"/>
      <c r="H751" s="6"/>
      <c r="I751" s="6"/>
      <c r="J751" s="6"/>
      <c r="K751" s="6"/>
      <c r="L751" s="6"/>
      <c r="M751" s="6"/>
      <c r="N751" s="6"/>
      <c r="O751" s="6"/>
      <c r="P751" s="6"/>
      <c r="Q751" s="6"/>
      <c r="R751" s="6"/>
      <c r="S751" s="6"/>
      <c r="T751" s="6"/>
      <c r="U751" s="6"/>
      <c r="V751" s="6"/>
      <c r="W751" s="6"/>
      <c r="X751" s="6"/>
      <c r="Y751" s="6"/>
      <c r="Z751" s="6"/>
    </row>
    <row r="752">
      <c r="A752" s="155"/>
      <c r="B752" s="156"/>
      <c r="C752" s="156"/>
      <c r="D752" s="158"/>
      <c r="E752" s="6"/>
      <c r="F752" s="6"/>
      <c r="G752" s="6"/>
      <c r="H752" s="6"/>
      <c r="I752" s="6"/>
      <c r="J752" s="6"/>
      <c r="K752" s="6"/>
      <c r="L752" s="6"/>
      <c r="M752" s="6"/>
      <c r="N752" s="6"/>
      <c r="O752" s="6"/>
      <c r="P752" s="6"/>
      <c r="Q752" s="6"/>
      <c r="R752" s="6"/>
      <c r="S752" s="6"/>
      <c r="T752" s="6"/>
      <c r="U752" s="6"/>
      <c r="V752" s="6"/>
      <c r="W752" s="6"/>
      <c r="X752" s="6"/>
      <c r="Y752" s="6"/>
      <c r="Z752" s="6"/>
    </row>
    <row r="753">
      <c r="A753" s="155"/>
      <c r="B753" s="156"/>
      <c r="C753" s="156"/>
      <c r="D753" s="158"/>
      <c r="E753" s="6"/>
      <c r="F753" s="6"/>
      <c r="G753" s="6"/>
      <c r="H753" s="6"/>
      <c r="I753" s="6"/>
      <c r="J753" s="6"/>
      <c r="K753" s="6"/>
      <c r="L753" s="6"/>
      <c r="M753" s="6"/>
      <c r="N753" s="6"/>
      <c r="O753" s="6"/>
      <c r="P753" s="6"/>
      <c r="Q753" s="6"/>
      <c r="R753" s="6"/>
      <c r="S753" s="6"/>
      <c r="T753" s="6"/>
      <c r="U753" s="6"/>
      <c r="V753" s="6"/>
      <c r="W753" s="6"/>
      <c r="X753" s="6"/>
      <c r="Y753" s="6"/>
      <c r="Z753" s="6"/>
    </row>
    <row r="754">
      <c r="A754" s="155"/>
      <c r="B754" s="156"/>
      <c r="C754" s="156"/>
      <c r="D754" s="158"/>
      <c r="E754" s="6"/>
      <c r="F754" s="6"/>
      <c r="G754" s="6"/>
      <c r="H754" s="6"/>
      <c r="I754" s="6"/>
      <c r="J754" s="6"/>
      <c r="K754" s="6"/>
      <c r="L754" s="6"/>
      <c r="M754" s="6"/>
      <c r="N754" s="6"/>
      <c r="O754" s="6"/>
      <c r="P754" s="6"/>
      <c r="Q754" s="6"/>
      <c r="R754" s="6"/>
      <c r="S754" s="6"/>
      <c r="T754" s="6"/>
      <c r="U754" s="6"/>
      <c r="V754" s="6"/>
      <c r="W754" s="6"/>
      <c r="X754" s="6"/>
      <c r="Y754" s="6"/>
      <c r="Z754" s="6"/>
    </row>
    <row r="755">
      <c r="A755" s="155"/>
      <c r="B755" s="156"/>
      <c r="C755" s="156"/>
      <c r="D755" s="158"/>
      <c r="E755" s="6"/>
      <c r="F755" s="6"/>
      <c r="G755" s="6"/>
      <c r="H755" s="6"/>
      <c r="I755" s="6"/>
      <c r="J755" s="6"/>
      <c r="K755" s="6"/>
      <c r="L755" s="6"/>
      <c r="M755" s="6"/>
      <c r="N755" s="6"/>
      <c r="O755" s="6"/>
      <c r="P755" s="6"/>
      <c r="Q755" s="6"/>
      <c r="R755" s="6"/>
      <c r="S755" s="6"/>
      <c r="T755" s="6"/>
      <c r="U755" s="6"/>
      <c r="V755" s="6"/>
      <c r="W755" s="6"/>
      <c r="X755" s="6"/>
      <c r="Y755" s="6"/>
      <c r="Z755" s="6"/>
    </row>
    <row r="756">
      <c r="A756" s="155"/>
      <c r="B756" s="156"/>
      <c r="C756" s="156"/>
      <c r="D756" s="158"/>
      <c r="E756" s="6"/>
      <c r="F756" s="6"/>
      <c r="G756" s="6"/>
      <c r="H756" s="6"/>
      <c r="I756" s="6"/>
      <c r="J756" s="6"/>
      <c r="K756" s="6"/>
      <c r="L756" s="6"/>
      <c r="M756" s="6"/>
      <c r="N756" s="6"/>
      <c r="O756" s="6"/>
      <c r="P756" s="6"/>
      <c r="Q756" s="6"/>
      <c r="R756" s="6"/>
      <c r="S756" s="6"/>
      <c r="T756" s="6"/>
      <c r="U756" s="6"/>
      <c r="V756" s="6"/>
      <c r="W756" s="6"/>
      <c r="X756" s="6"/>
      <c r="Y756" s="6"/>
      <c r="Z756" s="6"/>
    </row>
    <row r="757">
      <c r="A757" s="155"/>
      <c r="B757" s="156"/>
      <c r="C757" s="156"/>
      <c r="D757" s="158"/>
      <c r="E757" s="6"/>
      <c r="F757" s="6"/>
      <c r="G757" s="6"/>
      <c r="H757" s="6"/>
      <c r="I757" s="6"/>
      <c r="J757" s="6"/>
      <c r="K757" s="6"/>
      <c r="L757" s="6"/>
      <c r="M757" s="6"/>
      <c r="N757" s="6"/>
      <c r="O757" s="6"/>
      <c r="P757" s="6"/>
      <c r="Q757" s="6"/>
      <c r="R757" s="6"/>
      <c r="S757" s="6"/>
      <c r="T757" s="6"/>
      <c r="U757" s="6"/>
      <c r="V757" s="6"/>
      <c r="W757" s="6"/>
      <c r="X757" s="6"/>
      <c r="Y757" s="6"/>
      <c r="Z757" s="6"/>
    </row>
    <row r="758">
      <c r="A758" s="155"/>
      <c r="B758" s="156"/>
      <c r="C758" s="156"/>
      <c r="D758" s="158"/>
      <c r="E758" s="6"/>
      <c r="F758" s="6"/>
      <c r="G758" s="6"/>
      <c r="H758" s="6"/>
      <c r="I758" s="6"/>
      <c r="J758" s="6"/>
      <c r="K758" s="6"/>
      <c r="L758" s="6"/>
      <c r="M758" s="6"/>
      <c r="N758" s="6"/>
      <c r="O758" s="6"/>
      <c r="P758" s="6"/>
      <c r="Q758" s="6"/>
      <c r="R758" s="6"/>
      <c r="S758" s="6"/>
      <c r="T758" s="6"/>
      <c r="U758" s="6"/>
      <c r="V758" s="6"/>
      <c r="W758" s="6"/>
      <c r="X758" s="6"/>
      <c r="Y758" s="6"/>
      <c r="Z758" s="6"/>
    </row>
    <row r="759">
      <c r="A759" s="155"/>
      <c r="B759" s="156"/>
      <c r="C759" s="156"/>
      <c r="D759" s="158"/>
      <c r="E759" s="6"/>
      <c r="F759" s="6"/>
      <c r="G759" s="6"/>
      <c r="H759" s="6"/>
      <c r="I759" s="6"/>
      <c r="J759" s="6"/>
      <c r="K759" s="6"/>
      <c r="L759" s="6"/>
      <c r="M759" s="6"/>
      <c r="N759" s="6"/>
      <c r="O759" s="6"/>
      <c r="P759" s="6"/>
      <c r="Q759" s="6"/>
      <c r="R759" s="6"/>
      <c r="S759" s="6"/>
      <c r="T759" s="6"/>
      <c r="U759" s="6"/>
      <c r="V759" s="6"/>
      <c r="W759" s="6"/>
      <c r="X759" s="6"/>
      <c r="Y759" s="6"/>
      <c r="Z759" s="6"/>
    </row>
    <row r="760">
      <c r="A760" s="155"/>
      <c r="B760" s="156"/>
      <c r="C760" s="156"/>
      <c r="D760" s="158"/>
      <c r="E760" s="6"/>
      <c r="F760" s="6"/>
      <c r="G760" s="6"/>
      <c r="H760" s="6"/>
      <c r="I760" s="6"/>
      <c r="J760" s="6"/>
      <c r="K760" s="6"/>
      <c r="L760" s="6"/>
      <c r="M760" s="6"/>
      <c r="N760" s="6"/>
      <c r="O760" s="6"/>
      <c r="P760" s="6"/>
      <c r="Q760" s="6"/>
      <c r="R760" s="6"/>
      <c r="S760" s="6"/>
      <c r="T760" s="6"/>
      <c r="U760" s="6"/>
      <c r="V760" s="6"/>
      <c r="W760" s="6"/>
      <c r="X760" s="6"/>
      <c r="Y760" s="6"/>
      <c r="Z760" s="6"/>
    </row>
    <row r="761">
      <c r="A761" s="155"/>
      <c r="B761" s="156"/>
      <c r="C761" s="156"/>
      <c r="D761" s="158"/>
      <c r="E761" s="6"/>
      <c r="F761" s="6"/>
      <c r="G761" s="6"/>
      <c r="H761" s="6"/>
      <c r="I761" s="6"/>
      <c r="J761" s="6"/>
      <c r="K761" s="6"/>
      <c r="L761" s="6"/>
      <c r="M761" s="6"/>
      <c r="N761" s="6"/>
      <c r="O761" s="6"/>
      <c r="P761" s="6"/>
      <c r="Q761" s="6"/>
      <c r="R761" s="6"/>
      <c r="S761" s="6"/>
      <c r="T761" s="6"/>
      <c r="U761" s="6"/>
      <c r="V761" s="6"/>
      <c r="W761" s="6"/>
      <c r="X761" s="6"/>
      <c r="Y761" s="6"/>
      <c r="Z761" s="6"/>
    </row>
    <row r="762">
      <c r="A762" s="155"/>
      <c r="B762" s="156"/>
      <c r="C762" s="156"/>
      <c r="D762" s="158"/>
      <c r="E762" s="6"/>
      <c r="F762" s="6"/>
      <c r="G762" s="6"/>
      <c r="H762" s="6"/>
      <c r="I762" s="6"/>
      <c r="J762" s="6"/>
      <c r="K762" s="6"/>
      <c r="L762" s="6"/>
      <c r="M762" s="6"/>
      <c r="N762" s="6"/>
      <c r="O762" s="6"/>
      <c r="P762" s="6"/>
      <c r="Q762" s="6"/>
      <c r="R762" s="6"/>
      <c r="S762" s="6"/>
      <c r="T762" s="6"/>
      <c r="U762" s="6"/>
      <c r="V762" s="6"/>
      <c r="W762" s="6"/>
      <c r="X762" s="6"/>
      <c r="Y762" s="6"/>
      <c r="Z762" s="6"/>
    </row>
    <row r="763">
      <c r="A763" s="155"/>
      <c r="B763" s="156"/>
      <c r="C763" s="156"/>
      <c r="D763" s="158"/>
      <c r="E763" s="6"/>
      <c r="F763" s="6"/>
      <c r="G763" s="6"/>
      <c r="H763" s="6"/>
      <c r="I763" s="6"/>
      <c r="J763" s="6"/>
      <c r="K763" s="6"/>
      <c r="L763" s="6"/>
      <c r="M763" s="6"/>
      <c r="N763" s="6"/>
      <c r="O763" s="6"/>
      <c r="P763" s="6"/>
      <c r="Q763" s="6"/>
      <c r="R763" s="6"/>
      <c r="S763" s="6"/>
      <c r="T763" s="6"/>
      <c r="U763" s="6"/>
      <c r="V763" s="6"/>
      <c r="W763" s="6"/>
      <c r="X763" s="6"/>
      <c r="Y763" s="6"/>
      <c r="Z763" s="6"/>
    </row>
    <row r="764">
      <c r="A764" s="155"/>
      <c r="B764" s="156"/>
      <c r="C764" s="156"/>
      <c r="D764" s="158"/>
      <c r="E764" s="6"/>
      <c r="F764" s="6"/>
      <c r="G764" s="6"/>
      <c r="H764" s="6"/>
      <c r="I764" s="6"/>
      <c r="J764" s="6"/>
      <c r="K764" s="6"/>
      <c r="L764" s="6"/>
      <c r="M764" s="6"/>
      <c r="N764" s="6"/>
      <c r="O764" s="6"/>
      <c r="P764" s="6"/>
      <c r="Q764" s="6"/>
      <c r="R764" s="6"/>
      <c r="S764" s="6"/>
      <c r="T764" s="6"/>
      <c r="U764" s="6"/>
      <c r="V764" s="6"/>
      <c r="W764" s="6"/>
      <c r="X764" s="6"/>
      <c r="Y764" s="6"/>
      <c r="Z764" s="6"/>
    </row>
    <row r="765">
      <c r="A765" s="155"/>
      <c r="B765" s="156"/>
      <c r="C765" s="156"/>
      <c r="D765" s="158"/>
      <c r="E765" s="6"/>
      <c r="F765" s="6"/>
      <c r="G765" s="6"/>
      <c r="H765" s="6"/>
      <c r="I765" s="6"/>
      <c r="J765" s="6"/>
      <c r="K765" s="6"/>
      <c r="L765" s="6"/>
      <c r="M765" s="6"/>
      <c r="N765" s="6"/>
      <c r="O765" s="6"/>
      <c r="P765" s="6"/>
      <c r="Q765" s="6"/>
      <c r="R765" s="6"/>
      <c r="S765" s="6"/>
      <c r="T765" s="6"/>
      <c r="U765" s="6"/>
      <c r="V765" s="6"/>
      <c r="W765" s="6"/>
      <c r="X765" s="6"/>
      <c r="Y765" s="6"/>
      <c r="Z765" s="6"/>
    </row>
    <row r="766">
      <c r="A766" s="155"/>
      <c r="B766" s="156"/>
      <c r="C766" s="156"/>
      <c r="D766" s="158"/>
      <c r="E766" s="6"/>
      <c r="F766" s="6"/>
      <c r="G766" s="6"/>
      <c r="H766" s="6"/>
      <c r="I766" s="6"/>
      <c r="J766" s="6"/>
      <c r="K766" s="6"/>
      <c r="L766" s="6"/>
      <c r="M766" s="6"/>
      <c r="N766" s="6"/>
      <c r="O766" s="6"/>
      <c r="P766" s="6"/>
      <c r="Q766" s="6"/>
      <c r="R766" s="6"/>
      <c r="S766" s="6"/>
      <c r="T766" s="6"/>
      <c r="U766" s="6"/>
      <c r="V766" s="6"/>
      <c r="W766" s="6"/>
      <c r="X766" s="6"/>
      <c r="Y766" s="6"/>
      <c r="Z766" s="6"/>
    </row>
    <row r="767">
      <c r="A767" s="155"/>
      <c r="B767" s="156"/>
      <c r="C767" s="156"/>
      <c r="D767" s="158"/>
      <c r="E767" s="6"/>
      <c r="F767" s="6"/>
      <c r="G767" s="6"/>
      <c r="H767" s="6"/>
      <c r="I767" s="6"/>
      <c r="J767" s="6"/>
      <c r="K767" s="6"/>
      <c r="L767" s="6"/>
      <c r="M767" s="6"/>
      <c r="N767" s="6"/>
      <c r="O767" s="6"/>
      <c r="P767" s="6"/>
      <c r="Q767" s="6"/>
      <c r="R767" s="6"/>
      <c r="S767" s="6"/>
      <c r="T767" s="6"/>
      <c r="U767" s="6"/>
      <c r="V767" s="6"/>
      <c r="W767" s="6"/>
      <c r="X767" s="6"/>
      <c r="Y767" s="6"/>
      <c r="Z767" s="6"/>
    </row>
    <row r="768">
      <c r="A768" s="155"/>
      <c r="B768" s="156"/>
      <c r="C768" s="156"/>
      <c r="D768" s="158"/>
      <c r="E768" s="6"/>
      <c r="F768" s="6"/>
      <c r="G768" s="6"/>
      <c r="H768" s="6"/>
      <c r="I768" s="6"/>
      <c r="J768" s="6"/>
      <c r="K768" s="6"/>
      <c r="L768" s="6"/>
      <c r="M768" s="6"/>
      <c r="N768" s="6"/>
      <c r="O768" s="6"/>
      <c r="P768" s="6"/>
      <c r="Q768" s="6"/>
      <c r="R768" s="6"/>
      <c r="S768" s="6"/>
      <c r="T768" s="6"/>
      <c r="U768" s="6"/>
      <c r="V768" s="6"/>
      <c r="W768" s="6"/>
      <c r="X768" s="6"/>
      <c r="Y768" s="6"/>
      <c r="Z768" s="6"/>
    </row>
    <row r="769">
      <c r="A769" s="155"/>
      <c r="B769" s="156"/>
      <c r="C769" s="156"/>
      <c r="D769" s="158"/>
      <c r="E769" s="6"/>
      <c r="F769" s="6"/>
      <c r="G769" s="6"/>
      <c r="H769" s="6"/>
      <c r="I769" s="6"/>
      <c r="J769" s="6"/>
      <c r="K769" s="6"/>
      <c r="L769" s="6"/>
      <c r="M769" s="6"/>
      <c r="N769" s="6"/>
      <c r="O769" s="6"/>
      <c r="P769" s="6"/>
      <c r="Q769" s="6"/>
      <c r="R769" s="6"/>
      <c r="S769" s="6"/>
      <c r="T769" s="6"/>
      <c r="U769" s="6"/>
      <c r="V769" s="6"/>
      <c r="W769" s="6"/>
      <c r="X769" s="6"/>
      <c r="Y769" s="6"/>
      <c r="Z769" s="6"/>
    </row>
    <row r="770">
      <c r="A770" s="155"/>
      <c r="B770" s="156"/>
      <c r="C770" s="156"/>
      <c r="D770" s="158"/>
      <c r="E770" s="6"/>
      <c r="F770" s="6"/>
      <c r="G770" s="6"/>
      <c r="H770" s="6"/>
      <c r="I770" s="6"/>
      <c r="J770" s="6"/>
      <c r="K770" s="6"/>
      <c r="L770" s="6"/>
      <c r="M770" s="6"/>
      <c r="N770" s="6"/>
      <c r="O770" s="6"/>
      <c r="P770" s="6"/>
      <c r="Q770" s="6"/>
      <c r="R770" s="6"/>
      <c r="S770" s="6"/>
      <c r="T770" s="6"/>
      <c r="U770" s="6"/>
      <c r="V770" s="6"/>
      <c r="W770" s="6"/>
      <c r="X770" s="6"/>
      <c r="Y770" s="6"/>
      <c r="Z770" s="6"/>
    </row>
    <row r="771">
      <c r="A771" s="155"/>
      <c r="B771" s="156"/>
      <c r="C771" s="156"/>
      <c r="D771" s="158"/>
      <c r="E771" s="6"/>
      <c r="F771" s="6"/>
      <c r="G771" s="6"/>
      <c r="H771" s="6"/>
      <c r="I771" s="6"/>
      <c r="J771" s="6"/>
      <c r="K771" s="6"/>
      <c r="L771" s="6"/>
      <c r="M771" s="6"/>
      <c r="N771" s="6"/>
      <c r="O771" s="6"/>
      <c r="P771" s="6"/>
      <c r="Q771" s="6"/>
      <c r="R771" s="6"/>
      <c r="S771" s="6"/>
      <c r="T771" s="6"/>
      <c r="U771" s="6"/>
      <c r="V771" s="6"/>
      <c r="W771" s="6"/>
      <c r="X771" s="6"/>
      <c r="Y771" s="6"/>
      <c r="Z771" s="6"/>
    </row>
    <row r="772">
      <c r="A772" s="155"/>
      <c r="B772" s="156"/>
      <c r="C772" s="156"/>
      <c r="D772" s="158"/>
      <c r="E772" s="6"/>
      <c r="F772" s="6"/>
      <c r="G772" s="6"/>
      <c r="H772" s="6"/>
      <c r="I772" s="6"/>
      <c r="J772" s="6"/>
      <c r="K772" s="6"/>
      <c r="L772" s="6"/>
      <c r="M772" s="6"/>
      <c r="N772" s="6"/>
      <c r="O772" s="6"/>
      <c r="P772" s="6"/>
      <c r="Q772" s="6"/>
      <c r="R772" s="6"/>
      <c r="S772" s="6"/>
      <c r="T772" s="6"/>
      <c r="U772" s="6"/>
      <c r="V772" s="6"/>
      <c r="W772" s="6"/>
      <c r="X772" s="6"/>
      <c r="Y772" s="6"/>
      <c r="Z772" s="6"/>
    </row>
    <row r="773">
      <c r="A773" s="155"/>
      <c r="B773" s="156"/>
      <c r="C773" s="156"/>
      <c r="D773" s="158"/>
      <c r="E773" s="6"/>
      <c r="F773" s="6"/>
      <c r="G773" s="6"/>
      <c r="H773" s="6"/>
      <c r="I773" s="6"/>
      <c r="J773" s="6"/>
      <c r="K773" s="6"/>
      <c r="L773" s="6"/>
      <c r="M773" s="6"/>
      <c r="N773" s="6"/>
      <c r="O773" s="6"/>
      <c r="P773" s="6"/>
      <c r="Q773" s="6"/>
      <c r="R773" s="6"/>
      <c r="S773" s="6"/>
      <c r="T773" s="6"/>
      <c r="U773" s="6"/>
      <c r="V773" s="6"/>
      <c r="W773" s="6"/>
      <c r="X773" s="6"/>
      <c r="Y773" s="6"/>
      <c r="Z773" s="6"/>
    </row>
    <row r="774">
      <c r="A774" s="155"/>
      <c r="B774" s="156"/>
      <c r="C774" s="156"/>
      <c r="D774" s="158"/>
      <c r="E774" s="6"/>
      <c r="F774" s="6"/>
      <c r="G774" s="6"/>
      <c r="H774" s="6"/>
      <c r="I774" s="6"/>
      <c r="J774" s="6"/>
      <c r="K774" s="6"/>
      <c r="L774" s="6"/>
      <c r="M774" s="6"/>
      <c r="N774" s="6"/>
      <c r="O774" s="6"/>
      <c r="P774" s="6"/>
      <c r="Q774" s="6"/>
      <c r="R774" s="6"/>
      <c r="S774" s="6"/>
      <c r="T774" s="6"/>
      <c r="U774" s="6"/>
      <c r="V774" s="6"/>
      <c r="W774" s="6"/>
      <c r="X774" s="6"/>
      <c r="Y774" s="6"/>
      <c r="Z774" s="6"/>
    </row>
    <row r="775">
      <c r="A775" s="155"/>
      <c r="B775" s="156"/>
      <c r="C775" s="156"/>
      <c r="D775" s="158"/>
      <c r="E775" s="6"/>
      <c r="F775" s="6"/>
      <c r="G775" s="6"/>
      <c r="H775" s="6"/>
      <c r="I775" s="6"/>
      <c r="J775" s="6"/>
      <c r="K775" s="6"/>
      <c r="L775" s="6"/>
      <c r="M775" s="6"/>
      <c r="N775" s="6"/>
      <c r="O775" s="6"/>
      <c r="P775" s="6"/>
      <c r="Q775" s="6"/>
      <c r="R775" s="6"/>
      <c r="S775" s="6"/>
      <c r="T775" s="6"/>
      <c r="U775" s="6"/>
      <c r="V775" s="6"/>
      <c r="W775" s="6"/>
      <c r="X775" s="6"/>
      <c r="Y775" s="6"/>
      <c r="Z775" s="6"/>
    </row>
    <row r="776">
      <c r="A776" s="155"/>
      <c r="B776" s="156"/>
      <c r="C776" s="156"/>
      <c r="D776" s="158"/>
      <c r="E776" s="6"/>
      <c r="F776" s="6"/>
      <c r="G776" s="6"/>
      <c r="H776" s="6"/>
      <c r="I776" s="6"/>
      <c r="J776" s="6"/>
      <c r="K776" s="6"/>
      <c r="L776" s="6"/>
      <c r="M776" s="6"/>
      <c r="N776" s="6"/>
      <c r="O776" s="6"/>
      <c r="P776" s="6"/>
      <c r="Q776" s="6"/>
      <c r="R776" s="6"/>
      <c r="S776" s="6"/>
      <c r="T776" s="6"/>
      <c r="U776" s="6"/>
      <c r="V776" s="6"/>
      <c r="W776" s="6"/>
      <c r="X776" s="6"/>
      <c r="Y776" s="6"/>
      <c r="Z776" s="6"/>
    </row>
    <row r="777">
      <c r="A777" s="155"/>
      <c r="B777" s="156"/>
      <c r="C777" s="156"/>
      <c r="D777" s="158"/>
      <c r="E777" s="6"/>
      <c r="F777" s="6"/>
      <c r="G777" s="6"/>
      <c r="H777" s="6"/>
      <c r="I777" s="6"/>
      <c r="J777" s="6"/>
      <c r="K777" s="6"/>
      <c r="L777" s="6"/>
      <c r="M777" s="6"/>
      <c r="N777" s="6"/>
      <c r="O777" s="6"/>
      <c r="P777" s="6"/>
      <c r="Q777" s="6"/>
      <c r="R777" s="6"/>
      <c r="S777" s="6"/>
      <c r="T777" s="6"/>
      <c r="U777" s="6"/>
      <c r="V777" s="6"/>
      <c r="W777" s="6"/>
      <c r="X777" s="6"/>
      <c r="Y777" s="6"/>
      <c r="Z777" s="6"/>
    </row>
    <row r="778">
      <c r="A778" s="155"/>
      <c r="B778" s="156"/>
      <c r="C778" s="156"/>
      <c r="D778" s="158"/>
      <c r="E778" s="6"/>
      <c r="F778" s="6"/>
      <c r="G778" s="6"/>
      <c r="H778" s="6"/>
      <c r="I778" s="6"/>
      <c r="J778" s="6"/>
      <c r="K778" s="6"/>
      <c r="L778" s="6"/>
      <c r="M778" s="6"/>
      <c r="N778" s="6"/>
      <c r="O778" s="6"/>
      <c r="P778" s="6"/>
      <c r="Q778" s="6"/>
      <c r="R778" s="6"/>
      <c r="S778" s="6"/>
      <c r="T778" s="6"/>
      <c r="U778" s="6"/>
      <c r="V778" s="6"/>
      <c r="W778" s="6"/>
      <c r="X778" s="6"/>
      <c r="Y778" s="6"/>
      <c r="Z778" s="6"/>
    </row>
    <row r="779">
      <c r="A779" s="155"/>
      <c r="B779" s="156"/>
      <c r="C779" s="156"/>
      <c r="D779" s="158"/>
      <c r="E779" s="6"/>
      <c r="F779" s="6"/>
      <c r="G779" s="6"/>
      <c r="H779" s="6"/>
      <c r="I779" s="6"/>
      <c r="J779" s="6"/>
      <c r="K779" s="6"/>
      <c r="L779" s="6"/>
      <c r="M779" s="6"/>
      <c r="N779" s="6"/>
      <c r="O779" s="6"/>
      <c r="P779" s="6"/>
      <c r="Q779" s="6"/>
      <c r="R779" s="6"/>
      <c r="S779" s="6"/>
      <c r="T779" s="6"/>
      <c r="U779" s="6"/>
      <c r="V779" s="6"/>
      <c r="W779" s="6"/>
      <c r="X779" s="6"/>
      <c r="Y779" s="6"/>
      <c r="Z779" s="6"/>
    </row>
    <row r="780">
      <c r="A780" s="155"/>
      <c r="B780" s="156"/>
      <c r="C780" s="156"/>
      <c r="D780" s="158"/>
      <c r="E780" s="6"/>
      <c r="F780" s="6"/>
      <c r="G780" s="6"/>
      <c r="H780" s="6"/>
      <c r="I780" s="6"/>
      <c r="J780" s="6"/>
      <c r="K780" s="6"/>
      <c r="L780" s="6"/>
      <c r="M780" s="6"/>
      <c r="N780" s="6"/>
      <c r="O780" s="6"/>
      <c r="P780" s="6"/>
      <c r="Q780" s="6"/>
      <c r="R780" s="6"/>
      <c r="S780" s="6"/>
      <c r="T780" s="6"/>
      <c r="U780" s="6"/>
      <c r="V780" s="6"/>
      <c r="W780" s="6"/>
      <c r="X780" s="6"/>
      <c r="Y780" s="6"/>
      <c r="Z780" s="6"/>
    </row>
    <row r="781">
      <c r="A781" s="155"/>
      <c r="B781" s="156"/>
      <c r="C781" s="156"/>
      <c r="D781" s="158"/>
      <c r="E781" s="6"/>
      <c r="F781" s="6"/>
      <c r="G781" s="6"/>
      <c r="H781" s="6"/>
      <c r="I781" s="6"/>
      <c r="J781" s="6"/>
      <c r="K781" s="6"/>
      <c r="L781" s="6"/>
      <c r="M781" s="6"/>
      <c r="N781" s="6"/>
      <c r="O781" s="6"/>
      <c r="P781" s="6"/>
      <c r="Q781" s="6"/>
      <c r="R781" s="6"/>
      <c r="S781" s="6"/>
      <c r="T781" s="6"/>
      <c r="U781" s="6"/>
      <c r="V781" s="6"/>
      <c r="W781" s="6"/>
      <c r="X781" s="6"/>
      <c r="Y781" s="6"/>
      <c r="Z781" s="6"/>
    </row>
    <row r="782">
      <c r="A782" s="155"/>
      <c r="B782" s="156"/>
      <c r="C782" s="156"/>
      <c r="D782" s="158"/>
      <c r="E782" s="6"/>
      <c r="F782" s="6"/>
      <c r="G782" s="6"/>
      <c r="H782" s="6"/>
      <c r="I782" s="6"/>
      <c r="J782" s="6"/>
      <c r="K782" s="6"/>
      <c r="L782" s="6"/>
      <c r="M782" s="6"/>
      <c r="N782" s="6"/>
      <c r="O782" s="6"/>
      <c r="P782" s="6"/>
      <c r="Q782" s="6"/>
      <c r="R782" s="6"/>
      <c r="S782" s="6"/>
      <c r="T782" s="6"/>
      <c r="U782" s="6"/>
      <c r="V782" s="6"/>
      <c r="W782" s="6"/>
      <c r="X782" s="6"/>
      <c r="Y782" s="6"/>
      <c r="Z782" s="6"/>
    </row>
    <row r="783">
      <c r="A783" s="155"/>
      <c r="B783" s="156"/>
      <c r="C783" s="156"/>
      <c r="D783" s="158"/>
      <c r="E783" s="6"/>
      <c r="F783" s="6"/>
      <c r="G783" s="6"/>
      <c r="H783" s="6"/>
      <c r="I783" s="6"/>
      <c r="J783" s="6"/>
      <c r="K783" s="6"/>
      <c r="L783" s="6"/>
      <c r="M783" s="6"/>
      <c r="N783" s="6"/>
      <c r="O783" s="6"/>
      <c r="P783" s="6"/>
      <c r="Q783" s="6"/>
      <c r="R783" s="6"/>
      <c r="S783" s="6"/>
      <c r="T783" s="6"/>
      <c r="U783" s="6"/>
      <c r="V783" s="6"/>
      <c r="W783" s="6"/>
      <c r="X783" s="6"/>
      <c r="Y783" s="6"/>
      <c r="Z783" s="6"/>
    </row>
    <row r="784">
      <c r="A784" s="155"/>
      <c r="B784" s="156"/>
      <c r="C784" s="156"/>
      <c r="D784" s="158"/>
      <c r="E784" s="6"/>
      <c r="F784" s="6"/>
      <c r="G784" s="6"/>
      <c r="H784" s="6"/>
      <c r="I784" s="6"/>
      <c r="J784" s="6"/>
      <c r="K784" s="6"/>
      <c r="L784" s="6"/>
      <c r="M784" s="6"/>
      <c r="N784" s="6"/>
      <c r="O784" s="6"/>
      <c r="P784" s="6"/>
      <c r="Q784" s="6"/>
      <c r="R784" s="6"/>
      <c r="S784" s="6"/>
      <c r="T784" s="6"/>
      <c r="U784" s="6"/>
      <c r="V784" s="6"/>
      <c r="W784" s="6"/>
      <c r="X784" s="6"/>
      <c r="Y784" s="6"/>
      <c r="Z784" s="6"/>
    </row>
    <row r="785">
      <c r="A785" s="155"/>
      <c r="B785" s="156"/>
      <c r="C785" s="156"/>
      <c r="D785" s="158"/>
      <c r="E785" s="6"/>
      <c r="F785" s="6"/>
      <c r="G785" s="6"/>
      <c r="H785" s="6"/>
      <c r="I785" s="6"/>
      <c r="J785" s="6"/>
      <c r="K785" s="6"/>
      <c r="L785" s="6"/>
      <c r="M785" s="6"/>
      <c r="N785" s="6"/>
      <c r="O785" s="6"/>
      <c r="P785" s="6"/>
      <c r="Q785" s="6"/>
      <c r="R785" s="6"/>
      <c r="S785" s="6"/>
      <c r="T785" s="6"/>
      <c r="U785" s="6"/>
      <c r="V785" s="6"/>
      <c r="W785" s="6"/>
      <c r="X785" s="6"/>
      <c r="Y785" s="6"/>
      <c r="Z785" s="6"/>
    </row>
    <row r="786">
      <c r="A786" s="155"/>
      <c r="B786" s="156"/>
      <c r="C786" s="156"/>
      <c r="D786" s="158"/>
      <c r="E786" s="6"/>
      <c r="F786" s="6"/>
      <c r="G786" s="6"/>
      <c r="H786" s="6"/>
      <c r="I786" s="6"/>
      <c r="J786" s="6"/>
      <c r="K786" s="6"/>
      <c r="L786" s="6"/>
      <c r="M786" s="6"/>
      <c r="N786" s="6"/>
      <c r="O786" s="6"/>
      <c r="P786" s="6"/>
      <c r="Q786" s="6"/>
      <c r="R786" s="6"/>
      <c r="S786" s="6"/>
      <c r="T786" s="6"/>
      <c r="U786" s="6"/>
      <c r="V786" s="6"/>
      <c r="W786" s="6"/>
      <c r="X786" s="6"/>
      <c r="Y786" s="6"/>
      <c r="Z786" s="6"/>
    </row>
    <row r="787">
      <c r="A787" s="155"/>
      <c r="B787" s="156"/>
      <c r="C787" s="156"/>
      <c r="D787" s="158"/>
      <c r="E787" s="6"/>
      <c r="F787" s="6"/>
      <c r="G787" s="6"/>
      <c r="H787" s="6"/>
      <c r="I787" s="6"/>
      <c r="J787" s="6"/>
      <c r="K787" s="6"/>
      <c r="L787" s="6"/>
      <c r="M787" s="6"/>
      <c r="N787" s="6"/>
      <c r="O787" s="6"/>
      <c r="P787" s="6"/>
      <c r="Q787" s="6"/>
      <c r="R787" s="6"/>
      <c r="S787" s="6"/>
      <c r="T787" s="6"/>
      <c r="U787" s="6"/>
      <c r="V787" s="6"/>
      <c r="W787" s="6"/>
      <c r="X787" s="6"/>
      <c r="Y787" s="6"/>
      <c r="Z787" s="6"/>
    </row>
    <row r="788">
      <c r="A788" s="155"/>
      <c r="B788" s="156"/>
      <c r="C788" s="156"/>
      <c r="D788" s="158"/>
      <c r="E788" s="6"/>
      <c r="F788" s="6"/>
      <c r="G788" s="6"/>
      <c r="H788" s="6"/>
      <c r="I788" s="6"/>
      <c r="J788" s="6"/>
      <c r="K788" s="6"/>
      <c r="L788" s="6"/>
      <c r="M788" s="6"/>
      <c r="N788" s="6"/>
      <c r="O788" s="6"/>
      <c r="P788" s="6"/>
      <c r="Q788" s="6"/>
      <c r="R788" s="6"/>
      <c r="S788" s="6"/>
      <c r="T788" s="6"/>
      <c r="U788" s="6"/>
      <c r="V788" s="6"/>
      <c r="W788" s="6"/>
      <c r="X788" s="6"/>
      <c r="Y788" s="6"/>
      <c r="Z788" s="6"/>
    </row>
    <row r="789">
      <c r="A789" s="155"/>
      <c r="B789" s="156"/>
      <c r="C789" s="156"/>
      <c r="D789" s="158"/>
      <c r="E789" s="6"/>
      <c r="F789" s="6"/>
      <c r="G789" s="6"/>
      <c r="H789" s="6"/>
      <c r="I789" s="6"/>
      <c r="J789" s="6"/>
      <c r="K789" s="6"/>
      <c r="L789" s="6"/>
      <c r="M789" s="6"/>
      <c r="N789" s="6"/>
      <c r="O789" s="6"/>
      <c r="P789" s="6"/>
      <c r="Q789" s="6"/>
      <c r="R789" s="6"/>
      <c r="S789" s="6"/>
      <c r="T789" s="6"/>
      <c r="U789" s="6"/>
      <c r="V789" s="6"/>
      <c r="W789" s="6"/>
      <c r="X789" s="6"/>
      <c r="Y789" s="6"/>
      <c r="Z789" s="6"/>
    </row>
    <row r="790">
      <c r="A790" s="155"/>
      <c r="B790" s="156"/>
      <c r="C790" s="156"/>
      <c r="D790" s="158"/>
      <c r="E790" s="6"/>
      <c r="F790" s="6"/>
      <c r="G790" s="6"/>
      <c r="H790" s="6"/>
      <c r="I790" s="6"/>
      <c r="J790" s="6"/>
      <c r="K790" s="6"/>
      <c r="L790" s="6"/>
      <c r="M790" s="6"/>
      <c r="N790" s="6"/>
      <c r="O790" s="6"/>
      <c r="P790" s="6"/>
      <c r="Q790" s="6"/>
      <c r="R790" s="6"/>
      <c r="S790" s="6"/>
      <c r="T790" s="6"/>
      <c r="U790" s="6"/>
      <c r="V790" s="6"/>
      <c r="W790" s="6"/>
      <c r="X790" s="6"/>
      <c r="Y790" s="6"/>
      <c r="Z790" s="6"/>
    </row>
    <row r="791">
      <c r="A791" s="155"/>
      <c r="B791" s="156"/>
      <c r="C791" s="156"/>
      <c r="D791" s="158"/>
      <c r="E791" s="6"/>
      <c r="F791" s="6"/>
      <c r="G791" s="6"/>
      <c r="H791" s="6"/>
      <c r="I791" s="6"/>
      <c r="J791" s="6"/>
      <c r="K791" s="6"/>
      <c r="L791" s="6"/>
      <c r="M791" s="6"/>
      <c r="N791" s="6"/>
      <c r="O791" s="6"/>
      <c r="P791" s="6"/>
      <c r="Q791" s="6"/>
      <c r="R791" s="6"/>
      <c r="S791" s="6"/>
      <c r="T791" s="6"/>
      <c r="U791" s="6"/>
      <c r="V791" s="6"/>
      <c r="W791" s="6"/>
      <c r="X791" s="6"/>
      <c r="Y791" s="6"/>
      <c r="Z791" s="6"/>
    </row>
    <row r="792">
      <c r="A792" s="155"/>
      <c r="B792" s="156"/>
      <c r="C792" s="156"/>
      <c r="D792" s="158"/>
      <c r="E792" s="6"/>
      <c r="F792" s="6"/>
      <c r="G792" s="6"/>
      <c r="H792" s="6"/>
      <c r="I792" s="6"/>
      <c r="J792" s="6"/>
      <c r="K792" s="6"/>
      <c r="L792" s="6"/>
      <c r="M792" s="6"/>
      <c r="N792" s="6"/>
      <c r="O792" s="6"/>
      <c r="P792" s="6"/>
      <c r="Q792" s="6"/>
      <c r="R792" s="6"/>
      <c r="S792" s="6"/>
      <c r="T792" s="6"/>
      <c r="U792" s="6"/>
      <c r="V792" s="6"/>
      <c r="W792" s="6"/>
      <c r="X792" s="6"/>
      <c r="Y792" s="6"/>
      <c r="Z792" s="6"/>
    </row>
    <row r="793">
      <c r="A793" s="155"/>
      <c r="B793" s="156"/>
      <c r="C793" s="156"/>
      <c r="D793" s="158"/>
      <c r="E793" s="6"/>
      <c r="F793" s="6"/>
      <c r="G793" s="6"/>
      <c r="H793" s="6"/>
      <c r="I793" s="6"/>
      <c r="J793" s="6"/>
      <c r="K793" s="6"/>
      <c r="L793" s="6"/>
      <c r="M793" s="6"/>
      <c r="N793" s="6"/>
      <c r="O793" s="6"/>
      <c r="P793" s="6"/>
      <c r="Q793" s="6"/>
      <c r="R793" s="6"/>
      <c r="S793" s="6"/>
      <c r="T793" s="6"/>
      <c r="U793" s="6"/>
      <c r="V793" s="6"/>
      <c r="W793" s="6"/>
      <c r="X793" s="6"/>
      <c r="Y793" s="6"/>
      <c r="Z793" s="6"/>
    </row>
    <row r="794">
      <c r="A794" s="155"/>
      <c r="B794" s="156"/>
      <c r="C794" s="156"/>
      <c r="D794" s="158"/>
      <c r="E794" s="6"/>
      <c r="F794" s="6"/>
      <c r="G794" s="6"/>
      <c r="H794" s="6"/>
      <c r="I794" s="6"/>
      <c r="J794" s="6"/>
      <c r="K794" s="6"/>
      <c r="L794" s="6"/>
      <c r="M794" s="6"/>
      <c r="N794" s="6"/>
      <c r="O794" s="6"/>
      <c r="P794" s="6"/>
      <c r="Q794" s="6"/>
      <c r="R794" s="6"/>
      <c r="S794" s="6"/>
      <c r="T794" s="6"/>
      <c r="U794" s="6"/>
      <c r="V794" s="6"/>
      <c r="W794" s="6"/>
      <c r="X794" s="6"/>
      <c r="Y794" s="6"/>
      <c r="Z794" s="6"/>
    </row>
    <row r="795">
      <c r="A795" s="155"/>
      <c r="B795" s="156"/>
      <c r="C795" s="156"/>
      <c r="D795" s="158"/>
      <c r="E795" s="6"/>
      <c r="F795" s="6"/>
      <c r="G795" s="6"/>
      <c r="H795" s="6"/>
      <c r="I795" s="6"/>
      <c r="J795" s="6"/>
      <c r="K795" s="6"/>
      <c r="L795" s="6"/>
      <c r="M795" s="6"/>
      <c r="N795" s="6"/>
      <c r="O795" s="6"/>
      <c r="P795" s="6"/>
      <c r="Q795" s="6"/>
      <c r="R795" s="6"/>
      <c r="S795" s="6"/>
      <c r="T795" s="6"/>
      <c r="U795" s="6"/>
      <c r="V795" s="6"/>
      <c r="W795" s="6"/>
      <c r="X795" s="6"/>
      <c r="Y795" s="6"/>
      <c r="Z795" s="6"/>
    </row>
    <row r="796">
      <c r="A796" s="155"/>
      <c r="B796" s="156"/>
      <c r="C796" s="156"/>
      <c r="D796" s="158"/>
      <c r="E796" s="6"/>
      <c r="F796" s="6"/>
      <c r="G796" s="6"/>
      <c r="H796" s="6"/>
      <c r="I796" s="6"/>
      <c r="J796" s="6"/>
      <c r="K796" s="6"/>
      <c r="L796" s="6"/>
      <c r="M796" s="6"/>
      <c r="N796" s="6"/>
      <c r="O796" s="6"/>
      <c r="P796" s="6"/>
      <c r="Q796" s="6"/>
      <c r="R796" s="6"/>
      <c r="S796" s="6"/>
      <c r="T796" s="6"/>
      <c r="U796" s="6"/>
      <c r="V796" s="6"/>
      <c r="W796" s="6"/>
      <c r="X796" s="6"/>
      <c r="Y796" s="6"/>
      <c r="Z796" s="6"/>
    </row>
    <row r="797">
      <c r="A797" s="155"/>
      <c r="B797" s="156"/>
      <c r="C797" s="156"/>
      <c r="D797" s="158"/>
      <c r="E797" s="6"/>
      <c r="F797" s="6"/>
      <c r="G797" s="6"/>
      <c r="H797" s="6"/>
      <c r="I797" s="6"/>
      <c r="J797" s="6"/>
      <c r="K797" s="6"/>
      <c r="L797" s="6"/>
      <c r="M797" s="6"/>
      <c r="N797" s="6"/>
      <c r="O797" s="6"/>
      <c r="P797" s="6"/>
      <c r="Q797" s="6"/>
      <c r="R797" s="6"/>
      <c r="S797" s="6"/>
      <c r="T797" s="6"/>
      <c r="U797" s="6"/>
      <c r="V797" s="6"/>
      <c r="W797" s="6"/>
      <c r="X797" s="6"/>
      <c r="Y797" s="6"/>
      <c r="Z797" s="6"/>
    </row>
    <row r="798">
      <c r="A798" s="155"/>
      <c r="B798" s="156"/>
      <c r="C798" s="156"/>
      <c r="D798" s="158"/>
      <c r="E798" s="6"/>
      <c r="F798" s="6"/>
      <c r="G798" s="6"/>
      <c r="H798" s="6"/>
      <c r="I798" s="6"/>
      <c r="J798" s="6"/>
      <c r="K798" s="6"/>
      <c r="L798" s="6"/>
      <c r="M798" s="6"/>
      <c r="N798" s="6"/>
      <c r="O798" s="6"/>
      <c r="P798" s="6"/>
      <c r="Q798" s="6"/>
      <c r="R798" s="6"/>
      <c r="S798" s="6"/>
      <c r="T798" s="6"/>
      <c r="U798" s="6"/>
      <c r="V798" s="6"/>
      <c r="W798" s="6"/>
      <c r="X798" s="6"/>
      <c r="Y798" s="6"/>
      <c r="Z798" s="6"/>
    </row>
    <row r="799">
      <c r="A799" s="155"/>
      <c r="B799" s="156"/>
      <c r="C799" s="156"/>
      <c r="D799" s="158"/>
      <c r="E799" s="6"/>
      <c r="F799" s="6"/>
      <c r="G799" s="6"/>
      <c r="H799" s="6"/>
      <c r="I799" s="6"/>
      <c r="J799" s="6"/>
      <c r="K799" s="6"/>
      <c r="L799" s="6"/>
      <c r="M799" s="6"/>
      <c r="N799" s="6"/>
      <c r="O799" s="6"/>
      <c r="P799" s="6"/>
      <c r="Q799" s="6"/>
      <c r="R799" s="6"/>
      <c r="S799" s="6"/>
      <c r="T799" s="6"/>
      <c r="U799" s="6"/>
      <c r="V799" s="6"/>
      <c r="W799" s="6"/>
      <c r="X799" s="6"/>
      <c r="Y799" s="6"/>
      <c r="Z799" s="6"/>
    </row>
    <row r="800">
      <c r="A800" s="155"/>
      <c r="B800" s="156"/>
      <c r="C800" s="156"/>
      <c r="D800" s="158"/>
      <c r="E800" s="6"/>
      <c r="F800" s="6"/>
      <c r="G800" s="6"/>
      <c r="H800" s="6"/>
      <c r="I800" s="6"/>
      <c r="J800" s="6"/>
      <c r="K800" s="6"/>
      <c r="L800" s="6"/>
      <c r="M800" s="6"/>
      <c r="N800" s="6"/>
      <c r="O800" s="6"/>
      <c r="P800" s="6"/>
      <c r="Q800" s="6"/>
      <c r="R800" s="6"/>
      <c r="S800" s="6"/>
      <c r="T800" s="6"/>
      <c r="U800" s="6"/>
      <c r="V800" s="6"/>
      <c r="W800" s="6"/>
      <c r="X800" s="6"/>
      <c r="Y800" s="6"/>
      <c r="Z800" s="6"/>
    </row>
    <row r="801">
      <c r="A801" s="155"/>
      <c r="B801" s="156"/>
      <c r="C801" s="156"/>
      <c r="D801" s="158"/>
      <c r="E801" s="6"/>
      <c r="F801" s="6"/>
      <c r="G801" s="6"/>
      <c r="H801" s="6"/>
      <c r="I801" s="6"/>
      <c r="J801" s="6"/>
      <c r="K801" s="6"/>
      <c r="L801" s="6"/>
      <c r="M801" s="6"/>
      <c r="N801" s="6"/>
      <c r="O801" s="6"/>
      <c r="P801" s="6"/>
      <c r="Q801" s="6"/>
      <c r="R801" s="6"/>
      <c r="S801" s="6"/>
      <c r="T801" s="6"/>
      <c r="U801" s="6"/>
      <c r="V801" s="6"/>
      <c r="W801" s="6"/>
      <c r="X801" s="6"/>
      <c r="Y801" s="6"/>
      <c r="Z801" s="6"/>
    </row>
    <row r="802">
      <c r="A802" s="155"/>
      <c r="B802" s="156"/>
      <c r="C802" s="156"/>
      <c r="D802" s="158"/>
      <c r="E802" s="6"/>
      <c r="F802" s="6"/>
      <c r="G802" s="6"/>
      <c r="H802" s="6"/>
      <c r="I802" s="6"/>
      <c r="J802" s="6"/>
      <c r="K802" s="6"/>
      <c r="L802" s="6"/>
      <c r="M802" s="6"/>
      <c r="N802" s="6"/>
      <c r="O802" s="6"/>
      <c r="P802" s="6"/>
      <c r="Q802" s="6"/>
      <c r="R802" s="6"/>
      <c r="S802" s="6"/>
      <c r="T802" s="6"/>
      <c r="U802" s="6"/>
      <c r="V802" s="6"/>
      <c r="W802" s="6"/>
      <c r="X802" s="6"/>
      <c r="Y802" s="6"/>
      <c r="Z802" s="6"/>
    </row>
    <row r="803">
      <c r="A803" s="155"/>
      <c r="B803" s="156"/>
      <c r="C803" s="156"/>
      <c r="D803" s="158"/>
      <c r="E803" s="6"/>
      <c r="F803" s="6"/>
      <c r="G803" s="6"/>
      <c r="H803" s="6"/>
      <c r="I803" s="6"/>
      <c r="J803" s="6"/>
      <c r="K803" s="6"/>
      <c r="L803" s="6"/>
      <c r="M803" s="6"/>
      <c r="N803" s="6"/>
      <c r="O803" s="6"/>
      <c r="P803" s="6"/>
      <c r="Q803" s="6"/>
      <c r="R803" s="6"/>
      <c r="S803" s="6"/>
      <c r="T803" s="6"/>
      <c r="U803" s="6"/>
      <c r="V803" s="6"/>
      <c r="W803" s="6"/>
      <c r="X803" s="6"/>
      <c r="Y803" s="6"/>
      <c r="Z803" s="6"/>
    </row>
    <row r="804">
      <c r="A804" s="155"/>
      <c r="B804" s="156"/>
      <c r="C804" s="156"/>
      <c r="D804" s="158"/>
      <c r="E804" s="6"/>
      <c r="F804" s="6"/>
      <c r="G804" s="6"/>
      <c r="H804" s="6"/>
      <c r="I804" s="6"/>
      <c r="J804" s="6"/>
      <c r="K804" s="6"/>
      <c r="L804" s="6"/>
      <c r="M804" s="6"/>
      <c r="N804" s="6"/>
      <c r="O804" s="6"/>
      <c r="P804" s="6"/>
      <c r="Q804" s="6"/>
      <c r="R804" s="6"/>
      <c r="S804" s="6"/>
      <c r="T804" s="6"/>
      <c r="U804" s="6"/>
      <c r="V804" s="6"/>
      <c r="W804" s="6"/>
      <c r="X804" s="6"/>
      <c r="Y804" s="6"/>
      <c r="Z804" s="6"/>
    </row>
    <row r="805">
      <c r="A805" s="155"/>
      <c r="B805" s="156"/>
      <c r="C805" s="156"/>
      <c r="D805" s="158"/>
      <c r="E805" s="6"/>
      <c r="F805" s="6"/>
      <c r="G805" s="6"/>
      <c r="H805" s="6"/>
      <c r="I805" s="6"/>
      <c r="J805" s="6"/>
      <c r="K805" s="6"/>
      <c r="L805" s="6"/>
      <c r="M805" s="6"/>
      <c r="N805" s="6"/>
      <c r="O805" s="6"/>
      <c r="P805" s="6"/>
      <c r="Q805" s="6"/>
      <c r="R805" s="6"/>
      <c r="S805" s="6"/>
      <c r="T805" s="6"/>
      <c r="U805" s="6"/>
      <c r="V805" s="6"/>
      <c r="W805" s="6"/>
      <c r="X805" s="6"/>
      <c r="Y805" s="6"/>
      <c r="Z805" s="6"/>
    </row>
    <row r="806">
      <c r="A806" s="155"/>
      <c r="B806" s="156"/>
      <c r="C806" s="156"/>
      <c r="D806" s="158"/>
      <c r="E806" s="6"/>
      <c r="F806" s="6"/>
      <c r="G806" s="6"/>
      <c r="H806" s="6"/>
      <c r="I806" s="6"/>
      <c r="J806" s="6"/>
      <c r="K806" s="6"/>
      <c r="L806" s="6"/>
      <c r="M806" s="6"/>
      <c r="N806" s="6"/>
      <c r="O806" s="6"/>
      <c r="P806" s="6"/>
      <c r="Q806" s="6"/>
      <c r="R806" s="6"/>
      <c r="S806" s="6"/>
      <c r="T806" s="6"/>
      <c r="U806" s="6"/>
      <c r="V806" s="6"/>
      <c r="W806" s="6"/>
      <c r="X806" s="6"/>
      <c r="Y806" s="6"/>
      <c r="Z806" s="6"/>
    </row>
    <row r="807">
      <c r="A807" s="155"/>
      <c r="B807" s="156"/>
      <c r="C807" s="156"/>
      <c r="D807" s="158"/>
      <c r="E807" s="6"/>
      <c r="F807" s="6"/>
      <c r="G807" s="6"/>
      <c r="H807" s="6"/>
      <c r="I807" s="6"/>
      <c r="J807" s="6"/>
      <c r="K807" s="6"/>
      <c r="L807" s="6"/>
      <c r="M807" s="6"/>
      <c r="N807" s="6"/>
      <c r="O807" s="6"/>
      <c r="P807" s="6"/>
      <c r="Q807" s="6"/>
      <c r="R807" s="6"/>
      <c r="S807" s="6"/>
      <c r="T807" s="6"/>
      <c r="U807" s="6"/>
      <c r="V807" s="6"/>
      <c r="W807" s="6"/>
      <c r="X807" s="6"/>
      <c r="Y807" s="6"/>
      <c r="Z807" s="6"/>
    </row>
    <row r="808">
      <c r="A808" s="155"/>
      <c r="B808" s="156"/>
      <c r="C808" s="156"/>
      <c r="D808" s="158"/>
      <c r="E808" s="6"/>
      <c r="F808" s="6"/>
      <c r="G808" s="6"/>
      <c r="H808" s="6"/>
      <c r="I808" s="6"/>
      <c r="J808" s="6"/>
      <c r="K808" s="6"/>
      <c r="L808" s="6"/>
      <c r="M808" s="6"/>
      <c r="N808" s="6"/>
      <c r="O808" s="6"/>
      <c r="P808" s="6"/>
      <c r="Q808" s="6"/>
      <c r="R808" s="6"/>
      <c r="S808" s="6"/>
      <c r="T808" s="6"/>
      <c r="U808" s="6"/>
      <c r="V808" s="6"/>
      <c r="W808" s="6"/>
      <c r="X808" s="6"/>
      <c r="Y808" s="6"/>
      <c r="Z808" s="6"/>
    </row>
    <row r="809">
      <c r="A809" s="155"/>
      <c r="B809" s="156"/>
      <c r="C809" s="156"/>
      <c r="D809" s="158"/>
      <c r="E809" s="6"/>
      <c r="F809" s="6"/>
      <c r="G809" s="6"/>
      <c r="H809" s="6"/>
      <c r="I809" s="6"/>
      <c r="J809" s="6"/>
      <c r="K809" s="6"/>
      <c r="L809" s="6"/>
      <c r="M809" s="6"/>
      <c r="N809" s="6"/>
      <c r="O809" s="6"/>
      <c r="P809" s="6"/>
      <c r="Q809" s="6"/>
      <c r="R809" s="6"/>
      <c r="S809" s="6"/>
      <c r="T809" s="6"/>
      <c r="U809" s="6"/>
      <c r="V809" s="6"/>
      <c r="W809" s="6"/>
      <c r="X809" s="6"/>
      <c r="Y809" s="6"/>
      <c r="Z809" s="6"/>
    </row>
    <row r="810">
      <c r="A810" s="155"/>
      <c r="B810" s="156"/>
      <c r="C810" s="156"/>
      <c r="D810" s="158"/>
      <c r="E810" s="6"/>
      <c r="F810" s="6"/>
      <c r="G810" s="6"/>
      <c r="H810" s="6"/>
      <c r="I810" s="6"/>
      <c r="J810" s="6"/>
      <c r="K810" s="6"/>
      <c r="L810" s="6"/>
      <c r="M810" s="6"/>
      <c r="N810" s="6"/>
      <c r="O810" s="6"/>
      <c r="P810" s="6"/>
      <c r="Q810" s="6"/>
      <c r="R810" s="6"/>
      <c r="S810" s="6"/>
      <c r="T810" s="6"/>
      <c r="U810" s="6"/>
      <c r="V810" s="6"/>
      <c r="W810" s="6"/>
      <c r="X810" s="6"/>
      <c r="Y810" s="6"/>
      <c r="Z810" s="6"/>
    </row>
    <row r="811">
      <c r="A811" s="155"/>
      <c r="B811" s="156"/>
      <c r="C811" s="156"/>
      <c r="D811" s="158"/>
      <c r="E811" s="6"/>
      <c r="F811" s="6"/>
      <c r="G811" s="6"/>
      <c r="H811" s="6"/>
      <c r="I811" s="6"/>
      <c r="J811" s="6"/>
      <c r="K811" s="6"/>
      <c r="L811" s="6"/>
      <c r="M811" s="6"/>
      <c r="N811" s="6"/>
      <c r="O811" s="6"/>
      <c r="P811" s="6"/>
      <c r="Q811" s="6"/>
      <c r="R811" s="6"/>
      <c r="S811" s="6"/>
      <c r="T811" s="6"/>
      <c r="U811" s="6"/>
      <c r="V811" s="6"/>
      <c r="W811" s="6"/>
      <c r="X811" s="6"/>
      <c r="Y811" s="6"/>
      <c r="Z811" s="6"/>
    </row>
    <row r="812">
      <c r="A812" s="155"/>
      <c r="B812" s="156"/>
      <c r="C812" s="156"/>
      <c r="D812" s="158"/>
      <c r="E812" s="6"/>
      <c r="F812" s="6"/>
      <c r="G812" s="6"/>
      <c r="H812" s="6"/>
      <c r="I812" s="6"/>
      <c r="J812" s="6"/>
      <c r="K812" s="6"/>
      <c r="L812" s="6"/>
      <c r="M812" s="6"/>
      <c r="N812" s="6"/>
      <c r="O812" s="6"/>
      <c r="P812" s="6"/>
      <c r="Q812" s="6"/>
      <c r="R812" s="6"/>
      <c r="S812" s="6"/>
      <c r="T812" s="6"/>
      <c r="U812" s="6"/>
      <c r="V812" s="6"/>
      <c r="W812" s="6"/>
      <c r="X812" s="6"/>
      <c r="Y812" s="6"/>
      <c r="Z812" s="6"/>
    </row>
    <row r="813">
      <c r="A813" s="155"/>
      <c r="B813" s="156"/>
      <c r="C813" s="156"/>
      <c r="D813" s="158"/>
      <c r="E813" s="6"/>
      <c r="F813" s="6"/>
      <c r="G813" s="6"/>
      <c r="H813" s="6"/>
      <c r="I813" s="6"/>
      <c r="J813" s="6"/>
      <c r="K813" s="6"/>
      <c r="L813" s="6"/>
      <c r="M813" s="6"/>
      <c r="N813" s="6"/>
      <c r="O813" s="6"/>
      <c r="P813" s="6"/>
      <c r="Q813" s="6"/>
      <c r="R813" s="6"/>
      <c r="S813" s="6"/>
      <c r="T813" s="6"/>
      <c r="U813" s="6"/>
      <c r="V813" s="6"/>
      <c r="W813" s="6"/>
      <c r="X813" s="6"/>
      <c r="Y813" s="6"/>
      <c r="Z813" s="6"/>
    </row>
    <row r="814">
      <c r="A814" s="155"/>
      <c r="B814" s="156"/>
      <c r="C814" s="156"/>
      <c r="D814" s="158"/>
      <c r="E814" s="6"/>
      <c r="F814" s="6"/>
      <c r="G814" s="6"/>
      <c r="H814" s="6"/>
      <c r="I814" s="6"/>
      <c r="J814" s="6"/>
      <c r="K814" s="6"/>
      <c r="L814" s="6"/>
      <c r="M814" s="6"/>
      <c r="N814" s="6"/>
      <c r="O814" s="6"/>
      <c r="P814" s="6"/>
      <c r="Q814" s="6"/>
      <c r="R814" s="6"/>
      <c r="S814" s="6"/>
      <c r="T814" s="6"/>
      <c r="U814" s="6"/>
      <c r="V814" s="6"/>
      <c r="W814" s="6"/>
      <c r="X814" s="6"/>
      <c r="Y814" s="6"/>
      <c r="Z814" s="6"/>
    </row>
    <row r="815">
      <c r="A815" s="155"/>
      <c r="B815" s="156"/>
      <c r="C815" s="156"/>
      <c r="D815" s="158"/>
      <c r="E815" s="6"/>
      <c r="F815" s="6"/>
      <c r="G815" s="6"/>
      <c r="H815" s="6"/>
      <c r="I815" s="6"/>
      <c r="J815" s="6"/>
      <c r="K815" s="6"/>
      <c r="L815" s="6"/>
      <c r="M815" s="6"/>
      <c r="N815" s="6"/>
      <c r="O815" s="6"/>
      <c r="P815" s="6"/>
      <c r="Q815" s="6"/>
      <c r="R815" s="6"/>
      <c r="S815" s="6"/>
      <c r="T815" s="6"/>
      <c r="U815" s="6"/>
      <c r="V815" s="6"/>
      <c r="W815" s="6"/>
      <c r="X815" s="6"/>
      <c r="Y815" s="6"/>
      <c r="Z815" s="6"/>
    </row>
    <row r="816">
      <c r="A816" s="155"/>
      <c r="B816" s="156"/>
      <c r="C816" s="156"/>
      <c r="D816" s="158"/>
      <c r="E816" s="6"/>
      <c r="F816" s="6"/>
      <c r="G816" s="6"/>
      <c r="H816" s="6"/>
      <c r="I816" s="6"/>
      <c r="J816" s="6"/>
      <c r="K816" s="6"/>
      <c r="L816" s="6"/>
      <c r="M816" s="6"/>
      <c r="N816" s="6"/>
      <c r="O816" s="6"/>
      <c r="P816" s="6"/>
      <c r="Q816" s="6"/>
      <c r="R816" s="6"/>
      <c r="S816" s="6"/>
      <c r="T816" s="6"/>
      <c r="U816" s="6"/>
      <c r="V816" s="6"/>
      <c r="W816" s="6"/>
      <c r="X816" s="6"/>
      <c r="Y816" s="6"/>
      <c r="Z816" s="6"/>
    </row>
    <row r="817">
      <c r="A817" s="155"/>
      <c r="B817" s="156"/>
      <c r="C817" s="156"/>
      <c r="D817" s="158"/>
      <c r="E817" s="6"/>
      <c r="F817" s="6"/>
      <c r="G817" s="6"/>
      <c r="H817" s="6"/>
      <c r="I817" s="6"/>
      <c r="J817" s="6"/>
      <c r="K817" s="6"/>
      <c r="L817" s="6"/>
      <c r="M817" s="6"/>
      <c r="N817" s="6"/>
      <c r="O817" s="6"/>
      <c r="P817" s="6"/>
      <c r="Q817" s="6"/>
      <c r="R817" s="6"/>
      <c r="S817" s="6"/>
      <c r="T817" s="6"/>
      <c r="U817" s="6"/>
      <c r="V817" s="6"/>
      <c r="W817" s="6"/>
      <c r="X817" s="6"/>
      <c r="Y817" s="6"/>
      <c r="Z817" s="6"/>
    </row>
    <row r="818">
      <c r="A818" s="155"/>
      <c r="B818" s="156"/>
      <c r="C818" s="156"/>
      <c r="D818" s="158"/>
      <c r="E818" s="6"/>
      <c r="F818" s="6"/>
      <c r="G818" s="6"/>
      <c r="H818" s="6"/>
      <c r="I818" s="6"/>
      <c r="J818" s="6"/>
      <c r="K818" s="6"/>
      <c r="L818" s="6"/>
      <c r="M818" s="6"/>
      <c r="N818" s="6"/>
      <c r="O818" s="6"/>
      <c r="P818" s="6"/>
      <c r="Q818" s="6"/>
      <c r="R818" s="6"/>
      <c r="S818" s="6"/>
      <c r="T818" s="6"/>
      <c r="U818" s="6"/>
      <c r="V818" s="6"/>
      <c r="W818" s="6"/>
      <c r="X818" s="6"/>
      <c r="Y818" s="6"/>
      <c r="Z818" s="6"/>
    </row>
    <row r="819">
      <c r="A819" s="155"/>
      <c r="B819" s="156"/>
      <c r="C819" s="156"/>
      <c r="D819" s="158"/>
      <c r="E819" s="6"/>
      <c r="F819" s="6"/>
      <c r="G819" s="6"/>
      <c r="H819" s="6"/>
      <c r="I819" s="6"/>
      <c r="J819" s="6"/>
      <c r="K819" s="6"/>
      <c r="L819" s="6"/>
      <c r="M819" s="6"/>
      <c r="N819" s="6"/>
      <c r="O819" s="6"/>
      <c r="P819" s="6"/>
      <c r="Q819" s="6"/>
      <c r="R819" s="6"/>
      <c r="S819" s="6"/>
      <c r="T819" s="6"/>
      <c r="U819" s="6"/>
      <c r="V819" s="6"/>
      <c r="W819" s="6"/>
      <c r="X819" s="6"/>
      <c r="Y819" s="6"/>
      <c r="Z819" s="6"/>
    </row>
    <row r="820">
      <c r="A820" s="155"/>
      <c r="B820" s="156"/>
      <c r="C820" s="156"/>
      <c r="D820" s="158"/>
      <c r="E820" s="6"/>
      <c r="F820" s="6"/>
      <c r="G820" s="6"/>
      <c r="H820" s="6"/>
      <c r="I820" s="6"/>
      <c r="J820" s="6"/>
      <c r="K820" s="6"/>
      <c r="L820" s="6"/>
      <c r="M820" s="6"/>
      <c r="N820" s="6"/>
      <c r="O820" s="6"/>
      <c r="P820" s="6"/>
      <c r="Q820" s="6"/>
      <c r="R820" s="6"/>
      <c r="S820" s="6"/>
      <c r="T820" s="6"/>
      <c r="U820" s="6"/>
      <c r="V820" s="6"/>
      <c r="W820" s="6"/>
      <c r="X820" s="6"/>
      <c r="Y820" s="6"/>
      <c r="Z820" s="6"/>
    </row>
    <row r="821">
      <c r="A821" s="155"/>
      <c r="B821" s="156"/>
      <c r="C821" s="156"/>
      <c r="D821" s="158"/>
      <c r="E821" s="6"/>
      <c r="F821" s="6"/>
      <c r="G821" s="6"/>
      <c r="H821" s="6"/>
      <c r="I821" s="6"/>
      <c r="J821" s="6"/>
      <c r="K821" s="6"/>
      <c r="L821" s="6"/>
      <c r="M821" s="6"/>
      <c r="N821" s="6"/>
      <c r="O821" s="6"/>
      <c r="P821" s="6"/>
      <c r="Q821" s="6"/>
      <c r="R821" s="6"/>
      <c r="S821" s="6"/>
      <c r="T821" s="6"/>
      <c r="U821" s="6"/>
      <c r="V821" s="6"/>
      <c r="W821" s="6"/>
      <c r="X821" s="6"/>
      <c r="Y821" s="6"/>
      <c r="Z821" s="6"/>
    </row>
    <row r="822">
      <c r="A822" s="155"/>
      <c r="B822" s="156"/>
      <c r="C822" s="156"/>
      <c r="D822" s="158"/>
      <c r="E822" s="6"/>
      <c r="F822" s="6"/>
      <c r="G822" s="6"/>
      <c r="H822" s="6"/>
      <c r="I822" s="6"/>
      <c r="J822" s="6"/>
      <c r="K822" s="6"/>
      <c r="L822" s="6"/>
      <c r="M822" s="6"/>
      <c r="N822" s="6"/>
      <c r="O822" s="6"/>
      <c r="P822" s="6"/>
      <c r="Q822" s="6"/>
      <c r="R822" s="6"/>
      <c r="S822" s="6"/>
      <c r="T822" s="6"/>
      <c r="U822" s="6"/>
      <c r="V822" s="6"/>
      <c r="W822" s="6"/>
      <c r="X822" s="6"/>
      <c r="Y822" s="6"/>
      <c r="Z822" s="6"/>
    </row>
    <row r="823">
      <c r="A823" s="155"/>
      <c r="B823" s="156"/>
      <c r="C823" s="156"/>
      <c r="D823" s="158"/>
      <c r="E823" s="6"/>
      <c r="F823" s="6"/>
      <c r="G823" s="6"/>
      <c r="H823" s="6"/>
      <c r="I823" s="6"/>
      <c r="J823" s="6"/>
      <c r="K823" s="6"/>
      <c r="L823" s="6"/>
      <c r="M823" s="6"/>
      <c r="N823" s="6"/>
      <c r="O823" s="6"/>
      <c r="P823" s="6"/>
      <c r="Q823" s="6"/>
      <c r="R823" s="6"/>
      <c r="S823" s="6"/>
      <c r="T823" s="6"/>
      <c r="U823" s="6"/>
      <c r="V823" s="6"/>
      <c r="W823" s="6"/>
      <c r="X823" s="6"/>
      <c r="Y823" s="6"/>
      <c r="Z823" s="6"/>
    </row>
    <row r="824">
      <c r="A824" s="155"/>
      <c r="B824" s="156"/>
      <c r="C824" s="156"/>
      <c r="D824" s="158"/>
      <c r="E824" s="6"/>
      <c r="F824" s="6"/>
      <c r="G824" s="6"/>
      <c r="H824" s="6"/>
      <c r="I824" s="6"/>
      <c r="J824" s="6"/>
      <c r="K824" s="6"/>
      <c r="L824" s="6"/>
      <c r="M824" s="6"/>
      <c r="N824" s="6"/>
      <c r="O824" s="6"/>
      <c r="P824" s="6"/>
      <c r="Q824" s="6"/>
      <c r="R824" s="6"/>
      <c r="S824" s="6"/>
      <c r="T824" s="6"/>
      <c r="U824" s="6"/>
      <c r="V824" s="6"/>
      <c r="W824" s="6"/>
      <c r="X824" s="6"/>
      <c r="Y824" s="6"/>
      <c r="Z824" s="6"/>
    </row>
    <row r="825">
      <c r="A825" s="155"/>
      <c r="B825" s="156"/>
      <c r="C825" s="156"/>
      <c r="D825" s="158"/>
      <c r="E825" s="6"/>
      <c r="F825" s="6"/>
      <c r="G825" s="6"/>
      <c r="H825" s="6"/>
      <c r="I825" s="6"/>
      <c r="J825" s="6"/>
      <c r="K825" s="6"/>
      <c r="L825" s="6"/>
      <c r="M825" s="6"/>
      <c r="N825" s="6"/>
      <c r="O825" s="6"/>
      <c r="P825" s="6"/>
      <c r="Q825" s="6"/>
      <c r="R825" s="6"/>
      <c r="S825" s="6"/>
      <c r="T825" s="6"/>
      <c r="U825" s="6"/>
      <c r="V825" s="6"/>
      <c r="W825" s="6"/>
      <c r="X825" s="6"/>
      <c r="Y825" s="6"/>
      <c r="Z825" s="6"/>
    </row>
    <row r="826">
      <c r="A826" s="155"/>
      <c r="B826" s="156"/>
      <c r="C826" s="156"/>
      <c r="D826" s="158"/>
      <c r="E826" s="6"/>
      <c r="F826" s="6"/>
      <c r="G826" s="6"/>
      <c r="H826" s="6"/>
      <c r="I826" s="6"/>
      <c r="J826" s="6"/>
      <c r="K826" s="6"/>
      <c r="L826" s="6"/>
      <c r="M826" s="6"/>
      <c r="N826" s="6"/>
      <c r="O826" s="6"/>
      <c r="P826" s="6"/>
      <c r="Q826" s="6"/>
      <c r="R826" s="6"/>
      <c r="S826" s="6"/>
      <c r="T826" s="6"/>
      <c r="U826" s="6"/>
      <c r="V826" s="6"/>
      <c r="W826" s="6"/>
      <c r="X826" s="6"/>
      <c r="Y826" s="6"/>
      <c r="Z826" s="6"/>
    </row>
    <row r="827">
      <c r="A827" s="155"/>
      <c r="B827" s="156"/>
      <c r="C827" s="156"/>
      <c r="D827" s="158"/>
      <c r="E827" s="6"/>
      <c r="F827" s="6"/>
      <c r="G827" s="6"/>
      <c r="H827" s="6"/>
      <c r="I827" s="6"/>
      <c r="J827" s="6"/>
      <c r="K827" s="6"/>
      <c r="L827" s="6"/>
      <c r="M827" s="6"/>
      <c r="N827" s="6"/>
      <c r="O827" s="6"/>
      <c r="P827" s="6"/>
      <c r="Q827" s="6"/>
      <c r="R827" s="6"/>
      <c r="S827" s="6"/>
      <c r="T827" s="6"/>
      <c r="U827" s="6"/>
      <c r="V827" s="6"/>
      <c r="W827" s="6"/>
      <c r="X827" s="6"/>
      <c r="Y827" s="6"/>
      <c r="Z827" s="6"/>
    </row>
    <row r="828">
      <c r="A828" s="155"/>
      <c r="B828" s="156"/>
      <c r="C828" s="156"/>
      <c r="D828" s="158"/>
      <c r="E828" s="6"/>
      <c r="F828" s="6"/>
      <c r="G828" s="6"/>
      <c r="H828" s="6"/>
      <c r="I828" s="6"/>
      <c r="J828" s="6"/>
      <c r="K828" s="6"/>
      <c r="L828" s="6"/>
      <c r="M828" s="6"/>
      <c r="N828" s="6"/>
      <c r="O828" s="6"/>
      <c r="P828" s="6"/>
      <c r="Q828" s="6"/>
      <c r="R828" s="6"/>
      <c r="S828" s="6"/>
      <c r="T828" s="6"/>
      <c r="U828" s="6"/>
      <c r="V828" s="6"/>
      <c r="W828" s="6"/>
      <c r="X828" s="6"/>
      <c r="Y828" s="6"/>
      <c r="Z828" s="6"/>
    </row>
    <row r="829">
      <c r="A829" s="155"/>
      <c r="B829" s="156"/>
      <c r="C829" s="156"/>
      <c r="D829" s="158"/>
      <c r="E829" s="6"/>
      <c r="F829" s="6"/>
      <c r="G829" s="6"/>
      <c r="H829" s="6"/>
      <c r="I829" s="6"/>
      <c r="J829" s="6"/>
      <c r="K829" s="6"/>
      <c r="L829" s="6"/>
      <c r="M829" s="6"/>
      <c r="N829" s="6"/>
      <c r="O829" s="6"/>
      <c r="P829" s="6"/>
      <c r="Q829" s="6"/>
      <c r="R829" s="6"/>
      <c r="S829" s="6"/>
      <c r="T829" s="6"/>
      <c r="U829" s="6"/>
      <c r="V829" s="6"/>
      <c r="W829" s="6"/>
      <c r="X829" s="6"/>
      <c r="Y829" s="6"/>
      <c r="Z829" s="6"/>
    </row>
    <row r="830">
      <c r="A830" s="155"/>
      <c r="B830" s="156"/>
      <c r="C830" s="156"/>
      <c r="D830" s="158"/>
      <c r="E830" s="6"/>
      <c r="F830" s="6"/>
      <c r="G830" s="6"/>
      <c r="H830" s="6"/>
      <c r="I830" s="6"/>
      <c r="J830" s="6"/>
      <c r="K830" s="6"/>
      <c r="L830" s="6"/>
      <c r="M830" s="6"/>
      <c r="N830" s="6"/>
      <c r="O830" s="6"/>
      <c r="P830" s="6"/>
      <c r="Q830" s="6"/>
      <c r="R830" s="6"/>
      <c r="S830" s="6"/>
      <c r="T830" s="6"/>
      <c r="U830" s="6"/>
      <c r="V830" s="6"/>
      <c r="W830" s="6"/>
      <c r="X830" s="6"/>
      <c r="Y830" s="6"/>
      <c r="Z830" s="6"/>
    </row>
    <row r="831">
      <c r="A831" s="155"/>
      <c r="B831" s="156"/>
      <c r="C831" s="156"/>
      <c r="D831" s="158"/>
      <c r="E831" s="6"/>
      <c r="F831" s="6"/>
      <c r="G831" s="6"/>
      <c r="H831" s="6"/>
      <c r="I831" s="6"/>
      <c r="J831" s="6"/>
      <c r="K831" s="6"/>
      <c r="L831" s="6"/>
      <c r="M831" s="6"/>
      <c r="N831" s="6"/>
      <c r="O831" s="6"/>
      <c r="P831" s="6"/>
      <c r="Q831" s="6"/>
      <c r="R831" s="6"/>
      <c r="S831" s="6"/>
      <c r="T831" s="6"/>
      <c r="U831" s="6"/>
      <c r="V831" s="6"/>
      <c r="W831" s="6"/>
      <c r="X831" s="6"/>
      <c r="Y831" s="6"/>
      <c r="Z831" s="6"/>
    </row>
    <row r="832">
      <c r="A832" s="155"/>
      <c r="B832" s="156"/>
      <c r="C832" s="156"/>
      <c r="D832" s="158"/>
      <c r="E832" s="6"/>
      <c r="F832" s="6"/>
      <c r="G832" s="6"/>
      <c r="H832" s="6"/>
      <c r="I832" s="6"/>
      <c r="J832" s="6"/>
      <c r="K832" s="6"/>
      <c r="L832" s="6"/>
      <c r="M832" s="6"/>
      <c r="N832" s="6"/>
      <c r="O832" s="6"/>
      <c r="P832" s="6"/>
      <c r="Q832" s="6"/>
      <c r="R832" s="6"/>
      <c r="S832" s="6"/>
      <c r="T832" s="6"/>
      <c r="U832" s="6"/>
      <c r="V832" s="6"/>
      <c r="W832" s="6"/>
      <c r="X832" s="6"/>
      <c r="Y832" s="6"/>
      <c r="Z832" s="6"/>
    </row>
    <row r="833">
      <c r="A833" s="155"/>
      <c r="B833" s="156"/>
      <c r="C833" s="156"/>
      <c r="D833" s="158"/>
      <c r="E833" s="6"/>
      <c r="F833" s="6"/>
      <c r="G833" s="6"/>
      <c r="H833" s="6"/>
      <c r="I833" s="6"/>
      <c r="J833" s="6"/>
      <c r="K833" s="6"/>
      <c r="L833" s="6"/>
      <c r="M833" s="6"/>
      <c r="N833" s="6"/>
      <c r="O833" s="6"/>
      <c r="P833" s="6"/>
      <c r="Q833" s="6"/>
      <c r="R833" s="6"/>
      <c r="S833" s="6"/>
      <c r="T833" s="6"/>
      <c r="U833" s="6"/>
      <c r="V833" s="6"/>
      <c r="W833" s="6"/>
      <c r="X833" s="6"/>
      <c r="Y833" s="6"/>
      <c r="Z833" s="6"/>
    </row>
    <row r="834">
      <c r="A834" s="155"/>
      <c r="B834" s="156"/>
      <c r="C834" s="156"/>
      <c r="D834" s="158"/>
      <c r="E834" s="6"/>
      <c r="F834" s="6"/>
      <c r="G834" s="6"/>
      <c r="H834" s="6"/>
      <c r="I834" s="6"/>
      <c r="J834" s="6"/>
      <c r="K834" s="6"/>
      <c r="L834" s="6"/>
      <c r="M834" s="6"/>
      <c r="N834" s="6"/>
      <c r="O834" s="6"/>
      <c r="P834" s="6"/>
      <c r="Q834" s="6"/>
      <c r="R834" s="6"/>
      <c r="S834" s="6"/>
      <c r="T834" s="6"/>
      <c r="U834" s="6"/>
      <c r="V834" s="6"/>
      <c r="W834" s="6"/>
      <c r="X834" s="6"/>
      <c r="Y834" s="6"/>
      <c r="Z834" s="6"/>
    </row>
    <row r="835">
      <c r="A835" s="155"/>
      <c r="B835" s="156"/>
      <c r="C835" s="156"/>
      <c r="D835" s="158"/>
      <c r="E835" s="6"/>
      <c r="F835" s="6"/>
      <c r="G835" s="6"/>
      <c r="H835" s="6"/>
      <c r="I835" s="6"/>
      <c r="J835" s="6"/>
      <c r="K835" s="6"/>
      <c r="L835" s="6"/>
      <c r="M835" s="6"/>
      <c r="N835" s="6"/>
      <c r="O835" s="6"/>
      <c r="P835" s="6"/>
      <c r="Q835" s="6"/>
      <c r="R835" s="6"/>
      <c r="S835" s="6"/>
      <c r="T835" s="6"/>
      <c r="U835" s="6"/>
      <c r="V835" s="6"/>
      <c r="W835" s="6"/>
      <c r="X835" s="6"/>
      <c r="Y835" s="6"/>
      <c r="Z835" s="6"/>
    </row>
    <row r="836">
      <c r="A836" s="155"/>
      <c r="B836" s="156"/>
      <c r="C836" s="156"/>
      <c r="D836" s="158"/>
      <c r="E836" s="6"/>
      <c r="F836" s="6"/>
      <c r="G836" s="6"/>
      <c r="H836" s="6"/>
      <c r="I836" s="6"/>
      <c r="J836" s="6"/>
      <c r="K836" s="6"/>
      <c r="L836" s="6"/>
      <c r="M836" s="6"/>
      <c r="N836" s="6"/>
      <c r="O836" s="6"/>
      <c r="P836" s="6"/>
      <c r="Q836" s="6"/>
      <c r="R836" s="6"/>
      <c r="S836" s="6"/>
      <c r="T836" s="6"/>
      <c r="U836" s="6"/>
      <c r="V836" s="6"/>
      <c r="W836" s="6"/>
      <c r="X836" s="6"/>
      <c r="Y836" s="6"/>
      <c r="Z836" s="6"/>
    </row>
    <row r="837">
      <c r="A837" s="155"/>
      <c r="B837" s="156"/>
      <c r="C837" s="156"/>
      <c r="D837" s="158"/>
      <c r="E837" s="6"/>
      <c r="F837" s="6"/>
      <c r="G837" s="6"/>
      <c r="H837" s="6"/>
      <c r="I837" s="6"/>
      <c r="J837" s="6"/>
      <c r="K837" s="6"/>
      <c r="L837" s="6"/>
      <c r="M837" s="6"/>
      <c r="N837" s="6"/>
      <c r="O837" s="6"/>
      <c r="P837" s="6"/>
      <c r="Q837" s="6"/>
      <c r="R837" s="6"/>
      <c r="S837" s="6"/>
      <c r="T837" s="6"/>
      <c r="U837" s="6"/>
      <c r="V837" s="6"/>
      <c r="W837" s="6"/>
      <c r="X837" s="6"/>
      <c r="Y837" s="6"/>
      <c r="Z837" s="6"/>
    </row>
    <row r="838">
      <c r="A838" s="155"/>
      <c r="B838" s="156"/>
      <c r="C838" s="156"/>
      <c r="D838" s="158"/>
      <c r="E838" s="6"/>
      <c r="F838" s="6"/>
      <c r="G838" s="6"/>
      <c r="H838" s="6"/>
      <c r="I838" s="6"/>
      <c r="J838" s="6"/>
      <c r="K838" s="6"/>
      <c r="L838" s="6"/>
      <c r="M838" s="6"/>
      <c r="N838" s="6"/>
      <c r="O838" s="6"/>
      <c r="P838" s="6"/>
      <c r="Q838" s="6"/>
      <c r="R838" s="6"/>
      <c r="S838" s="6"/>
      <c r="T838" s="6"/>
      <c r="U838" s="6"/>
      <c r="V838" s="6"/>
      <c r="W838" s="6"/>
      <c r="X838" s="6"/>
      <c r="Y838" s="6"/>
      <c r="Z838" s="6"/>
    </row>
    <row r="839">
      <c r="A839" s="155"/>
      <c r="B839" s="156"/>
      <c r="C839" s="156"/>
      <c r="D839" s="158"/>
      <c r="E839" s="6"/>
      <c r="F839" s="6"/>
      <c r="G839" s="6"/>
      <c r="H839" s="6"/>
      <c r="I839" s="6"/>
      <c r="J839" s="6"/>
      <c r="K839" s="6"/>
      <c r="L839" s="6"/>
      <c r="M839" s="6"/>
      <c r="N839" s="6"/>
      <c r="O839" s="6"/>
      <c r="P839" s="6"/>
      <c r="Q839" s="6"/>
      <c r="R839" s="6"/>
      <c r="S839" s="6"/>
      <c r="T839" s="6"/>
      <c r="U839" s="6"/>
      <c r="V839" s="6"/>
      <c r="W839" s="6"/>
      <c r="X839" s="6"/>
      <c r="Y839" s="6"/>
      <c r="Z839" s="6"/>
    </row>
    <row r="840">
      <c r="A840" s="155"/>
      <c r="B840" s="156"/>
      <c r="C840" s="156"/>
      <c r="D840" s="158"/>
      <c r="E840" s="6"/>
      <c r="F840" s="6"/>
      <c r="G840" s="6"/>
      <c r="H840" s="6"/>
      <c r="I840" s="6"/>
      <c r="J840" s="6"/>
      <c r="K840" s="6"/>
      <c r="L840" s="6"/>
      <c r="M840" s="6"/>
      <c r="N840" s="6"/>
      <c r="O840" s="6"/>
      <c r="P840" s="6"/>
      <c r="Q840" s="6"/>
      <c r="R840" s="6"/>
      <c r="S840" s="6"/>
      <c r="T840" s="6"/>
      <c r="U840" s="6"/>
      <c r="V840" s="6"/>
      <c r="W840" s="6"/>
      <c r="X840" s="6"/>
      <c r="Y840" s="6"/>
      <c r="Z840" s="6"/>
    </row>
    <row r="841">
      <c r="A841" s="155"/>
      <c r="B841" s="156"/>
      <c r="C841" s="156"/>
      <c r="D841" s="158"/>
      <c r="E841" s="6"/>
      <c r="F841" s="6"/>
      <c r="G841" s="6"/>
      <c r="H841" s="6"/>
      <c r="I841" s="6"/>
      <c r="J841" s="6"/>
      <c r="K841" s="6"/>
      <c r="L841" s="6"/>
      <c r="M841" s="6"/>
      <c r="N841" s="6"/>
      <c r="O841" s="6"/>
      <c r="P841" s="6"/>
      <c r="Q841" s="6"/>
      <c r="R841" s="6"/>
      <c r="S841" s="6"/>
      <c r="T841" s="6"/>
      <c r="U841" s="6"/>
      <c r="V841" s="6"/>
      <c r="W841" s="6"/>
      <c r="X841" s="6"/>
      <c r="Y841" s="6"/>
      <c r="Z841" s="6"/>
    </row>
    <row r="842">
      <c r="A842" s="155"/>
      <c r="B842" s="156"/>
      <c r="C842" s="156"/>
      <c r="D842" s="158"/>
      <c r="E842" s="6"/>
      <c r="F842" s="6"/>
      <c r="G842" s="6"/>
      <c r="H842" s="6"/>
      <c r="I842" s="6"/>
      <c r="J842" s="6"/>
      <c r="K842" s="6"/>
      <c r="L842" s="6"/>
      <c r="M842" s="6"/>
      <c r="N842" s="6"/>
      <c r="O842" s="6"/>
      <c r="P842" s="6"/>
      <c r="Q842" s="6"/>
      <c r="R842" s="6"/>
      <c r="S842" s="6"/>
      <c r="T842" s="6"/>
      <c r="U842" s="6"/>
      <c r="V842" s="6"/>
      <c r="W842" s="6"/>
      <c r="X842" s="6"/>
      <c r="Y842" s="6"/>
      <c r="Z842" s="6"/>
    </row>
    <row r="843">
      <c r="A843" s="155"/>
      <c r="B843" s="156"/>
      <c r="C843" s="156"/>
      <c r="D843" s="158"/>
      <c r="E843" s="6"/>
      <c r="F843" s="6"/>
      <c r="G843" s="6"/>
      <c r="H843" s="6"/>
      <c r="I843" s="6"/>
      <c r="J843" s="6"/>
      <c r="K843" s="6"/>
      <c r="L843" s="6"/>
      <c r="M843" s="6"/>
      <c r="N843" s="6"/>
      <c r="O843" s="6"/>
      <c r="P843" s="6"/>
      <c r="Q843" s="6"/>
      <c r="R843" s="6"/>
      <c r="S843" s="6"/>
      <c r="T843" s="6"/>
      <c r="U843" s="6"/>
      <c r="V843" s="6"/>
      <c r="W843" s="6"/>
      <c r="X843" s="6"/>
      <c r="Y843" s="6"/>
      <c r="Z843" s="6"/>
    </row>
    <row r="844">
      <c r="A844" s="155"/>
      <c r="B844" s="156"/>
      <c r="C844" s="156"/>
      <c r="D844" s="158"/>
      <c r="E844" s="6"/>
      <c r="F844" s="6"/>
      <c r="G844" s="6"/>
      <c r="H844" s="6"/>
      <c r="I844" s="6"/>
      <c r="J844" s="6"/>
      <c r="K844" s="6"/>
      <c r="L844" s="6"/>
      <c r="M844" s="6"/>
      <c r="N844" s="6"/>
      <c r="O844" s="6"/>
      <c r="P844" s="6"/>
      <c r="Q844" s="6"/>
      <c r="R844" s="6"/>
      <c r="S844" s="6"/>
      <c r="T844" s="6"/>
      <c r="U844" s="6"/>
      <c r="V844" s="6"/>
      <c r="W844" s="6"/>
      <c r="X844" s="6"/>
      <c r="Y844" s="6"/>
      <c r="Z844" s="6"/>
    </row>
    <row r="845">
      <c r="A845" s="155"/>
      <c r="B845" s="156"/>
      <c r="C845" s="156"/>
      <c r="D845" s="158"/>
      <c r="E845" s="6"/>
      <c r="F845" s="6"/>
      <c r="G845" s="6"/>
      <c r="H845" s="6"/>
      <c r="I845" s="6"/>
      <c r="J845" s="6"/>
      <c r="K845" s="6"/>
      <c r="L845" s="6"/>
      <c r="M845" s="6"/>
      <c r="N845" s="6"/>
      <c r="O845" s="6"/>
      <c r="P845" s="6"/>
      <c r="Q845" s="6"/>
      <c r="R845" s="6"/>
      <c r="S845" s="6"/>
      <c r="T845" s="6"/>
      <c r="U845" s="6"/>
      <c r="V845" s="6"/>
      <c r="W845" s="6"/>
      <c r="X845" s="6"/>
      <c r="Y845" s="6"/>
      <c r="Z845" s="6"/>
    </row>
    <row r="846">
      <c r="A846" s="155"/>
      <c r="B846" s="156"/>
      <c r="C846" s="156"/>
      <c r="D846" s="158"/>
      <c r="E846" s="6"/>
      <c r="F846" s="6"/>
      <c r="G846" s="6"/>
      <c r="H846" s="6"/>
      <c r="I846" s="6"/>
      <c r="J846" s="6"/>
      <c r="K846" s="6"/>
      <c r="L846" s="6"/>
      <c r="M846" s="6"/>
      <c r="N846" s="6"/>
      <c r="O846" s="6"/>
      <c r="P846" s="6"/>
      <c r="Q846" s="6"/>
      <c r="R846" s="6"/>
      <c r="S846" s="6"/>
      <c r="T846" s="6"/>
      <c r="U846" s="6"/>
      <c r="V846" s="6"/>
      <c r="W846" s="6"/>
      <c r="X846" s="6"/>
      <c r="Y846" s="6"/>
      <c r="Z846" s="6"/>
    </row>
    <row r="847">
      <c r="A847" s="155"/>
      <c r="B847" s="156"/>
      <c r="C847" s="156"/>
      <c r="D847" s="158"/>
      <c r="E847" s="6"/>
      <c r="F847" s="6"/>
      <c r="G847" s="6"/>
      <c r="H847" s="6"/>
      <c r="I847" s="6"/>
      <c r="J847" s="6"/>
      <c r="K847" s="6"/>
      <c r="L847" s="6"/>
      <c r="M847" s="6"/>
      <c r="N847" s="6"/>
      <c r="O847" s="6"/>
      <c r="P847" s="6"/>
      <c r="Q847" s="6"/>
      <c r="R847" s="6"/>
      <c r="S847" s="6"/>
      <c r="T847" s="6"/>
      <c r="U847" s="6"/>
      <c r="V847" s="6"/>
      <c r="W847" s="6"/>
      <c r="X847" s="6"/>
      <c r="Y847" s="6"/>
      <c r="Z847" s="6"/>
    </row>
    <row r="848">
      <c r="A848" s="155"/>
      <c r="B848" s="156"/>
      <c r="C848" s="156"/>
      <c r="D848" s="158"/>
      <c r="E848" s="6"/>
      <c r="F848" s="6"/>
      <c r="G848" s="6"/>
      <c r="H848" s="6"/>
      <c r="I848" s="6"/>
      <c r="J848" s="6"/>
      <c r="K848" s="6"/>
      <c r="L848" s="6"/>
      <c r="M848" s="6"/>
      <c r="N848" s="6"/>
      <c r="O848" s="6"/>
      <c r="P848" s="6"/>
      <c r="Q848" s="6"/>
      <c r="R848" s="6"/>
      <c r="S848" s="6"/>
      <c r="T848" s="6"/>
      <c r="U848" s="6"/>
      <c r="V848" s="6"/>
      <c r="W848" s="6"/>
      <c r="X848" s="6"/>
      <c r="Y848" s="6"/>
      <c r="Z848" s="6"/>
    </row>
    <row r="849">
      <c r="A849" s="155"/>
      <c r="B849" s="156"/>
      <c r="C849" s="156"/>
      <c r="D849" s="158"/>
      <c r="E849" s="6"/>
      <c r="F849" s="6"/>
      <c r="G849" s="6"/>
      <c r="H849" s="6"/>
      <c r="I849" s="6"/>
      <c r="J849" s="6"/>
      <c r="K849" s="6"/>
      <c r="L849" s="6"/>
      <c r="M849" s="6"/>
      <c r="N849" s="6"/>
      <c r="O849" s="6"/>
      <c r="P849" s="6"/>
      <c r="Q849" s="6"/>
      <c r="R849" s="6"/>
      <c r="S849" s="6"/>
      <c r="T849" s="6"/>
      <c r="U849" s="6"/>
      <c r="V849" s="6"/>
      <c r="W849" s="6"/>
      <c r="X849" s="6"/>
      <c r="Y849" s="6"/>
      <c r="Z849" s="6"/>
    </row>
    <row r="850">
      <c r="A850" s="155"/>
      <c r="B850" s="156"/>
      <c r="C850" s="156"/>
      <c r="D850" s="158"/>
      <c r="E850" s="6"/>
      <c r="F850" s="6"/>
      <c r="G850" s="6"/>
      <c r="H850" s="6"/>
      <c r="I850" s="6"/>
      <c r="J850" s="6"/>
      <c r="K850" s="6"/>
      <c r="L850" s="6"/>
      <c r="M850" s="6"/>
      <c r="N850" s="6"/>
      <c r="O850" s="6"/>
      <c r="P850" s="6"/>
      <c r="Q850" s="6"/>
      <c r="R850" s="6"/>
      <c r="S850" s="6"/>
      <c r="T850" s="6"/>
      <c r="U850" s="6"/>
      <c r="V850" s="6"/>
      <c r="W850" s="6"/>
      <c r="X850" s="6"/>
      <c r="Y850" s="6"/>
      <c r="Z850" s="6"/>
    </row>
    <row r="851">
      <c r="A851" s="155"/>
      <c r="B851" s="156"/>
      <c r="C851" s="156"/>
      <c r="D851" s="158"/>
      <c r="E851" s="6"/>
      <c r="F851" s="6"/>
      <c r="G851" s="6"/>
      <c r="H851" s="6"/>
      <c r="I851" s="6"/>
      <c r="J851" s="6"/>
      <c r="K851" s="6"/>
      <c r="L851" s="6"/>
      <c r="M851" s="6"/>
      <c r="N851" s="6"/>
      <c r="O851" s="6"/>
      <c r="P851" s="6"/>
      <c r="Q851" s="6"/>
      <c r="R851" s="6"/>
      <c r="S851" s="6"/>
      <c r="T851" s="6"/>
      <c r="U851" s="6"/>
      <c r="V851" s="6"/>
      <c r="W851" s="6"/>
      <c r="X851" s="6"/>
      <c r="Y851" s="6"/>
      <c r="Z851" s="6"/>
    </row>
    <row r="852">
      <c r="A852" s="155"/>
      <c r="B852" s="156"/>
      <c r="C852" s="156"/>
      <c r="D852" s="158"/>
      <c r="E852" s="6"/>
      <c r="F852" s="6"/>
      <c r="G852" s="6"/>
      <c r="H852" s="6"/>
      <c r="I852" s="6"/>
      <c r="J852" s="6"/>
      <c r="K852" s="6"/>
      <c r="L852" s="6"/>
      <c r="M852" s="6"/>
      <c r="N852" s="6"/>
      <c r="O852" s="6"/>
      <c r="P852" s="6"/>
      <c r="Q852" s="6"/>
      <c r="R852" s="6"/>
      <c r="S852" s="6"/>
      <c r="T852" s="6"/>
      <c r="U852" s="6"/>
      <c r="V852" s="6"/>
      <c r="W852" s="6"/>
      <c r="X852" s="6"/>
      <c r="Y852" s="6"/>
      <c r="Z852" s="6"/>
    </row>
    <row r="853">
      <c r="A853" s="155"/>
      <c r="B853" s="156"/>
      <c r="C853" s="156"/>
      <c r="D853" s="158"/>
      <c r="E853" s="6"/>
      <c r="F853" s="6"/>
      <c r="G853" s="6"/>
      <c r="H853" s="6"/>
      <c r="I853" s="6"/>
      <c r="J853" s="6"/>
      <c r="K853" s="6"/>
      <c r="L853" s="6"/>
      <c r="M853" s="6"/>
      <c r="N853" s="6"/>
      <c r="O853" s="6"/>
      <c r="P853" s="6"/>
      <c r="Q853" s="6"/>
      <c r="R853" s="6"/>
      <c r="S853" s="6"/>
      <c r="T853" s="6"/>
      <c r="U853" s="6"/>
      <c r="V853" s="6"/>
      <c r="W853" s="6"/>
      <c r="X853" s="6"/>
      <c r="Y853" s="6"/>
      <c r="Z853" s="6"/>
    </row>
    <row r="854">
      <c r="A854" s="155"/>
      <c r="B854" s="156"/>
      <c r="C854" s="156"/>
      <c r="D854" s="158"/>
      <c r="E854" s="6"/>
      <c r="F854" s="6"/>
      <c r="G854" s="6"/>
      <c r="H854" s="6"/>
      <c r="I854" s="6"/>
      <c r="J854" s="6"/>
      <c r="K854" s="6"/>
      <c r="L854" s="6"/>
      <c r="M854" s="6"/>
      <c r="N854" s="6"/>
      <c r="O854" s="6"/>
      <c r="P854" s="6"/>
      <c r="Q854" s="6"/>
      <c r="R854" s="6"/>
      <c r="S854" s="6"/>
      <c r="T854" s="6"/>
      <c r="U854" s="6"/>
      <c r="V854" s="6"/>
      <c r="W854" s="6"/>
      <c r="X854" s="6"/>
      <c r="Y854" s="6"/>
      <c r="Z854" s="6"/>
    </row>
    <row r="855">
      <c r="A855" s="155"/>
      <c r="B855" s="156"/>
      <c r="C855" s="156"/>
      <c r="D855" s="158"/>
      <c r="E855" s="6"/>
      <c r="F855" s="6"/>
      <c r="G855" s="6"/>
      <c r="H855" s="6"/>
      <c r="I855" s="6"/>
      <c r="J855" s="6"/>
      <c r="K855" s="6"/>
      <c r="L855" s="6"/>
      <c r="M855" s="6"/>
      <c r="N855" s="6"/>
      <c r="O855" s="6"/>
      <c r="P855" s="6"/>
      <c r="Q855" s="6"/>
      <c r="R855" s="6"/>
      <c r="S855" s="6"/>
      <c r="T855" s="6"/>
      <c r="U855" s="6"/>
      <c r="V855" s="6"/>
      <c r="W855" s="6"/>
      <c r="X855" s="6"/>
      <c r="Y855" s="6"/>
      <c r="Z855" s="6"/>
    </row>
    <row r="856">
      <c r="A856" s="155"/>
      <c r="B856" s="156"/>
      <c r="C856" s="156"/>
      <c r="D856" s="158"/>
      <c r="E856" s="6"/>
      <c r="F856" s="6"/>
      <c r="G856" s="6"/>
      <c r="H856" s="6"/>
      <c r="I856" s="6"/>
      <c r="J856" s="6"/>
      <c r="K856" s="6"/>
      <c r="L856" s="6"/>
      <c r="M856" s="6"/>
      <c r="N856" s="6"/>
      <c r="O856" s="6"/>
      <c r="P856" s="6"/>
      <c r="Q856" s="6"/>
      <c r="R856" s="6"/>
      <c r="S856" s="6"/>
      <c r="T856" s="6"/>
      <c r="U856" s="6"/>
      <c r="V856" s="6"/>
      <c r="W856" s="6"/>
      <c r="X856" s="6"/>
      <c r="Y856" s="6"/>
      <c r="Z856" s="6"/>
    </row>
    <row r="857">
      <c r="A857" s="155"/>
      <c r="B857" s="156"/>
      <c r="C857" s="156"/>
      <c r="D857" s="158"/>
      <c r="E857" s="6"/>
      <c r="F857" s="6"/>
      <c r="G857" s="6"/>
      <c r="H857" s="6"/>
      <c r="I857" s="6"/>
      <c r="J857" s="6"/>
      <c r="K857" s="6"/>
      <c r="L857" s="6"/>
      <c r="M857" s="6"/>
      <c r="N857" s="6"/>
      <c r="O857" s="6"/>
      <c r="P857" s="6"/>
      <c r="Q857" s="6"/>
      <c r="R857" s="6"/>
      <c r="S857" s="6"/>
      <c r="T857" s="6"/>
      <c r="U857" s="6"/>
      <c r="V857" s="6"/>
      <c r="W857" s="6"/>
      <c r="X857" s="6"/>
      <c r="Y857" s="6"/>
      <c r="Z857" s="6"/>
    </row>
    <row r="858">
      <c r="A858" s="155"/>
      <c r="B858" s="156"/>
      <c r="C858" s="156"/>
      <c r="D858" s="158"/>
      <c r="E858" s="6"/>
      <c r="F858" s="6"/>
      <c r="G858" s="6"/>
      <c r="H858" s="6"/>
      <c r="I858" s="6"/>
      <c r="J858" s="6"/>
      <c r="K858" s="6"/>
      <c r="L858" s="6"/>
      <c r="M858" s="6"/>
      <c r="N858" s="6"/>
      <c r="O858" s="6"/>
      <c r="P858" s="6"/>
      <c r="Q858" s="6"/>
      <c r="R858" s="6"/>
      <c r="S858" s="6"/>
      <c r="T858" s="6"/>
      <c r="U858" s="6"/>
      <c r="V858" s="6"/>
      <c r="W858" s="6"/>
      <c r="X858" s="6"/>
      <c r="Y858" s="6"/>
      <c r="Z858" s="6"/>
    </row>
    <row r="859">
      <c r="A859" s="155"/>
      <c r="B859" s="156"/>
      <c r="C859" s="156"/>
      <c r="D859" s="158"/>
      <c r="E859" s="6"/>
      <c r="F859" s="6"/>
      <c r="G859" s="6"/>
      <c r="H859" s="6"/>
      <c r="I859" s="6"/>
      <c r="J859" s="6"/>
      <c r="K859" s="6"/>
      <c r="L859" s="6"/>
      <c r="M859" s="6"/>
      <c r="N859" s="6"/>
      <c r="O859" s="6"/>
      <c r="P859" s="6"/>
      <c r="Q859" s="6"/>
      <c r="R859" s="6"/>
      <c r="S859" s="6"/>
      <c r="T859" s="6"/>
      <c r="U859" s="6"/>
      <c r="V859" s="6"/>
      <c r="W859" s="6"/>
      <c r="X859" s="6"/>
      <c r="Y859" s="6"/>
      <c r="Z859" s="6"/>
    </row>
    <row r="860">
      <c r="A860" s="155"/>
      <c r="B860" s="156"/>
      <c r="C860" s="156"/>
      <c r="D860" s="158"/>
      <c r="E860" s="6"/>
      <c r="F860" s="6"/>
      <c r="G860" s="6"/>
      <c r="H860" s="6"/>
      <c r="I860" s="6"/>
      <c r="J860" s="6"/>
      <c r="K860" s="6"/>
      <c r="L860" s="6"/>
      <c r="M860" s="6"/>
      <c r="N860" s="6"/>
      <c r="O860" s="6"/>
      <c r="P860" s="6"/>
      <c r="Q860" s="6"/>
      <c r="R860" s="6"/>
      <c r="S860" s="6"/>
      <c r="T860" s="6"/>
      <c r="U860" s="6"/>
      <c r="V860" s="6"/>
      <c r="W860" s="6"/>
      <c r="X860" s="6"/>
      <c r="Y860" s="6"/>
      <c r="Z860" s="6"/>
    </row>
    <row r="861">
      <c r="A861" s="155"/>
      <c r="B861" s="156"/>
      <c r="C861" s="156"/>
      <c r="D861" s="158"/>
      <c r="E861" s="6"/>
      <c r="F861" s="6"/>
      <c r="G861" s="6"/>
      <c r="H861" s="6"/>
      <c r="I861" s="6"/>
      <c r="J861" s="6"/>
      <c r="K861" s="6"/>
      <c r="L861" s="6"/>
      <c r="M861" s="6"/>
      <c r="N861" s="6"/>
      <c r="O861" s="6"/>
      <c r="P861" s="6"/>
      <c r="Q861" s="6"/>
      <c r="R861" s="6"/>
      <c r="S861" s="6"/>
      <c r="T861" s="6"/>
      <c r="U861" s="6"/>
      <c r="V861" s="6"/>
      <c r="W861" s="6"/>
      <c r="X861" s="6"/>
      <c r="Y861" s="6"/>
      <c r="Z861" s="6"/>
    </row>
    <row r="862">
      <c r="A862" s="155"/>
      <c r="B862" s="156"/>
      <c r="C862" s="156"/>
      <c r="D862" s="158"/>
      <c r="E862" s="6"/>
      <c r="F862" s="6"/>
      <c r="G862" s="6"/>
      <c r="H862" s="6"/>
      <c r="I862" s="6"/>
      <c r="J862" s="6"/>
      <c r="K862" s="6"/>
      <c r="L862" s="6"/>
      <c r="M862" s="6"/>
      <c r="N862" s="6"/>
      <c r="O862" s="6"/>
      <c r="P862" s="6"/>
      <c r="Q862" s="6"/>
      <c r="R862" s="6"/>
      <c r="S862" s="6"/>
      <c r="T862" s="6"/>
      <c r="U862" s="6"/>
      <c r="V862" s="6"/>
      <c r="W862" s="6"/>
      <c r="X862" s="6"/>
      <c r="Y862" s="6"/>
      <c r="Z862" s="6"/>
    </row>
    <row r="863">
      <c r="A863" s="155"/>
      <c r="B863" s="156"/>
      <c r="C863" s="156"/>
      <c r="D863" s="158"/>
      <c r="E863" s="6"/>
      <c r="F863" s="6"/>
      <c r="G863" s="6"/>
      <c r="H863" s="6"/>
      <c r="I863" s="6"/>
      <c r="J863" s="6"/>
      <c r="K863" s="6"/>
      <c r="L863" s="6"/>
      <c r="M863" s="6"/>
      <c r="N863" s="6"/>
      <c r="O863" s="6"/>
      <c r="P863" s="6"/>
      <c r="Q863" s="6"/>
      <c r="R863" s="6"/>
      <c r="S863" s="6"/>
      <c r="T863" s="6"/>
      <c r="U863" s="6"/>
      <c r="V863" s="6"/>
      <c r="W863" s="6"/>
      <c r="X863" s="6"/>
      <c r="Y863" s="6"/>
      <c r="Z863" s="6"/>
    </row>
    <row r="864">
      <c r="A864" s="155"/>
      <c r="B864" s="156"/>
      <c r="C864" s="156"/>
      <c r="D864" s="158"/>
      <c r="E864" s="6"/>
      <c r="F864" s="6"/>
      <c r="G864" s="6"/>
      <c r="H864" s="6"/>
      <c r="I864" s="6"/>
      <c r="J864" s="6"/>
      <c r="K864" s="6"/>
      <c r="L864" s="6"/>
      <c r="M864" s="6"/>
      <c r="N864" s="6"/>
      <c r="O864" s="6"/>
      <c r="P864" s="6"/>
      <c r="Q864" s="6"/>
      <c r="R864" s="6"/>
      <c r="S864" s="6"/>
      <c r="T864" s="6"/>
      <c r="U864" s="6"/>
      <c r="V864" s="6"/>
      <c r="W864" s="6"/>
      <c r="X864" s="6"/>
      <c r="Y864" s="6"/>
      <c r="Z864" s="6"/>
    </row>
    <row r="865">
      <c r="A865" s="155"/>
      <c r="B865" s="156"/>
      <c r="C865" s="156"/>
      <c r="D865" s="158"/>
      <c r="E865" s="6"/>
      <c r="F865" s="6"/>
      <c r="G865" s="6"/>
      <c r="H865" s="6"/>
      <c r="I865" s="6"/>
      <c r="J865" s="6"/>
      <c r="K865" s="6"/>
      <c r="L865" s="6"/>
      <c r="M865" s="6"/>
      <c r="N865" s="6"/>
      <c r="O865" s="6"/>
      <c r="P865" s="6"/>
      <c r="Q865" s="6"/>
      <c r="R865" s="6"/>
      <c r="S865" s="6"/>
      <c r="T865" s="6"/>
      <c r="U865" s="6"/>
      <c r="V865" s="6"/>
      <c r="W865" s="6"/>
      <c r="X865" s="6"/>
      <c r="Y865" s="6"/>
      <c r="Z865" s="6"/>
    </row>
    <row r="866">
      <c r="A866" s="155"/>
      <c r="B866" s="156"/>
      <c r="C866" s="156"/>
      <c r="D866" s="158"/>
      <c r="E866" s="6"/>
      <c r="F866" s="6"/>
      <c r="G866" s="6"/>
      <c r="H866" s="6"/>
      <c r="I866" s="6"/>
      <c r="J866" s="6"/>
      <c r="K866" s="6"/>
      <c r="L866" s="6"/>
      <c r="M866" s="6"/>
      <c r="N866" s="6"/>
      <c r="O866" s="6"/>
      <c r="P866" s="6"/>
      <c r="Q866" s="6"/>
      <c r="R866" s="6"/>
      <c r="S866" s="6"/>
      <c r="T866" s="6"/>
      <c r="U866" s="6"/>
      <c r="V866" s="6"/>
      <c r="W866" s="6"/>
      <c r="X866" s="6"/>
      <c r="Y866" s="6"/>
      <c r="Z866" s="6"/>
    </row>
    <row r="867">
      <c r="A867" s="155"/>
      <c r="B867" s="156"/>
      <c r="C867" s="156"/>
      <c r="D867" s="158"/>
      <c r="E867" s="6"/>
      <c r="F867" s="6"/>
      <c r="G867" s="6"/>
      <c r="H867" s="6"/>
      <c r="I867" s="6"/>
      <c r="J867" s="6"/>
      <c r="K867" s="6"/>
      <c r="L867" s="6"/>
      <c r="M867" s="6"/>
      <c r="N867" s="6"/>
      <c r="O867" s="6"/>
      <c r="P867" s="6"/>
      <c r="Q867" s="6"/>
      <c r="R867" s="6"/>
      <c r="S867" s="6"/>
      <c r="T867" s="6"/>
      <c r="U867" s="6"/>
      <c r="V867" s="6"/>
      <c r="W867" s="6"/>
      <c r="X867" s="6"/>
      <c r="Y867" s="6"/>
      <c r="Z867" s="6"/>
    </row>
    <row r="868">
      <c r="A868" s="155"/>
      <c r="B868" s="156"/>
      <c r="C868" s="156"/>
      <c r="D868" s="158"/>
      <c r="E868" s="6"/>
      <c r="F868" s="6"/>
      <c r="G868" s="6"/>
      <c r="H868" s="6"/>
      <c r="I868" s="6"/>
      <c r="J868" s="6"/>
      <c r="K868" s="6"/>
      <c r="L868" s="6"/>
      <c r="M868" s="6"/>
      <c r="N868" s="6"/>
      <c r="O868" s="6"/>
      <c r="P868" s="6"/>
      <c r="Q868" s="6"/>
      <c r="R868" s="6"/>
      <c r="S868" s="6"/>
      <c r="T868" s="6"/>
      <c r="U868" s="6"/>
      <c r="V868" s="6"/>
      <c r="W868" s="6"/>
      <c r="X868" s="6"/>
      <c r="Y868" s="6"/>
      <c r="Z868" s="6"/>
    </row>
    <row r="869">
      <c r="A869" s="155"/>
      <c r="B869" s="156"/>
      <c r="C869" s="156"/>
      <c r="D869" s="158"/>
      <c r="E869" s="6"/>
      <c r="F869" s="6"/>
      <c r="G869" s="6"/>
      <c r="H869" s="6"/>
      <c r="I869" s="6"/>
      <c r="J869" s="6"/>
      <c r="K869" s="6"/>
      <c r="L869" s="6"/>
      <c r="M869" s="6"/>
      <c r="N869" s="6"/>
      <c r="O869" s="6"/>
      <c r="P869" s="6"/>
      <c r="Q869" s="6"/>
      <c r="R869" s="6"/>
      <c r="S869" s="6"/>
      <c r="T869" s="6"/>
      <c r="U869" s="6"/>
      <c r="V869" s="6"/>
      <c r="W869" s="6"/>
      <c r="X869" s="6"/>
      <c r="Y869" s="6"/>
      <c r="Z869" s="6"/>
    </row>
    <row r="870">
      <c r="A870" s="155"/>
      <c r="B870" s="156"/>
      <c r="C870" s="156"/>
      <c r="D870" s="158"/>
      <c r="E870" s="6"/>
      <c r="F870" s="6"/>
      <c r="G870" s="6"/>
      <c r="H870" s="6"/>
      <c r="I870" s="6"/>
      <c r="J870" s="6"/>
      <c r="K870" s="6"/>
      <c r="L870" s="6"/>
      <c r="M870" s="6"/>
      <c r="N870" s="6"/>
      <c r="O870" s="6"/>
      <c r="P870" s="6"/>
      <c r="Q870" s="6"/>
      <c r="R870" s="6"/>
      <c r="S870" s="6"/>
      <c r="T870" s="6"/>
      <c r="U870" s="6"/>
      <c r="V870" s="6"/>
      <c r="W870" s="6"/>
      <c r="X870" s="6"/>
      <c r="Y870" s="6"/>
      <c r="Z870" s="6"/>
    </row>
    <row r="871">
      <c r="A871" s="155"/>
      <c r="B871" s="156"/>
      <c r="C871" s="156"/>
      <c r="D871" s="158"/>
      <c r="E871" s="6"/>
      <c r="F871" s="6"/>
      <c r="G871" s="6"/>
      <c r="H871" s="6"/>
      <c r="I871" s="6"/>
      <c r="J871" s="6"/>
      <c r="K871" s="6"/>
      <c r="L871" s="6"/>
      <c r="M871" s="6"/>
      <c r="N871" s="6"/>
      <c r="O871" s="6"/>
      <c r="P871" s="6"/>
      <c r="Q871" s="6"/>
      <c r="R871" s="6"/>
      <c r="S871" s="6"/>
      <c r="T871" s="6"/>
      <c r="U871" s="6"/>
      <c r="V871" s="6"/>
      <c r="W871" s="6"/>
      <c r="X871" s="6"/>
      <c r="Y871" s="6"/>
      <c r="Z871" s="6"/>
    </row>
    <row r="872">
      <c r="A872" s="155"/>
      <c r="B872" s="156"/>
      <c r="C872" s="156"/>
      <c r="D872" s="158"/>
      <c r="E872" s="6"/>
      <c r="F872" s="6"/>
      <c r="G872" s="6"/>
      <c r="H872" s="6"/>
      <c r="I872" s="6"/>
      <c r="J872" s="6"/>
      <c r="K872" s="6"/>
      <c r="L872" s="6"/>
      <c r="M872" s="6"/>
      <c r="N872" s="6"/>
      <c r="O872" s="6"/>
      <c r="P872" s="6"/>
      <c r="Q872" s="6"/>
      <c r="R872" s="6"/>
      <c r="S872" s="6"/>
      <c r="T872" s="6"/>
      <c r="U872" s="6"/>
      <c r="V872" s="6"/>
      <c r="W872" s="6"/>
      <c r="X872" s="6"/>
      <c r="Y872" s="6"/>
      <c r="Z872" s="6"/>
    </row>
    <row r="873">
      <c r="A873" s="155"/>
      <c r="B873" s="156"/>
      <c r="C873" s="156"/>
      <c r="D873" s="158"/>
      <c r="E873" s="6"/>
      <c r="F873" s="6"/>
      <c r="G873" s="6"/>
      <c r="H873" s="6"/>
      <c r="I873" s="6"/>
      <c r="J873" s="6"/>
      <c r="K873" s="6"/>
      <c r="L873" s="6"/>
      <c r="M873" s="6"/>
      <c r="N873" s="6"/>
      <c r="O873" s="6"/>
      <c r="P873" s="6"/>
      <c r="Q873" s="6"/>
      <c r="R873" s="6"/>
      <c r="S873" s="6"/>
      <c r="T873" s="6"/>
      <c r="U873" s="6"/>
      <c r="V873" s="6"/>
      <c r="W873" s="6"/>
      <c r="X873" s="6"/>
      <c r="Y873" s="6"/>
      <c r="Z873" s="6"/>
    </row>
    <row r="874">
      <c r="A874" s="155"/>
      <c r="B874" s="156"/>
      <c r="C874" s="156"/>
      <c r="D874" s="158"/>
      <c r="E874" s="6"/>
      <c r="F874" s="6"/>
      <c r="G874" s="6"/>
      <c r="H874" s="6"/>
      <c r="I874" s="6"/>
      <c r="J874" s="6"/>
      <c r="K874" s="6"/>
      <c r="L874" s="6"/>
      <c r="M874" s="6"/>
      <c r="N874" s="6"/>
      <c r="O874" s="6"/>
      <c r="P874" s="6"/>
      <c r="Q874" s="6"/>
      <c r="R874" s="6"/>
      <c r="S874" s="6"/>
      <c r="T874" s="6"/>
      <c r="U874" s="6"/>
      <c r="V874" s="6"/>
      <c r="W874" s="6"/>
      <c r="X874" s="6"/>
      <c r="Y874" s="6"/>
      <c r="Z874" s="6"/>
    </row>
    <row r="875">
      <c r="A875" s="155"/>
      <c r="B875" s="156"/>
      <c r="C875" s="156"/>
      <c r="D875" s="158"/>
      <c r="E875" s="6"/>
      <c r="F875" s="6"/>
      <c r="G875" s="6"/>
      <c r="H875" s="6"/>
      <c r="I875" s="6"/>
      <c r="J875" s="6"/>
      <c r="K875" s="6"/>
      <c r="L875" s="6"/>
      <c r="M875" s="6"/>
      <c r="N875" s="6"/>
      <c r="O875" s="6"/>
      <c r="P875" s="6"/>
      <c r="Q875" s="6"/>
      <c r="R875" s="6"/>
      <c r="S875" s="6"/>
      <c r="T875" s="6"/>
      <c r="U875" s="6"/>
      <c r="V875" s="6"/>
      <c r="W875" s="6"/>
      <c r="X875" s="6"/>
      <c r="Y875" s="6"/>
      <c r="Z875" s="6"/>
    </row>
    <row r="876">
      <c r="A876" s="155"/>
      <c r="B876" s="156"/>
      <c r="C876" s="156"/>
      <c r="D876" s="158"/>
      <c r="E876" s="6"/>
      <c r="F876" s="6"/>
      <c r="G876" s="6"/>
      <c r="H876" s="6"/>
      <c r="I876" s="6"/>
      <c r="J876" s="6"/>
      <c r="K876" s="6"/>
      <c r="L876" s="6"/>
      <c r="M876" s="6"/>
      <c r="N876" s="6"/>
      <c r="O876" s="6"/>
      <c r="P876" s="6"/>
      <c r="Q876" s="6"/>
      <c r="R876" s="6"/>
      <c r="S876" s="6"/>
      <c r="T876" s="6"/>
      <c r="U876" s="6"/>
      <c r="V876" s="6"/>
      <c r="W876" s="6"/>
      <c r="X876" s="6"/>
      <c r="Y876" s="6"/>
      <c r="Z876" s="6"/>
    </row>
    <row r="877">
      <c r="A877" s="155"/>
      <c r="B877" s="156"/>
      <c r="C877" s="156"/>
      <c r="D877" s="158"/>
      <c r="E877" s="6"/>
      <c r="F877" s="6"/>
      <c r="G877" s="6"/>
      <c r="H877" s="6"/>
      <c r="I877" s="6"/>
      <c r="J877" s="6"/>
      <c r="K877" s="6"/>
      <c r="L877" s="6"/>
      <c r="M877" s="6"/>
      <c r="N877" s="6"/>
      <c r="O877" s="6"/>
      <c r="P877" s="6"/>
      <c r="Q877" s="6"/>
      <c r="R877" s="6"/>
      <c r="S877" s="6"/>
      <c r="T877" s="6"/>
      <c r="U877" s="6"/>
      <c r="V877" s="6"/>
      <c r="W877" s="6"/>
      <c r="X877" s="6"/>
      <c r="Y877" s="6"/>
      <c r="Z877" s="6"/>
    </row>
    <row r="878">
      <c r="A878" s="155"/>
      <c r="B878" s="156"/>
      <c r="C878" s="156"/>
      <c r="D878" s="158"/>
      <c r="E878" s="6"/>
      <c r="F878" s="6"/>
      <c r="G878" s="6"/>
      <c r="H878" s="6"/>
      <c r="I878" s="6"/>
      <c r="J878" s="6"/>
      <c r="K878" s="6"/>
      <c r="L878" s="6"/>
      <c r="M878" s="6"/>
      <c r="N878" s="6"/>
      <c r="O878" s="6"/>
      <c r="P878" s="6"/>
      <c r="Q878" s="6"/>
      <c r="R878" s="6"/>
      <c r="S878" s="6"/>
      <c r="T878" s="6"/>
      <c r="U878" s="6"/>
      <c r="V878" s="6"/>
      <c r="W878" s="6"/>
      <c r="X878" s="6"/>
      <c r="Y878" s="6"/>
      <c r="Z878" s="6"/>
    </row>
    <row r="879">
      <c r="A879" s="155"/>
      <c r="B879" s="156"/>
      <c r="C879" s="156"/>
      <c r="D879" s="158"/>
      <c r="E879" s="6"/>
      <c r="F879" s="6"/>
      <c r="G879" s="6"/>
      <c r="H879" s="6"/>
      <c r="I879" s="6"/>
      <c r="J879" s="6"/>
      <c r="K879" s="6"/>
      <c r="L879" s="6"/>
      <c r="M879" s="6"/>
      <c r="N879" s="6"/>
      <c r="O879" s="6"/>
      <c r="P879" s="6"/>
      <c r="Q879" s="6"/>
      <c r="R879" s="6"/>
      <c r="S879" s="6"/>
      <c r="T879" s="6"/>
      <c r="U879" s="6"/>
      <c r="V879" s="6"/>
      <c r="W879" s="6"/>
      <c r="X879" s="6"/>
      <c r="Y879" s="6"/>
      <c r="Z879" s="6"/>
    </row>
    <row r="880">
      <c r="A880" s="155"/>
      <c r="B880" s="156"/>
      <c r="C880" s="156"/>
      <c r="D880" s="158"/>
      <c r="E880" s="6"/>
      <c r="F880" s="6"/>
      <c r="G880" s="6"/>
      <c r="H880" s="6"/>
      <c r="I880" s="6"/>
      <c r="J880" s="6"/>
      <c r="K880" s="6"/>
      <c r="L880" s="6"/>
      <c r="M880" s="6"/>
      <c r="N880" s="6"/>
      <c r="O880" s="6"/>
      <c r="P880" s="6"/>
      <c r="Q880" s="6"/>
      <c r="R880" s="6"/>
      <c r="S880" s="6"/>
      <c r="T880" s="6"/>
      <c r="U880" s="6"/>
      <c r="V880" s="6"/>
      <c r="W880" s="6"/>
      <c r="X880" s="6"/>
      <c r="Y880" s="6"/>
      <c r="Z880" s="6"/>
    </row>
    <row r="881">
      <c r="A881" s="155"/>
      <c r="B881" s="156"/>
      <c r="C881" s="156"/>
      <c r="D881" s="158"/>
      <c r="E881" s="6"/>
      <c r="F881" s="6"/>
      <c r="G881" s="6"/>
      <c r="H881" s="6"/>
      <c r="I881" s="6"/>
      <c r="J881" s="6"/>
      <c r="K881" s="6"/>
      <c r="L881" s="6"/>
      <c r="M881" s="6"/>
      <c r="N881" s="6"/>
      <c r="O881" s="6"/>
      <c r="P881" s="6"/>
      <c r="Q881" s="6"/>
      <c r="R881" s="6"/>
      <c r="S881" s="6"/>
      <c r="T881" s="6"/>
      <c r="U881" s="6"/>
      <c r="V881" s="6"/>
      <c r="W881" s="6"/>
      <c r="X881" s="6"/>
      <c r="Y881" s="6"/>
      <c r="Z881" s="6"/>
    </row>
    <row r="882">
      <c r="A882" s="155"/>
      <c r="B882" s="156"/>
      <c r="C882" s="156"/>
      <c r="D882" s="158"/>
      <c r="E882" s="6"/>
      <c r="F882" s="6"/>
      <c r="G882" s="6"/>
      <c r="H882" s="6"/>
      <c r="I882" s="6"/>
      <c r="J882" s="6"/>
      <c r="K882" s="6"/>
      <c r="L882" s="6"/>
      <c r="M882" s="6"/>
      <c r="N882" s="6"/>
      <c r="O882" s="6"/>
      <c r="P882" s="6"/>
      <c r="Q882" s="6"/>
      <c r="R882" s="6"/>
      <c r="S882" s="6"/>
      <c r="T882" s="6"/>
      <c r="U882" s="6"/>
      <c r="V882" s="6"/>
      <c r="W882" s="6"/>
      <c r="X882" s="6"/>
      <c r="Y882" s="6"/>
      <c r="Z882" s="6"/>
    </row>
    <row r="883">
      <c r="A883" s="155"/>
      <c r="B883" s="156"/>
      <c r="C883" s="156"/>
      <c r="D883" s="158"/>
      <c r="E883" s="6"/>
      <c r="F883" s="6"/>
      <c r="G883" s="6"/>
      <c r="H883" s="6"/>
      <c r="I883" s="6"/>
      <c r="J883" s="6"/>
      <c r="K883" s="6"/>
      <c r="L883" s="6"/>
      <c r="M883" s="6"/>
      <c r="N883" s="6"/>
      <c r="O883" s="6"/>
      <c r="P883" s="6"/>
      <c r="Q883" s="6"/>
      <c r="R883" s="6"/>
      <c r="S883" s="6"/>
      <c r="T883" s="6"/>
      <c r="U883" s="6"/>
      <c r="V883" s="6"/>
      <c r="W883" s="6"/>
      <c r="X883" s="6"/>
      <c r="Y883" s="6"/>
      <c r="Z883" s="6"/>
    </row>
    <row r="884">
      <c r="A884" s="155"/>
      <c r="B884" s="156"/>
      <c r="C884" s="156"/>
      <c r="D884" s="158"/>
      <c r="E884" s="6"/>
      <c r="F884" s="6"/>
      <c r="G884" s="6"/>
      <c r="H884" s="6"/>
      <c r="I884" s="6"/>
      <c r="J884" s="6"/>
      <c r="K884" s="6"/>
      <c r="L884" s="6"/>
      <c r="M884" s="6"/>
      <c r="N884" s="6"/>
      <c r="O884" s="6"/>
      <c r="P884" s="6"/>
      <c r="Q884" s="6"/>
      <c r="R884" s="6"/>
      <c r="S884" s="6"/>
      <c r="T884" s="6"/>
      <c r="U884" s="6"/>
      <c r="V884" s="6"/>
      <c r="W884" s="6"/>
      <c r="X884" s="6"/>
      <c r="Y884" s="6"/>
      <c r="Z884" s="6"/>
    </row>
    <row r="885">
      <c r="A885" s="155"/>
      <c r="B885" s="156"/>
      <c r="C885" s="156"/>
      <c r="D885" s="158"/>
      <c r="E885" s="6"/>
      <c r="F885" s="6"/>
      <c r="G885" s="6"/>
      <c r="H885" s="6"/>
      <c r="I885" s="6"/>
      <c r="J885" s="6"/>
      <c r="K885" s="6"/>
      <c r="L885" s="6"/>
      <c r="M885" s="6"/>
      <c r="N885" s="6"/>
      <c r="O885" s="6"/>
      <c r="P885" s="6"/>
      <c r="Q885" s="6"/>
      <c r="R885" s="6"/>
      <c r="S885" s="6"/>
      <c r="T885" s="6"/>
      <c r="U885" s="6"/>
      <c r="V885" s="6"/>
      <c r="W885" s="6"/>
      <c r="X885" s="6"/>
      <c r="Y885" s="6"/>
      <c r="Z885" s="6"/>
    </row>
    <row r="886">
      <c r="A886" s="155"/>
      <c r="B886" s="156"/>
      <c r="C886" s="156"/>
      <c r="D886" s="158"/>
      <c r="E886" s="6"/>
      <c r="F886" s="6"/>
      <c r="G886" s="6"/>
      <c r="H886" s="6"/>
      <c r="I886" s="6"/>
      <c r="J886" s="6"/>
      <c r="K886" s="6"/>
      <c r="L886" s="6"/>
      <c r="M886" s="6"/>
      <c r="N886" s="6"/>
      <c r="O886" s="6"/>
      <c r="P886" s="6"/>
      <c r="Q886" s="6"/>
      <c r="R886" s="6"/>
      <c r="S886" s="6"/>
      <c r="T886" s="6"/>
      <c r="U886" s="6"/>
      <c r="V886" s="6"/>
      <c r="W886" s="6"/>
      <c r="X886" s="6"/>
      <c r="Y886" s="6"/>
      <c r="Z886" s="6"/>
    </row>
    <row r="887">
      <c r="A887" s="155"/>
      <c r="B887" s="156"/>
      <c r="C887" s="156"/>
      <c r="D887" s="158"/>
      <c r="E887" s="6"/>
      <c r="F887" s="6"/>
      <c r="G887" s="6"/>
      <c r="H887" s="6"/>
      <c r="I887" s="6"/>
      <c r="J887" s="6"/>
      <c r="K887" s="6"/>
      <c r="L887" s="6"/>
      <c r="M887" s="6"/>
      <c r="N887" s="6"/>
      <c r="O887" s="6"/>
      <c r="P887" s="6"/>
      <c r="Q887" s="6"/>
      <c r="R887" s="6"/>
      <c r="S887" s="6"/>
      <c r="T887" s="6"/>
      <c r="U887" s="6"/>
      <c r="V887" s="6"/>
      <c r="W887" s="6"/>
      <c r="X887" s="6"/>
      <c r="Y887" s="6"/>
      <c r="Z887" s="6"/>
    </row>
    <row r="888">
      <c r="A888" s="155"/>
      <c r="B888" s="156"/>
      <c r="C888" s="156"/>
      <c r="D888" s="158"/>
      <c r="E888" s="6"/>
      <c r="F888" s="6"/>
      <c r="G888" s="6"/>
      <c r="H888" s="6"/>
      <c r="I888" s="6"/>
      <c r="J888" s="6"/>
      <c r="K888" s="6"/>
      <c r="L888" s="6"/>
      <c r="M888" s="6"/>
      <c r="N888" s="6"/>
      <c r="O888" s="6"/>
      <c r="P888" s="6"/>
      <c r="Q888" s="6"/>
      <c r="R888" s="6"/>
      <c r="S888" s="6"/>
      <c r="T888" s="6"/>
      <c r="U888" s="6"/>
      <c r="V888" s="6"/>
      <c r="W888" s="6"/>
      <c r="X888" s="6"/>
      <c r="Y888" s="6"/>
      <c r="Z888" s="6"/>
    </row>
    <row r="889">
      <c r="A889" s="155"/>
      <c r="B889" s="156"/>
      <c r="C889" s="156"/>
      <c r="D889" s="158"/>
      <c r="E889" s="6"/>
      <c r="F889" s="6"/>
      <c r="G889" s="6"/>
      <c r="H889" s="6"/>
      <c r="I889" s="6"/>
      <c r="J889" s="6"/>
      <c r="K889" s="6"/>
      <c r="L889" s="6"/>
      <c r="M889" s="6"/>
      <c r="N889" s="6"/>
      <c r="O889" s="6"/>
      <c r="P889" s="6"/>
      <c r="Q889" s="6"/>
      <c r="R889" s="6"/>
      <c r="S889" s="6"/>
      <c r="T889" s="6"/>
      <c r="U889" s="6"/>
      <c r="V889" s="6"/>
      <c r="W889" s="6"/>
      <c r="X889" s="6"/>
      <c r="Y889" s="6"/>
      <c r="Z889" s="6"/>
    </row>
    <row r="890">
      <c r="A890" s="155"/>
      <c r="B890" s="156"/>
      <c r="C890" s="156"/>
      <c r="D890" s="158"/>
      <c r="E890" s="6"/>
      <c r="F890" s="6"/>
      <c r="G890" s="6"/>
      <c r="H890" s="6"/>
      <c r="I890" s="6"/>
      <c r="J890" s="6"/>
      <c r="K890" s="6"/>
      <c r="L890" s="6"/>
      <c r="M890" s="6"/>
      <c r="N890" s="6"/>
      <c r="O890" s="6"/>
      <c r="P890" s="6"/>
      <c r="Q890" s="6"/>
      <c r="R890" s="6"/>
      <c r="S890" s="6"/>
      <c r="T890" s="6"/>
      <c r="U890" s="6"/>
      <c r="V890" s="6"/>
      <c r="W890" s="6"/>
      <c r="X890" s="6"/>
      <c r="Y890" s="6"/>
      <c r="Z890" s="6"/>
    </row>
    <row r="891">
      <c r="A891" s="155"/>
      <c r="B891" s="156"/>
      <c r="C891" s="156"/>
      <c r="D891" s="158"/>
      <c r="E891" s="6"/>
      <c r="F891" s="6"/>
      <c r="G891" s="6"/>
      <c r="H891" s="6"/>
      <c r="I891" s="6"/>
      <c r="J891" s="6"/>
      <c r="K891" s="6"/>
      <c r="L891" s="6"/>
      <c r="M891" s="6"/>
      <c r="N891" s="6"/>
      <c r="O891" s="6"/>
      <c r="P891" s="6"/>
      <c r="Q891" s="6"/>
      <c r="R891" s="6"/>
      <c r="S891" s="6"/>
      <c r="T891" s="6"/>
      <c r="U891" s="6"/>
      <c r="V891" s="6"/>
      <c r="W891" s="6"/>
      <c r="X891" s="6"/>
      <c r="Y891" s="6"/>
      <c r="Z891" s="6"/>
    </row>
    <row r="892">
      <c r="A892" s="155"/>
      <c r="B892" s="156"/>
      <c r="C892" s="156"/>
      <c r="D892" s="158"/>
      <c r="E892" s="6"/>
      <c r="F892" s="6"/>
      <c r="G892" s="6"/>
      <c r="H892" s="6"/>
      <c r="I892" s="6"/>
      <c r="J892" s="6"/>
      <c r="K892" s="6"/>
      <c r="L892" s="6"/>
      <c r="M892" s="6"/>
      <c r="N892" s="6"/>
      <c r="O892" s="6"/>
      <c r="P892" s="6"/>
      <c r="Q892" s="6"/>
      <c r="R892" s="6"/>
      <c r="S892" s="6"/>
      <c r="T892" s="6"/>
      <c r="U892" s="6"/>
      <c r="V892" s="6"/>
      <c r="W892" s="6"/>
      <c r="X892" s="6"/>
      <c r="Y892" s="6"/>
      <c r="Z892" s="6"/>
    </row>
    <row r="893">
      <c r="A893" s="155"/>
      <c r="B893" s="156"/>
      <c r="C893" s="156"/>
      <c r="D893" s="158"/>
      <c r="E893" s="6"/>
      <c r="F893" s="6"/>
      <c r="G893" s="6"/>
      <c r="H893" s="6"/>
      <c r="I893" s="6"/>
      <c r="J893" s="6"/>
      <c r="K893" s="6"/>
      <c r="L893" s="6"/>
      <c r="M893" s="6"/>
      <c r="N893" s="6"/>
      <c r="O893" s="6"/>
      <c r="P893" s="6"/>
      <c r="Q893" s="6"/>
      <c r="R893" s="6"/>
      <c r="S893" s="6"/>
      <c r="T893" s="6"/>
      <c r="U893" s="6"/>
      <c r="V893" s="6"/>
      <c r="W893" s="6"/>
      <c r="X893" s="6"/>
      <c r="Y893" s="6"/>
      <c r="Z893" s="6"/>
    </row>
    <row r="894">
      <c r="A894" s="155"/>
      <c r="B894" s="156"/>
      <c r="C894" s="156"/>
      <c r="D894" s="158"/>
      <c r="E894" s="6"/>
      <c r="F894" s="6"/>
      <c r="G894" s="6"/>
      <c r="H894" s="6"/>
      <c r="I894" s="6"/>
      <c r="J894" s="6"/>
      <c r="K894" s="6"/>
      <c r="L894" s="6"/>
      <c r="M894" s="6"/>
      <c r="N894" s="6"/>
      <c r="O894" s="6"/>
      <c r="P894" s="6"/>
      <c r="Q894" s="6"/>
      <c r="R894" s="6"/>
      <c r="S894" s="6"/>
      <c r="T894" s="6"/>
      <c r="U894" s="6"/>
      <c r="V894" s="6"/>
      <c r="W894" s="6"/>
      <c r="X894" s="6"/>
      <c r="Y894" s="6"/>
      <c r="Z894" s="6"/>
    </row>
    <row r="895">
      <c r="A895" s="155"/>
      <c r="B895" s="156"/>
      <c r="C895" s="156"/>
      <c r="D895" s="158"/>
      <c r="E895" s="6"/>
      <c r="F895" s="6"/>
      <c r="G895" s="6"/>
      <c r="H895" s="6"/>
      <c r="I895" s="6"/>
      <c r="J895" s="6"/>
      <c r="K895" s="6"/>
      <c r="L895" s="6"/>
      <c r="M895" s="6"/>
      <c r="N895" s="6"/>
      <c r="O895" s="6"/>
      <c r="P895" s="6"/>
      <c r="Q895" s="6"/>
      <c r="R895" s="6"/>
      <c r="S895" s="6"/>
      <c r="T895" s="6"/>
      <c r="U895" s="6"/>
      <c r="V895" s="6"/>
      <c r="W895" s="6"/>
      <c r="X895" s="6"/>
      <c r="Y895" s="6"/>
      <c r="Z895" s="6"/>
    </row>
    <row r="896">
      <c r="A896" s="155"/>
      <c r="B896" s="156"/>
      <c r="C896" s="156"/>
      <c r="D896" s="158"/>
      <c r="E896" s="6"/>
      <c r="F896" s="6"/>
      <c r="G896" s="6"/>
      <c r="H896" s="6"/>
      <c r="I896" s="6"/>
      <c r="J896" s="6"/>
      <c r="K896" s="6"/>
      <c r="L896" s="6"/>
      <c r="M896" s="6"/>
      <c r="N896" s="6"/>
      <c r="O896" s="6"/>
      <c r="P896" s="6"/>
      <c r="Q896" s="6"/>
      <c r="R896" s="6"/>
      <c r="S896" s="6"/>
      <c r="T896" s="6"/>
      <c r="U896" s="6"/>
      <c r="V896" s="6"/>
      <c r="W896" s="6"/>
      <c r="X896" s="6"/>
      <c r="Y896" s="6"/>
      <c r="Z896" s="6"/>
    </row>
    <row r="897">
      <c r="A897" s="155"/>
      <c r="B897" s="156"/>
      <c r="C897" s="156"/>
      <c r="D897" s="158"/>
      <c r="E897" s="6"/>
      <c r="F897" s="6"/>
      <c r="G897" s="6"/>
      <c r="H897" s="6"/>
      <c r="I897" s="6"/>
      <c r="J897" s="6"/>
      <c r="K897" s="6"/>
      <c r="L897" s="6"/>
      <c r="M897" s="6"/>
      <c r="N897" s="6"/>
      <c r="O897" s="6"/>
      <c r="P897" s="6"/>
      <c r="Q897" s="6"/>
      <c r="R897" s="6"/>
      <c r="S897" s="6"/>
      <c r="T897" s="6"/>
      <c r="U897" s="6"/>
      <c r="V897" s="6"/>
      <c r="W897" s="6"/>
      <c r="X897" s="6"/>
      <c r="Y897" s="6"/>
      <c r="Z897" s="6"/>
    </row>
    <row r="898">
      <c r="A898" s="155"/>
      <c r="B898" s="156"/>
      <c r="C898" s="156"/>
      <c r="D898" s="158"/>
      <c r="E898" s="6"/>
      <c r="F898" s="6"/>
      <c r="G898" s="6"/>
      <c r="H898" s="6"/>
      <c r="I898" s="6"/>
      <c r="J898" s="6"/>
      <c r="K898" s="6"/>
      <c r="L898" s="6"/>
      <c r="M898" s="6"/>
      <c r="N898" s="6"/>
      <c r="O898" s="6"/>
      <c r="P898" s="6"/>
      <c r="Q898" s="6"/>
      <c r="R898" s="6"/>
      <c r="S898" s="6"/>
      <c r="T898" s="6"/>
      <c r="U898" s="6"/>
      <c r="V898" s="6"/>
      <c r="W898" s="6"/>
      <c r="X898" s="6"/>
      <c r="Y898" s="6"/>
      <c r="Z898" s="6"/>
    </row>
    <row r="899">
      <c r="A899" s="155"/>
      <c r="B899" s="156"/>
      <c r="C899" s="156"/>
      <c r="D899" s="158"/>
      <c r="E899" s="6"/>
      <c r="F899" s="6"/>
      <c r="G899" s="6"/>
      <c r="H899" s="6"/>
      <c r="I899" s="6"/>
      <c r="J899" s="6"/>
      <c r="K899" s="6"/>
      <c r="L899" s="6"/>
      <c r="M899" s="6"/>
      <c r="N899" s="6"/>
      <c r="O899" s="6"/>
      <c r="P899" s="6"/>
      <c r="Q899" s="6"/>
      <c r="R899" s="6"/>
      <c r="S899" s="6"/>
      <c r="T899" s="6"/>
      <c r="U899" s="6"/>
      <c r="V899" s="6"/>
      <c r="W899" s="6"/>
      <c r="X899" s="6"/>
      <c r="Y899" s="6"/>
      <c r="Z899" s="6"/>
    </row>
    <row r="900">
      <c r="A900" s="155"/>
      <c r="B900" s="156"/>
      <c r="C900" s="156"/>
      <c r="D900" s="158"/>
      <c r="E900" s="6"/>
      <c r="F900" s="6"/>
      <c r="G900" s="6"/>
      <c r="H900" s="6"/>
      <c r="I900" s="6"/>
      <c r="J900" s="6"/>
      <c r="K900" s="6"/>
      <c r="L900" s="6"/>
      <c r="M900" s="6"/>
      <c r="N900" s="6"/>
      <c r="O900" s="6"/>
      <c r="P900" s="6"/>
      <c r="Q900" s="6"/>
      <c r="R900" s="6"/>
      <c r="S900" s="6"/>
      <c r="T900" s="6"/>
      <c r="U900" s="6"/>
      <c r="V900" s="6"/>
      <c r="W900" s="6"/>
      <c r="X900" s="6"/>
      <c r="Y900" s="6"/>
      <c r="Z900" s="6"/>
    </row>
    <row r="901">
      <c r="A901" s="155"/>
      <c r="B901" s="156"/>
      <c r="C901" s="156"/>
      <c r="D901" s="158"/>
      <c r="E901" s="6"/>
      <c r="F901" s="6"/>
      <c r="G901" s="6"/>
      <c r="H901" s="6"/>
      <c r="I901" s="6"/>
      <c r="J901" s="6"/>
      <c r="K901" s="6"/>
      <c r="L901" s="6"/>
      <c r="M901" s="6"/>
      <c r="N901" s="6"/>
      <c r="O901" s="6"/>
      <c r="P901" s="6"/>
      <c r="Q901" s="6"/>
      <c r="R901" s="6"/>
      <c r="S901" s="6"/>
      <c r="T901" s="6"/>
      <c r="U901" s="6"/>
      <c r="V901" s="6"/>
      <c r="W901" s="6"/>
      <c r="X901" s="6"/>
      <c r="Y901" s="6"/>
      <c r="Z901" s="6"/>
    </row>
    <row r="902">
      <c r="A902" s="155"/>
      <c r="B902" s="156"/>
      <c r="C902" s="156"/>
      <c r="D902" s="158"/>
      <c r="E902" s="6"/>
      <c r="F902" s="6"/>
      <c r="G902" s="6"/>
      <c r="H902" s="6"/>
      <c r="I902" s="6"/>
      <c r="J902" s="6"/>
      <c r="K902" s="6"/>
      <c r="L902" s="6"/>
      <c r="M902" s="6"/>
      <c r="N902" s="6"/>
      <c r="O902" s="6"/>
      <c r="P902" s="6"/>
      <c r="Q902" s="6"/>
      <c r="R902" s="6"/>
      <c r="S902" s="6"/>
      <c r="T902" s="6"/>
      <c r="U902" s="6"/>
      <c r="V902" s="6"/>
      <c r="W902" s="6"/>
      <c r="X902" s="6"/>
      <c r="Y902" s="6"/>
      <c r="Z902" s="6"/>
    </row>
    <row r="903">
      <c r="A903" s="155"/>
      <c r="B903" s="156"/>
      <c r="C903" s="156"/>
      <c r="D903" s="158"/>
      <c r="E903" s="6"/>
      <c r="F903" s="6"/>
      <c r="G903" s="6"/>
      <c r="H903" s="6"/>
      <c r="I903" s="6"/>
      <c r="J903" s="6"/>
      <c r="K903" s="6"/>
      <c r="L903" s="6"/>
      <c r="M903" s="6"/>
      <c r="N903" s="6"/>
      <c r="O903" s="6"/>
      <c r="P903" s="6"/>
      <c r="Q903" s="6"/>
      <c r="R903" s="6"/>
      <c r="S903" s="6"/>
      <c r="T903" s="6"/>
      <c r="U903" s="6"/>
      <c r="V903" s="6"/>
      <c r="W903" s="6"/>
      <c r="X903" s="6"/>
      <c r="Y903" s="6"/>
      <c r="Z903" s="6"/>
    </row>
    <row r="904">
      <c r="A904" s="155"/>
      <c r="B904" s="156"/>
      <c r="C904" s="156"/>
      <c r="D904" s="158"/>
      <c r="E904" s="6"/>
      <c r="F904" s="6"/>
      <c r="G904" s="6"/>
      <c r="H904" s="6"/>
      <c r="I904" s="6"/>
      <c r="J904" s="6"/>
      <c r="K904" s="6"/>
      <c r="L904" s="6"/>
      <c r="M904" s="6"/>
      <c r="N904" s="6"/>
      <c r="O904" s="6"/>
      <c r="P904" s="6"/>
      <c r="Q904" s="6"/>
      <c r="R904" s="6"/>
      <c r="S904" s="6"/>
      <c r="T904" s="6"/>
      <c r="U904" s="6"/>
      <c r="V904" s="6"/>
      <c r="W904" s="6"/>
      <c r="X904" s="6"/>
      <c r="Y904" s="6"/>
      <c r="Z904" s="6"/>
    </row>
    <row r="905">
      <c r="A905" s="155"/>
      <c r="B905" s="156"/>
      <c r="C905" s="156"/>
      <c r="D905" s="158"/>
      <c r="E905" s="6"/>
      <c r="F905" s="6"/>
      <c r="G905" s="6"/>
      <c r="H905" s="6"/>
      <c r="I905" s="6"/>
      <c r="J905" s="6"/>
      <c r="K905" s="6"/>
      <c r="L905" s="6"/>
      <c r="M905" s="6"/>
      <c r="N905" s="6"/>
      <c r="O905" s="6"/>
      <c r="P905" s="6"/>
      <c r="Q905" s="6"/>
      <c r="R905" s="6"/>
      <c r="S905" s="6"/>
      <c r="T905" s="6"/>
      <c r="U905" s="6"/>
      <c r="V905" s="6"/>
      <c r="W905" s="6"/>
      <c r="X905" s="6"/>
      <c r="Y905" s="6"/>
      <c r="Z905" s="6"/>
    </row>
    <row r="906">
      <c r="A906" s="155"/>
      <c r="B906" s="156"/>
      <c r="C906" s="156"/>
      <c r="D906" s="158"/>
      <c r="E906" s="6"/>
      <c r="F906" s="6"/>
      <c r="G906" s="6"/>
      <c r="H906" s="6"/>
      <c r="I906" s="6"/>
      <c r="J906" s="6"/>
      <c r="K906" s="6"/>
      <c r="L906" s="6"/>
      <c r="M906" s="6"/>
      <c r="N906" s="6"/>
      <c r="O906" s="6"/>
      <c r="P906" s="6"/>
      <c r="Q906" s="6"/>
      <c r="R906" s="6"/>
      <c r="S906" s="6"/>
      <c r="T906" s="6"/>
      <c r="U906" s="6"/>
      <c r="V906" s="6"/>
      <c r="W906" s="6"/>
      <c r="X906" s="6"/>
      <c r="Y906" s="6"/>
      <c r="Z906" s="6"/>
    </row>
    <row r="907">
      <c r="A907" s="155"/>
      <c r="B907" s="156"/>
      <c r="C907" s="156"/>
      <c r="D907" s="158"/>
      <c r="E907" s="6"/>
      <c r="F907" s="6"/>
      <c r="G907" s="6"/>
      <c r="H907" s="6"/>
      <c r="I907" s="6"/>
      <c r="J907" s="6"/>
      <c r="K907" s="6"/>
      <c r="L907" s="6"/>
      <c r="M907" s="6"/>
      <c r="N907" s="6"/>
      <c r="O907" s="6"/>
      <c r="P907" s="6"/>
      <c r="Q907" s="6"/>
      <c r="R907" s="6"/>
      <c r="S907" s="6"/>
      <c r="T907" s="6"/>
      <c r="U907" s="6"/>
      <c r="V907" s="6"/>
      <c r="W907" s="6"/>
      <c r="X907" s="6"/>
      <c r="Y907" s="6"/>
      <c r="Z907" s="6"/>
    </row>
    <row r="908">
      <c r="A908" s="155"/>
      <c r="B908" s="156"/>
      <c r="C908" s="156"/>
      <c r="D908" s="158"/>
      <c r="E908" s="6"/>
      <c r="F908" s="6"/>
      <c r="G908" s="6"/>
      <c r="H908" s="6"/>
      <c r="I908" s="6"/>
      <c r="J908" s="6"/>
      <c r="K908" s="6"/>
      <c r="L908" s="6"/>
      <c r="M908" s="6"/>
      <c r="N908" s="6"/>
      <c r="O908" s="6"/>
      <c r="P908" s="6"/>
      <c r="Q908" s="6"/>
      <c r="R908" s="6"/>
      <c r="S908" s="6"/>
      <c r="T908" s="6"/>
      <c r="U908" s="6"/>
      <c r="V908" s="6"/>
      <c r="W908" s="6"/>
      <c r="X908" s="6"/>
      <c r="Y908" s="6"/>
      <c r="Z908" s="6"/>
    </row>
    <row r="909">
      <c r="A909" s="155"/>
      <c r="B909" s="156"/>
      <c r="C909" s="156"/>
      <c r="D909" s="158"/>
      <c r="E909" s="6"/>
      <c r="F909" s="6"/>
      <c r="G909" s="6"/>
      <c r="H909" s="6"/>
      <c r="I909" s="6"/>
      <c r="J909" s="6"/>
      <c r="K909" s="6"/>
      <c r="L909" s="6"/>
      <c r="M909" s="6"/>
      <c r="N909" s="6"/>
      <c r="O909" s="6"/>
      <c r="P909" s="6"/>
      <c r="Q909" s="6"/>
      <c r="R909" s="6"/>
      <c r="S909" s="6"/>
      <c r="T909" s="6"/>
      <c r="U909" s="6"/>
      <c r="V909" s="6"/>
      <c r="W909" s="6"/>
      <c r="X909" s="6"/>
      <c r="Y909" s="6"/>
      <c r="Z909" s="6"/>
    </row>
    <row r="910">
      <c r="A910" s="155"/>
      <c r="B910" s="156"/>
      <c r="C910" s="156"/>
      <c r="D910" s="158"/>
      <c r="E910" s="6"/>
      <c r="F910" s="6"/>
      <c r="G910" s="6"/>
      <c r="H910" s="6"/>
      <c r="I910" s="6"/>
      <c r="J910" s="6"/>
      <c r="K910" s="6"/>
      <c r="L910" s="6"/>
      <c r="M910" s="6"/>
      <c r="N910" s="6"/>
      <c r="O910" s="6"/>
      <c r="P910" s="6"/>
      <c r="Q910" s="6"/>
      <c r="R910" s="6"/>
      <c r="S910" s="6"/>
      <c r="T910" s="6"/>
      <c r="U910" s="6"/>
      <c r="V910" s="6"/>
      <c r="W910" s="6"/>
      <c r="X910" s="6"/>
      <c r="Y910" s="6"/>
      <c r="Z910" s="6"/>
    </row>
    <row r="911">
      <c r="A911" s="155"/>
      <c r="B911" s="156"/>
      <c r="C911" s="156"/>
      <c r="D911" s="158"/>
      <c r="E911" s="6"/>
      <c r="F911" s="6"/>
      <c r="G911" s="6"/>
      <c r="H911" s="6"/>
      <c r="I911" s="6"/>
      <c r="J911" s="6"/>
      <c r="K911" s="6"/>
      <c r="L911" s="6"/>
      <c r="M911" s="6"/>
      <c r="N911" s="6"/>
      <c r="O911" s="6"/>
      <c r="P911" s="6"/>
      <c r="Q911" s="6"/>
      <c r="R911" s="6"/>
      <c r="S911" s="6"/>
      <c r="T911" s="6"/>
      <c r="U911" s="6"/>
      <c r="V911" s="6"/>
      <c r="W911" s="6"/>
      <c r="X911" s="6"/>
      <c r="Y911" s="6"/>
      <c r="Z911" s="6"/>
    </row>
    <row r="912">
      <c r="A912" s="155"/>
      <c r="B912" s="156"/>
      <c r="C912" s="156"/>
      <c r="D912" s="158"/>
      <c r="E912" s="6"/>
      <c r="F912" s="6"/>
      <c r="G912" s="6"/>
      <c r="H912" s="6"/>
      <c r="I912" s="6"/>
      <c r="J912" s="6"/>
      <c r="K912" s="6"/>
      <c r="L912" s="6"/>
      <c r="M912" s="6"/>
      <c r="N912" s="6"/>
      <c r="O912" s="6"/>
      <c r="P912" s="6"/>
      <c r="Q912" s="6"/>
      <c r="R912" s="6"/>
      <c r="S912" s="6"/>
      <c r="T912" s="6"/>
      <c r="U912" s="6"/>
      <c r="V912" s="6"/>
      <c r="W912" s="6"/>
      <c r="X912" s="6"/>
      <c r="Y912" s="6"/>
      <c r="Z912" s="6"/>
    </row>
    <row r="913">
      <c r="A913" s="155"/>
      <c r="B913" s="156"/>
      <c r="C913" s="156"/>
      <c r="D913" s="158"/>
      <c r="E913" s="6"/>
      <c r="F913" s="6"/>
      <c r="G913" s="6"/>
      <c r="H913" s="6"/>
      <c r="I913" s="6"/>
      <c r="J913" s="6"/>
      <c r="K913" s="6"/>
      <c r="L913" s="6"/>
      <c r="M913" s="6"/>
      <c r="N913" s="6"/>
      <c r="O913" s="6"/>
      <c r="P913" s="6"/>
      <c r="Q913" s="6"/>
      <c r="R913" s="6"/>
      <c r="S913" s="6"/>
      <c r="T913" s="6"/>
      <c r="U913" s="6"/>
      <c r="V913" s="6"/>
      <c r="W913" s="6"/>
      <c r="X913" s="6"/>
      <c r="Y913" s="6"/>
      <c r="Z913" s="6"/>
    </row>
    <row r="914">
      <c r="A914" s="155"/>
      <c r="B914" s="156"/>
      <c r="C914" s="156"/>
      <c r="D914" s="158"/>
      <c r="E914" s="6"/>
      <c r="F914" s="6"/>
      <c r="G914" s="6"/>
      <c r="H914" s="6"/>
      <c r="I914" s="6"/>
      <c r="J914" s="6"/>
      <c r="K914" s="6"/>
      <c r="L914" s="6"/>
      <c r="M914" s="6"/>
      <c r="N914" s="6"/>
      <c r="O914" s="6"/>
      <c r="P914" s="6"/>
      <c r="Q914" s="6"/>
      <c r="R914" s="6"/>
      <c r="S914" s="6"/>
      <c r="T914" s="6"/>
      <c r="U914" s="6"/>
      <c r="V914" s="6"/>
      <c r="W914" s="6"/>
      <c r="X914" s="6"/>
      <c r="Y914" s="6"/>
      <c r="Z914" s="6"/>
    </row>
    <row r="915">
      <c r="A915" s="155"/>
      <c r="B915" s="156"/>
      <c r="C915" s="156"/>
      <c r="D915" s="158"/>
      <c r="E915" s="6"/>
      <c r="F915" s="6"/>
      <c r="G915" s="6"/>
      <c r="H915" s="6"/>
      <c r="I915" s="6"/>
      <c r="J915" s="6"/>
      <c r="K915" s="6"/>
      <c r="L915" s="6"/>
      <c r="M915" s="6"/>
      <c r="N915" s="6"/>
      <c r="O915" s="6"/>
      <c r="P915" s="6"/>
      <c r="Q915" s="6"/>
      <c r="R915" s="6"/>
      <c r="S915" s="6"/>
      <c r="T915" s="6"/>
      <c r="U915" s="6"/>
      <c r="V915" s="6"/>
      <c r="W915" s="6"/>
      <c r="X915" s="6"/>
      <c r="Y915" s="6"/>
      <c r="Z915" s="6"/>
    </row>
    <row r="916">
      <c r="A916" s="155"/>
      <c r="B916" s="156"/>
      <c r="C916" s="156"/>
      <c r="D916" s="158"/>
      <c r="E916" s="6"/>
      <c r="F916" s="6"/>
      <c r="G916" s="6"/>
      <c r="H916" s="6"/>
      <c r="I916" s="6"/>
      <c r="J916" s="6"/>
      <c r="K916" s="6"/>
      <c r="L916" s="6"/>
      <c r="M916" s="6"/>
      <c r="N916" s="6"/>
      <c r="O916" s="6"/>
      <c r="P916" s="6"/>
      <c r="Q916" s="6"/>
      <c r="R916" s="6"/>
      <c r="S916" s="6"/>
      <c r="T916" s="6"/>
      <c r="U916" s="6"/>
      <c r="V916" s="6"/>
      <c r="W916" s="6"/>
      <c r="X916" s="6"/>
      <c r="Y916" s="6"/>
      <c r="Z916" s="6"/>
    </row>
    <row r="917">
      <c r="A917" s="155"/>
      <c r="B917" s="156"/>
      <c r="C917" s="156"/>
      <c r="D917" s="158"/>
      <c r="E917" s="6"/>
      <c r="F917" s="6"/>
      <c r="G917" s="6"/>
      <c r="H917" s="6"/>
      <c r="I917" s="6"/>
      <c r="J917" s="6"/>
      <c r="K917" s="6"/>
      <c r="L917" s="6"/>
      <c r="M917" s="6"/>
      <c r="N917" s="6"/>
      <c r="O917" s="6"/>
      <c r="P917" s="6"/>
      <c r="Q917" s="6"/>
      <c r="R917" s="6"/>
      <c r="S917" s="6"/>
      <c r="T917" s="6"/>
      <c r="U917" s="6"/>
      <c r="V917" s="6"/>
      <c r="W917" s="6"/>
      <c r="X917" s="6"/>
      <c r="Y917" s="6"/>
      <c r="Z917" s="6"/>
    </row>
    <row r="918">
      <c r="A918" s="155"/>
      <c r="B918" s="156"/>
      <c r="C918" s="156"/>
      <c r="D918" s="158"/>
      <c r="E918" s="6"/>
      <c r="F918" s="6"/>
      <c r="G918" s="6"/>
      <c r="H918" s="6"/>
      <c r="I918" s="6"/>
      <c r="J918" s="6"/>
      <c r="K918" s="6"/>
      <c r="L918" s="6"/>
      <c r="M918" s="6"/>
      <c r="N918" s="6"/>
      <c r="O918" s="6"/>
      <c r="P918" s="6"/>
      <c r="Q918" s="6"/>
      <c r="R918" s="6"/>
      <c r="S918" s="6"/>
      <c r="T918" s="6"/>
      <c r="U918" s="6"/>
      <c r="V918" s="6"/>
      <c r="W918" s="6"/>
      <c r="X918" s="6"/>
      <c r="Y918" s="6"/>
      <c r="Z918" s="6"/>
    </row>
    <row r="919">
      <c r="A919" s="155"/>
      <c r="B919" s="156"/>
      <c r="C919" s="156"/>
      <c r="D919" s="158"/>
      <c r="E919" s="6"/>
      <c r="F919" s="6"/>
      <c r="G919" s="6"/>
      <c r="H919" s="6"/>
      <c r="I919" s="6"/>
      <c r="J919" s="6"/>
      <c r="K919" s="6"/>
      <c r="L919" s="6"/>
      <c r="M919" s="6"/>
      <c r="N919" s="6"/>
      <c r="O919" s="6"/>
      <c r="P919" s="6"/>
      <c r="Q919" s="6"/>
      <c r="R919" s="6"/>
      <c r="S919" s="6"/>
      <c r="T919" s="6"/>
      <c r="U919" s="6"/>
      <c r="V919" s="6"/>
      <c r="W919" s="6"/>
      <c r="X919" s="6"/>
      <c r="Y919" s="6"/>
      <c r="Z919" s="6"/>
    </row>
    <row r="920">
      <c r="A920" s="155"/>
      <c r="B920" s="156"/>
      <c r="C920" s="156"/>
      <c r="D920" s="158"/>
      <c r="E920" s="6"/>
      <c r="F920" s="6"/>
      <c r="G920" s="6"/>
      <c r="H920" s="6"/>
      <c r="I920" s="6"/>
      <c r="J920" s="6"/>
      <c r="K920" s="6"/>
      <c r="L920" s="6"/>
      <c r="M920" s="6"/>
      <c r="N920" s="6"/>
      <c r="O920" s="6"/>
      <c r="P920" s="6"/>
      <c r="Q920" s="6"/>
      <c r="R920" s="6"/>
      <c r="S920" s="6"/>
      <c r="T920" s="6"/>
      <c r="U920" s="6"/>
      <c r="V920" s="6"/>
      <c r="W920" s="6"/>
      <c r="X920" s="6"/>
      <c r="Y920" s="6"/>
      <c r="Z920" s="6"/>
    </row>
    <row r="921">
      <c r="A921" s="155"/>
      <c r="B921" s="156"/>
      <c r="C921" s="156"/>
      <c r="D921" s="158"/>
      <c r="E921" s="6"/>
      <c r="F921" s="6"/>
      <c r="G921" s="6"/>
      <c r="H921" s="6"/>
      <c r="I921" s="6"/>
      <c r="J921" s="6"/>
      <c r="K921" s="6"/>
      <c r="L921" s="6"/>
      <c r="M921" s="6"/>
      <c r="N921" s="6"/>
      <c r="O921" s="6"/>
      <c r="P921" s="6"/>
      <c r="Q921" s="6"/>
      <c r="R921" s="6"/>
      <c r="S921" s="6"/>
      <c r="T921" s="6"/>
      <c r="U921" s="6"/>
      <c r="V921" s="6"/>
      <c r="W921" s="6"/>
      <c r="X921" s="6"/>
      <c r="Y921" s="6"/>
      <c r="Z921" s="6"/>
    </row>
    <row r="922">
      <c r="A922" s="155"/>
      <c r="B922" s="156"/>
      <c r="C922" s="156"/>
      <c r="D922" s="158"/>
      <c r="E922" s="6"/>
      <c r="F922" s="6"/>
      <c r="G922" s="6"/>
      <c r="H922" s="6"/>
      <c r="I922" s="6"/>
      <c r="J922" s="6"/>
      <c r="K922" s="6"/>
      <c r="L922" s="6"/>
      <c r="M922" s="6"/>
      <c r="N922" s="6"/>
      <c r="O922" s="6"/>
      <c r="P922" s="6"/>
      <c r="Q922" s="6"/>
      <c r="R922" s="6"/>
      <c r="S922" s="6"/>
      <c r="T922" s="6"/>
      <c r="U922" s="6"/>
      <c r="V922" s="6"/>
      <c r="W922" s="6"/>
      <c r="X922" s="6"/>
      <c r="Y922" s="6"/>
      <c r="Z922" s="6"/>
    </row>
    <row r="923">
      <c r="A923" s="155"/>
      <c r="B923" s="156"/>
      <c r="C923" s="156"/>
      <c r="D923" s="158"/>
      <c r="E923" s="6"/>
      <c r="F923" s="6"/>
      <c r="G923" s="6"/>
      <c r="H923" s="6"/>
      <c r="I923" s="6"/>
      <c r="J923" s="6"/>
      <c r="K923" s="6"/>
      <c r="L923" s="6"/>
      <c r="M923" s="6"/>
      <c r="N923" s="6"/>
      <c r="O923" s="6"/>
      <c r="P923" s="6"/>
      <c r="Q923" s="6"/>
      <c r="R923" s="6"/>
      <c r="S923" s="6"/>
      <c r="T923" s="6"/>
      <c r="U923" s="6"/>
      <c r="V923" s="6"/>
      <c r="W923" s="6"/>
      <c r="X923" s="6"/>
      <c r="Y923" s="6"/>
      <c r="Z923" s="6"/>
    </row>
    <row r="924">
      <c r="A924" s="155"/>
      <c r="B924" s="156"/>
      <c r="C924" s="156"/>
      <c r="D924" s="158"/>
      <c r="E924" s="6"/>
      <c r="F924" s="6"/>
      <c r="G924" s="6"/>
      <c r="H924" s="6"/>
      <c r="I924" s="6"/>
      <c r="J924" s="6"/>
      <c r="K924" s="6"/>
      <c r="L924" s="6"/>
      <c r="M924" s="6"/>
      <c r="N924" s="6"/>
      <c r="O924" s="6"/>
      <c r="P924" s="6"/>
      <c r="Q924" s="6"/>
      <c r="R924" s="6"/>
      <c r="S924" s="6"/>
      <c r="T924" s="6"/>
      <c r="U924" s="6"/>
      <c r="V924" s="6"/>
      <c r="W924" s="6"/>
      <c r="X924" s="6"/>
      <c r="Y924" s="6"/>
      <c r="Z924" s="6"/>
    </row>
    <row r="925">
      <c r="A925" s="155"/>
      <c r="B925" s="156"/>
      <c r="C925" s="156"/>
      <c r="D925" s="158"/>
      <c r="E925" s="6"/>
      <c r="F925" s="6"/>
      <c r="G925" s="6"/>
      <c r="H925" s="6"/>
      <c r="I925" s="6"/>
      <c r="J925" s="6"/>
      <c r="K925" s="6"/>
      <c r="L925" s="6"/>
      <c r="M925" s="6"/>
      <c r="N925" s="6"/>
      <c r="O925" s="6"/>
      <c r="P925" s="6"/>
      <c r="Q925" s="6"/>
      <c r="R925" s="6"/>
      <c r="S925" s="6"/>
      <c r="T925" s="6"/>
      <c r="U925" s="6"/>
      <c r="V925" s="6"/>
      <c r="W925" s="6"/>
      <c r="X925" s="6"/>
      <c r="Y925" s="6"/>
      <c r="Z925" s="6"/>
    </row>
    <row r="926">
      <c r="A926" s="155"/>
      <c r="B926" s="156"/>
      <c r="C926" s="156"/>
      <c r="D926" s="158"/>
      <c r="E926" s="6"/>
      <c r="F926" s="6"/>
      <c r="G926" s="6"/>
      <c r="H926" s="6"/>
      <c r="I926" s="6"/>
      <c r="J926" s="6"/>
      <c r="K926" s="6"/>
      <c r="L926" s="6"/>
      <c r="M926" s="6"/>
      <c r="N926" s="6"/>
      <c r="O926" s="6"/>
      <c r="P926" s="6"/>
      <c r="Q926" s="6"/>
      <c r="R926" s="6"/>
      <c r="S926" s="6"/>
      <c r="T926" s="6"/>
      <c r="U926" s="6"/>
      <c r="V926" s="6"/>
      <c r="W926" s="6"/>
      <c r="X926" s="6"/>
      <c r="Y926" s="6"/>
      <c r="Z926" s="6"/>
    </row>
    <row r="927">
      <c r="A927" s="155"/>
      <c r="B927" s="156"/>
      <c r="C927" s="156"/>
      <c r="D927" s="158"/>
      <c r="E927" s="6"/>
      <c r="F927" s="6"/>
      <c r="G927" s="6"/>
      <c r="H927" s="6"/>
      <c r="I927" s="6"/>
      <c r="J927" s="6"/>
      <c r="K927" s="6"/>
      <c r="L927" s="6"/>
      <c r="M927" s="6"/>
      <c r="N927" s="6"/>
      <c r="O927" s="6"/>
      <c r="P927" s="6"/>
      <c r="Q927" s="6"/>
      <c r="R927" s="6"/>
      <c r="S927" s="6"/>
      <c r="T927" s="6"/>
      <c r="U927" s="6"/>
      <c r="V927" s="6"/>
      <c r="W927" s="6"/>
      <c r="X927" s="6"/>
      <c r="Y927" s="6"/>
      <c r="Z927" s="6"/>
    </row>
    <row r="928">
      <c r="A928" s="155"/>
      <c r="B928" s="156"/>
      <c r="C928" s="156"/>
      <c r="D928" s="158"/>
      <c r="E928" s="6"/>
      <c r="F928" s="6"/>
      <c r="G928" s="6"/>
      <c r="H928" s="6"/>
      <c r="I928" s="6"/>
      <c r="J928" s="6"/>
      <c r="K928" s="6"/>
      <c r="L928" s="6"/>
      <c r="M928" s="6"/>
      <c r="N928" s="6"/>
      <c r="O928" s="6"/>
      <c r="P928" s="6"/>
      <c r="Q928" s="6"/>
      <c r="R928" s="6"/>
      <c r="S928" s="6"/>
      <c r="T928" s="6"/>
      <c r="U928" s="6"/>
      <c r="V928" s="6"/>
      <c r="W928" s="6"/>
      <c r="X928" s="6"/>
      <c r="Y928" s="6"/>
      <c r="Z928" s="6"/>
    </row>
    <row r="929">
      <c r="A929" s="155"/>
      <c r="B929" s="156"/>
      <c r="C929" s="156"/>
      <c r="D929" s="158"/>
      <c r="E929" s="6"/>
      <c r="F929" s="6"/>
      <c r="G929" s="6"/>
      <c r="H929" s="6"/>
      <c r="I929" s="6"/>
      <c r="J929" s="6"/>
      <c r="K929" s="6"/>
      <c r="L929" s="6"/>
      <c r="M929" s="6"/>
      <c r="N929" s="6"/>
      <c r="O929" s="6"/>
      <c r="P929" s="6"/>
      <c r="Q929" s="6"/>
      <c r="R929" s="6"/>
      <c r="S929" s="6"/>
      <c r="T929" s="6"/>
      <c r="U929" s="6"/>
      <c r="V929" s="6"/>
      <c r="W929" s="6"/>
      <c r="X929" s="6"/>
      <c r="Y929" s="6"/>
      <c r="Z929" s="6"/>
    </row>
    <row r="930">
      <c r="A930" s="155"/>
      <c r="B930" s="156"/>
      <c r="C930" s="156"/>
      <c r="D930" s="158"/>
      <c r="E930" s="6"/>
      <c r="F930" s="6"/>
      <c r="G930" s="6"/>
      <c r="H930" s="6"/>
      <c r="I930" s="6"/>
      <c r="J930" s="6"/>
      <c r="K930" s="6"/>
      <c r="L930" s="6"/>
      <c r="M930" s="6"/>
      <c r="N930" s="6"/>
      <c r="O930" s="6"/>
      <c r="P930" s="6"/>
      <c r="Q930" s="6"/>
      <c r="R930" s="6"/>
      <c r="S930" s="6"/>
      <c r="T930" s="6"/>
      <c r="U930" s="6"/>
      <c r="V930" s="6"/>
      <c r="W930" s="6"/>
      <c r="X930" s="6"/>
      <c r="Y930" s="6"/>
      <c r="Z930" s="6"/>
    </row>
    <row r="931">
      <c r="A931" s="155"/>
      <c r="B931" s="156"/>
      <c r="C931" s="156"/>
      <c r="D931" s="158"/>
      <c r="E931" s="6"/>
      <c r="F931" s="6"/>
      <c r="G931" s="6"/>
      <c r="H931" s="6"/>
      <c r="I931" s="6"/>
      <c r="J931" s="6"/>
      <c r="K931" s="6"/>
      <c r="L931" s="6"/>
      <c r="M931" s="6"/>
      <c r="N931" s="6"/>
      <c r="O931" s="6"/>
      <c r="P931" s="6"/>
      <c r="Q931" s="6"/>
      <c r="R931" s="6"/>
      <c r="S931" s="6"/>
      <c r="T931" s="6"/>
      <c r="U931" s="6"/>
      <c r="V931" s="6"/>
      <c r="W931" s="6"/>
      <c r="X931" s="6"/>
      <c r="Y931" s="6"/>
      <c r="Z931" s="6"/>
    </row>
    <row r="932">
      <c r="A932" s="155"/>
      <c r="B932" s="156"/>
      <c r="C932" s="156"/>
      <c r="D932" s="158"/>
      <c r="E932" s="6"/>
      <c r="F932" s="6"/>
      <c r="G932" s="6"/>
      <c r="H932" s="6"/>
      <c r="I932" s="6"/>
      <c r="J932" s="6"/>
      <c r="K932" s="6"/>
      <c r="L932" s="6"/>
      <c r="M932" s="6"/>
      <c r="N932" s="6"/>
      <c r="O932" s="6"/>
      <c r="P932" s="6"/>
      <c r="Q932" s="6"/>
      <c r="R932" s="6"/>
      <c r="S932" s="6"/>
      <c r="T932" s="6"/>
      <c r="U932" s="6"/>
      <c r="V932" s="6"/>
      <c r="W932" s="6"/>
      <c r="X932" s="6"/>
      <c r="Y932" s="6"/>
      <c r="Z932" s="6"/>
    </row>
    <row r="933">
      <c r="A933" s="155"/>
      <c r="B933" s="156"/>
      <c r="C933" s="156"/>
      <c r="D933" s="158"/>
      <c r="E933" s="6"/>
      <c r="F933" s="6"/>
      <c r="G933" s="6"/>
      <c r="H933" s="6"/>
      <c r="I933" s="6"/>
      <c r="J933" s="6"/>
      <c r="K933" s="6"/>
      <c r="L933" s="6"/>
      <c r="M933" s="6"/>
      <c r="N933" s="6"/>
      <c r="O933" s="6"/>
      <c r="P933" s="6"/>
      <c r="Q933" s="6"/>
      <c r="R933" s="6"/>
      <c r="S933" s="6"/>
      <c r="T933" s="6"/>
      <c r="U933" s="6"/>
      <c r="V933" s="6"/>
      <c r="W933" s="6"/>
      <c r="X933" s="6"/>
      <c r="Y933" s="6"/>
      <c r="Z933" s="6"/>
    </row>
    <row r="934">
      <c r="A934" s="155"/>
      <c r="B934" s="156"/>
      <c r="C934" s="156"/>
      <c r="D934" s="158"/>
      <c r="E934" s="6"/>
      <c r="F934" s="6"/>
      <c r="G934" s="6"/>
      <c r="H934" s="6"/>
      <c r="I934" s="6"/>
      <c r="J934" s="6"/>
      <c r="K934" s="6"/>
      <c r="L934" s="6"/>
      <c r="M934" s="6"/>
      <c r="N934" s="6"/>
      <c r="O934" s="6"/>
      <c r="P934" s="6"/>
      <c r="Q934" s="6"/>
      <c r="R934" s="6"/>
      <c r="S934" s="6"/>
      <c r="T934" s="6"/>
      <c r="U934" s="6"/>
      <c r="V934" s="6"/>
      <c r="W934" s="6"/>
      <c r="X934" s="6"/>
      <c r="Y934" s="6"/>
      <c r="Z934" s="6"/>
    </row>
    <row r="935">
      <c r="A935" s="155"/>
      <c r="B935" s="156"/>
      <c r="C935" s="156"/>
      <c r="D935" s="158"/>
      <c r="E935" s="6"/>
      <c r="F935" s="6"/>
      <c r="G935" s="6"/>
      <c r="H935" s="6"/>
      <c r="I935" s="6"/>
      <c r="J935" s="6"/>
      <c r="K935" s="6"/>
      <c r="L935" s="6"/>
      <c r="M935" s="6"/>
      <c r="N935" s="6"/>
      <c r="O935" s="6"/>
      <c r="P935" s="6"/>
      <c r="Q935" s="6"/>
      <c r="R935" s="6"/>
      <c r="S935" s="6"/>
      <c r="T935" s="6"/>
      <c r="U935" s="6"/>
      <c r="V935" s="6"/>
      <c r="W935" s="6"/>
      <c r="X935" s="6"/>
      <c r="Y935" s="6"/>
      <c r="Z935" s="6"/>
    </row>
    <row r="936">
      <c r="A936" s="155"/>
      <c r="B936" s="156"/>
      <c r="C936" s="156"/>
      <c r="D936" s="158"/>
      <c r="E936" s="6"/>
      <c r="F936" s="6"/>
      <c r="G936" s="6"/>
      <c r="H936" s="6"/>
      <c r="I936" s="6"/>
      <c r="J936" s="6"/>
      <c r="K936" s="6"/>
      <c r="L936" s="6"/>
      <c r="M936" s="6"/>
      <c r="N936" s="6"/>
      <c r="O936" s="6"/>
      <c r="P936" s="6"/>
      <c r="Q936" s="6"/>
      <c r="R936" s="6"/>
      <c r="S936" s="6"/>
      <c r="T936" s="6"/>
      <c r="U936" s="6"/>
      <c r="V936" s="6"/>
      <c r="W936" s="6"/>
      <c r="X936" s="6"/>
      <c r="Y936" s="6"/>
      <c r="Z936" s="6"/>
    </row>
    <row r="937">
      <c r="A937" s="155"/>
      <c r="B937" s="156"/>
      <c r="C937" s="156"/>
      <c r="D937" s="158"/>
      <c r="E937" s="6"/>
      <c r="F937" s="6"/>
      <c r="G937" s="6"/>
      <c r="H937" s="6"/>
      <c r="I937" s="6"/>
      <c r="J937" s="6"/>
      <c r="K937" s="6"/>
      <c r="L937" s="6"/>
      <c r="M937" s="6"/>
      <c r="N937" s="6"/>
      <c r="O937" s="6"/>
      <c r="P937" s="6"/>
      <c r="Q937" s="6"/>
      <c r="R937" s="6"/>
      <c r="S937" s="6"/>
      <c r="T937" s="6"/>
      <c r="U937" s="6"/>
      <c r="V937" s="6"/>
      <c r="W937" s="6"/>
      <c r="X937" s="6"/>
      <c r="Y937" s="6"/>
      <c r="Z937" s="6"/>
    </row>
    <row r="938">
      <c r="A938" s="155"/>
      <c r="B938" s="156"/>
      <c r="C938" s="156"/>
      <c r="D938" s="158"/>
      <c r="E938" s="6"/>
      <c r="F938" s="6"/>
      <c r="G938" s="6"/>
      <c r="H938" s="6"/>
      <c r="I938" s="6"/>
      <c r="J938" s="6"/>
      <c r="K938" s="6"/>
      <c r="L938" s="6"/>
      <c r="M938" s="6"/>
      <c r="N938" s="6"/>
      <c r="O938" s="6"/>
      <c r="P938" s="6"/>
      <c r="Q938" s="6"/>
      <c r="R938" s="6"/>
      <c r="S938" s="6"/>
      <c r="T938" s="6"/>
      <c r="U938" s="6"/>
      <c r="V938" s="6"/>
      <c r="W938" s="6"/>
      <c r="X938" s="6"/>
      <c r="Y938" s="6"/>
      <c r="Z938" s="6"/>
    </row>
    <row r="939">
      <c r="A939" s="155"/>
      <c r="B939" s="156"/>
      <c r="C939" s="156"/>
      <c r="D939" s="158"/>
      <c r="E939" s="6"/>
      <c r="F939" s="6"/>
      <c r="G939" s="6"/>
      <c r="H939" s="6"/>
      <c r="I939" s="6"/>
      <c r="J939" s="6"/>
      <c r="K939" s="6"/>
      <c r="L939" s="6"/>
      <c r="M939" s="6"/>
      <c r="N939" s="6"/>
      <c r="O939" s="6"/>
      <c r="P939" s="6"/>
      <c r="Q939" s="6"/>
      <c r="R939" s="6"/>
      <c r="S939" s="6"/>
      <c r="T939" s="6"/>
      <c r="U939" s="6"/>
      <c r="V939" s="6"/>
      <c r="W939" s="6"/>
      <c r="X939" s="6"/>
      <c r="Y939" s="6"/>
      <c r="Z939" s="6"/>
    </row>
    <row r="940">
      <c r="A940" s="155"/>
      <c r="B940" s="156"/>
      <c r="C940" s="156"/>
      <c r="D940" s="158"/>
      <c r="E940" s="6"/>
      <c r="F940" s="6"/>
      <c r="G940" s="6"/>
      <c r="H940" s="6"/>
      <c r="I940" s="6"/>
      <c r="J940" s="6"/>
      <c r="K940" s="6"/>
      <c r="L940" s="6"/>
      <c r="M940" s="6"/>
      <c r="N940" s="6"/>
      <c r="O940" s="6"/>
      <c r="P940" s="6"/>
      <c r="Q940" s="6"/>
      <c r="R940" s="6"/>
      <c r="S940" s="6"/>
      <c r="T940" s="6"/>
      <c r="U940" s="6"/>
      <c r="V940" s="6"/>
      <c r="W940" s="6"/>
      <c r="X940" s="6"/>
      <c r="Y940" s="6"/>
      <c r="Z940" s="6"/>
    </row>
    <row r="941">
      <c r="A941" s="155"/>
      <c r="B941" s="156"/>
      <c r="C941" s="156"/>
      <c r="D941" s="158"/>
      <c r="E941" s="6"/>
      <c r="F941" s="6"/>
      <c r="G941" s="6"/>
      <c r="H941" s="6"/>
      <c r="I941" s="6"/>
      <c r="J941" s="6"/>
      <c r="K941" s="6"/>
      <c r="L941" s="6"/>
      <c r="M941" s="6"/>
      <c r="N941" s="6"/>
      <c r="O941" s="6"/>
      <c r="P941" s="6"/>
      <c r="Q941" s="6"/>
      <c r="R941" s="6"/>
      <c r="S941" s="6"/>
      <c r="T941" s="6"/>
      <c r="U941" s="6"/>
      <c r="V941" s="6"/>
      <c r="W941" s="6"/>
      <c r="X941" s="6"/>
      <c r="Y941" s="6"/>
      <c r="Z941" s="6"/>
    </row>
    <row r="942">
      <c r="A942" s="155"/>
      <c r="B942" s="156"/>
      <c r="C942" s="156"/>
      <c r="D942" s="158"/>
      <c r="E942" s="6"/>
      <c r="F942" s="6"/>
      <c r="G942" s="6"/>
      <c r="H942" s="6"/>
      <c r="I942" s="6"/>
      <c r="J942" s="6"/>
      <c r="K942" s="6"/>
      <c r="L942" s="6"/>
      <c r="M942" s="6"/>
      <c r="N942" s="6"/>
      <c r="O942" s="6"/>
      <c r="P942" s="6"/>
      <c r="Q942" s="6"/>
      <c r="R942" s="6"/>
      <c r="S942" s="6"/>
      <c r="T942" s="6"/>
      <c r="U942" s="6"/>
      <c r="V942" s="6"/>
      <c r="W942" s="6"/>
      <c r="X942" s="6"/>
      <c r="Y942" s="6"/>
      <c r="Z942" s="6"/>
    </row>
    <row r="943">
      <c r="A943" s="155"/>
      <c r="B943" s="156"/>
      <c r="C943" s="156"/>
      <c r="D943" s="158"/>
      <c r="E943" s="6"/>
      <c r="F943" s="6"/>
      <c r="G943" s="6"/>
      <c r="H943" s="6"/>
      <c r="I943" s="6"/>
      <c r="J943" s="6"/>
      <c r="K943" s="6"/>
      <c r="L943" s="6"/>
      <c r="M943" s="6"/>
      <c r="N943" s="6"/>
      <c r="O943" s="6"/>
      <c r="P943" s="6"/>
      <c r="Q943" s="6"/>
      <c r="R943" s="6"/>
      <c r="S943" s="6"/>
      <c r="T943" s="6"/>
      <c r="U943" s="6"/>
      <c r="V943" s="6"/>
      <c r="W943" s="6"/>
      <c r="X943" s="6"/>
      <c r="Y943" s="6"/>
      <c r="Z943" s="6"/>
    </row>
    <row r="944">
      <c r="A944" s="155"/>
      <c r="B944" s="156"/>
      <c r="C944" s="156"/>
      <c r="D944" s="158"/>
      <c r="E944" s="6"/>
      <c r="F944" s="6"/>
      <c r="G944" s="6"/>
      <c r="H944" s="6"/>
      <c r="I944" s="6"/>
      <c r="J944" s="6"/>
      <c r="K944" s="6"/>
      <c r="L944" s="6"/>
      <c r="M944" s="6"/>
      <c r="N944" s="6"/>
      <c r="O944" s="6"/>
      <c r="P944" s="6"/>
      <c r="Q944" s="6"/>
      <c r="R944" s="6"/>
      <c r="S944" s="6"/>
      <c r="T944" s="6"/>
      <c r="U944" s="6"/>
      <c r="V944" s="6"/>
      <c r="W944" s="6"/>
      <c r="X944" s="6"/>
      <c r="Y944" s="6"/>
      <c r="Z944" s="6"/>
    </row>
    <row r="945">
      <c r="A945" s="155"/>
      <c r="B945" s="156"/>
      <c r="C945" s="156"/>
      <c r="D945" s="158"/>
      <c r="E945" s="6"/>
      <c r="F945" s="6"/>
      <c r="G945" s="6"/>
      <c r="H945" s="6"/>
      <c r="I945" s="6"/>
      <c r="J945" s="6"/>
      <c r="K945" s="6"/>
      <c r="L945" s="6"/>
      <c r="M945" s="6"/>
      <c r="N945" s="6"/>
      <c r="O945" s="6"/>
      <c r="P945" s="6"/>
      <c r="Q945" s="6"/>
      <c r="R945" s="6"/>
      <c r="S945" s="6"/>
      <c r="T945" s="6"/>
      <c r="U945" s="6"/>
      <c r="V945" s="6"/>
      <c r="W945" s="6"/>
      <c r="X945" s="6"/>
      <c r="Y945" s="6"/>
      <c r="Z945" s="6"/>
    </row>
    <row r="946">
      <c r="A946" s="155"/>
      <c r="B946" s="156"/>
      <c r="C946" s="156"/>
      <c r="D946" s="158"/>
      <c r="E946" s="6"/>
      <c r="F946" s="6"/>
      <c r="G946" s="6"/>
      <c r="H946" s="6"/>
      <c r="I946" s="6"/>
      <c r="J946" s="6"/>
      <c r="K946" s="6"/>
      <c r="L946" s="6"/>
      <c r="M946" s="6"/>
      <c r="N946" s="6"/>
      <c r="O946" s="6"/>
      <c r="P946" s="6"/>
      <c r="Q946" s="6"/>
      <c r="R946" s="6"/>
      <c r="S946" s="6"/>
      <c r="T946" s="6"/>
      <c r="U946" s="6"/>
      <c r="V946" s="6"/>
      <c r="W946" s="6"/>
      <c r="X946" s="6"/>
      <c r="Y946" s="6"/>
      <c r="Z946" s="6"/>
    </row>
    <row r="947">
      <c r="A947" s="155"/>
      <c r="B947" s="156"/>
      <c r="C947" s="156"/>
      <c r="D947" s="158"/>
      <c r="E947" s="6"/>
      <c r="F947" s="6"/>
      <c r="G947" s="6"/>
      <c r="H947" s="6"/>
      <c r="I947" s="6"/>
      <c r="J947" s="6"/>
      <c r="K947" s="6"/>
      <c r="L947" s="6"/>
      <c r="M947" s="6"/>
      <c r="N947" s="6"/>
      <c r="O947" s="6"/>
      <c r="P947" s="6"/>
      <c r="Q947" s="6"/>
      <c r="R947" s="6"/>
      <c r="S947" s="6"/>
      <c r="T947" s="6"/>
      <c r="U947" s="6"/>
      <c r="V947" s="6"/>
      <c r="W947" s="6"/>
      <c r="X947" s="6"/>
      <c r="Y947" s="6"/>
      <c r="Z947" s="6"/>
    </row>
    <row r="948">
      <c r="A948" s="155"/>
      <c r="B948" s="156"/>
      <c r="C948" s="156"/>
      <c r="D948" s="158"/>
      <c r="E948" s="6"/>
      <c r="F948" s="6"/>
      <c r="G948" s="6"/>
      <c r="H948" s="6"/>
      <c r="I948" s="6"/>
      <c r="J948" s="6"/>
      <c r="K948" s="6"/>
      <c r="L948" s="6"/>
      <c r="M948" s="6"/>
      <c r="N948" s="6"/>
      <c r="O948" s="6"/>
      <c r="P948" s="6"/>
      <c r="Q948" s="6"/>
      <c r="R948" s="6"/>
      <c r="S948" s="6"/>
      <c r="T948" s="6"/>
      <c r="U948" s="6"/>
      <c r="V948" s="6"/>
      <c r="W948" s="6"/>
      <c r="X948" s="6"/>
      <c r="Y948" s="6"/>
      <c r="Z948" s="6"/>
    </row>
    <row r="949">
      <c r="A949" s="155"/>
      <c r="B949" s="156"/>
      <c r="C949" s="156"/>
      <c r="D949" s="158"/>
      <c r="E949" s="6"/>
      <c r="F949" s="6"/>
      <c r="G949" s="6"/>
      <c r="H949" s="6"/>
      <c r="I949" s="6"/>
      <c r="J949" s="6"/>
      <c r="K949" s="6"/>
      <c r="L949" s="6"/>
      <c r="M949" s="6"/>
      <c r="N949" s="6"/>
      <c r="O949" s="6"/>
      <c r="P949" s="6"/>
      <c r="Q949" s="6"/>
      <c r="R949" s="6"/>
      <c r="S949" s="6"/>
      <c r="T949" s="6"/>
      <c r="U949" s="6"/>
      <c r="V949" s="6"/>
      <c r="W949" s="6"/>
      <c r="X949" s="6"/>
      <c r="Y949" s="6"/>
      <c r="Z949" s="6"/>
    </row>
    <row r="950">
      <c r="A950" s="155"/>
      <c r="B950" s="156"/>
      <c r="C950" s="156"/>
      <c r="D950" s="158"/>
      <c r="E950" s="6"/>
      <c r="F950" s="6"/>
      <c r="G950" s="6"/>
      <c r="H950" s="6"/>
      <c r="I950" s="6"/>
      <c r="J950" s="6"/>
      <c r="K950" s="6"/>
      <c r="L950" s="6"/>
      <c r="M950" s="6"/>
      <c r="N950" s="6"/>
      <c r="O950" s="6"/>
      <c r="P950" s="6"/>
      <c r="Q950" s="6"/>
      <c r="R950" s="6"/>
      <c r="S950" s="6"/>
      <c r="T950" s="6"/>
      <c r="U950" s="6"/>
      <c r="V950" s="6"/>
      <c r="W950" s="6"/>
      <c r="X950" s="6"/>
      <c r="Y950" s="6"/>
      <c r="Z950" s="6"/>
    </row>
    <row r="951">
      <c r="A951" s="155"/>
      <c r="B951" s="156"/>
      <c r="C951" s="156"/>
      <c r="D951" s="158"/>
      <c r="E951" s="6"/>
      <c r="F951" s="6"/>
      <c r="G951" s="6"/>
      <c r="H951" s="6"/>
      <c r="I951" s="6"/>
      <c r="J951" s="6"/>
      <c r="K951" s="6"/>
      <c r="L951" s="6"/>
      <c r="M951" s="6"/>
      <c r="N951" s="6"/>
      <c r="O951" s="6"/>
      <c r="P951" s="6"/>
      <c r="Q951" s="6"/>
      <c r="R951" s="6"/>
      <c r="S951" s="6"/>
      <c r="T951" s="6"/>
      <c r="U951" s="6"/>
      <c r="V951" s="6"/>
      <c r="W951" s="6"/>
      <c r="X951" s="6"/>
      <c r="Y951" s="6"/>
      <c r="Z951" s="6"/>
    </row>
    <row r="952">
      <c r="A952" s="155"/>
      <c r="B952" s="156"/>
      <c r="C952" s="156"/>
      <c r="D952" s="158"/>
      <c r="E952" s="6"/>
      <c r="F952" s="6"/>
      <c r="G952" s="6"/>
      <c r="H952" s="6"/>
      <c r="I952" s="6"/>
      <c r="J952" s="6"/>
      <c r="K952" s="6"/>
      <c r="L952" s="6"/>
      <c r="M952" s="6"/>
      <c r="N952" s="6"/>
      <c r="O952" s="6"/>
      <c r="P952" s="6"/>
      <c r="Q952" s="6"/>
      <c r="R952" s="6"/>
      <c r="S952" s="6"/>
      <c r="T952" s="6"/>
      <c r="U952" s="6"/>
      <c r="V952" s="6"/>
      <c r="W952" s="6"/>
      <c r="X952" s="6"/>
      <c r="Y952" s="6"/>
      <c r="Z952" s="6"/>
    </row>
    <row r="953">
      <c r="A953" s="155"/>
      <c r="B953" s="156"/>
      <c r="C953" s="156"/>
      <c r="D953" s="158"/>
      <c r="E953" s="6"/>
      <c r="F953" s="6"/>
      <c r="G953" s="6"/>
      <c r="H953" s="6"/>
      <c r="I953" s="6"/>
      <c r="J953" s="6"/>
      <c r="K953" s="6"/>
      <c r="L953" s="6"/>
      <c r="M953" s="6"/>
      <c r="N953" s="6"/>
      <c r="O953" s="6"/>
      <c r="P953" s="6"/>
      <c r="Q953" s="6"/>
      <c r="R953" s="6"/>
      <c r="S953" s="6"/>
      <c r="T953" s="6"/>
      <c r="U953" s="6"/>
      <c r="V953" s="6"/>
      <c r="W953" s="6"/>
      <c r="X953" s="6"/>
      <c r="Y953" s="6"/>
      <c r="Z953" s="6"/>
    </row>
    <row r="954">
      <c r="A954" s="155"/>
      <c r="B954" s="156"/>
      <c r="C954" s="156"/>
      <c r="D954" s="158"/>
      <c r="E954" s="6"/>
      <c r="F954" s="6"/>
      <c r="G954" s="6"/>
      <c r="H954" s="6"/>
      <c r="I954" s="6"/>
      <c r="J954" s="6"/>
      <c r="K954" s="6"/>
      <c r="L954" s="6"/>
      <c r="M954" s="6"/>
      <c r="N954" s="6"/>
      <c r="O954" s="6"/>
      <c r="P954" s="6"/>
      <c r="Q954" s="6"/>
      <c r="R954" s="6"/>
      <c r="S954" s="6"/>
      <c r="T954" s="6"/>
      <c r="U954" s="6"/>
      <c r="V954" s="6"/>
      <c r="W954" s="6"/>
      <c r="X954" s="6"/>
      <c r="Y954" s="6"/>
      <c r="Z954" s="6"/>
    </row>
    <row r="955">
      <c r="A955" s="155"/>
      <c r="B955" s="156"/>
      <c r="C955" s="156"/>
      <c r="D955" s="158"/>
      <c r="E955" s="6"/>
      <c r="F955" s="6"/>
      <c r="G955" s="6"/>
      <c r="H955" s="6"/>
      <c r="I955" s="6"/>
      <c r="J955" s="6"/>
      <c r="K955" s="6"/>
      <c r="L955" s="6"/>
      <c r="M955" s="6"/>
      <c r="N955" s="6"/>
      <c r="O955" s="6"/>
      <c r="P955" s="6"/>
      <c r="Q955" s="6"/>
      <c r="R955" s="6"/>
      <c r="S955" s="6"/>
      <c r="T955" s="6"/>
      <c r="U955" s="6"/>
      <c r="V955" s="6"/>
      <c r="W955" s="6"/>
      <c r="X955" s="6"/>
      <c r="Y955" s="6"/>
      <c r="Z955" s="6"/>
    </row>
    <row r="956">
      <c r="A956" s="155"/>
      <c r="B956" s="156"/>
      <c r="C956" s="156"/>
      <c r="D956" s="158"/>
      <c r="E956" s="6"/>
      <c r="F956" s="6"/>
      <c r="G956" s="6"/>
      <c r="H956" s="6"/>
      <c r="I956" s="6"/>
      <c r="J956" s="6"/>
      <c r="K956" s="6"/>
      <c r="L956" s="6"/>
      <c r="M956" s="6"/>
      <c r="N956" s="6"/>
      <c r="O956" s="6"/>
      <c r="P956" s="6"/>
      <c r="Q956" s="6"/>
      <c r="R956" s="6"/>
      <c r="S956" s="6"/>
      <c r="T956" s="6"/>
      <c r="U956" s="6"/>
      <c r="V956" s="6"/>
      <c r="W956" s="6"/>
      <c r="X956" s="6"/>
      <c r="Y956" s="6"/>
      <c r="Z956" s="6"/>
    </row>
    <row r="957">
      <c r="A957" s="155"/>
      <c r="B957" s="156"/>
      <c r="C957" s="156"/>
      <c r="D957" s="158"/>
      <c r="E957" s="6"/>
      <c r="F957" s="6"/>
      <c r="G957" s="6"/>
      <c r="H957" s="6"/>
      <c r="I957" s="6"/>
      <c r="J957" s="6"/>
      <c r="K957" s="6"/>
      <c r="L957" s="6"/>
      <c r="M957" s="6"/>
      <c r="N957" s="6"/>
      <c r="O957" s="6"/>
      <c r="P957" s="6"/>
      <c r="Q957" s="6"/>
      <c r="R957" s="6"/>
      <c r="S957" s="6"/>
      <c r="T957" s="6"/>
      <c r="U957" s="6"/>
      <c r="V957" s="6"/>
      <c r="W957" s="6"/>
      <c r="X957" s="6"/>
      <c r="Y957" s="6"/>
      <c r="Z957" s="6"/>
    </row>
    <row r="958">
      <c r="A958" s="155"/>
      <c r="B958" s="156"/>
      <c r="C958" s="156"/>
      <c r="D958" s="158"/>
      <c r="E958" s="6"/>
      <c r="F958" s="6"/>
      <c r="G958" s="6"/>
      <c r="H958" s="6"/>
      <c r="I958" s="6"/>
      <c r="J958" s="6"/>
      <c r="K958" s="6"/>
      <c r="L958" s="6"/>
      <c r="M958" s="6"/>
      <c r="N958" s="6"/>
      <c r="O958" s="6"/>
      <c r="P958" s="6"/>
      <c r="Q958" s="6"/>
      <c r="R958" s="6"/>
      <c r="S958" s="6"/>
      <c r="T958" s="6"/>
      <c r="U958" s="6"/>
      <c r="V958" s="6"/>
      <c r="W958" s="6"/>
      <c r="X958" s="6"/>
      <c r="Y958" s="6"/>
      <c r="Z958" s="6"/>
    </row>
    <row r="959">
      <c r="A959" s="155"/>
      <c r="B959" s="156"/>
      <c r="C959" s="156"/>
      <c r="D959" s="158"/>
      <c r="E959" s="6"/>
      <c r="F959" s="6"/>
      <c r="G959" s="6"/>
      <c r="H959" s="6"/>
      <c r="I959" s="6"/>
      <c r="J959" s="6"/>
      <c r="K959" s="6"/>
      <c r="L959" s="6"/>
      <c r="M959" s="6"/>
      <c r="N959" s="6"/>
      <c r="O959" s="6"/>
      <c r="P959" s="6"/>
      <c r="Q959" s="6"/>
      <c r="R959" s="6"/>
      <c r="S959" s="6"/>
      <c r="T959" s="6"/>
      <c r="U959" s="6"/>
      <c r="V959" s="6"/>
      <c r="W959" s="6"/>
      <c r="X959" s="6"/>
      <c r="Y959" s="6"/>
      <c r="Z959" s="6"/>
    </row>
    <row r="960">
      <c r="A960" s="155"/>
      <c r="B960" s="156"/>
      <c r="C960" s="156"/>
      <c r="D960" s="158"/>
      <c r="E960" s="6"/>
      <c r="F960" s="6"/>
      <c r="G960" s="6"/>
      <c r="H960" s="6"/>
      <c r="I960" s="6"/>
      <c r="J960" s="6"/>
      <c r="K960" s="6"/>
      <c r="L960" s="6"/>
      <c r="M960" s="6"/>
      <c r="N960" s="6"/>
      <c r="O960" s="6"/>
      <c r="P960" s="6"/>
      <c r="Q960" s="6"/>
      <c r="R960" s="6"/>
      <c r="S960" s="6"/>
      <c r="T960" s="6"/>
      <c r="U960" s="6"/>
      <c r="V960" s="6"/>
      <c r="W960" s="6"/>
      <c r="X960" s="6"/>
      <c r="Y960" s="6"/>
      <c r="Z960" s="6"/>
    </row>
    <row r="961">
      <c r="A961" s="155"/>
      <c r="B961" s="156"/>
      <c r="C961" s="156"/>
      <c r="D961" s="158"/>
      <c r="E961" s="6"/>
      <c r="F961" s="6"/>
      <c r="G961" s="6"/>
      <c r="H961" s="6"/>
      <c r="I961" s="6"/>
      <c r="J961" s="6"/>
      <c r="K961" s="6"/>
      <c r="L961" s="6"/>
      <c r="M961" s="6"/>
      <c r="N961" s="6"/>
      <c r="O961" s="6"/>
      <c r="P961" s="6"/>
      <c r="Q961" s="6"/>
      <c r="R961" s="6"/>
      <c r="S961" s="6"/>
      <c r="T961" s="6"/>
      <c r="U961" s="6"/>
      <c r="V961" s="6"/>
      <c r="W961" s="6"/>
      <c r="X961" s="6"/>
      <c r="Y961" s="6"/>
      <c r="Z961" s="6"/>
    </row>
    <row r="962">
      <c r="A962" s="155"/>
      <c r="B962" s="156"/>
      <c r="C962" s="156"/>
      <c r="D962" s="158"/>
      <c r="E962" s="6"/>
      <c r="F962" s="6"/>
      <c r="G962" s="6"/>
      <c r="H962" s="6"/>
      <c r="I962" s="6"/>
      <c r="J962" s="6"/>
      <c r="K962" s="6"/>
      <c r="L962" s="6"/>
      <c r="M962" s="6"/>
      <c r="N962" s="6"/>
      <c r="O962" s="6"/>
      <c r="P962" s="6"/>
      <c r="Q962" s="6"/>
      <c r="R962" s="6"/>
      <c r="S962" s="6"/>
      <c r="T962" s="6"/>
      <c r="U962" s="6"/>
      <c r="V962" s="6"/>
      <c r="W962" s="6"/>
      <c r="X962" s="6"/>
      <c r="Y962" s="6"/>
      <c r="Z962" s="6"/>
    </row>
    <row r="963">
      <c r="A963" s="155"/>
      <c r="B963" s="156"/>
      <c r="C963" s="156"/>
      <c r="D963" s="158"/>
      <c r="E963" s="6"/>
      <c r="F963" s="6"/>
      <c r="G963" s="6"/>
      <c r="H963" s="6"/>
      <c r="I963" s="6"/>
      <c r="J963" s="6"/>
      <c r="K963" s="6"/>
      <c r="L963" s="6"/>
      <c r="M963" s="6"/>
      <c r="N963" s="6"/>
      <c r="O963" s="6"/>
      <c r="P963" s="6"/>
      <c r="Q963" s="6"/>
      <c r="R963" s="6"/>
      <c r="S963" s="6"/>
      <c r="T963" s="6"/>
      <c r="U963" s="6"/>
      <c r="V963" s="6"/>
      <c r="W963" s="6"/>
      <c r="X963" s="6"/>
      <c r="Y963" s="6"/>
      <c r="Z963" s="6"/>
    </row>
    <row r="964">
      <c r="A964" s="155"/>
      <c r="B964" s="156"/>
      <c r="C964" s="156"/>
      <c r="D964" s="158"/>
      <c r="E964" s="6"/>
      <c r="F964" s="6"/>
      <c r="G964" s="6"/>
      <c r="H964" s="6"/>
      <c r="I964" s="6"/>
      <c r="J964" s="6"/>
      <c r="K964" s="6"/>
      <c r="L964" s="6"/>
      <c r="M964" s="6"/>
      <c r="N964" s="6"/>
      <c r="O964" s="6"/>
      <c r="P964" s="6"/>
      <c r="Q964" s="6"/>
      <c r="R964" s="6"/>
      <c r="S964" s="6"/>
      <c r="T964" s="6"/>
      <c r="U964" s="6"/>
      <c r="V964" s="6"/>
      <c r="W964" s="6"/>
      <c r="X964" s="6"/>
      <c r="Y964" s="6"/>
      <c r="Z964" s="6"/>
    </row>
    <row r="965">
      <c r="A965" s="155"/>
      <c r="B965" s="156"/>
      <c r="C965" s="156"/>
      <c r="D965" s="158"/>
      <c r="E965" s="6"/>
      <c r="F965" s="6"/>
      <c r="G965" s="6"/>
      <c r="H965" s="6"/>
      <c r="I965" s="6"/>
      <c r="J965" s="6"/>
      <c r="K965" s="6"/>
      <c r="L965" s="6"/>
      <c r="M965" s="6"/>
      <c r="N965" s="6"/>
      <c r="O965" s="6"/>
      <c r="P965" s="6"/>
      <c r="Q965" s="6"/>
      <c r="R965" s="6"/>
      <c r="S965" s="6"/>
      <c r="T965" s="6"/>
      <c r="U965" s="6"/>
      <c r="V965" s="6"/>
      <c r="W965" s="6"/>
      <c r="X965" s="6"/>
      <c r="Y965" s="6"/>
      <c r="Z965" s="6"/>
    </row>
    <row r="966">
      <c r="A966" s="155"/>
      <c r="B966" s="156"/>
      <c r="C966" s="156"/>
      <c r="D966" s="158"/>
      <c r="E966" s="6"/>
      <c r="F966" s="6"/>
      <c r="G966" s="6"/>
      <c r="H966" s="6"/>
      <c r="I966" s="6"/>
      <c r="J966" s="6"/>
      <c r="K966" s="6"/>
      <c r="L966" s="6"/>
      <c r="M966" s="6"/>
      <c r="N966" s="6"/>
      <c r="O966" s="6"/>
      <c r="P966" s="6"/>
      <c r="Q966" s="6"/>
      <c r="R966" s="6"/>
      <c r="S966" s="6"/>
      <c r="T966" s="6"/>
      <c r="U966" s="6"/>
      <c r="V966" s="6"/>
      <c r="W966" s="6"/>
      <c r="X966" s="6"/>
      <c r="Y966" s="6"/>
      <c r="Z966" s="6"/>
    </row>
    <row r="967">
      <c r="A967" s="155"/>
      <c r="B967" s="156"/>
      <c r="C967" s="156"/>
      <c r="D967" s="158"/>
      <c r="E967" s="6"/>
      <c r="F967" s="6"/>
      <c r="G967" s="6"/>
      <c r="H967" s="6"/>
      <c r="I967" s="6"/>
      <c r="J967" s="6"/>
      <c r="K967" s="6"/>
      <c r="L967" s="6"/>
      <c r="M967" s="6"/>
      <c r="N967" s="6"/>
      <c r="O967" s="6"/>
      <c r="P967" s="6"/>
      <c r="Q967" s="6"/>
      <c r="R967" s="6"/>
      <c r="S967" s="6"/>
      <c r="T967" s="6"/>
      <c r="U967" s="6"/>
      <c r="V967" s="6"/>
      <c r="W967" s="6"/>
      <c r="X967" s="6"/>
      <c r="Y967" s="6"/>
      <c r="Z967" s="6"/>
    </row>
    <row r="968">
      <c r="A968" s="155"/>
      <c r="B968" s="156"/>
      <c r="C968" s="156"/>
      <c r="D968" s="158"/>
      <c r="E968" s="6"/>
      <c r="F968" s="6"/>
      <c r="G968" s="6"/>
      <c r="H968" s="6"/>
      <c r="I968" s="6"/>
      <c r="J968" s="6"/>
      <c r="K968" s="6"/>
      <c r="L968" s="6"/>
      <c r="M968" s="6"/>
      <c r="N968" s="6"/>
      <c r="O968" s="6"/>
      <c r="P968" s="6"/>
      <c r="Q968" s="6"/>
      <c r="R968" s="6"/>
      <c r="S968" s="6"/>
      <c r="T968" s="6"/>
      <c r="U968" s="6"/>
      <c r="V968" s="6"/>
      <c r="W968" s="6"/>
      <c r="X968" s="6"/>
      <c r="Y968" s="6"/>
      <c r="Z968" s="6"/>
    </row>
    <row r="969">
      <c r="A969" s="155"/>
      <c r="B969" s="156"/>
      <c r="C969" s="156"/>
      <c r="D969" s="158"/>
      <c r="E969" s="6"/>
      <c r="F969" s="6"/>
      <c r="G969" s="6"/>
      <c r="H969" s="6"/>
      <c r="I969" s="6"/>
      <c r="J969" s="6"/>
      <c r="K969" s="6"/>
      <c r="L969" s="6"/>
      <c r="M969" s="6"/>
      <c r="N969" s="6"/>
      <c r="O969" s="6"/>
      <c r="P969" s="6"/>
      <c r="Q969" s="6"/>
      <c r="R969" s="6"/>
      <c r="S969" s="6"/>
      <c r="T969" s="6"/>
      <c r="U969" s="6"/>
      <c r="V969" s="6"/>
      <c r="W969" s="6"/>
      <c r="X969" s="6"/>
      <c r="Y969" s="6"/>
      <c r="Z969" s="6"/>
    </row>
    <row r="970">
      <c r="A970" s="155"/>
      <c r="B970" s="156"/>
      <c r="C970" s="156"/>
      <c r="D970" s="158"/>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2"/>
  <cols>
    <col customWidth="1" min="1" max="1" width="18.38"/>
    <col customWidth="1" min="2" max="2" width="20.25"/>
    <col customWidth="1" min="3" max="3" width="16.5"/>
    <col customWidth="1" min="4" max="4" width="16.25"/>
    <col customWidth="1" min="5" max="5" width="12.38"/>
    <col customWidth="1" min="6" max="6" width="4.0"/>
    <col customWidth="1" min="7" max="7" width="17.13"/>
    <col customWidth="1" min="8" max="8" width="16.75"/>
    <col customWidth="1" min="9" max="9" width="24.13"/>
    <col customWidth="1" min="10" max="10" width="4.0"/>
    <col customWidth="1" min="11" max="11" width="15.25"/>
    <col customWidth="1" min="12" max="12" width="16.63"/>
    <col customWidth="1" min="13" max="13" width="21.25"/>
    <col customWidth="1" min="14" max="14" width="5.0"/>
  </cols>
  <sheetData>
    <row r="1">
      <c r="A1" s="2" t="s">
        <v>1</v>
      </c>
      <c r="B1" s="3"/>
      <c r="C1" s="3"/>
      <c r="F1" s="7"/>
      <c r="G1" s="8" t="s">
        <v>6</v>
      </c>
      <c r="H1" s="9" t="s">
        <v>7</v>
      </c>
      <c r="I1" s="11" t="s">
        <v>8</v>
      </c>
      <c r="J1" s="7"/>
      <c r="K1" s="13" t="s">
        <v>12</v>
      </c>
      <c r="L1" s="16" t="s">
        <v>13</v>
      </c>
      <c r="M1" s="16" t="s">
        <v>14</v>
      </c>
      <c r="N1" s="7"/>
      <c r="O1" s="13" t="s">
        <v>15</v>
      </c>
      <c r="P1" s="3"/>
    </row>
    <row r="2">
      <c r="A2" s="18" t="s">
        <v>0</v>
      </c>
      <c r="B2" s="18" t="s">
        <v>17</v>
      </c>
      <c r="C2" s="18" t="s">
        <v>18</v>
      </c>
      <c r="D2" s="18" t="s">
        <v>19</v>
      </c>
      <c r="E2" s="18" t="s">
        <v>21</v>
      </c>
      <c r="F2" s="22"/>
      <c r="G2" s="23" t="s">
        <v>0</v>
      </c>
      <c r="H2" s="10" t="s">
        <v>18</v>
      </c>
      <c r="I2" s="10" t="s">
        <v>19</v>
      </c>
      <c r="J2" s="22"/>
      <c r="K2" s="26" t="s">
        <v>0</v>
      </c>
      <c r="L2" s="10" t="s">
        <v>18</v>
      </c>
      <c r="M2" s="10" t="s">
        <v>19</v>
      </c>
      <c r="N2" s="7"/>
      <c r="O2" s="26" t="s">
        <v>0</v>
      </c>
      <c r="P2" s="26" t="s">
        <v>26</v>
      </c>
      <c r="Q2" s="10" t="s">
        <v>19</v>
      </c>
    </row>
    <row r="3">
      <c r="A3" s="28" t="s">
        <v>27</v>
      </c>
      <c r="B3" s="28" t="s">
        <v>28</v>
      </c>
      <c r="C3" s="31">
        <v>45413.0</v>
      </c>
      <c r="D3" s="32"/>
      <c r="E3" s="16" t="s">
        <v>31</v>
      </c>
      <c r="F3" s="33"/>
      <c r="G3" s="35" t="s">
        <v>33</v>
      </c>
      <c r="H3" s="36">
        <v>45778.0</v>
      </c>
      <c r="I3" s="39"/>
      <c r="J3" s="33"/>
      <c r="K3" s="40" t="s">
        <v>10</v>
      </c>
      <c r="L3" s="42">
        <v>46143.0</v>
      </c>
      <c r="M3" s="43"/>
      <c r="N3" s="7"/>
      <c r="O3" s="40" t="s">
        <v>27</v>
      </c>
      <c r="P3" s="42">
        <v>46143.0</v>
      </c>
    </row>
    <row r="4">
      <c r="A4" s="28" t="s">
        <v>34</v>
      </c>
      <c r="B4" s="28" t="s">
        <v>40</v>
      </c>
      <c r="C4" s="31">
        <v>45413.0</v>
      </c>
      <c r="D4" s="28" t="s">
        <v>42</v>
      </c>
      <c r="E4" s="16" t="s">
        <v>31</v>
      </c>
      <c r="F4" s="33"/>
      <c r="G4" s="35" t="s">
        <v>43</v>
      </c>
      <c r="H4" s="36">
        <v>45778.0</v>
      </c>
      <c r="I4" s="39"/>
      <c r="J4" s="33"/>
      <c r="K4" s="40" t="s">
        <v>43</v>
      </c>
      <c r="L4" s="42">
        <v>46143.0</v>
      </c>
      <c r="M4" s="43"/>
      <c r="N4" s="7"/>
      <c r="O4" s="40" t="s">
        <v>10</v>
      </c>
      <c r="P4" s="42">
        <v>46143.0</v>
      </c>
    </row>
    <row r="5">
      <c r="A5" s="28" t="s">
        <v>46</v>
      </c>
      <c r="B5" s="28" t="s">
        <v>28</v>
      </c>
      <c r="C5" s="31">
        <v>45413.0</v>
      </c>
      <c r="D5" s="28" t="s">
        <v>47</v>
      </c>
      <c r="E5" s="47" t="s">
        <v>31</v>
      </c>
      <c r="F5" s="33"/>
      <c r="G5" s="35" t="s">
        <v>49</v>
      </c>
      <c r="H5" s="36">
        <v>45778.0</v>
      </c>
      <c r="I5" s="39"/>
      <c r="J5" s="33"/>
      <c r="K5" s="40" t="s">
        <v>27</v>
      </c>
      <c r="L5" s="42">
        <v>46143.0</v>
      </c>
      <c r="M5" s="43"/>
      <c r="N5" s="7"/>
      <c r="O5" s="40" t="s">
        <v>43</v>
      </c>
      <c r="P5" s="42">
        <v>46143.0</v>
      </c>
    </row>
    <row r="6">
      <c r="A6" s="28" t="s">
        <v>10</v>
      </c>
      <c r="B6" s="28" t="s">
        <v>40</v>
      </c>
      <c r="C6" s="31">
        <v>45413.0</v>
      </c>
      <c r="D6" s="32"/>
      <c r="E6" s="16" t="s">
        <v>31</v>
      </c>
      <c r="F6" s="33"/>
      <c r="G6" s="35" t="s">
        <v>50</v>
      </c>
      <c r="H6" s="36">
        <v>45778.0</v>
      </c>
      <c r="I6" s="39"/>
      <c r="J6" s="33"/>
      <c r="K6" s="49" t="s">
        <v>22</v>
      </c>
      <c r="L6" s="42">
        <v>46143.0</v>
      </c>
      <c r="N6" s="7"/>
      <c r="O6" s="40" t="s">
        <v>53</v>
      </c>
      <c r="P6" s="42">
        <v>46143.0</v>
      </c>
    </row>
    <row r="7">
      <c r="A7" s="28" t="s">
        <v>22</v>
      </c>
      <c r="B7" s="28" t="s">
        <v>40</v>
      </c>
      <c r="C7" s="31">
        <v>45413.0</v>
      </c>
      <c r="D7" s="32"/>
      <c r="E7" s="16" t="s">
        <v>31</v>
      </c>
      <c r="F7" s="33"/>
      <c r="G7" s="35" t="s">
        <v>22</v>
      </c>
      <c r="H7" s="36">
        <v>45778.0</v>
      </c>
      <c r="I7" s="39"/>
      <c r="J7" s="33"/>
      <c r="K7" s="49" t="s">
        <v>57</v>
      </c>
      <c r="L7" s="42">
        <v>46143.0</v>
      </c>
      <c r="N7" s="7"/>
      <c r="O7" s="40" t="s">
        <v>57</v>
      </c>
      <c r="P7" s="52">
        <v>46143.0</v>
      </c>
    </row>
    <row r="8">
      <c r="A8" s="28" t="s">
        <v>59</v>
      </c>
      <c r="B8" s="28" t="s">
        <v>28</v>
      </c>
      <c r="C8" s="31">
        <v>45413.0</v>
      </c>
      <c r="D8" s="53"/>
      <c r="E8" s="47" t="s">
        <v>61</v>
      </c>
      <c r="F8" s="33"/>
      <c r="G8" s="35" t="s">
        <v>10</v>
      </c>
      <c r="H8" s="36">
        <v>45778.0</v>
      </c>
      <c r="I8" s="39"/>
      <c r="J8" s="33"/>
      <c r="K8" s="49" t="s">
        <v>53</v>
      </c>
      <c r="L8" s="42">
        <v>46143.0</v>
      </c>
      <c r="M8" s="43"/>
      <c r="N8" s="7"/>
      <c r="O8" s="54" t="s">
        <v>41</v>
      </c>
      <c r="P8" s="56">
        <v>46174.0</v>
      </c>
    </row>
    <row r="9">
      <c r="A9" s="28" t="s">
        <v>50</v>
      </c>
      <c r="B9" s="28" t="s">
        <v>40</v>
      </c>
      <c r="C9" s="31">
        <v>45413.0</v>
      </c>
      <c r="D9" s="28" t="s">
        <v>47</v>
      </c>
      <c r="E9" s="16" t="s">
        <v>31</v>
      </c>
      <c r="F9" s="33"/>
      <c r="G9" s="35" t="s">
        <v>27</v>
      </c>
      <c r="H9" s="36">
        <v>45778.0</v>
      </c>
      <c r="I9" s="39"/>
      <c r="J9" s="33"/>
      <c r="K9" s="54" t="s">
        <v>41</v>
      </c>
      <c r="L9" s="31">
        <v>46174.0</v>
      </c>
      <c r="N9" s="7"/>
      <c r="O9" s="54" t="s">
        <v>34</v>
      </c>
      <c r="P9" s="56">
        <v>46174.0</v>
      </c>
    </row>
    <row r="10">
      <c r="A10" s="28" t="s">
        <v>49</v>
      </c>
      <c r="B10" s="28" t="s">
        <v>28</v>
      </c>
      <c r="C10" s="31">
        <v>45413.0</v>
      </c>
      <c r="D10" s="32"/>
      <c r="E10" s="16" t="s">
        <v>31</v>
      </c>
      <c r="F10" s="33"/>
      <c r="G10" s="57" t="s">
        <v>66</v>
      </c>
      <c r="H10" s="58">
        <v>45809.0</v>
      </c>
      <c r="I10" s="43"/>
      <c r="J10" s="33"/>
      <c r="K10" s="54" t="s">
        <v>62</v>
      </c>
      <c r="L10" s="31">
        <v>46174.0</v>
      </c>
      <c r="N10" s="7"/>
      <c r="O10" s="54" t="s">
        <v>62</v>
      </c>
      <c r="P10" s="56">
        <v>46174.0</v>
      </c>
    </row>
    <row r="11">
      <c r="A11" s="28" t="s">
        <v>25</v>
      </c>
      <c r="B11" s="28" t="s">
        <v>40</v>
      </c>
      <c r="C11" s="31">
        <v>45413.0</v>
      </c>
      <c r="D11" s="32"/>
      <c r="E11" s="16" t="s">
        <v>31</v>
      </c>
      <c r="F11" s="33"/>
      <c r="G11" s="57" t="s">
        <v>58</v>
      </c>
      <c r="H11" s="58">
        <v>45809.0</v>
      </c>
      <c r="I11" s="43"/>
      <c r="J11" s="33"/>
      <c r="K11" s="54" t="s">
        <v>67</v>
      </c>
      <c r="L11" s="31">
        <v>46174.0</v>
      </c>
      <c r="N11" s="7"/>
      <c r="O11" s="54" t="s">
        <v>22</v>
      </c>
      <c r="P11" s="56">
        <v>46174.0</v>
      </c>
      <c r="R11" s="14"/>
    </row>
    <row r="12">
      <c r="A12" s="28" t="s">
        <v>69</v>
      </c>
      <c r="B12" s="28" t="s">
        <v>40</v>
      </c>
      <c r="C12" s="31">
        <v>45413.0</v>
      </c>
      <c r="D12" s="53"/>
      <c r="E12" s="47" t="s">
        <v>31</v>
      </c>
      <c r="F12" s="33"/>
      <c r="G12" s="57" t="s">
        <v>70</v>
      </c>
      <c r="H12" s="58">
        <v>45809.0</v>
      </c>
      <c r="I12" s="43"/>
      <c r="J12" s="33"/>
      <c r="K12" s="54" t="s">
        <v>55</v>
      </c>
      <c r="L12" s="31">
        <v>46174.0</v>
      </c>
      <c r="N12" s="7"/>
      <c r="O12" s="54" t="s">
        <v>38</v>
      </c>
      <c r="P12" s="56">
        <v>46174.0</v>
      </c>
      <c r="R12" s="14"/>
    </row>
    <row r="13">
      <c r="A13" s="28" t="s">
        <v>43</v>
      </c>
      <c r="B13" s="28" t="s">
        <v>28</v>
      </c>
      <c r="C13" s="31">
        <v>45413.0</v>
      </c>
      <c r="D13" s="32"/>
      <c r="E13" s="16" t="s">
        <v>31</v>
      </c>
      <c r="F13" s="33"/>
      <c r="G13" s="57" t="s">
        <v>41</v>
      </c>
      <c r="H13" s="58">
        <v>45809.0</v>
      </c>
      <c r="I13" s="43"/>
      <c r="J13" s="33"/>
      <c r="K13" s="54" t="s">
        <v>34</v>
      </c>
      <c r="L13" s="31">
        <v>46174.0</v>
      </c>
      <c r="N13" s="7"/>
      <c r="O13" s="54" t="s">
        <v>65</v>
      </c>
      <c r="P13" s="56">
        <v>46174.0</v>
      </c>
      <c r="R13" s="43"/>
    </row>
    <row r="14">
      <c r="A14" s="28" t="s">
        <v>73</v>
      </c>
      <c r="B14" s="28" t="s">
        <v>40</v>
      </c>
      <c r="C14" s="31">
        <v>45413.0</v>
      </c>
      <c r="D14" s="53"/>
      <c r="E14" s="47" t="s">
        <v>61</v>
      </c>
      <c r="F14" s="33"/>
      <c r="G14" s="57" t="s">
        <v>73</v>
      </c>
      <c r="H14" s="58">
        <v>45809.0</v>
      </c>
      <c r="I14" s="43"/>
      <c r="J14" s="33"/>
      <c r="K14" s="54" t="s">
        <v>75</v>
      </c>
      <c r="L14" s="56">
        <v>46174.0</v>
      </c>
      <c r="N14" s="7"/>
      <c r="O14" s="54" t="s">
        <v>75</v>
      </c>
      <c r="P14" s="56">
        <v>46174.0</v>
      </c>
      <c r="R14" s="14"/>
    </row>
    <row r="15">
      <c r="A15" s="28" t="s">
        <v>33</v>
      </c>
      <c r="B15" s="28" t="s">
        <v>40</v>
      </c>
      <c r="C15" s="31">
        <v>45413.0</v>
      </c>
      <c r="D15" s="32"/>
      <c r="E15" s="16" t="s">
        <v>61</v>
      </c>
      <c r="F15" s="33"/>
      <c r="G15" s="57" t="s">
        <v>38</v>
      </c>
      <c r="H15" s="58">
        <v>45809.0</v>
      </c>
      <c r="I15" s="43"/>
      <c r="J15" s="33"/>
      <c r="K15" s="54" t="s">
        <v>38</v>
      </c>
      <c r="L15" s="56">
        <v>46174.0</v>
      </c>
      <c r="M15" s="43"/>
      <c r="N15" s="7"/>
      <c r="O15" s="54" t="s">
        <v>67</v>
      </c>
      <c r="P15" s="56">
        <v>46174.0</v>
      </c>
      <c r="R15" s="14"/>
    </row>
    <row r="16">
      <c r="A16" s="28" t="s">
        <v>58</v>
      </c>
      <c r="B16" s="28" t="s">
        <v>28</v>
      </c>
      <c r="C16" s="31">
        <v>45413.0</v>
      </c>
      <c r="D16" s="32"/>
      <c r="E16" s="16" t="s">
        <v>61</v>
      </c>
      <c r="F16" s="33"/>
      <c r="G16" s="57" t="s">
        <v>75</v>
      </c>
      <c r="H16" s="58">
        <v>45809.0</v>
      </c>
      <c r="I16" s="43"/>
      <c r="J16" s="33"/>
      <c r="K16" s="54" t="s">
        <v>65</v>
      </c>
      <c r="L16" s="56">
        <v>46174.0</v>
      </c>
      <c r="N16" s="7"/>
      <c r="O16" s="54" t="s">
        <v>55</v>
      </c>
      <c r="P16" s="56">
        <v>46174.0</v>
      </c>
      <c r="R16" s="14"/>
    </row>
    <row r="17">
      <c r="A17" s="61" t="s">
        <v>71</v>
      </c>
      <c r="B17" s="61" t="s">
        <v>28</v>
      </c>
      <c r="C17" s="42">
        <v>45444.0</v>
      </c>
      <c r="D17" s="62"/>
      <c r="E17" s="16" t="s">
        <v>31</v>
      </c>
      <c r="F17" s="33"/>
      <c r="G17" s="57" t="s">
        <v>55</v>
      </c>
      <c r="H17" s="58">
        <v>45809.0</v>
      </c>
      <c r="I17" s="43"/>
      <c r="J17" s="33"/>
      <c r="K17" s="40" t="s">
        <v>50</v>
      </c>
      <c r="L17" s="52">
        <v>46204.0</v>
      </c>
      <c r="N17" s="7"/>
      <c r="O17" s="40" t="s">
        <v>50</v>
      </c>
      <c r="P17" s="52">
        <v>46204.0</v>
      </c>
      <c r="R17" s="43"/>
    </row>
    <row r="18">
      <c r="A18" s="61" t="s">
        <v>62</v>
      </c>
      <c r="B18" s="61" t="s">
        <v>28</v>
      </c>
      <c r="C18" s="42">
        <v>45444.0</v>
      </c>
      <c r="D18" s="63"/>
      <c r="E18" s="16" t="s">
        <v>31</v>
      </c>
      <c r="F18" s="33"/>
      <c r="G18" s="57" t="s">
        <v>57</v>
      </c>
      <c r="H18" s="58">
        <v>45809.0</v>
      </c>
      <c r="I18" s="43"/>
      <c r="J18" s="33"/>
      <c r="K18" s="40" t="s">
        <v>46</v>
      </c>
      <c r="L18" s="52">
        <v>46204.0</v>
      </c>
      <c r="N18" s="7"/>
      <c r="O18" s="40" t="s">
        <v>32</v>
      </c>
      <c r="P18" s="52">
        <v>46204.0</v>
      </c>
      <c r="R18" s="43"/>
    </row>
    <row r="19">
      <c r="A19" s="61" t="s">
        <v>65</v>
      </c>
      <c r="B19" s="61" t="s">
        <v>40</v>
      </c>
      <c r="C19" s="42">
        <v>45444.0</v>
      </c>
      <c r="D19" s="63"/>
      <c r="E19" s="16" t="s">
        <v>31</v>
      </c>
      <c r="F19" s="33"/>
      <c r="G19" s="57" t="s">
        <v>67</v>
      </c>
      <c r="H19" s="58">
        <v>45809.0</v>
      </c>
      <c r="I19" s="43"/>
      <c r="J19" s="33"/>
      <c r="K19" s="40" t="s">
        <v>32</v>
      </c>
      <c r="L19" s="52">
        <v>46204.0</v>
      </c>
      <c r="N19" s="7"/>
      <c r="O19" s="40" t="s">
        <v>78</v>
      </c>
      <c r="P19" s="52">
        <v>46204.0</v>
      </c>
      <c r="R19" s="14"/>
    </row>
    <row r="20">
      <c r="A20" s="61" t="s">
        <v>53</v>
      </c>
      <c r="B20" s="61" t="s">
        <v>40</v>
      </c>
      <c r="C20" s="42">
        <v>45444.0</v>
      </c>
      <c r="D20" s="62"/>
      <c r="E20" s="16" t="s">
        <v>31</v>
      </c>
      <c r="F20" s="33"/>
      <c r="G20" s="57" t="s">
        <v>59</v>
      </c>
      <c r="H20" s="58">
        <v>45809.0</v>
      </c>
      <c r="I20" s="43"/>
      <c r="J20" s="33"/>
      <c r="K20" s="40" t="s">
        <v>78</v>
      </c>
      <c r="L20" s="52">
        <v>46204.0</v>
      </c>
      <c r="N20" s="7"/>
      <c r="O20" s="40" t="s">
        <v>81</v>
      </c>
      <c r="P20" s="52">
        <v>46204.0</v>
      </c>
      <c r="R20" s="14"/>
    </row>
    <row r="21">
      <c r="A21" s="61" t="s">
        <v>82</v>
      </c>
      <c r="B21" s="61" t="s">
        <v>40</v>
      </c>
      <c r="C21" s="42">
        <v>45444.0</v>
      </c>
      <c r="D21" s="61" t="s">
        <v>47</v>
      </c>
      <c r="E21" s="16" t="s">
        <v>61</v>
      </c>
      <c r="F21" s="33"/>
      <c r="G21" s="57" t="s">
        <v>53</v>
      </c>
      <c r="H21" s="58">
        <v>45809.0</v>
      </c>
      <c r="I21" s="43"/>
      <c r="J21" s="33"/>
      <c r="K21" s="54" t="s">
        <v>84</v>
      </c>
      <c r="L21" s="56">
        <v>46241.0</v>
      </c>
      <c r="N21" s="7"/>
      <c r="O21" s="54" t="s">
        <v>51</v>
      </c>
      <c r="P21" s="56">
        <v>46235.0</v>
      </c>
      <c r="R21" s="14"/>
    </row>
    <row r="22">
      <c r="A22" s="61" t="s">
        <v>67</v>
      </c>
      <c r="B22" s="61" t="s">
        <v>40</v>
      </c>
      <c r="C22" s="42">
        <v>45444.0</v>
      </c>
      <c r="D22" s="63"/>
      <c r="E22" s="16" t="s">
        <v>31</v>
      </c>
      <c r="F22" s="33"/>
      <c r="G22" s="57" t="s">
        <v>65</v>
      </c>
      <c r="H22" s="58">
        <v>45809.0</v>
      </c>
      <c r="I22" s="43"/>
      <c r="J22" s="33"/>
      <c r="K22" s="67" t="s">
        <v>86</v>
      </c>
      <c r="L22" s="58">
        <v>46235.0</v>
      </c>
      <c r="M22" s="14"/>
      <c r="N22" s="7"/>
      <c r="O22" s="54" t="s">
        <v>87</v>
      </c>
      <c r="P22" s="56">
        <v>46235.0</v>
      </c>
    </row>
    <row r="23">
      <c r="A23" s="61" t="s">
        <v>57</v>
      </c>
      <c r="B23" s="61" t="s">
        <v>40</v>
      </c>
      <c r="C23" s="42">
        <v>45444.0</v>
      </c>
      <c r="D23" s="62"/>
      <c r="E23" s="16" t="s">
        <v>31</v>
      </c>
      <c r="F23" s="33"/>
      <c r="G23" s="57" t="s">
        <v>62</v>
      </c>
      <c r="H23" s="58">
        <v>45809.0</v>
      </c>
      <c r="I23" s="43"/>
      <c r="J23" s="33"/>
      <c r="K23" s="67" t="s">
        <v>89</v>
      </c>
      <c r="L23" s="58">
        <v>46235.0</v>
      </c>
      <c r="M23" s="14"/>
      <c r="N23" s="7"/>
      <c r="O23" s="54" t="s">
        <v>90</v>
      </c>
      <c r="P23" s="56">
        <v>46235.0</v>
      </c>
    </row>
    <row r="24">
      <c r="A24" s="61" t="s">
        <v>55</v>
      </c>
      <c r="B24" s="61" t="s">
        <v>28</v>
      </c>
      <c r="C24" s="42">
        <v>45444.0</v>
      </c>
      <c r="D24" s="61"/>
      <c r="E24" s="16" t="s">
        <v>61</v>
      </c>
      <c r="F24" s="33"/>
      <c r="G24" s="57" t="s">
        <v>34</v>
      </c>
      <c r="H24" s="58">
        <v>45809.0</v>
      </c>
      <c r="I24" s="43"/>
      <c r="J24" s="33"/>
      <c r="K24" s="67" t="s">
        <v>90</v>
      </c>
      <c r="L24" s="58">
        <v>46235.0</v>
      </c>
      <c r="M24" s="14"/>
      <c r="N24" s="7"/>
      <c r="O24" s="54" t="s">
        <v>74</v>
      </c>
      <c r="P24" s="56">
        <v>46235.0</v>
      </c>
    </row>
    <row r="25">
      <c r="A25" s="61" t="s">
        <v>75</v>
      </c>
      <c r="B25" s="61" t="s">
        <v>40</v>
      </c>
      <c r="C25" s="42">
        <v>45444.0</v>
      </c>
      <c r="D25" s="63"/>
      <c r="E25" s="16" t="s">
        <v>31</v>
      </c>
      <c r="F25" s="33"/>
      <c r="G25" s="35" t="s">
        <v>78</v>
      </c>
      <c r="H25" s="36">
        <v>45839.0</v>
      </c>
      <c r="I25" s="43"/>
      <c r="J25" s="33"/>
      <c r="K25" s="67" t="s">
        <v>70</v>
      </c>
      <c r="L25" s="58">
        <v>46235.0</v>
      </c>
      <c r="M25" s="14" t="s">
        <v>94</v>
      </c>
      <c r="N25" s="7"/>
      <c r="O25" s="54" t="s">
        <v>59</v>
      </c>
      <c r="P25" s="56">
        <v>46235.0</v>
      </c>
    </row>
    <row r="26">
      <c r="A26" s="61" t="s">
        <v>38</v>
      </c>
      <c r="B26" s="61" t="s">
        <v>28</v>
      </c>
      <c r="C26" s="42">
        <v>45444.0</v>
      </c>
      <c r="D26" s="63"/>
      <c r="E26" s="16" t="s">
        <v>31</v>
      </c>
      <c r="F26" s="33"/>
      <c r="G26" s="35" t="s">
        <v>91</v>
      </c>
      <c r="H26" s="36">
        <v>45839.0</v>
      </c>
      <c r="I26" s="43"/>
      <c r="J26" s="33"/>
      <c r="K26" s="67" t="s">
        <v>85</v>
      </c>
      <c r="L26" s="58">
        <v>46235.0</v>
      </c>
      <c r="M26" s="14"/>
      <c r="N26" s="7"/>
      <c r="O26" s="54" t="s">
        <v>58</v>
      </c>
      <c r="P26" s="56">
        <v>46235.0</v>
      </c>
    </row>
    <row r="27">
      <c r="A27" s="61" t="s">
        <v>70</v>
      </c>
      <c r="B27" s="61" t="s">
        <v>40</v>
      </c>
      <c r="C27" s="42">
        <v>45444.0</v>
      </c>
      <c r="D27" s="63"/>
      <c r="E27" s="16" t="s">
        <v>61</v>
      </c>
      <c r="F27" s="33"/>
      <c r="G27" s="35" t="s">
        <v>88</v>
      </c>
      <c r="H27" s="36">
        <v>45839.0</v>
      </c>
      <c r="I27" s="43"/>
      <c r="J27" s="33"/>
      <c r="K27" s="67" t="s">
        <v>81</v>
      </c>
      <c r="L27" s="58">
        <v>46235.0</v>
      </c>
      <c r="M27" s="14"/>
      <c r="N27" s="7"/>
      <c r="O27" s="16" t="s">
        <v>70</v>
      </c>
      <c r="P27" s="56">
        <v>46235.0</v>
      </c>
    </row>
    <row r="28">
      <c r="A28" s="61" t="s">
        <v>66</v>
      </c>
      <c r="B28" s="61" t="s">
        <v>40</v>
      </c>
      <c r="C28" s="42">
        <v>45444.0</v>
      </c>
      <c r="D28" s="63"/>
      <c r="E28" s="16" t="s">
        <v>61</v>
      </c>
      <c r="F28" s="33"/>
      <c r="G28" s="35" t="s">
        <v>32</v>
      </c>
      <c r="H28" s="36">
        <v>45839.0</v>
      </c>
      <c r="I28" s="43"/>
      <c r="J28" s="33"/>
      <c r="K28" s="67" t="s">
        <v>87</v>
      </c>
      <c r="L28" s="58">
        <v>46235.0</v>
      </c>
      <c r="M28" s="14"/>
      <c r="N28" s="7"/>
      <c r="O28" s="16" t="s">
        <v>89</v>
      </c>
      <c r="P28" s="56">
        <v>46235.0</v>
      </c>
    </row>
    <row r="29">
      <c r="A29" s="61" t="s">
        <v>41</v>
      </c>
      <c r="B29" s="61" t="s">
        <v>28</v>
      </c>
      <c r="C29" s="42">
        <v>45445.0</v>
      </c>
      <c r="D29" s="63"/>
      <c r="E29" s="16" t="s">
        <v>61</v>
      </c>
      <c r="F29" s="33"/>
      <c r="G29" s="35" t="s">
        <v>46</v>
      </c>
      <c r="H29" s="36">
        <v>45839.0</v>
      </c>
      <c r="I29" s="43"/>
      <c r="J29" s="33"/>
      <c r="K29" s="67" t="s">
        <v>59</v>
      </c>
      <c r="L29" s="58">
        <v>46235.0</v>
      </c>
      <c r="M29" s="14"/>
      <c r="N29" s="7"/>
      <c r="O29" s="16" t="s">
        <v>84</v>
      </c>
      <c r="P29" s="56">
        <v>46235.0</v>
      </c>
    </row>
    <row r="30">
      <c r="A30" s="28" t="s">
        <v>93</v>
      </c>
      <c r="B30" s="28" t="s">
        <v>28</v>
      </c>
      <c r="C30" s="31">
        <v>45474.0</v>
      </c>
      <c r="D30" s="28" t="s">
        <v>47</v>
      </c>
      <c r="E30" s="47" t="s">
        <v>61</v>
      </c>
      <c r="F30" s="33"/>
      <c r="G30" s="57" t="s">
        <v>81</v>
      </c>
      <c r="H30" s="58">
        <v>45870.0</v>
      </c>
      <c r="I30" s="43"/>
      <c r="J30" s="33"/>
      <c r="K30" s="67" t="s">
        <v>58</v>
      </c>
      <c r="L30" s="58">
        <v>46235.0</v>
      </c>
      <c r="M30" s="14"/>
      <c r="N30" s="7"/>
      <c r="O30" s="16" t="s">
        <v>85</v>
      </c>
      <c r="P30" s="73">
        <v>46235.0</v>
      </c>
    </row>
    <row r="31">
      <c r="A31" s="28" t="s">
        <v>32</v>
      </c>
      <c r="B31" s="28" t="s">
        <v>40</v>
      </c>
      <c r="C31" s="31">
        <v>45474.0</v>
      </c>
      <c r="D31" s="32"/>
      <c r="E31" s="16" t="s">
        <v>31</v>
      </c>
      <c r="F31" s="33"/>
      <c r="G31" s="57" t="s">
        <v>74</v>
      </c>
      <c r="H31" s="58">
        <v>45870.0</v>
      </c>
      <c r="I31" s="43"/>
      <c r="J31" s="33"/>
      <c r="K31" s="67" t="s">
        <v>74</v>
      </c>
      <c r="L31" s="58">
        <v>46235.0</v>
      </c>
      <c r="M31" s="14"/>
      <c r="N31" s="7"/>
      <c r="O31" s="16" t="s">
        <v>117</v>
      </c>
      <c r="P31" s="73">
        <v>46266.0</v>
      </c>
    </row>
    <row r="32">
      <c r="A32" s="28" t="s">
        <v>88</v>
      </c>
      <c r="B32" s="28" t="s">
        <v>28</v>
      </c>
      <c r="C32" s="31">
        <v>45474.0</v>
      </c>
      <c r="D32" s="32"/>
      <c r="E32" s="16" t="s">
        <v>61</v>
      </c>
      <c r="F32" s="33"/>
      <c r="G32" s="57" t="s">
        <v>84</v>
      </c>
      <c r="H32" s="58">
        <v>45870.0</v>
      </c>
      <c r="I32" s="43"/>
      <c r="J32" s="33"/>
      <c r="K32" s="67" t="s">
        <v>121</v>
      </c>
      <c r="L32" s="58">
        <v>46235.0</v>
      </c>
      <c r="M32" s="14"/>
      <c r="N32" s="7"/>
      <c r="O32" s="16" t="s">
        <v>122</v>
      </c>
      <c r="P32" s="73">
        <v>46266.0</v>
      </c>
    </row>
    <row r="33">
      <c r="A33" s="28" t="s">
        <v>91</v>
      </c>
      <c r="B33" s="28" t="s">
        <v>28</v>
      </c>
      <c r="C33" s="31">
        <v>45474.0</v>
      </c>
      <c r="D33" s="32"/>
      <c r="E33" s="16" t="s">
        <v>61</v>
      </c>
      <c r="F33" s="33"/>
      <c r="G33" s="57" t="s">
        <v>87</v>
      </c>
      <c r="H33" s="58">
        <v>45870.0</v>
      </c>
      <c r="I33" s="43"/>
      <c r="J33" s="33"/>
      <c r="K33" s="49" t="s">
        <v>122</v>
      </c>
      <c r="L33" s="36">
        <v>46266.0</v>
      </c>
      <c r="M33" s="14"/>
      <c r="N33" s="7"/>
      <c r="O33" s="16" t="s">
        <v>125</v>
      </c>
      <c r="P33" s="73">
        <v>46296.0</v>
      </c>
    </row>
    <row r="34">
      <c r="A34" s="28" t="s">
        <v>78</v>
      </c>
      <c r="B34" s="28" t="s">
        <v>40</v>
      </c>
      <c r="C34" s="31">
        <v>45474.0</v>
      </c>
      <c r="D34" s="28" t="s">
        <v>47</v>
      </c>
      <c r="E34" s="47" t="s">
        <v>31</v>
      </c>
      <c r="F34" s="33"/>
      <c r="G34" s="57" t="s">
        <v>85</v>
      </c>
      <c r="H34" s="58">
        <v>45870.0</v>
      </c>
      <c r="I34" s="43"/>
      <c r="J34" s="33"/>
      <c r="K34" s="49" t="s">
        <v>117</v>
      </c>
      <c r="L34" s="36">
        <v>46266.0</v>
      </c>
      <c r="M34" s="14"/>
      <c r="N34" s="7"/>
      <c r="O34" s="16" t="s">
        <v>128</v>
      </c>
      <c r="P34" s="73">
        <v>46296.0</v>
      </c>
    </row>
    <row r="35">
      <c r="A35" s="28" t="s">
        <v>121</v>
      </c>
      <c r="B35" s="28" t="s">
        <v>28</v>
      </c>
      <c r="C35" s="31">
        <v>45474.0</v>
      </c>
      <c r="D35" s="28" t="s">
        <v>42</v>
      </c>
      <c r="E35" s="16" t="s">
        <v>31</v>
      </c>
      <c r="F35" s="33"/>
      <c r="G35" s="57" t="s">
        <v>86</v>
      </c>
      <c r="H35" s="58">
        <v>45870.0</v>
      </c>
      <c r="I35" s="43"/>
      <c r="J35" s="33"/>
      <c r="K35" s="49" t="s">
        <v>128</v>
      </c>
      <c r="L35" s="36">
        <v>46266.0</v>
      </c>
      <c r="M35" s="11" t="s">
        <v>130</v>
      </c>
      <c r="N35" s="7"/>
      <c r="O35" s="16" t="s">
        <v>96</v>
      </c>
      <c r="P35" s="73">
        <v>46296.0</v>
      </c>
    </row>
    <row r="36">
      <c r="A36" s="61" t="s">
        <v>89</v>
      </c>
      <c r="B36" s="61" t="s">
        <v>28</v>
      </c>
      <c r="C36" s="42">
        <v>45505.0</v>
      </c>
      <c r="D36" s="63"/>
      <c r="E36" s="16" t="s">
        <v>31</v>
      </c>
      <c r="F36" s="33"/>
      <c r="G36" s="57" t="s">
        <v>121</v>
      </c>
      <c r="H36" s="58">
        <v>45870.0</v>
      </c>
      <c r="I36" s="43"/>
      <c r="J36" s="33"/>
      <c r="K36" s="83" t="s">
        <v>125</v>
      </c>
      <c r="L36" s="58">
        <v>46296.0</v>
      </c>
      <c r="M36" s="14"/>
      <c r="N36" s="7"/>
      <c r="O36" s="16" t="s">
        <v>93</v>
      </c>
      <c r="P36" s="73">
        <v>46296.0</v>
      </c>
    </row>
    <row r="37">
      <c r="A37" s="61" t="s">
        <v>126</v>
      </c>
      <c r="B37" s="61" t="s">
        <v>40</v>
      </c>
      <c r="C37" s="42">
        <v>45505.0</v>
      </c>
      <c r="D37" s="61" t="s">
        <v>47</v>
      </c>
      <c r="E37" s="16" t="s">
        <v>31</v>
      </c>
      <c r="F37" s="33"/>
      <c r="G37" s="57" t="s">
        <v>90</v>
      </c>
      <c r="H37" s="58">
        <v>45870.0</v>
      </c>
      <c r="I37" s="43"/>
      <c r="J37" s="33"/>
      <c r="K37" s="83" t="s">
        <v>127</v>
      </c>
      <c r="L37" s="58">
        <v>46296.0</v>
      </c>
      <c r="M37" s="14"/>
      <c r="N37" s="7"/>
      <c r="P37" s="86"/>
    </row>
    <row r="38">
      <c r="A38" s="61" t="s">
        <v>90</v>
      </c>
      <c r="B38" s="61" t="s">
        <v>28</v>
      </c>
      <c r="C38" s="42">
        <v>45505.0</v>
      </c>
      <c r="D38" s="61"/>
      <c r="E38" s="47" t="s">
        <v>31</v>
      </c>
      <c r="F38" s="33"/>
      <c r="G38" s="57" t="s">
        <v>89</v>
      </c>
      <c r="H38" s="58">
        <v>45870.0</v>
      </c>
      <c r="I38" s="43"/>
      <c r="J38" s="33"/>
      <c r="K38" s="83" t="s">
        <v>93</v>
      </c>
      <c r="L38" s="58">
        <v>46296.0</v>
      </c>
      <c r="M38" s="14"/>
      <c r="N38" s="7"/>
      <c r="P38" s="86"/>
    </row>
    <row r="39">
      <c r="A39" s="61" t="s">
        <v>85</v>
      </c>
      <c r="B39" s="61" t="s">
        <v>28</v>
      </c>
      <c r="C39" s="42">
        <v>45505.0</v>
      </c>
      <c r="D39" s="63"/>
      <c r="E39" s="16" t="s">
        <v>31</v>
      </c>
      <c r="F39" s="33"/>
      <c r="G39" s="57" t="s">
        <v>71</v>
      </c>
      <c r="H39" s="58">
        <v>45870.0</v>
      </c>
      <c r="I39" s="43"/>
      <c r="J39" s="33"/>
      <c r="K39" s="83" t="s">
        <v>96</v>
      </c>
      <c r="L39" s="58">
        <v>46296.0</v>
      </c>
      <c r="M39" s="11"/>
      <c r="N39" s="7"/>
      <c r="P39" s="86"/>
    </row>
    <row r="40">
      <c r="A40" s="61" t="s">
        <v>87</v>
      </c>
      <c r="B40" s="61" t="s">
        <v>40</v>
      </c>
      <c r="C40" s="42">
        <v>45505.0</v>
      </c>
      <c r="D40" s="61" t="s">
        <v>47</v>
      </c>
      <c r="E40" s="16" t="s">
        <v>31</v>
      </c>
      <c r="F40" s="33"/>
      <c r="G40" s="35" t="s">
        <v>122</v>
      </c>
      <c r="H40" s="36">
        <v>45901.0</v>
      </c>
      <c r="I40" s="43"/>
      <c r="J40" s="33"/>
      <c r="K40" s="83" t="s">
        <v>133</v>
      </c>
      <c r="L40" s="58">
        <v>46296.0</v>
      </c>
      <c r="M40" s="14"/>
      <c r="N40" s="7"/>
      <c r="P40" s="86"/>
    </row>
    <row r="41">
      <c r="A41" s="61" t="s">
        <v>84</v>
      </c>
      <c r="B41" s="61" t="s">
        <v>28</v>
      </c>
      <c r="C41" s="42">
        <v>45505.0</v>
      </c>
      <c r="D41" s="63"/>
      <c r="E41" s="16" t="s">
        <v>31</v>
      </c>
      <c r="F41" s="33"/>
      <c r="G41" s="35" t="s">
        <v>127</v>
      </c>
      <c r="H41" s="36">
        <v>45901.0</v>
      </c>
      <c r="I41" s="43"/>
      <c r="J41" s="33"/>
      <c r="K41" s="92" t="s">
        <v>148</v>
      </c>
      <c r="L41" s="58">
        <v>46296.0</v>
      </c>
      <c r="M41" s="14"/>
      <c r="N41" s="7"/>
      <c r="P41" s="86"/>
    </row>
    <row r="42">
      <c r="A42" s="61" t="s">
        <v>74</v>
      </c>
      <c r="B42" s="61" t="s">
        <v>28</v>
      </c>
      <c r="C42" s="42">
        <v>45505.0</v>
      </c>
      <c r="D42" s="61" t="s">
        <v>47</v>
      </c>
      <c r="E42" s="16" t="s">
        <v>31</v>
      </c>
      <c r="F42" s="33"/>
      <c r="G42" s="35" t="s">
        <v>125</v>
      </c>
      <c r="H42" s="36">
        <v>45901.0</v>
      </c>
      <c r="I42" s="43"/>
      <c r="J42" s="33"/>
      <c r="K42" s="92" t="s">
        <v>152</v>
      </c>
      <c r="L42" s="58">
        <v>46296.0</v>
      </c>
      <c r="M42" s="14"/>
      <c r="N42" s="7"/>
      <c r="P42" s="86"/>
    </row>
    <row r="43">
      <c r="A43" s="61" t="s">
        <v>81</v>
      </c>
      <c r="B43" s="61" t="s">
        <v>28</v>
      </c>
      <c r="C43" s="42">
        <v>45505.0</v>
      </c>
      <c r="D43" s="61" t="s">
        <v>47</v>
      </c>
      <c r="E43" s="47" t="s">
        <v>61</v>
      </c>
      <c r="F43" s="33"/>
      <c r="G43" s="57" t="s">
        <v>117</v>
      </c>
      <c r="H43" s="58">
        <v>45931.0</v>
      </c>
      <c r="I43" s="43"/>
      <c r="J43" s="33"/>
      <c r="K43" s="92" t="s">
        <v>135</v>
      </c>
      <c r="L43" s="58">
        <v>46296.0</v>
      </c>
      <c r="M43" s="14"/>
      <c r="N43" s="7"/>
      <c r="P43" s="86"/>
    </row>
    <row r="44">
      <c r="A44" s="28" t="s">
        <v>86</v>
      </c>
      <c r="B44" s="28" t="s">
        <v>40</v>
      </c>
      <c r="C44" s="31">
        <v>45536.0</v>
      </c>
      <c r="D44" s="32"/>
      <c r="E44" s="16" t="s">
        <v>61</v>
      </c>
      <c r="F44" s="33"/>
      <c r="G44" s="57" t="s">
        <v>154</v>
      </c>
      <c r="H44" s="58">
        <v>45931.0</v>
      </c>
      <c r="I44" s="14"/>
      <c r="J44" s="33"/>
      <c r="K44" s="97" t="s">
        <v>153</v>
      </c>
      <c r="L44" s="52">
        <v>46327.0</v>
      </c>
      <c r="M44" s="14"/>
      <c r="N44" s="7"/>
      <c r="P44" s="86"/>
    </row>
    <row r="45">
      <c r="A45" s="28" t="s">
        <v>125</v>
      </c>
      <c r="B45" s="28" t="s">
        <v>40</v>
      </c>
      <c r="C45" s="31">
        <v>45536.0</v>
      </c>
      <c r="D45" s="32"/>
      <c r="E45" s="16" t="s">
        <v>61</v>
      </c>
      <c r="F45" s="33"/>
      <c r="G45" s="57" t="s">
        <v>133</v>
      </c>
      <c r="H45" s="58">
        <v>45931.0</v>
      </c>
      <c r="I45" s="11" t="s">
        <v>160</v>
      </c>
      <c r="J45" s="33"/>
      <c r="K45" s="97" t="s">
        <v>120</v>
      </c>
      <c r="L45" s="52">
        <v>46327.0</v>
      </c>
      <c r="M45" s="14"/>
      <c r="N45" s="7"/>
      <c r="P45" s="86"/>
    </row>
    <row r="46">
      <c r="A46" s="28" t="s">
        <v>127</v>
      </c>
      <c r="B46" s="28" t="s">
        <v>40</v>
      </c>
      <c r="C46" s="31">
        <v>45536.0</v>
      </c>
      <c r="D46" s="53"/>
      <c r="E46" s="47" t="s">
        <v>61</v>
      </c>
      <c r="F46" s="33"/>
      <c r="G46" s="57" t="s">
        <v>152</v>
      </c>
      <c r="H46" s="58">
        <v>45931.0</v>
      </c>
      <c r="I46" s="43"/>
      <c r="J46" s="33"/>
      <c r="K46" s="97" t="s">
        <v>162</v>
      </c>
      <c r="L46" s="52">
        <v>46327.0</v>
      </c>
      <c r="M46" s="14"/>
      <c r="N46" s="7"/>
      <c r="P46" s="86"/>
    </row>
    <row r="47">
      <c r="A47" s="28" t="s">
        <v>122</v>
      </c>
      <c r="B47" s="28" t="s">
        <v>40</v>
      </c>
      <c r="C47" s="31">
        <v>45536.0</v>
      </c>
      <c r="D47" s="28" t="s">
        <v>163</v>
      </c>
      <c r="E47" s="16" t="s">
        <v>31</v>
      </c>
      <c r="F47" s="33"/>
      <c r="G47" s="57" t="s">
        <v>120</v>
      </c>
      <c r="H47" s="58">
        <v>45931.0</v>
      </c>
      <c r="I47" s="43"/>
      <c r="J47" s="33"/>
      <c r="K47" s="97" t="s">
        <v>126</v>
      </c>
      <c r="L47" s="52">
        <v>46327.0</v>
      </c>
      <c r="M47" s="14"/>
      <c r="N47" s="7"/>
      <c r="P47" s="86"/>
    </row>
    <row r="48">
      <c r="A48" s="61" t="s">
        <v>120</v>
      </c>
      <c r="B48" s="61" t="s">
        <v>28</v>
      </c>
      <c r="C48" s="42">
        <v>45566.0</v>
      </c>
      <c r="D48" s="63"/>
      <c r="E48" s="16" t="s">
        <v>61</v>
      </c>
      <c r="F48" s="33"/>
      <c r="G48" s="57" t="s">
        <v>93</v>
      </c>
      <c r="H48" s="58">
        <v>45931.0</v>
      </c>
      <c r="I48" s="43"/>
      <c r="J48" s="33"/>
      <c r="K48" s="97" t="s">
        <v>157</v>
      </c>
      <c r="L48" s="52">
        <v>46327.0</v>
      </c>
      <c r="M48" s="14"/>
      <c r="N48" s="7"/>
      <c r="P48" s="86"/>
    </row>
    <row r="49">
      <c r="A49" s="61" t="s">
        <v>116</v>
      </c>
      <c r="B49" s="61" t="s">
        <v>40</v>
      </c>
      <c r="C49" s="42">
        <v>45566.0</v>
      </c>
      <c r="D49" s="61"/>
      <c r="E49" s="16" t="s">
        <v>61</v>
      </c>
      <c r="F49" s="33"/>
      <c r="G49" s="100" t="s">
        <v>126</v>
      </c>
      <c r="H49" s="56">
        <v>45931.0</v>
      </c>
      <c r="I49" s="11" t="s">
        <v>172</v>
      </c>
      <c r="J49" s="33"/>
      <c r="K49" s="40" t="s">
        <v>114</v>
      </c>
      <c r="L49" s="52">
        <v>46327.0</v>
      </c>
      <c r="N49" s="7"/>
      <c r="P49" s="86"/>
    </row>
    <row r="50">
      <c r="A50" s="61" t="s">
        <v>141</v>
      </c>
      <c r="B50" s="61" t="s">
        <v>28</v>
      </c>
      <c r="C50" s="42">
        <v>45566.0</v>
      </c>
      <c r="D50" s="63"/>
      <c r="E50" s="16" t="s">
        <v>31</v>
      </c>
      <c r="F50" s="101"/>
      <c r="G50" s="102" t="s">
        <v>148</v>
      </c>
      <c r="H50" s="56">
        <v>45931.0</v>
      </c>
      <c r="I50" s="14"/>
      <c r="J50" s="101"/>
      <c r="K50" s="103" t="s">
        <v>178</v>
      </c>
      <c r="L50" s="36">
        <v>46327.0</v>
      </c>
      <c r="N50" s="7"/>
      <c r="P50" s="86"/>
    </row>
    <row r="51">
      <c r="A51" s="61" t="s">
        <v>96</v>
      </c>
      <c r="B51" s="61" t="s">
        <v>28</v>
      </c>
      <c r="C51" s="42">
        <v>45566.0</v>
      </c>
      <c r="D51" s="63"/>
      <c r="E51" s="16" t="s">
        <v>61</v>
      </c>
      <c r="F51" s="101"/>
      <c r="G51" s="102" t="s">
        <v>96</v>
      </c>
      <c r="H51" s="56">
        <v>45931.0</v>
      </c>
      <c r="I51" s="14"/>
      <c r="J51" s="101"/>
      <c r="K51" s="40" t="s">
        <v>180</v>
      </c>
      <c r="L51" s="42">
        <v>46327.0</v>
      </c>
      <c r="M51" s="16"/>
      <c r="N51" s="7"/>
      <c r="P51" s="86"/>
    </row>
    <row r="52">
      <c r="A52" s="61" t="s">
        <v>148</v>
      </c>
      <c r="B52" s="61" t="s">
        <v>40</v>
      </c>
      <c r="C52" s="42">
        <v>45566.0</v>
      </c>
      <c r="D52" s="63"/>
      <c r="E52" s="16" t="s">
        <v>61</v>
      </c>
      <c r="F52" s="101"/>
      <c r="G52" s="102" t="s">
        <v>147</v>
      </c>
      <c r="H52" s="56">
        <v>45931.0</v>
      </c>
      <c r="I52" s="14"/>
      <c r="J52" s="101"/>
      <c r="K52" s="54" t="s">
        <v>184</v>
      </c>
      <c r="L52" s="56">
        <v>46357.0</v>
      </c>
      <c r="M52" s="16" t="s">
        <v>185</v>
      </c>
      <c r="N52" s="7"/>
      <c r="P52" s="73"/>
    </row>
    <row r="53">
      <c r="A53" s="61" t="s">
        <v>147</v>
      </c>
      <c r="B53" s="61" t="s">
        <v>40</v>
      </c>
      <c r="C53" s="42">
        <v>45566.0</v>
      </c>
      <c r="D53" s="63"/>
      <c r="E53" s="16" t="s">
        <v>61</v>
      </c>
      <c r="F53" s="101"/>
      <c r="G53" s="102" t="s">
        <v>135</v>
      </c>
      <c r="H53" s="56">
        <v>45931.0</v>
      </c>
      <c r="I53" s="14"/>
      <c r="J53" s="101"/>
      <c r="K53" s="54" t="s">
        <v>188</v>
      </c>
      <c r="L53" s="56">
        <v>46357.0</v>
      </c>
      <c r="N53" s="7"/>
      <c r="P53" s="73"/>
    </row>
    <row r="54">
      <c r="A54" s="61" t="s">
        <v>152</v>
      </c>
      <c r="B54" s="61" t="s">
        <v>28</v>
      </c>
      <c r="C54" s="42">
        <v>45566.0</v>
      </c>
      <c r="D54" s="63"/>
      <c r="E54" s="16" t="s">
        <v>31</v>
      </c>
      <c r="F54" s="101"/>
      <c r="G54" s="102" t="s">
        <v>25</v>
      </c>
      <c r="H54" s="31">
        <v>45931.0</v>
      </c>
      <c r="I54" s="11"/>
      <c r="J54" s="101"/>
      <c r="K54" s="54" t="s">
        <v>190</v>
      </c>
      <c r="L54" s="56">
        <v>46357.0</v>
      </c>
      <c r="N54" s="7"/>
      <c r="P54" s="73"/>
    </row>
    <row r="55">
      <c r="A55" s="61" t="s">
        <v>135</v>
      </c>
      <c r="B55" s="61" t="s">
        <v>28</v>
      </c>
      <c r="C55" s="42">
        <v>45566.0</v>
      </c>
      <c r="D55" s="63"/>
      <c r="E55" s="16" t="s">
        <v>61</v>
      </c>
      <c r="F55" s="101"/>
      <c r="G55" s="102" t="s">
        <v>116</v>
      </c>
      <c r="H55" s="31">
        <v>45931.0</v>
      </c>
      <c r="I55" s="11" t="s">
        <v>191</v>
      </c>
      <c r="J55" s="101"/>
      <c r="K55" s="54" t="s">
        <v>193</v>
      </c>
      <c r="L55" s="56">
        <v>46357.0</v>
      </c>
      <c r="N55" s="7"/>
      <c r="P55" s="73"/>
    </row>
    <row r="56">
      <c r="A56" s="61" t="s">
        <v>114</v>
      </c>
      <c r="B56" s="61" t="s">
        <v>28</v>
      </c>
      <c r="C56" s="42">
        <v>45566.0</v>
      </c>
      <c r="D56" s="63"/>
      <c r="E56" s="16" t="s">
        <v>31</v>
      </c>
      <c r="F56" s="101"/>
      <c r="G56" s="105" t="s">
        <v>114</v>
      </c>
      <c r="H56" s="42">
        <v>45962.0</v>
      </c>
      <c r="I56" s="14"/>
      <c r="J56" s="101"/>
      <c r="K56" s="54" t="s">
        <v>196</v>
      </c>
      <c r="L56" s="56">
        <v>46357.0</v>
      </c>
      <c r="N56" s="7"/>
      <c r="P56" s="73"/>
    </row>
    <row r="57">
      <c r="A57" s="61" t="s">
        <v>145</v>
      </c>
      <c r="B57" s="61" t="s">
        <v>40</v>
      </c>
      <c r="C57" s="42">
        <v>45566.0</v>
      </c>
      <c r="D57" s="63"/>
      <c r="E57" s="16" t="s">
        <v>31</v>
      </c>
      <c r="F57" s="101"/>
      <c r="G57" s="105" t="s">
        <v>153</v>
      </c>
      <c r="H57" s="42">
        <v>45962.0</v>
      </c>
      <c r="I57" s="14"/>
      <c r="J57" s="101"/>
      <c r="K57" s="54" t="s">
        <v>151</v>
      </c>
      <c r="L57" s="56">
        <v>46357.0</v>
      </c>
      <c r="N57" s="7"/>
      <c r="P57" s="108"/>
    </row>
    <row r="58">
      <c r="A58" s="61" t="s">
        <v>133</v>
      </c>
      <c r="B58" s="61" t="s">
        <v>28</v>
      </c>
      <c r="C58" s="42">
        <v>45566.0</v>
      </c>
      <c r="D58" s="63"/>
      <c r="E58" s="16" t="s">
        <v>31</v>
      </c>
      <c r="F58" s="101"/>
      <c r="G58" s="109" t="s">
        <v>178</v>
      </c>
      <c r="H58" s="36">
        <v>45962.0</v>
      </c>
      <c r="I58" s="14"/>
      <c r="J58" s="101"/>
      <c r="K58" s="54" t="s">
        <v>138</v>
      </c>
      <c r="L58" s="31">
        <v>46357.0</v>
      </c>
      <c r="M58" s="16" t="s">
        <v>203</v>
      </c>
      <c r="N58" s="7"/>
      <c r="P58" s="108"/>
    </row>
    <row r="59">
      <c r="A59" s="61" t="s">
        <v>154</v>
      </c>
      <c r="B59" s="61" t="s">
        <v>28</v>
      </c>
      <c r="C59" s="42">
        <v>45566.0</v>
      </c>
      <c r="D59" s="63"/>
      <c r="E59" s="16" t="s">
        <v>31</v>
      </c>
      <c r="F59" s="101"/>
      <c r="G59" s="109" t="s">
        <v>180</v>
      </c>
      <c r="H59" s="36">
        <v>45962.0</v>
      </c>
      <c r="I59" s="14"/>
      <c r="J59" s="101"/>
      <c r="K59" s="40" t="s">
        <v>207</v>
      </c>
      <c r="L59" s="52">
        <v>46388.0</v>
      </c>
      <c r="N59" s="7"/>
      <c r="P59" s="108"/>
    </row>
    <row r="60">
      <c r="A60" s="61" t="s">
        <v>117</v>
      </c>
      <c r="B60" s="61" t="s">
        <v>28</v>
      </c>
      <c r="C60" s="42">
        <v>45566.0</v>
      </c>
      <c r="D60" s="63"/>
      <c r="E60" s="16" t="s">
        <v>61</v>
      </c>
      <c r="F60" s="101"/>
      <c r="G60" s="109" t="s">
        <v>157</v>
      </c>
      <c r="H60" s="36">
        <v>45962.0</v>
      </c>
      <c r="I60" s="11" t="s">
        <v>160</v>
      </c>
      <c r="J60" s="101"/>
      <c r="K60" s="40" t="s">
        <v>209</v>
      </c>
      <c r="L60" s="52">
        <v>46388.0</v>
      </c>
      <c r="P60" s="86"/>
    </row>
    <row r="61">
      <c r="A61" s="28" t="s">
        <v>193</v>
      </c>
      <c r="B61" s="28" t="s">
        <v>28</v>
      </c>
      <c r="C61" s="31">
        <v>45597.0</v>
      </c>
      <c r="D61" s="32"/>
      <c r="E61" s="16" t="s">
        <v>61</v>
      </c>
      <c r="F61" s="101"/>
      <c r="G61" s="105" t="s">
        <v>151</v>
      </c>
      <c r="H61" s="36">
        <v>45962.0</v>
      </c>
      <c r="I61" s="14"/>
      <c r="J61" s="101"/>
      <c r="K61" s="40" t="s">
        <v>215</v>
      </c>
      <c r="L61" s="52">
        <v>46388.0</v>
      </c>
      <c r="P61" s="86"/>
    </row>
    <row r="62">
      <c r="A62" s="28" t="s">
        <v>178</v>
      </c>
      <c r="B62" s="28" t="s">
        <v>40</v>
      </c>
      <c r="C62" s="31">
        <v>45597.0</v>
      </c>
      <c r="D62" s="32"/>
      <c r="E62" s="16" t="s">
        <v>31</v>
      </c>
      <c r="F62" s="101"/>
      <c r="G62" s="105" t="s">
        <v>162</v>
      </c>
      <c r="H62" s="36">
        <v>45962.0</v>
      </c>
      <c r="I62" s="14"/>
      <c r="J62" s="101"/>
      <c r="K62" s="40" t="s">
        <v>217</v>
      </c>
      <c r="L62" s="52">
        <v>46388.0</v>
      </c>
      <c r="P62" s="86"/>
    </row>
    <row r="63">
      <c r="A63" s="28" t="s">
        <v>162</v>
      </c>
      <c r="B63" s="28" t="s">
        <v>40</v>
      </c>
      <c r="C63" s="31">
        <v>45597.0</v>
      </c>
      <c r="D63" s="32"/>
      <c r="E63" s="16" t="s">
        <v>31</v>
      </c>
      <c r="F63" s="101"/>
      <c r="G63" s="105" t="s">
        <v>193</v>
      </c>
      <c r="H63" s="36">
        <v>45962.0</v>
      </c>
      <c r="I63" s="14"/>
      <c r="J63" s="101"/>
      <c r="K63" s="40" t="s">
        <v>168</v>
      </c>
      <c r="L63" s="52">
        <v>46388.0</v>
      </c>
      <c r="M63" s="16" t="s">
        <v>220</v>
      </c>
      <c r="P63" s="86"/>
    </row>
    <row r="64">
      <c r="A64" s="28" t="s">
        <v>164</v>
      </c>
      <c r="B64" s="28" t="s">
        <v>28</v>
      </c>
      <c r="C64" s="31">
        <v>45597.0</v>
      </c>
      <c r="D64" s="32"/>
      <c r="E64" s="16" t="s">
        <v>61</v>
      </c>
      <c r="F64" s="101"/>
      <c r="G64" s="112" t="s">
        <v>164</v>
      </c>
      <c r="H64" s="36">
        <v>45962.0</v>
      </c>
      <c r="I64" s="11" t="s">
        <v>224</v>
      </c>
      <c r="J64" s="101"/>
      <c r="K64" s="40" t="s">
        <v>116</v>
      </c>
      <c r="L64" s="52">
        <v>46388.0</v>
      </c>
      <c r="P64" s="86"/>
    </row>
    <row r="65">
      <c r="A65" s="28" t="s">
        <v>153</v>
      </c>
      <c r="B65" s="28" t="s">
        <v>40</v>
      </c>
      <c r="C65" s="31">
        <v>45597.0</v>
      </c>
      <c r="D65" s="32"/>
      <c r="E65" s="16" t="s">
        <v>31</v>
      </c>
      <c r="F65" s="101"/>
      <c r="G65" s="102" t="s">
        <v>183</v>
      </c>
      <c r="H65" s="31">
        <v>45992.0</v>
      </c>
      <c r="I65" s="14"/>
      <c r="J65" s="101"/>
      <c r="K65" s="40" t="s">
        <v>228</v>
      </c>
      <c r="L65" s="52">
        <v>46388.0</v>
      </c>
      <c r="P65" s="86"/>
    </row>
    <row r="66">
      <c r="A66" s="28" t="s">
        <v>216</v>
      </c>
      <c r="B66" s="28" t="s">
        <v>28</v>
      </c>
      <c r="C66" s="31">
        <v>45597.0</v>
      </c>
      <c r="D66" s="32"/>
      <c r="E66" s="16" t="s">
        <v>61</v>
      </c>
      <c r="F66" s="101"/>
      <c r="G66" s="102" t="s">
        <v>215</v>
      </c>
      <c r="H66" s="31">
        <v>45992.0</v>
      </c>
      <c r="I66" s="14"/>
      <c r="J66" s="101"/>
      <c r="K66" s="40" t="s">
        <v>186</v>
      </c>
      <c r="L66" s="52">
        <v>46388.0</v>
      </c>
      <c r="P66" s="108"/>
    </row>
    <row r="67">
      <c r="A67" s="28" t="s">
        <v>192</v>
      </c>
      <c r="B67" s="28" t="s">
        <v>28</v>
      </c>
      <c r="C67" s="31">
        <v>45597.0</v>
      </c>
      <c r="D67" s="53"/>
      <c r="E67" s="16" t="s">
        <v>61</v>
      </c>
      <c r="F67" s="101"/>
      <c r="G67" s="102" t="s">
        <v>196</v>
      </c>
      <c r="H67" s="31">
        <v>45992.0</v>
      </c>
      <c r="I67" s="11" t="s">
        <v>160</v>
      </c>
      <c r="J67" s="101"/>
      <c r="K67" s="40" t="s">
        <v>231</v>
      </c>
      <c r="L67" s="52">
        <v>46388.0</v>
      </c>
      <c r="M67" s="16" t="s">
        <v>232</v>
      </c>
      <c r="P67" s="108"/>
    </row>
    <row r="68">
      <c r="A68" s="28" t="s">
        <v>157</v>
      </c>
      <c r="B68" s="28" t="s">
        <v>28</v>
      </c>
      <c r="C68" s="31">
        <v>45597.0</v>
      </c>
      <c r="D68" s="32"/>
      <c r="E68" s="16" t="s">
        <v>61</v>
      </c>
      <c r="F68" s="101"/>
      <c r="G68" s="102" t="s">
        <v>211</v>
      </c>
      <c r="H68" s="31">
        <v>45992.0</v>
      </c>
      <c r="I68" s="14"/>
      <c r="J68" s="101"/>
      <c r="K68" s="40" t="s">
        <v>236</v>
      </c>
      <c r="L68" s="52">
        <v>46388.0</v>
      </c>
      <c r="M68" s="16" t="s">
        <v>237</v>
      </c>
      <c r="P68" s="108"/>
    </row>
    <row r="69">
      <c r="A69" s="28" t="s">
        <v>151</v>
      </c>
      <c r="B69" s="28" t="s">
        <v>28</v>
      </c>
      <c r="C69" s="31">
        <v>45597.0</v>
      </c>
      <c r="D69" s="53"/>
      <c r="E69" s="47" t="s">
        <v>61</v>
      </c>
      <c r="F69" s="101"/>
      <c r="G69" s="102" t="s">
        <v>184</v>
      </c>
      <c r="H69" s="31">
        <v>45992.0</v>
      </c>
      <c r="I69" s="11" t="s">
        <v>160</v>
      </c>
      <c r="J69" s="101"/>
      <c r="K69" s="40" t="s">
        <v>183</v>
      </c>
      <c r="L69" s="52">
        <v>46388.0</v>
      </c>
      <c r="P69" s="108"/>
    </row>
    <row r="70">
      <c r="A70" s="28" t="s">
        <v>180</v>
      </c>
      <c r="B70" s="28" t="s">
        <v>28</v>
      </c>
      <c r="C70" s="31">
        <v>45597.0</v>
      </c>
      <c r="D70" s="32"/>
      <c r="E70" s="16" t="s">
        <v>31</v>
      </c>
      <c r="F70" s="101"/>
      <c r="G70" s="102" t="s">
        <v>190</v>
      </c>
      <c r="H70" s="31">
        <v>45992.0</v>
      </c>
      <c r="I70" s="11" t="s">
        <v>160</v>
      </c>
      <c r="J70" s="101"/>
      <c r="K70" s="40" t="s">
        <v>243</v>
      </c>
      <c r="L70" s="52">
        <v>46388.0</v>
      </c>
      <c r="P70" s="108"/>
    </row>
    <row r="71">
      <c r="A71" s="61" t="s">
        <v>215</v>
      </c>
      <c r="B71" s="61" t="s">
        <v>40</v>
      </c>
      <c r="C71" s="42">
        <v>45627.0</v>
      </c>
      <c r="D71" s="63"/>
      <c r="E71" s="16" t="s">
        <v>61</v>
      </c>
      <c r="F71" s="101"/>
      <c r="G71" s="102" t="s">
        <v>188</v>
      </c>
      <c r="H71" s="31">
        <v>45992.0</v>
      </c>
      <c r="I71" s="11" t="s">
        <v>160</v>
      </c>
      <c r="J71" s="101"/>
      <c r="K71" s="40" t="s">
        <v>192</v>
      </c>
      <c r="L71" s="52">
        <v>46388.0</v>
      </c>
      <c r="P71" s="108"/>
    </row>
    <row r="72">
      <c r="A72" s="61" t="s">
        <v>196</v>
      </c>
      <c r="B72" s="61" t="s">
        <v>28</v>
      </c>
      <c r="C72" s="116">
        <v>45627.0</v>
      </c>
      <c r="D72" s="40" t="s">
        <v>248</v>
      </c>
      <c r="E72" s="16" t="s">
        <v>61</v>
      </c>
      <c r="F72" s="101"/>
      <c r="G72" s="102" t="s">
        <v>195</v>
      </c>
      <c r="H72" s="31">
        <v>45992.0</v>
      </c>
      <c r="I72" s="11" t="s">
        <v>160</v>
      </c>
      <c r="J72" s="101"/>
      <c r="K72" s="54" t="s">
        <v>227</v>
      </c>
      <c r="L72" s="31">
        <v>46419.0</v>
      </c>
      <c r="P72" s="108"/>
    </row>
    <row r="73">
      <c r="A73" s="61" t="s">
        <v>183</v>
      </c>
      <c r="B73" s="61" t="s">
        <v>40</v>
      </c>
      <c r="C73" s="42">
        <v>45627.0</v>
      </c>
      <c r="D73" s="63"/>
      <c r="E73" s="16" t="s">
        <v>61</v>
      </c>
      <c r="F73" s="101"/>
      <c r="G73" s="102" t="s">
        <v>138</v>
      </c>
      <c r="H73" s="31">
        <v>45992.0</v>
      </c>
      <c r="I73" s="11" t="s">
        <v>160</v>
      </c>
      <c r="J73" s="101"/>
      <c r="K73" s="54" t="s">
        <v>195</v>
      </c>
      <c r="L73" s="31">
        <v>46419.0</v>
      </c>
      <c r="M73" s="16" t="s">
        <v>251</v>
      </c>
      <c r="P73" s="108"/>
    </row>
    <row r="74">
      <c r="A74" s="61" t="s">
        <v>211</v>
      </c>
      <c r="B74" s="61" t="s">
        <v>28</v>
      </c>
      <c r="C74" s="42">
        <v>45627.0</v>
      </c>
      <c r="D74" s="62"/>
      <c r="E74" s="47" t="s">
        <v>61</v>
      </c>
      <c r="F74" s="101"/>
      <c r="G74" s="102" t="s">
        <v>216</v>
      </c>
      <c r="H74" s="31">
        <v>45992.0</v>
      </c>
      <c r="I74" s="11" t="s">
        <v>160</v>
      </c>
      <c r="J74" s="101"/>
      <c r="K74" s="54" t="s">
        <v>255</v>
      </c>
      <c r="L74" s="31">
        <v>46419.0</v>
      </c>
      <c r="P74" s="108"/>
    </row>
    <row r="75">
      <c r="A75" s="61" t="s">
        <v>184</v>
      </c>
      <c r="B75" s="61" t="s">
        <v>40</v>
      </c>
      <c r="C75" s="42">
        <v>45627.0</v>
      </c>
      <c r="D75" s="63"/>
      <c r="E75" s="16" t="s">
        <v>31</v>
      </c>
      <c r="F75" s="101"/>
      <c r="G75" s="105" t="s">
        <v>229</v>
      </c>
      <c r="H75" s="42">
        <v>46023.0</v>
      </c>
      <c r="I75" s="11" t="s">
        <v>160</v>
      </c>
      <c r="J75" s="101"/>
      <c r="K75" s="54" t="s">
        <v>260</v>
      </c>
      <c r="L75" s="31">
        <v>46419.0</v>
      </c>
      <c r="P75" s="108"/>
    </row>
    <row r="76">
      <c r="A76" s="117" t="s">
        <v>190</v>
      </c>
      <c r="B76" s="61" t="s">
        <v>28</v>
      </c>
      <c r="C76" s="42">
        <v>45627.0</v>
      </c>
      <c r="D76" s="63"/>
      <c r="E76" s="16" t="s">
        <v>31</v>
      </c>
      <c r="F76" s="101"/>
      <c r="G76" s="105" t="s">
        <v>254</v>
      </c>
      <c r="H76" s="42">
        <v>46023.0</v>
      </c>
      <c r="I76" s="11" t="s">
        <v>160</v>
      </c>
      <c r="J76" s="101"/>
      <c r="K76" s="54" t="s">
        <v>263</v>
      </c>
      <c r="L76" s="31">
        <v>46419.0</v>
      </c>
      <c r="P76" s="108"/>
    </row>
    <row r="77">
      <c r="A77" s="61" t="s">
        <v>176</v>
      </c>
      <c r="B77" s="61" t="s">
        <v>40</v>
      </c>
      <c r="C77" s="42">
        <v>45627.0</v>
      </c>
      <c r="D77" s="63"/>
      <c r="E77" s="16" t="s">
        <v>61</v>
      </c>
      <c r="F77" s="101"/>
      <c r="G77" s="105" t="s">
        <v>186</v>
      </c>
      <c r="H77" s="42">
        <v>46023.0</v>
      </c>
      <c r="I77" s="11" t="s">
        <v>160</v>
      </c>
      <c r="J77" s="101"/>
      <c r="K77" s="54" t="s">
        <v>216</v>
      </c>
      <c r="L77" s="31">
        <v>46419.0</v>
      </c>
      <c r="M77" s="16" t="s">
        <v>266</v>
      </c>
      <c r="P77" s="108"/>
    </row>
    <row r="78">
      <c r="A78" s="61" t="s">
        <v>188</v>
      </c>
      <c r="B78" s="61" t="s">
        <v>40</v>
      </c>
      <c r="C78" s="42">
        <v>45627.0</v>
      </c>
      <c r="D78" s="62"/>
      <c r="E78" s="47" t="s">
        <v>61</v>
      </c>
      <c r="F78" s="101"/>
      <c r="G78" s="105" t="s">
        <v>231</v>
      </c>
      <c r="H78" s="42">
        <v>46023.0</v>
      </c>
      <c r="I78" s="11" t="s">
        <v>160</v>
      </c>
      <c r="J78" s="101"/>
      <c r="K78" s="54" t="s">
        <v>147</v>
      </c>
      <c r="L78" s="31">
        <v>46420.0</v>
      </c>
      <c r="M78" s="16" t="s">
        <v>267</v>
      </c>
      <c r="P78" s="108"/>
    </row>
    <row r="79">
      <c r="A79" s="61" t="s">
        <v>128</v>
      </c>
      <c r="B79" s="61" t="s">
        <v>40</v>
      </c>
      <c r="C79" s="42">
        <v>45627.0</v>
      </c>
      <c r="D79" s="63"/>
      <c r="E79" s="16" t="s">
        <v>61</v>
      </c>
      <c r="F79" s="101"/>
      <c r="G79" s="105" t="s">
        <v>207</v>
      </c>
      <c r="H79" s="42">
        <v>46023.0</v>
      </c>
      <c r="I79" s="11" t="s">
        <v>160</v>
      </c>
      <c r="J79" s="101"/>
      <c r="K79" s="102" t="s">
        <v>244</v>
      </c>
      <c r="L79" s="31">
        <v>46420.0</v>
      </c>
      <c r="P79" s="108"/>
    </row>
    <row r="80">
      <c r="A80" s="61" t="s">
        <v>228</v>
      </c>
      <c r="B80" s="61" t="s">
        <v>28</v>
      </c>
      <c r="C80" s="42">
        <v>45627.0</v>
      </c>
      <c r="D80" s="63"/>
      <c r="E80" s="16" t="s">
        <v>61</v>
      </c>
      <c r="F80" s="101"/>
      <c r="G80" s="105" t="s">
        <v>272</v>
      </c>
      <c r="H80" s="42">
        <v>46023.0</v>
      </c>
      <c r="I80" s="11" t="s">
        <v>160</v>
      </c>
      <c r="J80" s="101"/>
      <c r="K80" s="40" t="s">
        <v>164</v>
      </c>
      <c r="L80" s="42">
        <v>46447.0</v>
      </c>
      <c r="P80" s="108"/>
    </row>
    <row r="81">
      <c r="A81" s="61" t="s">
        <v>195</v>
      </c>
      <c r="B81" s="61" t="s">
        <v>40</v>
      </c>
      <c r="C81" s="42">
        <v>45627.0</v>
      </c>
      <c r="D81" s="61" t="s">
        <v>42</v>
      </c>
      <c r="E81" s="16" t="s">
        <v>31</v>
      </c>
      <c r="F81" s="101"/>
      <c r="G81" s="105" t="s">
        <v>228</v>
      </c>
      <c r="H81" s="42">
        <v>46023.0</v>
      </c>
      <c r="I81" s="11" t="s">
        <v>160</v>
      </c>
      <c r="J81" s="101"/>
      <c r="K81" s="105" t="s">
        <v>277</v>
      </c>
      <c r="L81" s="42">
        <v>46447.0</v>
      </c>
      <c r="P81" s="108"/>
    </row>
    <row r="82">
      <c r="A82" s="61" t="s">
        <v>138</v>
      </c>
      <c r="B82" s="61" t="s">
        <v>40</v>
      </c>
      <c r="C82" s="42">
        <v>45627.0</v>
      </c>
      <c r="D82" s="63"/>
      <c r="E82" s="16" t="s">
        <v>61</v>
      </c>
      <c r="F82" s="101"/>
      <c r="G82" s="105" t="s">
        <v>279</v>
      </c>
      <c r="H82" s="42">
        <v>46023.0</v>
      </c>
      <c r="I82" s="11" t="s">
        <v>160</v>
      </c>
      <c r="J82" s="101"/>
      <c r="K82" s="105" t="s">
        <v>283</v>
      </c>
      <c r="L82" s="42">
        <v>46447.0</v>
      </c>
      <c r="P82" s="108"/>
    </row>
    <row r="83">
      <c r="A83" s="28" t="s">
        <v>229</v>
      </c>
      <c r="B83" s="28" t="s">
        <v>40</v>
      </c>
      <c r="C83" s="31">
        <v>45658.0</v>
      </c>
      <c r="D83" s="53"/>
      <c r="E83" s="47" t="s">
        <v>61</v>
      </c>
      <c r="F83" s="101"/>
      <c r="G83" s="105" t="s">
        <v>243</v>
      </c>
      <c r="H83" s="42">
        <v>46023.0</v>
      </c>
      <c r="I83" s="11" t="s">
        <v>160</v>
      </c>
      <c r="J83" s="101"/>
      <c r="K83" s="40" t="s">
        <v>287</v>
      </c>
      <c r="L83" s="42">
        <v>46447.0</v>
      </c>
      <c r="P83" s="108"/>
    </row>
    <row r="84">
      <c r="A84" s="28" t="s">
        <v>227</v>
      </c>
      <c r="B84" s="28" t="s">
        <v>40</v>
      </c>
      <c r="C84" s="31">
        <v>45658.0</v>
      </c>
      <c r="D84" s="53"/>
      <c r="E84" s="47" t="s">
        <v>61</v>
      </c>
      <c r="F84" s="101"/>
      <c r="G84" s="105" t="s">
        <v>168</v>
      </c>
      <c r="H84" s="42">
        <v>46023.0</v>
      </c>
      <c r="I84" s="11" t="s">
        <v>290</v>
      </c>
      <c r="J84" s="101"/>
      <c r="K84" s="40" t="s">
        <v>229</v>
      </c>
      <c r="L84" s="42">
        <v>46447.0</v>
      </c>
      <c r="P84" s="108"/>
    </row>
    <row r="85">
      <c r="A85" s="28" t="s">
        <v>169</v>
      </c>
      <c r="B85" s="28" t="s">
        <v>28</v>
      </c>
      <c r="C85" s="31">
        <v>45658.0</v>
      </c>
      <c r="D85" s="32"/>
      <c r="E85" s="16" t="s">
        <v>61</v>
      </c>
      <c r="F85" s="101"/>
      <c r="G85" s="105" t="s">
        <v>227</v>
      </c>
      <c r="H85" s="42">
        <v>46023.0</v>
      </c>
      <c r="I85" s="11" t="s">
        <v>160</v>
      </c>
      <c r="J85" s="101"/>
      <c r="K85" s="40" t="s">
        <v>278</v>
      </c>
      <c r="L85" s="42">
        <v>46447.0</v>
      </c>
      <c r="M85" s="16" t="s">
        <v>293</v>
      </c>
      <c r="P85" s="108"/>
    </row>
    <row r="86">
      <c r="A86" s="119" t="s">
        <v>243</v>
      </c>
      <c r="B86" s="28" t="s">
        <v>40</v>
      </c>
      <c r="C86" s="31">
        <v>45658.0</v>
      </c>
      <c r="D86" s="32"/>
      <c r="E86" s="16" t="s">
        <v>61</v>
      </c>
      <c r="F86" s="101"/>
      <c r="G86" s="102" t="s">
        <v>209</v>
      </c>
      <c r="H86" s="31">
        <v>46056.0</v>
      </c>
      <c r="I86" s="11" t="s">
        <v>160</v>
      </c>
      <c r="J86" s="101"/>
      <c r="K86" s="40" t="s">
        <v>296</v>
      </c>
      <c r="L86" s="42">
        <v>46447.0</v>
      </c>
      <c r="P86" s="108"/>
    </row>
    <row r="87">
      <c r="A87" s="119" t="s">
        <v>278</v>
      </c>
      <c r="B87" s="28" t="s">
        <v>40</v>
      </c>
      <c r="C87" s="31">
        <v>45658.0</v>
      </c>
      <c r="D87" s="32"/>
      <c r="E87" s="16" t="s">
        <v>61</v>
      </c>
      <c r="F87" s="101"/>
      <c r="G87" s="102" t="s">
        <v>217</v>
      </c>
      <c r="H87" s="31">
        <v>46056.0</v>
      </c>
      <c r="I87" s="11" t="s">
        <v>300</v>
      </c>
      <c r="J87" s="101"/>
      <c r="K87" s="54" t="s">
        <v>301</v>
      </c>
      <c r="L87" s="31">
        <v>46478.0</v>
      </c>
      <c r="M87" s="16"/>
      <c r="P87" s="108"/>
    </row>
    <row r="88">
      <c r="A88" s="28" t="s">
        <v>254</v>
      </c>
      <c r="B88" s="28" t="s">
        <v>40</v>
      </c>
      <c r="C88" s="31">
        <v>45658.0</v>
      </c>
      <c r="D88" s="32"/>
      <c r="E88" s="16" t="s">
        <v>61</v>
      </c>
      <c r="F88" s="101"/>
      <c r="G88" s="102" t="s">
        <v>263</v>
      </c>
      <c r="H88" s="31">
        <v>46056.0</v>
      </c>
      <c r="I88" s="16" t="s">
        <v>160</v>
      </c>
      <c r="J88" s="101"/>
      <c r="K88" s="54" t="s">
        <v>304</v>
      </c>
      <c r="L88" s="31">
        <v>46478.0</v>
      </c>
      <c r="P88" s="108"/>
    </row>
    <row r="89">
      <c r="A89" s="119" t="s">
        <v>279</v>
      </c>
      <c r="B89" s="28" t="s">
        <v>40</v>
      </c>
      <c r="C89" s="31">
        <v>45658.0</v>
      </c>
      <c r="D89" s="32"/>
      <c r="E89" s="16" t="s">
        <v>61</v>
      </c>
      <c r="F89" s="101"/>
      <c r="G89" s="102" t="s">
        <v>260</v>
      </c>
      <c r="H89" s="31">
        <v>46056.0</v>
      </c>
      <c r="I89" s="16" t="s">
        <v>300</v>
      </c>
      <c r="J89" s="101"/>
      <c r="K89" s="54" t="s">
        <v>307</v>
      </c>
      <c r="L89" s="31">
        <v>46478.0</v>
      </c>
      <c r="P89" s="108"/>
    </row>
    <row r="90">
      <c r="A90" s="28" t="s">
        <v>168</v>
      </c>
      <c r="B90" s="28" t="s">
        <v>28</v>
      </c>
      <c r="C90" s="31">
        <v>45658.0</v>
      </c>
      <c r="D90" s="28" t="s">
        <v>42</v>
      </c>
      <c r="E90" s="47" t="s">
        <v>31</v>
      </c>
      <c r="F90" s="101"/>
      <c r="G90" s="102" t="s">
        <v>259</v>
      </c>
      <c r="H90" s="31">
        <v>46056.0</v>
      </c>
      <c r="I90" s="16" t="s">
        <v>160</v>
      </c>
      <c r="J90" s="101"/>
      <c r="K90" s="54" t="s">
        <v>311</v>
      </c>
      <c r="L90" s="31">
        <v>46478.0</v>
      </c>
      <c r="M90" s="16" t="s">
        <v>312</v>
      </c>
      <c r="P90" s="108"/>
    </row>
    <row r="91">
      <c r="A91" s="28" t="s">
        <v>186</v>
      </c>
      <c r="B91" s="28" t="s">
        <v>40</v>
      </c>
      <c r="C91" s="31">
        <v>45658.0</v>
      </c>
      <c r="D91" s="32"/>
      <c r="E91" s="16" t="s">
        <v>31</v>
      </c>
      <c r="F91" s="101"/>
      <c r="G91" s="102" t="s">
        <v>192</v>
      </c>
      <c r="H91" s="31">
        <v>46056.0</v>
      </c>
      <c r="I91" s="16" t="s">
        <v>160</v>
      </c>
      <c r="J91" s="101"/>
      <c r="K91" s="54" t="s">
        <v>315</v>
      </c>
      <c r="L91" s="31">
        <v>46478.0</v>
      </c>
      <c r="P91" s="108"/>
    </row>
    <row r="92">
      <c r="A92" s="28" t="s">
        <v>231</v>
      </c>
      <c r="B92" s="28" t="s">
        <v>28</v>
      </c>
      <c r="C92" s="31">
        <v>45658.0</v>
      </c>
      <c r="D92" s="32"/>
      <c r="E92" s="16" t="s">
        <v>31</v>
      </c>
      <c r="F92" s="101"/>
      <c r="G92" s="102" t="s">
        <v>314</v>
      </c>
      <c r="H92" s="31">
        <v>46054.0</v>
      </c>
      <c r="I92" s="16" t="s">
        <v>300</v>
      </c>
      <c r="J92" s="101"/>
      <c r="K92" s="54" t="s">
        <v>317</v>
      </c>
      <c r="L92" s="31">
        <v>46478.0</v>
      </c>
      <c r="P92" s="108"/>
    </row>
    <row r="93">
      <c r="A93" s="28" t="s">
        <v>236</v>
      </c>
      <c r="B93" s="28" t="s">
        <v>28</v>
      </c>
      <c r="C93" s="31">
        <v>45658.0</v>
      </c>
      <c r="D93" s="32"/>
      <c r="E93" s="16" t="s">
        <v>61</v>
      </c>
      <c r="F93" s="101"/>
      <c r="G93" s="102" t="s">
        <v>236</v>
      </c>
      <c r="H93" s="31">
        <v>46054.0</v>
      </c>
      <c r="J93" s="101"/>
      <c r="K93" s="54" t="s">
        <v>176</v>
      </c>
      <c r="L93" s="31">
        <v>46478.0</v>
      </c>
      <c r="P93" s="108"/>
    </row>
    <row r="94">
      <c r="A94" s="28" t="s">
        <v>207</v>
      </c>
      <c r="B94" s="28" t="s">
        <v>28</v>
      </c>
      <c r="C94" s="31">
        <v>45658.0</v>
      </c>
      <c r="D94" s="32"/>
      <c r="E94" s="16" t="s">
        <v>61</v>
      </c>
      <c r="F94" s="101"/>
      <c r="G94" s="102" t="s">
        <v>278</v>
      </c>
      <c r="H94" s="31">
        <v>46054.0</v>
      </c>
      <c r="J94" s="101"/>
      <c r="K94" s="54" t="s">
        <v>322</v>
      </c>
      <c r="L94" s="31">
        <v>46478.0</v>
      </c>
      <c r="P94" s="108"/>
    </row>
    <row r="95">
      <c r="A95" s="28" t="s">
        <v>272</v>
      </c>
      <c r="B95" s="28" t="s">
        <v>40</v>
      </c>
      <c r="C95" s="31">
        <v>45659.0</v>
      </c>
      <c r="D95" s="32"/>
      <c r="E95" s="16" t="s">
        <v>31</v>
      </c>
      <c r="F95" s="101"/>
      <c r="G95" s="102" t="s">
        <v>255</v>
      </c>
      <c r="H95" s="31">
        <v>46054.0</v>
      </c>
      <c r="I95" s="16" t="s">
        <v>160</v>
      </c>
      <c r="J95" s="101"/>
      <c r="K95" s="54" t="s">
        <v>279</v>
      </c>
      <c r="L95" s="31">
        <v>46478.0</v>
      </c>
      <c r="P95" s="108"/>
    </row>
    <row r="96">
      <c r="A96" s="61" t="s">
        <v>259</v>
      </c>
      <c r="B96" s="61" t="s">
        <v>28</v>
      </c>
      <c r="C96" s="42">
        <v>45689.0</v>
      </c>
      <c r="D96" s="62"/>
      <c r="E96" s="16" t="s">
        <v>61</v>
      </c>
      <c r="F96" s="101"/>
      <c r="G96" s="102" t="s">
        <v>244</v>
      </c>
      <c r="H96" s="31">
        <v>46054.0</v>
      </c>
      <c r="I96" s="16" t="s">
        <v>160</v>
      </c>
      <c r="J96" s="101"/>
      <c r="K96" s="54" t="s">
        <v>327</v>
      </c>
      <c r="L96" s="31">
        <v>46478.0</v>
      </c>
      <c r="P96" s="108"/>
    </row>
    <row r="97">
      <c r="A97" s="61" t="s">
        <v>263</v>
      </c>
      <c r="B97" s="61" t="s">
        <v>40</v>
      </c>
      <c r="C97" s="42">
        <v>45689.0</v>
      </c>
      <c r="D97" s="63"/>
      <c r="E97" s="16" t="s">
        <v>61</v>
      </c>
      <c r="F97" s="101"/>
      <c r="G97" s="102" t="s">
        <v>256</v>
      </c>
      <c r="H97" s="31">
        <v>46054.0</v>
      </c>
      <c r="I97" s="16" t="s">
        <v>300</v>
      </c>
      <c r="J97" s="101"/>
      <c r="K97" s="54" t="s">
        <v>256</v>
      </c>
      <c r="L97" s="31">
        <v>46479.0</v>
      </c>
      <c r="P97" s="108"/>
    </row>
    <row r="98">
      <c r="A98" s="61" t="s">
        <v>209</v>
      </c>
      <c r="B98" s="61" t="s">
        <v>28</v>
      </c>
      <c r="C98" s="42">
        <v>45689.0</v>
      </c>
      <c r="D98" s="63"/>
      <c r="E98" s="16" t="s">
        <v>61</v>
      </c>
      <c r="F98" s="101"/>
      <c r="G98" s="105" t="s">
        <v>296</v>
      </c>
      <c r="H98" s="42">
        <v>46082.0</v>
      </c>
      <c r="I98" s="16" t="s">
        <v>300</v>
      </c>
      <c r="J98" s="101"/>
      <c r="K98" s="54" t="s">
        <v>335</v>
      </c>
      <c r="L98" s="31">
        <v>46480.0</v>
      </c>
      <c r="P98" s="108"/>
    </row>
    <row r="99">
      <c r="A99" s="61" t="s">
        <v>217</v>
      </c>
      <c r="B99" s="61" t="s">
        <v>28</v>
      </c>
      <c r="C99" s="42">
        <v>45689.0</v>
      </c>
      <c r="D99" s="62"/>
      <c r="E99" s="47" t="s">
        <v>61</v>
      </c>
      <c r="F99" s="101"/>
      <c r="G99" s="105" t="s">
        <v>274</v>
      </c>
      <c r="H99" s="42">
        <v>46082.0</v>
      </c>
      <c r="I99" s="16" t="s">
        <v>300</v>
      </c>
      <c r="J99" s="101"/>
      <c r="K99" s="40" t="s">
        <v>337</v>
      </c>
      <c r="L99" s="42">
        <v>46508.0</v>
      </c>
      <c r="P99" s="108"/>
    </row>
    <row r="100">
      <c r="A100" s="61" t="s">
        <v>262</v>
      </c>
      <c r="B100" s="61" t="s">
        <v>28</v>
      </c>
      <c r="C100" s="42">
        <v>45689.0</v>
      </c>
      <c r="D100" s="62"/>
      <c r="E100" s="16" t="s">
        <v>61</v>
      </c>
      <c r="F100" s="101"/>
      <c r="G100" s="105" t="s">
        <v>287</v>
      </c>
      <c r="H100" s="42">
        <v>46082.0</v>
      </c>
      <c r="I100" s="16" t="s">
        <v>160</v>
      </c>
      <c r="J100" s="101"/>
      <c r="K100" s="40" t="s">
        <v>341</v>
      </c>
      <c r="L100" s="42">
        <v>46508.0</v>
      </c>
      <c r="P100" s="108"/>
    </row>
    <row r="101">
      <c r="A101" s="61" t="s">
        <v>244</v>
      </c>
      <c r="B101" s="61" t="s">
        <v>40</v>
      </c>
      <c r="C101" s="42">
        <v>45689.0</v>
      </c>
      <c r="D101" s="62"/>
      <c r="E101" s="16" t="s">
        <v>61</v>
      </c>
      <c r="F101" s="101"/>
      <c r="G101" s="105" t="s">
        <v>307</v>
      </c>
      <c r="H101" s="42">
        <v>46082.0</v>
      </c>
      <c r="I101" s="16" t="s">
        <v>300</v>
      </c>
      <c r="J101" s="101"/>
      <c r="K101" s="40" t="s">
        <v>345</v>
      </c>
      <c r="L101" s="42">
        <v>46508.0</v>
      </c>
      <c r="P101" s="108"/>
    </row>
    <row r="102">
      <c r="A102" s="124" t="s">
        <v>347</v>
      </c>
      <c r="B102" s="61" t="s">
        <v>40</v>
      </c>
      <c r="C102" s="42">
        <v>45689.0</v>
      </c>
      <c r="D102" s="126" t="s">
        <v>350</v>
      </c>
      <c r="E102" s="16" t="s">
        <v>61</v>
      </c>
      <c r="F102" s="101"/>
      <c r="G102" s="105" t="s">
        <v>176</v>
      </c>
      <c r="H102" s="42">
        <v>46082.0</v>
      </c>
      <c r="I102" s="16" t="s">
        <v>300</v>
      </c>
      <c r="J102" s="101"/>
      <c r="K102" s="40" t="s">
        <v>254</v>
      </c>
      <c r="L102" s="42">
        <v>46508.0</v>
      </c>
      <c r="M102" s="16" t="s">
        <v>352</v>
      </c>
      <c r="P102" s="108"/>
    </row>
    <row r="103">
      <c r="A103" s="61" t="s">
        <v>314</v>
      </c>
      <c r="B103" s="61" t="s">
        <v>40</v>
      </c>
      <c r="C103" s="42">
        <v>45690.0</v>
      </c>
      <c r="D103" s="63"/>
      <c r="E103" s="16" t="s">
        <v>61</v>
      </c>
      <c r="F103" s="101"/>
      <c r="G103" s="105" t="s">
        <v>277</v>
      </c>
      <c r="H103" s="42">
        <v>46082.0</v>
      </c>
      <c r="I103" s="16" t="s">
        <v>356</v>
      </c>
      <c r="J103" s="101"/>
      <c r="K103" s="40" t="s">
        <v>358</v>
      </c>
      <c r="L103" s="42">
        <v>46508.0</v>
      </c>
      <c r="M103" s="16" t="s">
        <v>359</v>
      </c>
      <c r="P103" s="108"/>
    </row>
    <row r="104">
      <c r="A104" s="117" t="s">
        <v>274</v>
      </c>
      <c r="B104" s="61" t="s">
        <v>40</v>
      </c>
      <c r="C104" s="42">
        <v>45690.0</v>
      </c>
      <c r="D104" s="62"/>
      <c r="E104" s="16" t="s">
        <v>61</v>
      </c>
      <c r="F104" s="101"/>
      <c r="G104" s="105" t="s">
        <v>283</v>
      </c>
      <c r="H104" s="42">
        <v>46082.0</v>
      </c>
      <c r="I104" s="16" t="s">
        <v>356</v>
      </c>
      <c r="J104" s="101"/>
      <c r="K104" s="40" t="s">
        <v>362</v>
      </c>
      <c r="L104" s="42">
        <v>46508.0</v>
      </c>
      <c r="P104" s="108"/>
    </row>
    <row r="105">
      <c r="A105" s="61" t="s">
        <v>287</v>
      </c>
      <c r="B105" s="61" t="s">
        <v>28</v>
      </c>
      <c r="C105" s="42">
        <v>45690.0</v>
      </c>
      <c r="D105" s="63"/>
      <c r="E105" s="16" t="s">
        <v>31</v>
      </c>
      <c r="F105" s="101"/>
      <c r="G105" s="102" t="s">
        <v>340</v>
      </c>
      <c r="H105" s="31">
        <v>46113.0</v>
      </c>
      <c r="J105" s="101"/>
      <c r="K105" s="40" t="s">
        <v>365</v>
      </c>
      <c r="L105" s="42">
        <v>46508.0</v>
      </c>
      <c r="P105" s="108"/>
    </row>
    <row r="106">
      <c r="A106" s="61" t="s">
        <v>260</v>
      </c>
      <c r="B106" s="61" t="s">
        <v>28</v>
      </c>
      <c r="C106" s="42">
        <v>45690.0</v>
      </c>
      <c r="D106" s="63"/>
      <c r="E106" s="16" t="s">
        <v>31</v>
      </c>
      <c r="F106" s="101"/>
      <c r="G106" s="102" t="s">
        <v>364</v>
      </c>
      <c r="H106" s="31">
        <v>46113.0</v>
      </c>
      <c r="J106" s="101"/>
      <c r="K106" s="40" t="s">
        <v>368</v>
      </c>
      <c r="L106" s="42">
        <v>46508.0</v>
      </c>
      <c r="P106" s="108"/>
    </row>
    <row r="107">
      <c r="A107" s="61" t="s">
        <v>353</v>
      </c>
      <c r="B107" s="61" t="s">
        <v>28</v>
      </c>
      <c r="C107" s="42">
        <v>45690.0</v>
      </c>
      <c r="D107" s="63"/>
      <c r="E107" s="16" t="s">
        <v>61</v>
      </c>
      <c r="F107" s="101"/>
      <c r="G107" s="102" t="s">
        <v>311</v>
      </c>
      <c r="H107" s="31">
        <v>46113.0</v>
      </c>
      <c r="J107" s="101"/>
      <c r="K107" s="40" t="s">
        <v>340</v>
      </c>
      <c r="L107" s="42">
        <v>46508.0</v>
      </c>
      <c r="P107" s="108"/>
    </row>
    <row r="108">
      <c r="A108" s="61" t="s">
        <v>255</v>
      </c>
      <c r="B108" s="61" t="s">
        <v>40</v>
      </c>
      <c r="C108" s="42">
        <v>45690.0</v>
      </c>
      <c r="D108" s="63"/>
      <c r="E108" s="16" t="s">
        <v>31</v>
      </c>
      <c r="F108" s="101"/>
      <c r="G108" s="102" t="s">
        <v>304</v>
      </c>
      <c r="H108" s="31">
        <v>46113.0</v>
      </c>
      <c r="I108" s="16" t="s">
        <v>300</v>
      </c>
      <c r="J108" s="101"/>
      <c r="K108" s="40" t="s">
        <v>375</v>
      </c>
      <c r="L108" s="42">
        <v>46508.0</v>
      </c>
      <c r="P108" s="108"/>
    </row>
    <row r="109">
      <c r="A109" s="61" t="s">
        <v>256</v>
      </c>
      <c r="B109" s="61" t="s">
        <v>28</v>
      </c>
      <c r="C109" s="42">
        <v>45690.0</v>
      </c>
      <c r="D109" s="62"/>
      <c r="E109" s="16" t="s">
        <v>61</v>
      </c>
      <c r="F109" s="101"/>
      <c r="G109" s="102" t="s">
        <v>335</v>
      </c>
      <c r="H109" s="31">
        <v>46113.0</v>
      </c>
      <c r="J109" s="101"/>
      <c r="K109" s="40" t="s">
        <v>336</v>
      </c>
      <c r="L109" s="42">
        <v>46508.0</v>
      </c>
      <c r="P109" s="108"/>
    </row>
    <row r="110">
      <c r="A110" s="28" t="s">
        <v>311</v>
      </c>
      <c r="B110" s="28" t="s">
        <v>40</v>
      </c>
      <c r="C110" s="31">
        <v>45717.0</v>
      </c>
      <c r="D110" s="32"/>
      <c r="E110" s="16" t="s">
        <v>31</v>
      </c>
      <c r="F110" s="101"/>
      <c r="G110" s="102" t="s">
        <v>368</v>
      </c>
      <c r="H110" s="31">
        <v>46113.0</v>
      </c>
      <c r="I110" s="16" t="s">
        <v>300</v>
      </c>
      <c r="J110" s="101"/>
      <c r="K110" s="40" t="s">
        <v>372</v>
      </c>
      <c r="L110" s="42">
        <v>46508.0</v>
      </c>
      <c r="P110" s="108"/>
    </row>
    <row r="111">
      <c r="A111" s="28" t="s">
        <v>307</v>
      </c>
      <c r="B111" s="28" t="s">
        <v>28</v>
      </c>
      <c r="C111" s="31">
        <v>45717.0</v>
      </c>
      <c r="D111" s="54"/>
      <c r="E111" s="16" t="s">
        <v>61</v>
      </c>
      <c r="F111" s="101"/>
      <c r="G111" s="102" t="s">
        <v>301</v>
      </c>
      <c r="H111" s="31">
        <v>46113.0</v>
      </c>
      <c r="J111" s="101"/>
      <c r="K111" s="16" t="s">
        <v>380</v>
      </c>
      <c r="L111" s="108">
        <v>46539.0</v>
      </c>
      <c r="P111" s="108"/>
    </row>
    <row r="112">
      <c r="A112" s="28" t="s">
        <v>283</v>
      </c>
      <c r="B112" s="28" t="s">
        <v>40</v>
      </c>
      <c r="C112" s="31">
        <v>45717.0</v>
      </c>
      <c r="D112" s="54" t="s">
        <v>300</v>
      </c>
      <c r="E112" s="16" t="s">
        <v>31</v>
      </c>
      <c r="F112" s="101"/>
      <c r="G112" s="102" t="s">
        <v>317</v>
      </c>
      <c r="H112" s="31">
        <v>46113.0</v>
      </c>
      <c r="J112" s="101"/>
      <c r="K112" s="16" t="s">
        <v>382</v>
      </c>
      <c r="L112" s="108">
        <v>46539.0</v>
      </c>
      <c r="P112" s="108"/>
    </row>
    <row r="113">
      <c r="A113" s="28" t="s">
        <v>336</v>
      </c>
      <c r="B113" s="28" t="s">
        <v>40</v>
      </c>
      <c r="C113" s="31">
        <v>45717.0</v>
      </c>
      <c r="D113" s="32"/>
      <c r="E113" s="16" t="s">
        <v>61</v>
      </c>
      <c r="F113" s="101"/>
      <c r="G113" s="102" t="s">
        <v>315</v>
      </c>
      <c r="H113" s="31">
        <v>46113.0</v>
      </c>
      <c r="J113" s="101"/>
      <c r="K113" s="16" t="s">
        <v>384</v>
      </c>
      <c r="L113" s="108">
        <v>46539.0</v>
      </c>
      <c r="P113" s="108"/>
    </row>
    <row r="114">
      <c r="A114" s="28" t="s">
        <v>277</v>
      </c>
      <c r="B114" s="28" t="s">
        <v>40</v>
      </c>
      <c r="C114" s="31">
        <v>45717.0</v>
      </c>
      <c r="D114" s="54" t="s">
        <v>300</v>
      </c>
      <c r="E114" s="16" t="s">
        <v>61</v>
      </c>
      <c r="F114" s="101"/>
      <c r="G114" s="102" t="s">
        <v>322</v>
      </c>
      <c r="H114" s="31">
        <v>46113.0</v>
      </c>
      <c r="J114" s="101"/>
      <c r="K114" s="16" t="s">
        <v>364</v>
      </c>
      <c r="L114" s="108">
        <v>46539.0</v>
      </c>
      <c r="P114" s="108"/>
    </row>
    <row r="115">
      <c r="A115" s="28" t="s">
        <v>296</v>
      </c>
      <c r="B115" s="28" t="s">
        <v>40</v>
      </c>
      <c r="C115" s="31">
        <v>45717.0</v>
      </c>
      <c r="D115" s="32"/>
      <c r="E115" s="16" t="s">
        <v>31</v>
      </c>
      <c r="F115" s="101"/>
      <c r="G115" s="105" t="s">
        <v>378</v>
      </c>
      <c r="H115" s="42">
        <v>46143.0</v>
      </c>
      <c r="I115" s="16" t="s">
        <v>300</v>
      </c>
      <c r="J115" s="101"/>
      <c r="K115" s="16" t="s">
        <v>348</v>
      </c>
      <c r="L115" s="108">
        <v>46539.0</v>
      </c>
      <c r="P115" s="3"/>
    </row>
    <row r="116">
      <c r="A116" s="28" t="s">
        <v>304</v>
      </c>
      <c r="B116" s="28" t="s">
        <v>28</v>
      </c>
      <c r="C116" s="31">
        <v>45717.0</v>
      </c>
      <c r="D116" s="32"/>
      <c r="E116" s="16" t="s">
        <v>31</v>
      </c>
      <c r="F116" s="101"/>
      <c r="G116" s="105" t="s">
        <v>345</v>
      </c>
      <c r="H116" s="42">
        <v>46143.0</v>
      </c>
      <c r="I116" s="16" t="s">
        <v>300</v>
      </c>
      <c r="J116" s="101"/>
      <c r="K116" s="16" t="s">
        <v>378</v>
      </c>
      <c r="L116" s="108">
        <v>46569.0</v>
      </c>
      <c r="P116" s="3"/>
    </row>
    <row r="117">
      <c r="A117" s="28" t="s">
        <v>319</v>
      </c>
      <c r="B117" s="28" t="s">
        <v>40</v>
      </c>
      <c r="C117" s="31">
        <v>45717.0</v>
      </c>
      <c r="D117" s="54" t="s">
        <v>300</v>
      </c>
      <c r="E117" s="16" t="s">
        <v>31</v>
      </c>
      <c r="F117" s="101"/>
      <c r="G117" s="105" t="s">
        <v>372</v>
      </c>
      <c r="H117" s="42">
        <v>46143.0</v>
      </c>
      <c r="I117" s="16" t="s">
        <v>300</v>
      </c>
      <c r="J117" s="101"/>
      <c r="K117" s="16" t="s">
        <v>394</v>
      </c>
      <c r="L117" s="108">
        <v>46600.0</v>
      </c>
      <c r="M117" s="16" t="s">
        <v>396</v>
      </c>
      <c r="P117" s="3"/>
    </row>
    <row r="118">
      <c r="A118" s="61" t="s">
        <v>378</v>
      </c>
      <c r="B118" s="61" t="s">
        <v>28</v>
      </c>
      <c r="C118" s="42">
        <v>45748.0</v>
      </c>
      <c r="D118" s="63"/>
      <c r="E118" s="16" t="s">
        <v>61</v>
      </c>
      <c r="F118" s="101"/>
      <c r="G118" s="105" t="s">
        <v>358</v>
      </c>
      <c r="H118" s="42">
        <v>46143.0</v>
      </c>
      <c r="I118" s="16" t="s">
        <v>300</v>
      </c>
      <c r="J118" s="101"/>
      <c r="K118" s="16" t="s">
        <v>400</v>
      </c>
      <c r="L118" s="108">
        <v>46600.0</v>
      </c>
      <c r="P118" s="3"/>
    </row>
    <row r="119">
      <c r="A119" s="61" t="s">
        <v>394</v>
      </c>
      <c r="B119" s="61" t="s">
        <v>40</v>
      </c>
      <c r="C119" s="42">
        <v>45748.0</v>
      </c>
      <c r="D119" s="63"/>
      <c r="E119" s="16" t="s">
        <v>31</v>
      </c>
      <c r="F119" s="101"/>
      <c r="G119" s="105" t="s">
        <v>375</v>
      </c>
      <c r="H119" s="42">
        <v>46143.0</v>
      </c>
      <c r="I119" s="16" t="s">
        <v>300</v>
      </c>
      <c r="J119" s="101"/>
      <c r="K119" s="16" t="s">
        <v>402</v>
      </c>
      <c r="L119" s="108">
        <v>46600.0</v>
      </c>
      <c r="P119" s="3"/>
    </row>
    <row r="120">
      <c r="A120" s="61" t="s">
        <v>364</v>
      </c>
      <c r="B120" s="61" t="s">
        <v>28</v>
      </c>
      <c r="C120" s="42">
        <v>45748.0</v>
      </c>
      <c r="D120" s="63"/>
      <c r="E120" s="16" t="s">
        <v>61</v>
      </c>
      <c r="F120" s="101"/>
      <c r="G120" s="105" t="s">
        <v>394</v>
      </c>
      <c r="H120" s="42">
        <v>46143.0</v>
      </c>
      <c r="I120" s="16" t="s">
        <v>300</v>
      </c>
      <c r="J120" s="101"/>
      <c r="K120" s="16" t="s">
        <v>406</v>
      </c>
      <c r="L120" s="108">
        <v>46600.0</v>
      </c>
      <c r="P120" s="3"/>
    </row>
    <row r="121">
      <c r="A121" s="61" t="s">
        <v>340</v>
      </c>
      <c r="B121" s="61" t="s">
        <v>40</v>
      </c>
      <c r="C121" s="42">
        <v>45748.0</v>
      </c>
      <c r="D121" s="63"/>
      <c r="E121" s="16" t="s">
        <v>31</v>
      </c>
      <c r="F121" s="101"/>
      <c r="G121" s="105" t="s">
        <v>336</v>
      </c>
      <c r="H121" s="42">
        <v>46143.0</v>
      </c>
      <c r="I121" s="16" t="s">
        <v>300</v>
      </c>
      <c r="J121" s="101"/>
      <c r="K121" s="16" t="s">
        <v>410</v>
      </c>
      <c r="L121" s="108">
        <v>46600.0</v>
      </c>
      <c r="P121" s="3"/>
    </row>
    <row r="122">
      <c r="A122" s="117" t="s">
        <v>286</v>
      </c>
      <c r="B122" s="61" t="s">
        <v>28</v>
      </c>
      <c r="C122" s="42">
        <v>45748.0</v>
      </c>
      <c r="D122" s="61" t="s">
        <v>300</v>
      </c>
      <c r="E122" s="16" t="s">
        <v>31</v>
      </c>
      <c r="F122" s="101"/>
      <c r="G122" s="105" t="s">
        <v>337</v>
      </c>
      <c r="H122" s="42">
        <v>46143.0</v>
      </c>
      <c r="I122" s="16" t="s">
        <v>300</v>
      </c>
      <c r="J122" s="101"/>
      <c r="K122" s="16" t="s">
        <v>416</v>
      </c>
      <c r="L122" s="108">
        <v>46600.0</v>
      </c>
      <c r="P122" s="3"/>
    </row>
    <row r="123">
      <c r="A123" s="61" t="s">
        <v>315</v>
      </c>
      <c r="B123" s="61" t="s">
        <v>28</v>
      </c>
      <c r="C123" s="42">
        <v>45748.0</v>
      </c>
      <c r="D123" s="63"/>
      <c r="E123" s="16" t="s">
        <v>61</v>
      </c>
      <c r="F123" s="101"/>
      <c r="G123" s="109" t="s">
        <v>327</v>
      </c>
      <c r="H123" s="52">
        <v>46143.0</v>
      </c>
      <c r="I123" s="16" t="s">
        <v>421</v>
      </c>
      <c r="J123" s="101"/>
      <c r="K123" s="16" t="s">
        <v>391</v>
      </c>
      <c r="L123" s="108">
        <v>46600.0</v>
      </c>
      <c r="P123" s="3"/>
    </row>
    <row r="124">
      <c r="A124" s="61" t="s">
        <v>317</v>
      </c>
      <c r="B124" s="61" t="s">
        <v>28</v>
      </c>
      <c r="C124" s="42">
        <v>45748.0</v>
      </c>
      <c r="D124" s="63"/>
      <c r="E124" s="16" t="s">
        <v>31</v>
      </c>
      <c r="F124" s="101"/>
      <c r="G124" s="109" t="s">
        <v>341</v>
      </c>
      <c r="H124" s="52">
        <v>46143.0</v>
      </c>
      <c r="I124" s="11" t="s">
        <v>423</v>
      </c>
      <c r="J124" s="101"/>
      <c r="K124" s="16" t="s">
        <v>424</v>
      </c>
      <c r="L124" s="108">
        <v>46600.0</v>
      </c>
      <c r="P124" s="3"/>
    </row>
    <row r="125">
      <c r="A125" s="61" t="s">
        <v>322</v>
      </c>
      <c r="B125" s="61" t="s">
        <v>28</v>
      </c>
      <c r="C125" s="42">
        <v>45748.0</v>
      </c>
      <c r="D125" s="63"/>
      <c r="E125" s="16" t="s">
        <v>61</v>
      </c>
      <c r="F125" s="101"/>
      <c r="G125" s="35" t="s">
        <v>362</v>
      </c>
      <c r="H125" s="52">
        <v>46143.0</v>
      </c>
      <c r="I125" s="43" t="s">
        <v>300</v>
      </c>
      <c r="J125" s="101"/>
      <c r="K125" s="16" t="s">
        <v>428</v>
      </c>
      <c r="L125" s="108">
        <v>46631.0</v>
      </c>
      <c r="P125" s="3"/>
    </row>
    <row r="126">
      <c r="A126" s="61" t="s">
        <v>368</v>
      </c>
      <c r="B126" s="61" t="s">
        <v>28</v>
      </c>
      <c r="C126" s="42">
        <v>45748.0</v>
      </c>
      <c r="D126" s="63"/>
      <c r="E126" s="16" t="s">
        <v>61</v>
      </c>
      <c r="F126" s="101"/>
      <c r="G126" s="57" t="s">
        <v>382</v>
      </c>
      <c r="H126" s="58">
        <v>46174.0</v>
      </c>
      <c r="I126" s="43"/>
      <c r="J126" s="101"/>
      <c r="K126" s="16" t="s">
        <v>431</v>
      </c>
      <c r="L126" s="108">
        <v>46631.0</v>
      </c>
      <c r="P126" s="3"/>
    </row>
    <row r="127">
      <c r="A127" s="61" t="s">
        <v>335</v>
      </c>
      <c r="B127" s="61" t="s">
        <v>28</v>
      </c>
      <c r="C127" s="42">
        <v>45748.0</v>
      </c>
      <c r="D127" s="63"/>
      <c r="E127" s="16" t="s">
        <v>31</v>
      </c>
      <c r="F127" s="101"/>
      <c r="G127" s="57" t="s">
        <v>385</v>
      </c>
      <c r="H127" s="58">
        <v>46174.0</v>
      </c>
      <c r="I127" s="43"/>
      <c r="J127" s="101"/>
      <c r="K127" s="16" t="s">
        <v>434</v>
      </c>
      <c r="L127" s="108">
        <v>46631.0</v>
      </c>
      <c r="P127" s="3"/>
    </row>
    <row r="128">
      <c r="A128" s="61" t="s">
        <v>301</v>
      </c>
      <c r="B128" s="61" t="s">
        <v>28</v>
      </c>
      <c r="C128" s="42">
        <v>45748.0</v>
      </c>
      <c r="D128" s="63"/>
      <c r="E128" s="16" t="s">
        <v>31</v>
      </c>
      <c r="F128" s="101"/>
      <c r="G128" s="57" t="s">
        <v>415</v>
      </c>
      <c r="H128" s="58">
        <v>46174.0</v>
      </c>
      <c r="I128" s="17" t="s">
        <v>300</v>
      </c>
      <c r="J128" s="101"/>
      <c r="K128" s="16" t="s">
        <v>438</v>
      </c>
      <c r="L128" s="108">
        <v>46661.0</v>
      </c>
      <c r="P128" s="3"/>
    </row>
    <row r="129">
      <c r="A129" s="28" t="s">
        <v>358</v>
      </c>
      <c r="B129" s="28" t="s">
        <v>40</v>
      </c>
      <c r="C129" s="31">
        <v>45778.0</v>
      </c>
      <c r="D129" s="32"/>
      <c r="E129" s="16" t="s">
        <v>31</v>
      </c>
      <c r="F129" s="101"/>
      <c r="G129" s="57" t="s">
        <v>380</v>
      </c>
      <c r="H129" s="58">
        <v>46174.0</v>
      </c>
      <c r="I129" s="17" t="s">
        <v>300</v>
      </c>
      <c r="J129" s="101"/>
      <c r="L129" s="108"/>
      <c r="P129" s="3"/>
    </row>
    <row r="130">
      <c r="A130" s="28" t="s">
        <v>375</v>
      </c>
      <c r="B130" s="28" t="s">
        <v>40</v>
      </c>
      <c r="C130" s="31">
        <v>45778.0</v>
      </c>
      <c r="D130" s="32"/>
      <c r="E130" s="16" t="s">
        <v>31</v>
      </c>
      <c r="F130" s="101"/>
      <c r="G130" s="130" t="s">
        <v>384</v>
      </c>
      <c r="H130" s="58">
        <v>46174.0</v>
      </c>
      <c r="I130" s="43" t="s">
        <v>300</v>
      </c>
      <c r="J130" s="101"/>
      <c r="L130" s="108"/>
      <c r="P130" s="3"/>
    </row>
    <row r="131">
      <c r="A131" s="28" t="s">
        <v>341</v>
      </c>
      <c r="B131" s="28" t="s">
        <v>28</v>
      </c>
      <c r="C131" s="31">
        <v>45778.0</v>
      </c>
      <c r="D131" s="54" t="s">
        <v>300</v>
      </c>
      <c r="E131" s="16" t="s">
        <v>61</v>
      </c>
      <c r="F131" s="101"/>
      <c r="G131" s="130" t="s">
        <v>365</v>
      </c>
      <c r="H131" s="58">
        <v>46174.0</v>
      </c>
      <c r="I131" s="43" t="s">
        <v>300</v>
      </c>
      <c r="J131" s="101"/>
      <c r="L131" s="108"/>
      <c r="P131" s="3"/>
    </row>
    <row r="132">
      <c r="A132" s="28" t="s">
        <v>362</v>
      </c>
      <c r="B132" s="28" t="s">
        <v>28</v>
      </c>
      <c r="C132" s="31">
        <v>45778.0</v>
      </c>
      <c r="D132" s="54"/>
      <c r="E132" s="16" t="s">
        <v>31</v>
      </c>
      <c r="F132" s="101"/>
      <c r="G132" s="130" t="s">
        <v>391</v>
      </c>
      <c r="H132" s="58">
        <v>46174.0</v>
      </c>
      <c r="I132" s="43"/>
      <c r="J132" s="101"/>
      <c r="L132" s="108"/>
      <c r="P132" s="3"/>
    </row>
    <row r="133">
      <c r="A133" s="28" t="s">
        <v>415</v>
      </c>
      <c r="B133" s="28" t="s">
        <v>40</v>
      </c>
      <c r="C133" s="31">
        <v>45778.0</v>
      </c>
      <c r="D133" s="32"/>
      <c r="E133" s="16" t="s">
        <v>31</v>
      </c>
      <c r="F133" s="101"/>
      <c r="G133" s="112" t="s">
        <v>448</v>
      </c>
      <c r="H133" s="36">
        <v>46204.0</v>
      </c>
      <c r="I133" s="43"/>
      <c r="J133" s="101"/>
      <c r="L133" s="108"/>
      <c r="P133" s="3"/>
    </row>
    <row r="134">
      <c r="A134" s="28" t="s">
        <v>372</v>
      </c>
      <c r="B134" s="28" t="s">
        <v>28</v>
      </c>
      <c r="C134" s="31">
        <v>45778.0</v>
      </c>
      <c r="D134" s="32"/>
      <c r="E134" s="16" t="s">
        <v>451</v>
      </c>
      <c r="F134" s="101"/>
      <c r="G134" s="112" t="s">
        <v>424</v>
      </c>
      <c r="H134" s="36">
        <v>46204.0</v>
      </c>
      <c r="I134" s="43"/>
      <c r="J134" s="101"/>
      <c r="L134" s="108"/>
      <c r="P134" s="3"/>
    </row>
    <row r="135">
      <c r="A135" s="28" t="s">
        <v>391</v>
      </c>
      <c r="B135" s="28" t="s">
        <v>28</v>
      </c>
      <c r="C135" s="31">
        <v>45778.0</v>
      </c>
      <c r="D135" s="54" t="s">
        <v>300</v>
      </c>
      <c r="E135" s="16" t="s">
        <v>31</v>
      </c>
      <c r="F135" s="101"/>
      <c r="G135" s="109" t="s">
        <v>348</v>
      </c>
      <c r="H135" s="36">
        <v>46204.0</v>
      </c>
      <c r="I135" s="43"/>
      <c r="J135" s="101"/>
      <c r="L135" s="108"/>
      <c r="P135" s="3"/>
    </row>
    <row r="136">
      <c r="A136" s="28" t="s">
        <v>337</v>
      </c>
      <c r="B136" s="28" t="s">
        <v>28</v>
      </c>
      <c r="C136" s="31">
        <v>45778.0</v>
      </c>
      <c r="D136" s="32"/>
      <c r="E136" s="16" t="s">
        <v>31</v>
      </c>
      <c r="F136" s="101"/>
      <c r="G136" s="130" t="s">
        <v>428</v>
      </c>
      <c r="H136" s="58">
        <v>46235.0</v>
      </c>
      <c r="I136" s="43" t="s">
        <v>300</v>
      </c>
      <c r="J136" s="101"/>
      <c r="L136" s="108"/>
      <c r="P136" s="3"/>
    </row>
    <row r="137">
      <c r="A137" s="28" t="s">
        <v>327</v>
      </c>
      <c r="B137" s="28" t="s">
        <v>40</v>
      </c>
      <c r="C137" s="31">
        <v>45778.0</v>
      </c>
      <c r="D137" s="54" t="s">
        <v>300</v>
      </c>
      <c r="E137" s="16" t="s">
        <v>61</v>
      </c>
      <c r="F137" s="101"/>
      <c r="G137" s="57" t="s">
        <v>462</v>
      </c>
      <c r="H137" s="58">
        <v>46235.0</v>
      </c>
      <c r="I137" s="86"/>
      <c r="J137" s="101"/>
      <c r="L137" s="108"/>
      <c r="P137" s="3"/>
    </row>
    <row r="138">
      <c r="A138" s="132" t="s">
        <v>382</v>
      </c>
      <c r="B138" s="3"/>
      <c r="C138" s="108">
        <v>45778.0</v>
      </c>
      <c r="E138" s="16" t="s">
        <v>61</v>
      </c>
      <c r="F138" s="101"/>
      <c r="G138" s="102" t="s">
        <v>406</v>
      </c>
      <c r="H138" s="56">
        <v>46235.0</v>
      </c>
      <c r="J138" s="101"/>
      <c r="P138" s="3"/>
    </row>
    <row r="139">
      <c r="A139" s="28" t="s">
        <v>345</v>
      </c>
      <c r="B139" s="28" t="s">
        <v>28</v>
      </c>
      <c r="C139" s="31">
        <v>45778.0</v>
      </c>
      <c r="D139" s="32"/>
      <c r="E139" s="16" t="s">
        <v>61</v>
      </c>
      <c r="F139" s="101"/>
      <c r="G139" s="102" t="s">
        <v>416</v>
      </c>
      <c r="H139" s="56">
        <v>46235.0</v>
      </c>
      <c r="J139" s="101"/>
      <c r="L139" s="108"/>
      <c r="P139" s="3"/>
    </row>
    <row r="140">
      <c r="A140" s="61" t="s">
        <v>380</v>
      </c>
      <c r="B140" s="62"/>
      <c r="C140" s="42">
        <v>45809.0</v>
      </c>
      <c r="D140" s="63"/>
      <c r="E140" s="16" t="s">
        <v>31</v>
      </c>
      <c r="F140" s="101"/>
      <c r="G140" s="100" t="s">
        <v>402</v>
      </c>
      <c r="H140" s="56">
        <v>46235.0</v>
      </c>
      <c r="J140" s="101"/>
      <c r="L140" s="108"/>
      <c r="P140" s="3"/>
    </row>
    <row r="141">
      <c r="A141" s="61" t="s">
        <v>385</v>
      </c>
      <c r="B141" s="61" t="s">
        <v>28</v>
      </c>
      <c r="C141" s="42">
        <v>45809.0</v>
      </c>
      <c r="D141" s="63"/>
      <c r="E141" s="16" t="s">
        <v>31</v>
      </c>
      <c r="F141" s="101"/>
      <c r="G141" s="100" t="s">
        <v>437</v>
      </c>
      <c r="H141" s="56">
        <v>46235.0</v>
      </c>
      <c r="I141" s="16"/>
      <c r="J141" s="101"/>
      <c r="L141" s="108"/>
      <c r="P141" s="3"/>
    </row>
    <row r="142">
      <c r="A142" s="61" t="s">
        <v>424</v>
      </c>
      <c r="B142" s="61"/>
      <c r="C142" s="42">
        <v>45809.0</v>
      </c>
      <c r="D142" s="40" t="s">
        <v>300</v>
      </c>
      <c r="E142" s="16" t="s">
        <v>31</v>
      </c>
      <c r="F142" s="101"/>
      <c r="G142" s="16" t="s">
        <v>475</v>
      </c>
      <c r="H142" s="133">
        <v>46235.0</v>
      </c>
      <c r="I142" s="16" t="s">
        <v>477</v>
      </c>
      <c r="J142" s="101"/>
      <c r="L142" s="108"/>
      <c r="P142" s="3"/>
    </row>
    <row r="143">
      <c r="A143" s="61" t="s">
        <v>384</v>
      </c>
      <c r="B143" s="62"/>
      <c r="C143" s="42">
        <v>45809.0</v>
      </c>
      <c r="D143" s="40" t="s">
        <v>42</v>
      </c>
      <c r="E143" s="16" t="s">
        <v>31</v>
      </c>
      <c r="F143" s="101"/>
      <c r="G143" s="109" t="s">
        <v>407</v>
      </c>
      <c r="H143" s="52">
        <v>46266.0</v>
      </c>
      <c r="I143" s="16" t="s">
        <v>480</v>
      </c>
      <c r="J143" s="101"/>
      <c r="L143" s="108"/>
      <c r="P143" s="3"/>
    </row>
    <row r="144">
      <c r="A144" s="61" t="s">
        <v>448</v>
      </c>
      <c r="B144" s="61" t="s">
        <v>28</v>
      </c>
      <c r="C144" s="42">
        <v>45809.0</v>
      </c>
      <c r="D144" s="40" t="s">
        <v>300</v>
      </c>
      <c r="E144" s="16" t="s">
        <v>31</v>
      </c>
      <c r="F144" s="101"/>
      <c r="G144" s="105" t="s">
        <v>400</v>
      </c>
      <c r="H144" s="52">
        <v>46266.0</v>
      </c>
      <c r="J144" s="101"/>
      <c r="L144" s="108"/>
      <c r="P144" s="3"/>
    </row>
    <row r="145">
      <c r="A145" s="117" t="s">
        <v>365</v>
      </c>
      <c r="B145" s="34" t="s">
        <v>28</v>
      </c>
      <c r="C145" s="42">
        <v>45809.0</v>
      </c>
      <c r="D145" s="40" t="s">
        <v>300</v>
      </c>
      <c r="E145" s="16" t="s">
        <v>61</v>
      </c>
      <c r="F145" s="101"/>
      <c r="G145" s="105" t="s">
        <v>431</v>
      </c>
      <c r="H145" s="52">
        <v>46266.0</v>
      </c>
      <c r="J145" s="101"/>
      <c r="L145" s="108"/>
      <c r="P145" s="3"/>
    </row>
    <row r="146">
      <c r="A146" s="61" t="s">
        <v>484</v>
      </c>
      <c r="B146" s="61" t="s">
        <v>28</v>
      </c>
      <c r="C146" s="42">
        <v>45809.0</v>
      </c>
      <c r="D146" s="135" t="s">
        <v>486</v>
      </c>
      <c r="E146" s="16" t="s">
        <v>31</v>
      </c>
      <c r="F146" s="101"/>
      <c r="G146" s="105" t="s">
        <v>410</v>
      </c>
      <c r="H146" s="52">
        <v>46266.0</v>
      </c>
      <c r="J146" s="101"/>
      <c r="L146" s="108"/>
      <c r="P146" s="3"/>
    </row>
    <row r="147">
      <c r="A147" s="28" t="s">
        <v>348</v>
      </c>
      <c r="B147" s="28" t="s">
        <v>28</v>
      </c>
      <c r="C147" s="31">
        <v>45839.0</v>
      </c>
      <c r="D147" s="54" t="s">
        <v>300</v>
      </c>
      <c r="E147" s="16" t="s">
        <v>31</v>
      </c>
      <c r="F147" s="101"/>
      <c r="G147" s="105" t="s">
        <v>482</v>
      </c>
      <c r="H147" s="52">
        <v>46266.0</v>
      </c>
      <c r="J147" s="101"/>
      <c r="L147" s="108"/>
      <c r="P147" s="3"/>
    </row>
    <row r="148">
      <c r="A148" s="28" t="s">
        <v>446</v>
      </c>
      <c r="B148" s="28" t="s">
        <v>28</v>
      </c>
      <c r="C148" s="31">
        <v>45839.0</v>
      </c>
      <c r="D148" s="54" t="s">
        <v>492</v>
      </c>
      <c r="E148" s="16" t="s">
        <v>31</v>
      </c>
      <c r="F148" s="101"/>
      <c r="G148" s="109" t="s">
        <v>434</v>
      </c>
      <c r="H148" s="52">
        <v>46266.0</v>
      </c>
      <c r="J148" s="101"/>
      <c r="L148" s="108"/>
      <c r="P148" s="3"/>
    </row>
    <row r="149">
      <c r="A149" s="61" t="s">
        <v>437</v>
      </c>
      <c r="B149" s="62"/>
      <c r="C149" s="42">
        <v>45870.0</v>
      </c>
      <c r="D149" s="40" t="s">
        <v>300</v>
      </c>
      <c r="E149" s="16" t="s">
        <v>31</v>
      </c>
      <c r="F149" s="101"/>
      <c r="G149" s="109" t="s">
        <v>454</v>
      </c>
      <c r="H149" s="52">
        <v>46266.0</v>
      </c>
      <c r="J149" s="101"/>
      <c r="L149" s="108"/>
      <c r="P149" s="3"/>
    </row>
    <row r="150">
      <c r="A150" s="61" t="s">
        <v>416</v>
      </c>
      <c r="B150" s="61" t="s">
        <v>28</v>
      </c>
      <c r="C150" s="42">
        <v>45870.0</v>
      </c>
      <c r="D150" s="40" t="s">
        <v>300</v>
      </c>
      <c r="E150" s="16" t="s">
        <v>31</v>
      </c>
      <c r="F150" s="101"/>
      <c r="G150" s="105" t="s">
        <v>493</v>
      </c>
      <c r="H150" s="52">
        <v>46266.0</v>
      </c>
      <c r="I150" s="86"/>
      <c r="J150" s="101"/>
      <c r="L150" s="108"/>
      <c r="P150" s="3"/>
    </row>
    <row r="151">
      <c r="A151" s="61" t="s">
        <v>456</v>
      </c>
      <c r="B151" s="61" t="s">
        <v>28</v>
      </c>
      <c r="C151" s="42">
        <v>45870.0</v>
      </c>
      <c r="D151" s="40" t="s">
        <v>300</v>
      </c>
      <c r="E151" s="16" t="s">
        <v>31</v>
      </c>
      <c r="F151" s="101"/>
      <c r="G151" s="102" t="s">
        <v>496</v>
      </c>
      <c r="H151" s="56">
        <v>46296.0</v>
      </c>
      <c r="J151" s="101"/>
      <c r="L151" s="108"/>
      <c r="P151" s="3"/>
    </row>
    <row r="152">
      <c r="A152" s="61" t="s">
        <v>402</v>
      </c>
      <c r="B152" s="61" t="s">
        <v>28</v>
      </c>
      <c r="C152" s="42">
        <v>45870.0</v>
      </c>
      <c r="D152" s="40" t="s">
        <v>300</v>
      </c>
      <c r="E152" s="16" t="s">
        <v>61</v>
      </c>
      <c r="F152" s="101"/>
      <c r="G152" s="102" t="s">
        <v>438</v>
      </c>
      <c r="H152" s="56">
        <v>46296.0</v>
      </c>
      <c r="J152" s="101"/>
      <c r="L152" s="108"/>
      <c r="P152" s="3"/>
    </row>
    <row r="153">
      <c r="A153" s="61" t="s">
        <v>482</v>
      </c>
      <c r="B153" s="61" t="s">
        <v>28</v>
      </c>
      <c r="C153" s="42">
        <v>45870.0</v>
      </c>
      <c r="D153" s="40" t="s">
        <v>300</v>
      </c>
      <c r="E153" s="16" t="s">
        <v>31</v>
      </c>
      <c r="F153" s="101"/>
      <c r="G153" s="105" t="s">
        <v>485</v>
      </c>
      <c r="H153" s="52">
        <v>46327.0</v>
      </c>
      <c r="J153" s="101"/>
      <c r="L153" s="108"/>
      <c r="P153" s="3"/>
    </row>
    <row r="154">
      <c r="A154" s="61" t="s">
        <v>428</v>
      </c>
      <c r="B154" s="61" t="s">
        <v>28</v>
      </c>
      <c r="C154" s="42">
        <v>45870.0</v>
      </c>
      <c r="D154" s="40" t="s">
        <v>501</v>
      </c>
      <c r="E154" s="16" t="s">
        <v>61</v>
      </c>
      <c r="F154" s="101"/>
      <c r="G154" s="105" t="s">
        <v>502</v>
      </c>
      <c r="H154" s="52">
        <v>46327.0</v>
      </c>
      <c r="J154" s="101"/>
      <c r="L154" s="108"/>
      <c r="P154" s="3"/>
    </row>
    <row r="155">
      <c r="A155" s="61" t="s">
        <v>462</v>
      </c>
      <c r="B155" s="62"/>
      <c r="C155" s="42">
        <v>45870.0</v>
      </c>
      <c r="D155" s="40" t="s">
        <v>300</v>
      </c>
      <c r="E155" s="16" t="s">
        <v>61</v>
      </c>
      <c r="F155" s="101"/>
      <c r="G155" s="105" t="s">
        <v>505</v>
      </c>
      <c r="H155" s="52">
        <v>46327.0</v>
      </c>
      <c r="J155" s="101"/>
      <c r="L155" s="108"/>
      <c r="P155" s="3"/>
    </row>
    <row r="156">
      <c r="A156" s="61" t="s">
        <v>406</v>
      </c>
      <c r="B156" s="61" t="s">
        <v>28</v>
      </c>
      <c r="C156" s="42">
        <v>45870.0</v>
      </c>
      <c r="D156" s="40" t="s">
        <v>300</v>
      </c>
      <c r="E156" s="16" t="s">
        <v>31</v>
      </c>
      <c r="F156" s="101"/>
      <c r="G156" s="105" t="s">
        <v>507</v>
      </c>
      <c r="H156" s="52">
        <v>46327.0</v>
      </c>
      <c r="J156" s="101"/>
      <c r="L156" s="108"/>
      <c r="P156" s="3"/>
    </row>
    <row r="157">
      <c r="A157" s="61" t="s">
        <v>475</v>
      </c>
      <c r="B157" s="61" t="s">
        <v>40</v>
      </c>
      <c r="C157" s="42">
        <v>45870.0</v>
      </c>
      <c r="D157" s="40" t="s">
        <v>300</v>
      </c>
      <c r="E157" s="16" t="s">
        <v>31</v>
      </c>
      <c r="F157" s="101"/>
      <c r="G157" s="105" t="s">
        <v>509</v>
      </c>
      <c r="H157" s="52">
        <v>46327.0</v>
      </c>
      <c r="J157" s="101"/>
      <c r="L157" s="108"/>
      <c r="P157" s="3"/>
    </row>
    <row r="158">
      <c r="A158" s="124" t="s">
        <v>467</v>
      </c>
      <c r="B158" s="61" t="s">
        <v>28</v>
      </c>
      <c r="C158" s="42">
        <v>45870.0</v>
      </c>
      <c r="D158" s="135" t="s">
        <v>513</v>
      </c>
      <c r="E158" s="16" t="s">
        <v>31</v>
      </c>
      <c r="F158" s="101"/>
      <c r="G158" s="105" t="s">
        <v>474</v>
      </c>
      <c r="H158" s="52">
        <v>46327.0</v>
      </c>
      <c r="J158" s="101"/>
      <c r="L158" s="108"/>
      <c r="P158" s="3"/>
    </row>
    <row r="159">
      <c r="A159" s="28" t="s">
        <v>400</v>
      </c>
      <c r="B159" s="28" t="s">
        <v>40</v>
      </c>
      <c r="C159" s="31">
        <v>45901.0</v>
      </c>
      <c r="D159" s="54" t="s">
        <v>515</v>
      </c>
      <c r="E159" s="16" t="s">
        <v>31</v>
      </c>
      <c r="F159" s="101"/>
      <c r="G159" s="40" t="s">
        <v>517</v>
      </c>
      <c r="H159" s="42">
        <v>46327.0</v>
      </c>
      <c r="I159" s="86"/>
      <c r="J159" s="101"/>
      <c r="L159" s="108"/>
      <c r="P159" s="3"/>
    </row>
    <row r="160">
      <c r="A160" s="28" t="s">
        <v>454</v>
      </c>
      <c r="B160" s="28" t="s">
        <v>28</v>
      </c>
      <c r="C160" s="31">
        <v>45901.0</v>
      </c>
      <c r="D160" s="54" t="s">
        <v>300</v>
      </c>
      <c r="E160" s="16" t="s">
        <v>61</v>
      </c>
      <c r="F160" s="101"/>
      <c r="G160" s="105" t="s">
        <v>520</v>
      </c>
      <c r="H160" s="52">
        <v>46327.0</v>
      </c>
      <c r="J160" s="101"/>
      <c r="L160" s="108"/>
      <c r="P160" s="3"/>
    </row>
    <row r="161">
      <c r="A161" s="28" t="s">
        <v>431</v>
      </c>
      <c r="B161" s="53"/>
      <c r="C161" s="31">
        <v>45901.0</v>
      </c>
      <c r="D161" s="32"/>
      <c r="E161" s="16" t="s">
        <v>31</v>
      </c>
      <c r="F161" s="101"/>
      <c r="G161" s="139" t="s">
        <v>475</v>
      </c>
      <c r="H161" s="140">
        <v>46357.0</v>
      </c>
      <c r="I161" s="16" t="s">
        <v>524</v>
      </c>
      <c r="J161" s="101"/>
      <c r="L161" s="108"/>
      <c r="P161" s="3"/>
    </row>
    <row r="162">
      <c r="A162" s="28" t="s">
        <v>443</v>
      </c>
      <c r="B162" s="28" t="s">
        <v>28</v>
      </c>
      <c r="C162" s="31">
        <v>45901.0</v>
      </c>
      <c r="D162" s="32"/>
      <c r="E162" s="16" t="s">
        <v>31</v>
      </c>
      <c r="F162" s="101"/>
      <c r="G162" s="102" t="s">
        <v>528</v>
      </c>
      <c r="H162" s="56">
        <v>46357.0</v>
      </c>
      <c r="J162" s="101"/>
      <c r="L162" s="108"/>
      <c r="P162" s="3"/>
    </row>
    <row r="163">
      <c r="A163" s="28" t="s">
        <v>407</v>
      </c>
      <c r="B163" s="28" t="s">
        <v>40</v>
      </c>
      <c r="C163" s="31">
        <v>45901.0</v>
      </c>
      <c r="D163" s="32"/>
      <c r="E163" s="16" t="s">
        <v>31</v>
      </c>
      <c r="F163" s="101"/>
      <c r="G163" s="102" t="s">
        <v>530</v>
      </c>
      <c r="H163" s="56">
        <v>45997.0</v>
      </c>
      <c r="I163" s="141"/>
      <c r="J163" s="101"/>
      <c r="L163" s="108"/>
      <c r="P163" s="3"/>
    </row>
    <row r="164">
      <c r="A164" s="28" t="s">
        <v>493</v>
      </c>
      <c r="B164" s="53"/>
      <c r="C164" s="31">
        <v>45901.0</v>
      </c>
      <c r="D164" s="54" t="s">
        <v>534</v>
      </c>
      <c r="E164" s="16" t="s">
        <v>61</v>
      </c>
      <c r="F164" s="101"/>
      <c r="G164" s="105" t="s">
        <v>536</v>
      </c>
      <c r="H164" s="52">
        <v>46388.0</v>
      </c>
      <c r="I164" s="141"/>
      <c r="J164" s="101"/>
      <c r="L164" s="108"/>
      <c r="P164" s="3"/>
    </row>
    <row r="165">
      <c r="A165" s="28" t="s">
        <v>512</v>
      </c>
      <c r="B165" s="28" t="s">
        <v>28</v>
      </c>
      <c r="C165" s="31">
        <v>45901.0</v>
      </c>
      <c r="D165" s="54" t="s">
        <v>300</v>
      </c>
      <c r="E165" s="16" t="s">
        <v>61</v>
      </c>
      <c r="F165" s="101"/>
      <c r="G165" s="105" t="s">
        <v>533</v>
      </c>
      <c r="H165" s="52">
        <v>46409.0</v>
      </c>
      <c r="J165" s="101"/>
      <c r="L165" s="108"/>
      <c r="P165" s="3"/>
    </row>
    <row r="166">
      <c r="A166" s="124" t="s">
        <v>489</v>
      </c>
      <c r="B166" s="28" t="s">
        <v>28</v>
      </c>
      <c r="C166" s="31">
        <v>45901.0</v>
      </c>
      <c r="D166" s="135" t="s">
        <v>513</v>
      </c>
      <c r="E166" s="16" t="s">
        <v>31</v>
      </c>
      <c r="F166" s="101"/>
      <c r="G166" s="105" t="s">
        <v>518</v>
      </c>
      <c r="H166" s="52">
        <v>46388.0</v>
      </c>
      <c r="J166" s="101"/>
      <c r="L166" s="108"/>
      <c r="M166" s="141"/>
      <c r="P166" s="3"/>
    </row>
    <row r="167">
      <c r="A167" s="28" t="s">
        <v>410</v>
      </c>
      <c r="B167" s="28" t="s">
        <v>40</v>
      </c>
      <c r="C167" s="31">
        <v>45901.0</v>
      </c>
      <c r="D167" s="54" t="s">
        <v>47</v>
      </c>
      <c r="E167" s="16" t="s">
        <v>61</v>
      </c>
      <c r="F167" s="101"/>
      <c r="G167" s="105" t="s">
        <v>537</v>
      </c>
      <c r="H167" s="52">
        <v>46409.0</v>
      </c>
      <c r="J167" s="101"/>
      <c r="L167" s="108"/>
      <c r="M167" s="86"/>
      <c r="P167" s="3"/>
    </row>
    <row r="168">
      <c r="A168" s="28" t="s">
        <v>434</v>
      </c>
      <c r="B168" s="28" t="s">
        <v>28</v>
      </c>
      <c r="C168" s="31">
        <v>45901.0</v>
      </c>
      <c r="D168" s="54" t="s">
        <v>300</v>
      </c>
      <c r="E168" s="16" t="s">
        <v>61</v>
      </c>
      <c r="F168" s="101"/>
      <c r="G168" s="105" t="s">
        <v>538</v>
      </c>
      <c r="H168" s="52">
        <v>46388.0</v>
      </c>
      <c r="J168" s="101"/>
      <c r="L168" s="108"/>
      <c r="P168" s="3"/>
    </row>
    <row r="169">
      <c r="A169" s="61" t="s">
        <v>438</v>
      </c>
      <c r="B169" s="61" t="s">
        <v>28</v>
      </c>
      <c r="C169" s="42">
        <v>45931.0</v>
      </c>
      <c r="D169" s="40" t="s">
        <v>42</v>
      </c>
      <c r="E169" s="16" t="s">
        <v>31</v>
      </c>
      <c r="F169" s="101"/>
      <c r="G169" s="105" t="s">
        <v>540</v>
      </c>
      <c r="H169" s="52">
        <v>46409.0</v>
      </c>
      <c r="J169" s="101"/>
      <c r="L169" s="108"/>
      <c r="P169" s="3"/>
    </row>
    <row r="170">
      <c r="A170" s="124" t="s">
        <v>503</v>
      </c>
      <c r="B170" s="61" t="s">
        <v>40</v>
      </c>
      <c r="C170" s="42">
        <v>45931.0</v>
      </c>
      <c r="D170" s="135" t="s">
        <v>541</v>
      </c>
      <c r="E170" s="16" t="s">
        <v>31</v>
      </c>
      <c r="F170" s="101"/>
      <c r="G170" s="54" t="s">
        <v>542</v>
      </c>
      <c r="H170" s="31">
        <v>46419.0</v>
      </c>
      <c r="J170" s="101"/>
      <c r="L170" s="108"/>
      <c r="P170" s="3"/>
    </row>
    <row r="171">
      <c r="A171" s="124" t="s">
        <v>549</v>
      </c>
      <c r="B171" s="61" t="s">
        <v>40</v>
      </c>
      <c r="C171" s="42">
        <v>45931.0</v>
      </c>
      <c r="D171" s="126" t="s">
        <v>350</v>
      </c>
      <c r="E171" s="16" t="s">
        <v>61</v>
      </c>
      <c r="F171" s="101"/>
      <c r="G171" s="54" t="s">
        <v>551</v>
      </c>
      <c r="H171" s="31">
        <v>46419.0</v>
      </c>
      <c r="J171" s="101"/>
      <c r="L171" s="108"/>
      <c r="P171" s="3"/>
    </row>
    <row r="172">
      <c r="A172" s="61" t="s">
        <v>496</v>
      </c>
      <c r="B172" s="61" t="s">
        <v>28</v>
      </c>
      <c r="C172" s="42">
        <v>45931.0</v>
      </c>
      <c r="D172" s="40" t="s">
        <v>47</v>
      </c>
      <c r="E172" s="16" t="s">
        <v>61</v>
      </c>
      <c r="F172" s="101"/>
      <c r="G172" s="102" t="s">
        <v>553</v>
      </c>
      <c r="H172" s="31">
        <v>46419.0</v>
      </c>
      <c r="J172" s="101"/>
      <c r="L172" s="108"/>
      <c r="P172" s="3"/>
    </row>
    <row r="173">
      <c r="A173" s="28" t="s">
        <v>485</v>
      </c>
      <c r="B173" s="28" t="s">
        <v>28</v>
      </c>
      <c r="C173" s="31">
        <v>45962.0</v>
      </c>
      <c r="D173" s="54" t="s">
        <v>556</v>
      </c>
      <c r="E173" s="16" t="s">
        <v>61</v>
      </c>
      <c r="F173" s="101"/>
      <c r="G173" s="102" t="s">
        <v>557</v>
      </c>
      <c r="H173" s="31">
        <v>46419.0</v>
      </c>
      <c r="J173" s="101"/>
      <c r="L173" s="108"/>
      <c r="P173" s="3"/>
    </row>
    <row r="174">
      <c r="A174" s="28" t="s">
        <v>474</v>
      </c>
      <c r="B174" s="28" t="s">
        <v>28</v>
      </c>
      <c r="C174" s="31">
        <v>45962.0</v>
      </c>
      <c r="D174" s="32"/>
      <c r="E174" s="16" t="s">
        <v>61</v>
      </c>
      <c r="F174" s="101"/>
      <c r="G174" s="54" t="s">
        <v>555</v>
      </c>
      <c r="H174" s="31">
        <v>46419.0</v>
      </c>
      <c r="J174" s="101"/>
      <c r="L174" s="108"/>
      <c r="P174" s="3"/>
    </row>
    <row r="175">
      <c r="A175" s="28" t="s">
        <v>544</v>
      </c>
      <c r="B175" s="28" t="s">
        <v>40</v>
      </c>
      <c r="C175" s="31">
        <v>45962.0</v>
      </c>
      <c r="D175" s="32"/>
      <c r="E175" s="16" t="s">
        <v>61</v>
      </c>
      <c r="F175" s="101"/>
      <c r="G175" s="142"/>
      <c r="H175" s="3"/>
      <c r="J175" s="101"/>
      <c r="L175" s="108"/>
      <c r="P175" s="3"/>
    </row>
    <row r="176">
      <c r="A176" s="28" t="s">
        <v>517</v>
      </c>
      <c r="B176" s="28" t="s">
        <v>28</v>
      </c>
      <c r="C176" s="31">
        <v>45962.0</v>
      </c>
      <c r="D176" s="32"/>
      <c r="E176" s="16" t="s">
        <v>31</v>
      </c>
      <c r="F176" s="101"/>
      <c r="G176" s="142"/>
      <c r="H176" s="3"/>
      <c r="J176" s="101"/>
      <c r="L176" s="108"/>
      <c r="M176" s="86"/>
      <c r="P176" s="3"/>
    </row>
    <row r="177">
      <c r="A177" s="28" t="s">
        <v>507</v>
      </c>
      <c r="B177" s="28" t="s">
        <v>40</v>
      </c>
      <c r="C177" s="31">
        <v>45962.0</v>
      </c>
      <c r="D177" s="54" t="s">
        <v>564</v>
      </c>
      <c r="E177" s="16" t="s">
        <v>61</v>
      </c>
      <c r="F177" s="101"/>
      <c r="G177" s="142"/>
      <c r="H177" s="3"/>
      <c r="J177" s="101"/>
      <c r="L177" s="108"/>
      <c r="P177" s="3"/>
    </row>
    <row r="178">
      <c r="A178" s="28" t="s">
        <v>520</v>
      </c>
      <c r="B178" s="28" t="s">
        <v>40</v>
      </c>
      <c r="C178" s="31">
        <v>45962.0</v>
      </c>
      <c r="D178" s="32"/>
      <c r="E178" s="16" t="s">
        <v>31</v>
      </c>
      <c r="F178" s="101"/>
      <c r="G178" s="142"/>
      <c r="H178" s="3"/>
      <c r="J178" s="101"/>
      <c r="L178" s="108"/>
      <c r="P178" s="3"/>
    </row>
    <row r="179">
      <c r="A179" s="28" t="s">
        <v>509</v>
      </c>
      <c r="B179" s="28" t="s">
        <v>40</v>
      </c>
      <c r="C179" s="31">
        <v>45962.0</v>
      </c>
      <c r="D179" s="32"/>
      <c r="E179" s="16" t="s">
        <v>61</v>
      </c>
      <c r="F179" s="101"/>
      <c r="G179" s="142"/>
      <c r="H179" s="3"/>
      <c r="J179" s="101"/>
      <c r="L179" s="108"/>
      <c r="P179" s="3"/>
    </row>
    <row r="180">
      <c r="A180" s="28" t="s">
        <v>505</v>
      </c>
      <c r="B180" s="28" t="s">
        <v>40</v>
      </c>
      <c r="C180" s="31">
        <v>45962.0</v>
      </c>
      <c r="D180" s="32"/>
      <c r="E180" s="16" t="s">
        <v>31</v>
      </c>
      <c r="F180" s="101"/>
      <c r="G180" s="142"/>
      <c r="H180" s="3"/>
      <c r="J180" s="101"/>
      <c r="L180" s="108"/>
      <c r="M180" s="141"/>
      <c r="P180" s="3"/>
    </row>
    <row r="181">
      <c r="A181" s="28" t="s">
        <v>502</v>
      </c>
      <c r="B181" s="28" t="s">
        <v>28</v>
      </c>
      <c r="C181" s="144">
        <v>45962.0</v>
      </c>
      <c r="D181" s="32"/>
      <c r="E181" s="16" t="s">
        <v>61</v>
      </c>
      <c r="F181" s="101"/>
      <c r="G181" s="142"/>
      <c r="H181" s="3"/>
      <c r="J181" s="101"/>
      <c r="L181" s="108"/>
      <c r="M181" s="141"/>
      <c r="P181" s="3"/>
    </row>
    <row r="182">
      <c r="A182" s="28" t="s">
        <v>538</v>
      </c>
      <c r="B182" s="53"/>
      <c r="C182" s="31">
        <v>45962.0</v>
      </c>
      <c r="D182" s="32"/>
      <c r="E182" s="16" t="s">
        <v>61</v>
      </c>
      <c r="F182" s="101"/>
      <c r="G182" s="142"/>
      <c r="H182" s="3"/>
      <c r="J182" s="101"/>
      <c r="L182" s="108"/>
      <c r="M182" s="141"/>
      <c r="P182" s="3"/>
    </row>
    <row r="183">
      <c r="A183" s="61" t="s">
        <v>528</v>
      </c>
      <c r="B183" s="61" t="s">
        <v>28</v>
      </c>
      <c r="C183" s="42">
        <v>45992.0</v>
      </c>
      <c r="D183" s="63"/>
      <c r="E183" s="16" t="s">
        <v>61</v>
      </c>
      <c r="F183" s="101"/>
      <c r="G183" s="142"/>
      <c r="H183" s="3"/>
      <c r="J183" s="101"/>
      <c r="L183" s="86"/>
      <c r="P183" s="3"/>
    </row>
    <row r="184">
      <c r="A184" s="61" t="s">
        <v>530</v>
      </c>
      <c r="B184" s="61" t="s">
        <v>28</v>
      </c>
      <c r="C184" s="42">
        <v>45992.0</v>
      </c>
      <c r="D184" s="40" t="s">
        <v>556</v>
      </c>
      <c r="E184" s="16" t="s">
        <v>61</v>
      </c>
      <c r="F184" s="101"/>
      <c r="G184" s="142"/>
      <c r="H184" s="3"/>
      <c r="J184" s="101"/>
      <c r="L184" s="86"/>
      <c r="P184" s="3"/>
    </row>
    <row r="185">
      <c r="A185" s="28" t="s">
        <v>518</v>
      </c>
      <c r="B185" s="28" t="s">
        <v>28</v>
      </c>
      <c r="C185" s="31">
        <v>46023.0</v>
      </c>
      <c r="D185" s="32"/>
      <c r="E185" s="16" t="s">
        <v>61</v>
      </c>
      <c r="F185" s="101"/>
      <c r="G185" s="142"/>
      <c r="H185" s="3"/>
      <c r="J185" s="101"/>
      <c r="L185" s="86"/>
      <c r="P185" s="3"/>
    </row>
    <row r="186">
      <c r="A186" s="28" t="s">
        <v>533</v>
      </c>
      <c r="B186" s="53"/>
      <c r="C186" s="31">
        <v>46023.0</v>
      </c>
      <c r="D186" s="32"/>
      <c r="E186" s="16" t="s">
        <v>61</v>
      </c>
      <c r="F186" s="101"/>
      <c r="G186" s="142"/>
      <c r="H186" s="3"/>
      <c r="J186" s="101"/>
      <c r="L186" s="86"/>
      <c r="P186" s="3"/>
    </row>
    <row r="187">
      <c r="A187" s="28" t="s">
        <v>536</v>
      </c>
      <c r="B187" s="28" t="s">
        <v>28</v>
      </c>
      <c r="C187" s="31">
        <v>46023.0</v>
      </c>
      <c r="D187" s="32"/>
      <c r="E187" s="16" t="s">
        <v>61</v>
      </c>
      <c r="F187" s="101"/>
      <c r="G187" s="142"/>
      <c r="H187" s="3"/>
      <c r="J187" s="101"/>
      <c r="P187" s="3"/>
    </row>
    <row r="188">
      <c r="A188" s="28" t="s">
        <v>553</v>
      </c>
      <c r="B188" s="28" t="s">
        <v>28</v>
      </c>
      <c r="C188" s="31">
        <v>46023.0</v>
      </c>
      <c r="D188" s="32"/>
      <c r="E188" s="16" t="s">
        <v>61</v>
      </c>
      <c r="F188" s="101"/>
      <c r="G188" s="142"/>
      <c r="H188" s="3"/>
      <c r="J188" s="101"/>
      <c r="P188" s="3"/>
    </row>
    <row r="189">
      <c r="A189" s="28" t="s">
        <v>537</v>
      </c>
      <c r="B189" s="28" t="s">
        <v>28</v>
      </c>
      <c r="C189" s="31">
        <v>46023.0</v>
      </c>
      <c r="D189" s="32"/>
      <c r="E189" s="16" t="s">
        <v>61</v>
      </c>
      <c r="F189" s="101"/>
      <c r="G189" s="142"/>
      <c r="H189" s="3"/>
      <c r="J189" s="101"/>
      <c r="P189" s="3"/>
    </row>
    <row r="190">
      <c r="A190" s="28" t="s">
        <v>540</v>
      </c>
      <c r="B190" s="28" t="s">
        <v>28</v>
      </c>
      <c r="C190" s="31">
        <v>46023.0</v>
      </c>
      <c r="D190" s="32"/>
      <c r="E190" s="16" t="s">
        <v>61</v>
      </c>
      <c r="F190" s="101"/>
      <c r="G190" s="142"/>
      <c r="H190" s="3"/>
      <c r="J190" s="101"/>
      <c r="P190" s="3"/>
    </row>
    <row r="191">
      <c r="A191" s="61" t="s">
        <v>555</v>
      </c>
      <c r="B191" s="61" t="s">
        <v>40</v>
      </c>
      <c r="C191" s="42">
        <v>46054.0</v>
      </c>
      <c r="D191" s="40"/>
      <c r="E191" s="16" t="s">
        <v>61</v>
      </c>
      <c r="F191" s="101"/>
      <c r="G191" s="142"/>
      <c r="H191" s="3"/>
      <c r="J191" s="101"/>
      <c r="P191" s="3"/>
    </row>
    <row r="192">
      <c r="A192" s="61" t="s">
        <v>542</v>
      </c>
      <c r="B192" s="61" t="s">
        <v>28</v>
      </c>
      <c r="C192" s="116">
        <v>46054.0</v>
      </c>
      <c r="D192" s="63"/>
      <c r="E192" s="16" t="s">
        <v>61</v>
      </c>
      <c r="F192" s="101"/>
      <c r="G192" s="142"/>
      <c r="H192" s="3"/>
      <c r="J192" s="101"/>
      <c r="P192" s="3"/>
    </row>
    <row r="193">
      <c r="A193" s="61" t="s">
        <v>551</v>
      </c>
      <c r="B193" s="61" t="s">
        <v>28</v>
      </c>
      <c r="C193" s="116">
        <v>46054.0</v>
      </c>
      <c r="D193" s="63"/>
      <c r="E193" s="16" t="s">
        <v>61</v>
      </c>
      <c r="F193" s="101"/>
      <c r="G193" s="142"/>
      <c r="H193" s="3"/>
      <c r="J193" s="101"/>
      <c r="P193" s="3"/>
    </row>
    <row r="194">
      <c r="A194" s="28" t="s">
        <v>557</v>
      </c>
      <c r="B194" s="28" t="s">
        <v>28</v>
      </c>
      <c r="C194" s="31">
        <v>46082.0</v>
      </c>
      <c r="D194" s="32"/>
      <c r="E194" s="16" t="s">
        <v>31</v>
      </c>
      <c r="F194" s="101"/>
      <c r="G194" s="142"/>
      <c r="H194" s="3"/>
      <c r="J194" s="101"/>
      <c r="P194" s="3"/>
    </row>
    <row r="195">
      <c r="A195" s="132" t="s">
        <v>591</v>
      </c>
      <c r="B195" s="132" t="s">
        <v>28</v>
      </c>
      <c r="C195" s="147">
        <v>46054.0</v>
      </c>
      <c r="D195" s="16" t="s">
        <v>592</v>
      </c>
      <c r="E195" s="16" t="s">
        <v>61</v>
      </c>
      <c r="F195" s="101"/>
      <c r="G195" s="142"/>
      <c r="H195" s="3"/>
      <c r="J195" s="101"/>
      <c r="P195" s="3"/>
    </row>
    <row r="196">
      <c r="A196" s="132" t="s">
        <v>594</v>
      </c>
      <c r="B196" s="132" t="s">
        <v>28</v>
      </c>
      <c r="C196" s="147">
        <v>46023.0</v>
      </c>
      <c r="D196" s="16" t="s">
        <v>592</v>
      </c>
      <c r="E196" s="16" t="s">
        <v>61</v>
      </c>
      <c r="F196" s="101"/>
      <c r="G196" s="142"/>
      <c r="H196" s="3"/>
      <c r="J196" s="101"/>
      <c r="P196" s="3"/>
    </row>
    <row r="197">
      <c r="A197" s="132" t="s">
        <v>539</v>
      </c>
      <c r="B197" s="132" t="s">
        <v>28</v>
      </c>
      <c r="C197" s="147">
        <v>45962.0</v>
      </c>
      <c r="D197" s="16" t="s">
        <v>596</v>
      </c>
      <c r="E197" s="16" t="s">
        <v>61</v>
      </c>
      <c r="F197" s="101"/>
      <c r="G197" s="142"/>
      <c r="H197" s="3"/>
      <c r="J197" s="101"/>
      <c r="P197" s="3"/>
    </row>
    <row r="198">
      <c r="A198" s="132" t="s">
        <v>597</v>
      </c>
      <c r="B198" s="132" t="s">
        <v>40</v>
      </c>
      <c r="C198" s="108">
        <v>45748.0</v>
      </c>
      <c r="D198" s="16" t="s">
        <v>598</v>
      </c>
      <c r="E198" s="16" t="s">
        <v>61</v>
      </c>
      <c r="F198" s="101"/>
      <c r="G198" s="142"/>
      <c r="H198" s="3"/>
      <c r="J198" s="101"/>
      <c r="P198" s="3"/>
    </row>
    <row r="199">
      <c r="A199" s="132" t="s">
        <v>599</v>
      </c>
      <c r="B199" s="132" t="s">
        <v>28</v>
      </c>
      <c r="C199" s="108">
        <v>45748.0</v>
      </c>
      <c r="D199" s="16" t="s">
        <v>598</v>
      </c>
      <c r="E199" s="16" t="s">
        <v>61</v>
      </c>
      <c r="F199" s="101"/>
      <c r="G199" s="142"/>
      <c r="H199" s="3"/>
      <c r="J199" s="101"/>
      <c r="P199" s="3"/>
    </row>
    <row r="200">
      <c r="A200" s="132" t="s">
        <v>600</v>
      </c>
      <c r="B200" s="132" t="s">
        <v>28</v>
      </c>
      <c r="C200" s="108">
        <v>45901.0</v>
      </c>
      <c r="D200" s="16" t="s">
        <v>602</v>
      </c>
      <c r="E200" s="16" t="s">
        <v>61</v>
      </c>
      <c r="F200" s="101"/>
      <c r="G200" s="142"/>
      <c r="H200" s="3"/>
      <c r="J200" s="101"/>
      <c r="P200" s="3"/>
    </row>
    <row r="201">
      <c r="A201" s="132" t="s">
        <v>604</v>
      </c>
      <c r="B201" s="132" t="s">
        <v>28</v>
      </c>
      <c r="C201" s="108">
        <v>45992.0</v>
      </c>
      <c r="D201" s="16" t="s">
        <v>598</v>
      </c>
      <c r="E201" s="16" t="s">
        <v>31</v>
      </c>
      <c r="F201" s="101"/>
      <c r="G201" s="142"/>
      <c r="H201" s="3"/>
      <c r="J201" s="101"/>
      <c r="P201" s="3"/>
    </row>
    <row r="202">
      <c r="A202" s="132" t="s">
        <v>606</v>
      </c>
      <c r="B202" s="132" t="s">
        <v>28</v>
      </c>
      <c r="C202" s="147">
        <v>46054.0</v>
      </c>
      <c r="D202" s="16" t="s">
        <v>598</v>
      </c>
      <c r="E202" s="16" t="s">
        <v>61</v>
      </c>
      <c r="F202" s="101"/>
      <c r="G202" s="142"/>
      <c r="H202" s="3"/>
      <c r="J202" s="101"/>
      <c r="P202" s="3"/>
    </row>
    <row r="203">
      <c r="G203" s="142"/>
      <c r="H203" s="3"/>
      <c r="P203" s="3"/>
    </row>
    <row r="204">
      <c r="A204" s="3"/>
      <c r="B204" s="3"/>
      <c r="C204" s="3"/>
      <c r="G204" s="142"/>
      <c r="H204" s="3"/>
      <c r="P204" s="3"/>
    </row>
    <row r="205">
      <c r="A205" s="3"/>
      <c r="B205" s="3"/>
      <c r="C205" s="3"/>
      <c r="G205" s="142"/>
      <c r="H205" s="3"/>
      <c r="P205" s="3"/>
    </row>
    <row r="206">
      <c r="A206" s="3"/>
      <c r="B206" s="3"/>
      <c r="C206" s="3"/>
      <c r="G206" s="142"/>
      <c r="H206" s="3"/>
      <c r="P206" s="3"/>
    </row>
    <row r="207">
      <c r="A207" s="3"/>
      <c r="B207" s="3"/>
      <c r="C207" s="3"/>
      <c r="G207" s="142"/>
      <c r="H207" s="3"/>
      <c r="P207" s="3"/>
    </row>
    <row r="208">
      <c r="A208" s="3"/>
      <c r="B208" s="3"/>
      <c r="C208" s="3"/>
      <c r="G208" s="142"/>
      <c r="H208" s="3"/>
      <c r="P208" s="3"/>
    </row>
    <row r="209">
      <c r="A209" s="3"/>
      <c r="B209" s="3"/>
      <c r="C209" s="3"/>
      <c r="G209" s="142"/>
      <c r="H209" s="3"/>
      <c r="P209" s="3"/>
    </row>
    <row r="210">
      <c r="A210" s="3"/>
      <c r="B210" s="3"/>
      <c r="C210" s="3"/>
      <c r="G210" s="142"/>
      <c r="H210" s="3"/>
      <c r="P210" s="3"/>
    </row>
    <row r="211">
      <c r="A211" s="3"/>
      <c r="B211" s="3"/>
      <c r="C211" s="3"/>
      <c r="G211" s="142"/>
      <c r="H211" s="3"/>
      <c r="P211" s="3"/>
    </row>
    <row r="212">
      <c r="A212" s="3"/>
      <c r="B212" s="3"/>
      <c r="C212" s="3"/>
      <c r="G212" s="142"/>
      <c r="H212" s="3"/>
      <c r="P212" s="3"/>
    </row>
    <row r="213">
      <c r="A213" s="3"/>
      <c r="B213" s="3"/>
      <c r="C213" s="3"/>
      <c r="G213" s="142"/>
      <c r="H213" s="3"/>
      <c r="P213" s="3"/>
    </row>
    <row r="214">
      <c r="A214" s="3"/>
      <c r="B214" s="3"/>
      <c r="C214" s="3"/>
      <c r="G214" s="142"/>
      <c r="H214" s="3"/>
      <c r="P214" s="3"/>
    </row>
    <row r="215">
      <c r="A215" s="3"/>
      <c r="B215" s="3"/>
      <c r="C215" s="3"/>
      <c r="G215" s="142"/>
      <c r="H215" s="3"/>
      <c r="P215" s="3"/>
    </row>
    <row r="216">
      <c r="A216" s="3"/>
      <c r="B216" s="3"/>
      <c r="C216" s="3"/>
      <c r="G216" s="142"/>
      <c r="H216" s="3"/>
      <c r="P216" s="3"/>
    </row>
    <row r="217">
      <c r="A217" s="3"/>
      <c r="B217" s="3"/>
      <c r="C217" s="3"/>
      <c r="G217" s="142"/>
      <c r="H217" s="3"/>
      <c r="P217" s="3"/>
    </row>
    <row r="218">
      <c r="A218" s="3"/>
      <c r="B218" s="3"/>
      <c r="C218" s="3"/>
      <c r="G218" s="142"/>
      <c r="H218" s="3"/>
      <c r="P218" s="3"/>
    </row>
    <row r="219">
      <c r="A219" s="3"/>
      <c r="B219" s="3"/>
      <c r="C219" s="3"/>
      <c r="G219" s="142"/>
      <c r="H219" s="3"/>
      <c r="P219" s="3"/>
    </row>
    <row r="220">
      <c r="A220" s="3"/>
      <c r="B220" s="3"/>
      <c r="C220" s="3"/>
      <c r="G220" s="142"/>
      <c r="H220" s="3"/>
      <c r="P220" s="3"/>
    </row>
    <row r="221">
      <c r="A221" s="3"/>
      <c r="B221" s="3"/>
      <c r="C221" s="3"/>
      <c r="G221" s="142"/>
      <c r="H221" s="3"/>
      <c r="P221" s="3"/>
    </row>
    <row r="222">
      <c r="A222" s="3"/>
      <c r="B222" s="3"/>
      <c r="C222" s="3"/>
      <c r="G222" s="142"/>
      <c r="H222" s="3"/>
      <c r="P222" s="3"/>
    </row>
    <row r="223">
      <c r="A223" s="3"/>
      <c r="B223" s="3"/>
      <c r="C223" s="3"/>
      <c r="G223" s="142"/>
      <c r="H223" s="3"/>
      <c r="P223" s="3"/>
    </row>
    <row r="224">
      <c r="A224" s="3"/>
      <c r="B224" s="3"/>
      <c r="C224" s="3"/>
      <c r="G224" s="142"/>
      <c r="H224" s="3"/>
      <c r="P224" s="3"/>
    </row>
    <row r="225">
      <c r="A225" s="3"/>
      <c r="B225" s="3"/>
      <c r="C225" s="3"/>
      <c r="G225" s="142"/>
      <c r="H225" s="3"/>
      <c r="P225" s="3"/>
    </row>
    <row r="226">
      <c r="A226" s="3"/>
      <c r="B226" s="3"/>
      <c r="C226" s="3"/>
      <c r="G226" s="142"/>
      <c r="H226" s="3"/>
      <c r="P226" s="3"/>
    </row>
    <row r="227">
      <c r="A227" s="3"/>
      <c r="B227" s="3"/>
      <c r="C227" s="3"/>
      <c r="G227" s="142"/>
      <c r="H227" s="3"/>
      <c r="P227" s="3"/>
    </row>
    <row r="228">
      <c r="A228" s="3"/>
      <c r="B228" s="3"/>
      <c r="C228" s="3"/>
      <c r="G228" s="142"/>
      <c r="H228" s="3"/>
      <c r="P228" s="3"/>
    </row>
    <row r="229">
      <c r="A229" s="3"/>
      <c r="B229" s="3"/>
      <c r="C229" s="3"/>
      <c r="G229" s="142"/>
      <c r="H229" s="3"/>
      <c r="P229" s="3"/>
    </row>
    <row r="230">
      <c r="A230" s="3"/>
      <c r="B230" s="3"/>
      <c r="C230" s="3"/>
      <c r="G230" s="142"/>
      <c r="H230" s="3"/>
      <c r="P230" s="3"/>
    </row>
    <row r="231">
      <c r="A231" s="3"/>
      <c r="B231" s="3"/>
      <c r="C231" s="3"/>
      <c r="G231" s="142"/>
      <c r="H231" s="3"/>
      <c r="P231" s="3"/>
    </row>
    <row r="232">
      <c r="A232" s="3"/>
      <c r="B232" s="3"/>
      <c r="C232" s="3"/>
      <c r="G232" s="142"/>
      <c r="H232" s="3"/>
      <c r="P232" s="3"/>
    </row>
    <row r="233">
      <c r="A233" s="3"/>
      <c r="B233" s="3"/>
      <c r="C233" s="3"/>
      <c r="G233" s="142"/>
      <c r="H233" s="3"/>
      <c r="P233" s="3"/>
    </row>
    <row r="234">
      <c r="A234" s="3"/>
      <c r="B234" s="3"/>
      <c r="C234" s="3"/>
      <c r="G234" s="142"/>
      <c r="H234" s="3"/>
      <c r="P234" s="3"/>
    </row>
    <row r="235">
      <c r="A235" s="3"/>
      <c r="B235" s="3"/>
      <c r="C235" s="3"/>
      <c r="G235" s="142"/>
      <c r="H235" s="3"/>
      <c r="P235" s="3"/>
    </row>
    <row r="236">
      <c r="A236" s="3"/>
      <c r="B236" s="3"/>
      <c r="C236" s="3"/>
      <c r="G236" s="142"/>
      <c r="H236" s="3"/>
      <c r="P236" s="3"/>
    </row>
    <row r="237">
      <c r="A237" s="3"/>
      <c r="B237" s="3"/>
      <c r="C237" s="3"/>
      <c r="G237" s="142"/>
      <c r="H237" s="3"/>
      <c r="P237" s="3"/>
    </row>
    <row r="238">
      <c r="A238" s="3"/>
      <c r="B238" s="3"/>
      <c r="C238" s="3"/>
      <c r="G238" s="142"/>
      <c r="H238" s="3"/>
      <c r="P238" s="3"/>
    </row>
    <row r="239">
      <c r="A239" s="3"/>
      <c r="B239" s="3"/>
      <c r="C239" s="3"/>
      <c r="G239" s="142"/>
      <c r="H239" s="3"/>
      <c r="P239" s="3"/>
    </row>
    <row r="240">
      <c r="A240" s="3"/>
      <c r="B240" s="3"/>
      <c r="C240" s="3"/>
      <c r="G240" s="142"/>
      <c r="H240" s="3"/>
      <c r="P240" s="3"/>
    </row>
    <row r="241">
      <c r="A241" s="3"/>
      <c r="B241" s="3"/>
      <c r="C241" s="3"/>
      <c r="G241" s="142"/>
      <c r="H241" s="3"/>
      <c r="P241" s="3"/>
    </row>
    <row r="242">
      <c r="A242" s="3"/>
      <c r="B242" s="3"/>
      <c r="C242" s="3"/>
      <c r="G242" s="142"/>
      <c r="H242" s="3"/>
      <c r="P242" s="3"/>
    </row>
    <row r="243">
      <c r="A243" s="3"/>
      <c r="B243" s="3"/>
      <c r="C243" s="3"/>
      <c r="G243" s="142"/>
      <c r="H243" s="3"/>
      <c r="P243" s="3"/>
    </row>
    <row r="244">
      <c r="A244" s="3"/>
      <c r="B244" s="3"/>
      <c r="C244" s="3"/>
      <c r="G244" s="142"/>
      <c r="H244" s="3"/>
      <c r="P244" s="3"/>
    </row>
    <row r="245">
      <c r="A245" s="3"/>
      <c r="B245" s="3"/>
      <c r="C245" s="3"/>
      <c r="G245" s="142"/>
      <c r="H245" s="3"/>
      <c r="P245" s="3"/>
    </row>
    <row r="246">
      <c r="A246" s="3"/>
      <c r="B246" s="3"/>
      <c r="C246" s="3"/>
      <c r="G246" s="142"/>
      <c r="H246" s="3"/>
      <c r="P246" s="3"/>
    </row>
    <row r="247">
      <c r="A247" s="3"/>
      <c r="B247" s="3"/>
      <c r="C247" s="3"/>
      <c r="G247" s="142"/>
      <c r="H247" s="3"/>
      <c r="P247" s="3"/>
    </row>
    <row r="248">
      <c r="A248" s="3"/>
      <c r="B248" s="3"/>
      <c r="C248" s="3"/>
      <c r="G248" s="142"/>
      <c r="H248" s="3"/>
      <c r="P248" s="3"/>
    </row>
    <row r="249">
      <c r="A249" s="3"/>
      <c r="B249" s="3"/>
      <c r="C249" s="3"/>
      <c r="G249" s="142"/>
      <c r="H249" s="3"/>
      <c r="P249" s="3"/>
    </row>
    <row r="250">
      <c r="A250" s="3"/>
      <c r="B250" s="3"/>
      <c r="C250" s="3"/>
      <c r="G250" s="142"/>
      <c r="H250" s="3"/>
      <c r="P250" s="3"/>
    </row>
    <row r="251">
      <c r="A251" s="3"/>
      <c r="B251" s="3"/>
      <c r="C251" s="3"/>
      <c r="G251" s="142"/>
      <c r="H251" s="3"/>
      <c r="P251" s="3"/>
    </row>
    <row r="252">
      <c r="A252" s="3"/>
      <c r="B252" s="3"/>
      <c r="C252" s="3"/>
      <c r="G252" s="142"/>
      <c r="H252" s="3"/>
      <c r="P252" s="3"/>
    </row>
    <row r="253">
      <c r="A253" s="3"/>
      <c r="B253" s="3"/>
      <c r="C253" s="3"/>
      <c r="G253" s="142"/>
      <c r="H253" s="3"/>
      <c r="P253" s="3"/>
    </row>
    <row r="254">
      <c r="A254" s="3"/>
      <c r="B254" s="3"/>
      <c r="C254" s="3"/>
      <c r="G254" s="142"/>
      <c r="H254" s="3"/>
      <c r="P254" s="3"/>
    </row>
    <row r="255">
      <c r="A255" s="3"/>
      <c r="B255" s="3"/>
      <c r="C255" s="3"/>
      <c r="G255" s="142"/>
      <c r="H255" s="3"/>
      <c r="P255" s="3"/>
    </row>
    <row r="256">
      <c r="A256" s="3"/>
      <c r="B256" s="3"/>
      <c r="C256" s="3"/>
      <c r="G256" s="142"/>
      <c r="H256" s="3"/>
      <c r="P256" s="3"/>
    </row>
    <row r="257">
      <c r="A257" s="3"/>
      <c r="B257" s="3"/>
      <c r="C257" s="3"/>
      <c r="G257" s="142"/>
      <c r="H257" s="3"/>
      <c r="P257" s="3"/>
    </row>
    <row r="258">
      <c r="A258" s="3"/>
      <c r="B258" s="3"/>
      <c r="C258" s="3"/>
      <c r="G258" s="142"/>
      <c r="H258" s="3"/>
      <c r="P258" s="3"/>
    </row>
    <row r="259">
      <c r="A259" s="3"/>
      <c r="B259" s="3"/>
      <c r="C259" s="3"/>
      <c r="G259" s="142"/>
      <c r="H259" s="3"/>
      <c r="P259" s="3"/>
    </row>
    <row r="260">
      <c r="A260" s="3"/>
      <c r="B260" s="3"/>
      <c r="C260" s="3"/>
      <c r="G260" s="142"/>
      <c r="H260" s="3"/>
      <c r="P260" s="3"/>
    </row>
    <row r="261">
      <c r="A261" s="3"/>
      <c r="B261" s="3"/>
      <c r="C261" s="3"/>
      <c r="G261" s="142"/>
      <c r="H261" s="3"/>
      <c r="P261" s="3"/>
    </row>
    <row r="262">
      <c r="A262" s="3"/>
      <c r="B262" s="3"/>
      <c r="C262" s="3"/>
      <c r="G262" s="142"/>
      <c r="H262" s="3"/>
      <c r="P262" s="3"/>
    </row>
    <row r="263">
      <c r="A263" s="3"/>
      <c r="B263" s="3"/>
      <c r="C263" s="3"/>
      <c r="G263" s="142"/>
      <c r="H263" s="3"/>
      <c r="P263" s="3"/>
    </row>
    <row r="264">
      <c r="A264" s="3"/>
      <c r="B264" s="3"/>
      <c r="C264" s="3"/>
      <c r="G264" s="142"/>
      <c r="H264" s="3"/>
      <c r="P264" s="3"/>
    </row>
    <row r="265">
      <c r="A265" s="3"/>
      <c r="B265" s="3"/>
      <c r="C265" s="3"/>
      <c r="G265" s="142"/>
      <c r="H265" s="3"/>
      <c r="P265" s="3"/>
    </row>
    <row r="266">
      <c r="A266" s="3"/>
      <c r="B266" s="3"/>
      <c r="C266" s="3"/>
      <c r="G266" s="142"/>
      <c r="H266" s="3"/>
      <c r="P266" s="3"/>
    </row>
    <row r="267">
      <c r="A267" s="3"/>
      <c r="B267" s="3"/>
      <c r="C267" s="3"/>
      <c r="G267" s="142"/>
      <c r="H267" s="3"/>
      <c r="P267" s="3"/>
    </row>
    <row r="268">
      <c r="A268" s="3"/>
      <c r="B268" s="3"/>
      <c r="C268" s="3"/>
      <c r="G268" s="142"/>
      <c r="H268" s="3"/>
      <c r="P268" s="3"/>
    </row>
    <row r="269">
      <c r="A269" s="3"/>
      <c r="B269" s="3"/>
      <c r="C269" s="3"/>
      <c r="G269" s="142"/>
      <c r="H269" s="3"/>
      <c r="P269" s="3"/>
    </row>
    <row r="270">
      <c r="A270" s="3"/>
      <c r="B270" s="3"/>
      <c r="C270" s="3"/>
      <c r="G270" s="142"/>
      <c r="H270" s="3"/>
      <c r="P270" s="3"/>
    </row>
    <row r="271">
      <c r="A271" s="3"/>
      <c r="B271" s="3"/>
      <c r="C271" s="3"/>
      <c r="G271" s="142"/>
      <c r="H271" s="3"/>
      <c r="P271" s="3"/>
    </row>
    <row r="272">
      <c r="A272" s="3"/>
      <c r="B272" s="3"/>
      <c r="C272" s="3"/>
      <c r="G272" s="142"/>
      <c r="H272" s="3"/>
      <c r="P272" s="3"/>
    </row>
    <row r="273">
      <c r="A273" s="3"/>
      <c r="B273" s="3"/>
      <c r="C273" s="3"/>
      <c r="G273" s="142"/>
      <c r="H273" s="3"/>
      <c r="P273" s="3"/>
    </row>
    <row r="274">
      <c r="A274" s="3"/>
      <c r="B274" s="3"/>
      <c r="C274" s="3"/>
      <c r="G274" s="142"/>
      <c r="H274" s="3"/>
      <c r="P274" s="3"/>
    </row>
    <row r="275">
      <c r="A275" s="3"/>
      <c r="B275" s="3"/>
      <c r="C275" s="3"/>
      <c r="G275" s="142"/>
      <c r="H275" s="3"/>
      <c r="P275" s="3"/>
    </row>
    <row r="276">
      <c r="A276" s="3"/>
      <c r="B276" s="3"/>
      <c r="C276" s="3"/>
      <c r="G276" s="142"/>
      <c r="H276" s="3"/>
      <c r="P276" s="3"/>
    </row>
    <row r="277">
      <c r="A277" s="3"/>
      <c r="B277" s="3"/>
      <c r="C277" s="3"/>
      <c r="G277" s="142"/>
      <c r="H277" s="3"/>
      <c r="P277" s="3"/>
    </row>
    <row r="278">
      <c r="A278" s="3"/>
      <c r="B278" s="3"/>
      <c r="C278" s="3"/>
      <c r="G278" s="142"/>
      <c r="H278" s="3"/>
      <c r="P278" s="3"/>
    </row>
    <row r="279">
      <c r="A279" s="3"/>
      <c r="B279" s="3"/>
      <c r="C279" s="3"/>
      <c r="G279" s="142"/>
      <c r="H279" s="3"/>
      <c r="P279" s="3"/>
    </row>
    <row r="280">
      <c r="A280" s="3"/>
      <c r="B280" s="3"/>
      <c r="C280" s="3"/>
      <c r="G280" s="142"/>
      <c r="H280" s="3"/>
      <c r="P280" s="3"/>
    </row>
    <row r="281">
      <c r="A281" s="3"/>
      <c r="B281" s="3"/>
      <c r="C281" s="3"/>
      <c r="G281" s="142"/>
      <c r="H281" s="3"/>
      <c r="P281" s="3"/>
    </row>
    <row r="282">
      <c r="A282" s="3"/>
      <c r="B282" s="3"/>
      <c r="C282" s="3"/>
      <c r="G282" s="142"/>
      <c r="H282" s="3"/>
      <c r="P282" s="3"/>
    </row>
    <row r="283">
      <c r="A283" s="3"/>
      <c r="B283" s="3"/>
      <c r="C283" s="3"/>
      <c r="G283" s="142"/>
      <c r="H283" s="3"/>
      <c r="P283" s="3"/>
    </row>
    <row r="284">
      <c r="A284" s="3"/>
      <c r="B284" s="3"/>
      <c r="C284" s="3"/>
      <c r="G284" s="142"/>
      <c r="H284" s="3"/>
      <c r="P284" s="3"/>
    </row>
    <row r="285">
      <c r="A285" s="3"/>
      <c r="B285" s="3"/>
      <c r="C285" s="3"/>
      <c r="G285" s="142"/>
      <c r="H285" s="3"/>
      <c r="P285" s="3"/>
    </row>
    <row r="286">
      <c r="A286" s="3"/>
      <c r="B286" s="3"/>
      <c r="C286" s="3"/>
      <c r="G286" s="142"/>
      <c r="H286" s="3"/>
      <c r="P286" s="3"/>
    </row>
    <row r="287">
      <c r="A287" s="3"/>
      <c r="B287" s="3"/>
      <c r="C287" s="3"/>
      <c r="G287" s="142"/>
      <c r="H287" s="3"/>
      <c r="P287" s="3"/>
    </row>
    <row r="288">
      <c r="A288" s="3"/>
      <c r="B288" s="3"/>
      <c r="C288" s="3"/>
      <c r="G288" s="142"/>
      <c r="H288" s="3"/>
      <c r="P288" s="3"/>
    </row>
    <row r="289">
      <c r="A289" s="3"/>
      <c r="B289" s="3"/>
      <c r="C289" s="3"/>
      <c r="G289" s="142"/>
      <c r="H289" s="3"/>
      <c r="P289" s="3"/>
    </row>
    <row r="290">
      <c r="A290" s="3"/>
      <c r="B290" s="3"/>
      <c r="C290" s="3"/>
      <c r="G290" s="142"/>
      <c r="H290" s="3"/>
      <c r="P290" s="3"/>
    </row>
    <row r="291">
      <c r="A291" s="3"/>
      <c r="B291" s="3"/>
      <c r="C291" s="3"/>
      <c r="G291" s="142"/>
      <c r="H291" s="3"/>
      <c r="P291" s="3"/>
    </row>
    <row r="292">
      <c r="A292" s="3"/>
      <c r="B292" s="3"/>
      <c r="C292" s="3"/>
      <c r="G292" s="142"/>
      <c r="H292" s="3"/>
      <c r="P292" s="3"/>
    </row>
    <row r="293">
      <c r="A293" s="3"/>
      <c r="B293" s="3"/>
      <c r="C293" s="3"/>
      <c r="G293" s="142"/>
      <c r="H293" s="3"/>
      <c r="P293" s="3"/>
    </row>
    <row r="294">
      <c r="A294" s="3"/>
      <c r="B294" s="3"/>
      <c r="C294" s="3"/>
      <c r="G294" s="142"/>
      <c r="H294" s="3"/>
      <c r="P294" s="3"/>
    </row>
    <row r="295">
      <c r="A295" s="3"/>
      <c r="B295" s="3"/>
      <c r="C295" s="3"/>
      <c r="G295" s="142"/>
      <c r="H295" s="3"/>
      <c r="P295" s="3"/>
    </row>
    <row r="296">
      <c r="A296" s="3"/>
      <c r="B296" s="3"/>
      <c r="C296" s="3"/>
      <c r="G296" s="142"/>
      <c r="H296" s="3"/>
      <c r="P296" s="3"/>
    </row>
    <row r="297">
      <c r="A297" s="3"/>
      <c r="B297" s="3"/>
      <c r="C297" s="3"/>
      <c r="G297" s="142"/>
      <c r="H297" s="3"/>
      <c r="P297" s="3"/>
    </row>
    <row r="298">
      <c r="A298" s="3"/>
      <c r="B298" s="3"/>
      <c r="C298" s="3"/>
      <c r="G298" s="142"/>
      <c r="H298" s="3"/>
      <c r="P298" s="3"/>
    </row>
    <row r="299">
      <c r="A299" s="3"/>
      <c r="B299" s="3"/>
      <c r="C299" s="3"/>
      <c r="G299" s="142"/>
      <c r="H299" s="3"/>
      <c r="P299" s="3"/>
    </row>
    <row r="300">
      <c r="A300" s="3"/>
      <c r="B300" s="3"/>
      <c r="C300" s="3"/>
      <c r="G300" s="142"/>
      <c r="H300" s="3"/>
      <c r="P300" s="3"/>
    </row>
    <row r="301">
      <c r="A301" s="3"/>
      <c r="B301" s="3"/>
      <c r="C301" s="3"/>
      <c r="G301" s="142"/>
      <c r="H301" s="3"/>
      <c r="P301" s="3"/>
    </row>
    <row r="302">
      <c r="A302" s="3"/>
      <c r="B302" s="3"/>
      <c r="C302" s="3"/>
      <c r="G302" s="142"/>
      <c r="H302" s="3"/>
      <c r="P302" s="3"/>
    </row>
    <row r="303">
      <c r="A303" s="3"/>
      <c r="B303" s="3"/>
      <c r="C303" s="3"/>
      <c r="G303" s="142"/>
      <c r="H303" s="3"/>
      <c r="P303" s="3"/>
    </row>
    <row r="304">
      <c r="A304" s="3"/>
      <c r="B304" s="3"/>
      <c r="C304" s="3"/>
      <c r="G304" s="142"/>
      <c r="H304" s="3"/>
      <c r="P304" s="3"/>
    </row>
    <row r="305">
      <c r="A305" s="3"/>
      <c r="B305" s="3"/>
      <c r="C305" s="3"/>
      <c r="G305" s="142"/>
      <c r="H305" s="3"/>
      <c r="P305" s="3"/>
    </row>
    <row r="306">
      <c r="A306" s="3"/>
      <c r="B306" s="3"/>
      <c r="C306" s="3"/>
      <c r="G306" s="142"/>
      <c r="H306" s="3"/>
      <c r="P306" s="3"/>
    </row>
    <row r="307">
      <c r="A307" s="3"/>
      <c r="B307" s="3"/>
      <c r="C307" s="3"/>
      <c r="G307" s="142"/>
      <c r="H307" s="3"/>
      <c r="P307" s="3"/>
    </row>
    <row r="308">
      <c r="A308" s="3"/>
      <c r="B308" s="3"/>
      <c r="C308" s="3"/>
      <c r="G308" s="142"/>
      <c r="H308" s="3"/>
      <c r="P308" s="3"/>
    </row>
    <row r="309">
      <c r="A309" s="3"/>
      <c r="B309" s="3"/>
      <c r="C309" s="3"/>
      <c r="G309" s="142"/>
      <c r="H309" s="3"/>
      <c r="P309" s="3"/>
    </row>
    <row r="310">
      <c r="A310" s="3"/>
      <c r="B310" s="3"/>
      <c r="C310" s="3"/>
      <c r="G310" s="142"/>
      <c r="H310" s="3"/>
      <c r="P310" s="3"/>
    </row>
    <row r="311">
      <c r="A311" s="3"/>
      <c r="B311" s="3"/>
      <c r="C311" s="3"/>
      <c r="G311" s="142"/>
      <c r="H311" s="3"/>
      <c r="P311" s="3"/>
    </row>
    <row r="312">
      <c r="A312" s="3"/>
      <c r="B312" s="3"/>
      <c r="C312" s="3"/>
      <c r="G312" s="142"/>
      <c r="H312" s="3"/>
      <c r="P312" s="3"/>
    </row>
    <row r="313">
      <c r="A313" s="3"/>
      <c r="B313" s="3"/>
      <c r="C313" s="3"/>
      <c r="G313" s="142"/>
      <c r="H313" s="3"/>
      <c r="P313" s="3"/>
    </row>
    <row r="314">
      <c r="A314" s="3"/>
      <c r="B314" s="3"/>
      <c r="C314" s="3"/>
      <c r="G314" s="142"/>
      <c r="H314" s="3"/>
      <c r="P314" s="3"/>
    </row>
    <row r="315">
      <c r="A315" s="3"/>
      <c r="B315" s="3"/>
      <c r="C315" s="3"/>
      <c r="G315" s="142"/>
      <c r="H315" s="3"/>
      <c r="P315" s="3"/>
    </row>
    <row r="316">
      <c r="A316" s="3"/>
      <c r="B316" s="3"/>
      <c r="C316" s="3"/>
      <c r="G316" s="142"/>
      <c r="H316" s="3"/>
      <c r="P316" s="3"/>
    </row>
    <row r="317">
      <c r="A317" s="3"/>
      <c r="B317" s="3"/>
      <c r="C317" s="3"/>
      <c r="G317" s="142"/>
      <c r="H317" s="3"/>
      <c r="P317" s="3"/>
    </row>
    <row r="318">
      <c r="A318" s="3"/>
      <c r="B318" s="3"/>
      <c r="C318" s="3"/>
      <c r="G318" s="142"/>
      <c r="H318" s="3"/>
      <c r="P318" s="3"/>
    </row>
    <row r="319">
      <c r="A319" s="3"/>
      <c r="B319" s="3"/>
      <c r="C319" s="3"/>
      <c r="G319" s="142"/>
      <c r="H319" s="3"/>
      <c r="P319" s="3"/>
    </row>
    <row r="320">
      <c r="A320" s="3"/>
      <c r="B320" s="3"/>
      <c r="C320" s="3"/>
      <c r="G320" s="142"/>
      <c r="H320" s="3"/>
      <c r="P320" s="3"/>
    </row>
    <row r="321">
      <c r="A321" s="3"/>
      <c r="B321" s="3"/>
      <c r="C321" s="3"/>
      <c r="G321" s="142"/>
      <c r="H321" s="3"/>
      <c r="P321" s="3"/>
    </row>
    <row r="322">
      <c r="A322" s="3"/>
      <c r="B322" s="3"/>
      <c r="C322" s="3"/>
      <c r="G322" s="142"/>
      <c r="H322" s="3"/>
      <c r="P322" s="3"/>
    </row>
    <row r="323">
      <c r="A323" s="3"/>
      <c r="B323" s="3"/>
      <c r="C323" s="3"/>
      <c r="G323" s="142"/>
      <c r="H323" s="3"/>
      <c r="P323" s="3"/>
    </row>
    <row r="324">
      <c r="A324" s="3"/>
      <c r="B324" s="3"/>
      <c r="C324" s="3"/>
      <c r="G324" s="142"/>
      <c r="H324" s="3"/>
      <c r="P324" s="3"/>
    </row>
    <row r="325">
      <c r="A325" s="3"/>
      <c r="B325" s="3"/>
      <c r="C325" s="3"/>
      <c r="G325" s="142"/>
      <c r="H325" s="3"/>
      <c r="P325" s="3"/>
    </row>
    <row r="326">
      <c r="A326" s="3"/>
      <c r="B326" s="3"/>
      <c r="C326" s="3"/>
      <c r="G326" s="142"/>
      <c r="H326" s="3"/>
      <c r="P326" s="3"/>
    </row>
    <row r="327">
      <c r="A327" s="3"/>
      <c r="B327" s="3"/>
      <c r="C327" s="3"/>
      <c r="G327" s="142"/>
      <c r="H327" s="3"/>
      <c r="P327" s="3"/>
    </row>
    <row r="328">
      <c r="A328" s="3"/>
      <c r="B328" s="3"/>
      <c r="C328" s="3"/>
      <c r="G328" s="142"/>
      <c r="H328" s="3"/>
      <c r="P328" s="3"/>
    </row>
    <row r="329">
      <c r="A329" s="3"/>
      <c r="B329" s="3"/>
      <c r="C329" s="3"/>
      <c r="G329" s="142"/>
      <c r="H329" s="3"/>
      <c r="P329" s="3"/>
    </row>
    <row r="330">
      <c r="A330" s="3"/>
      <c r="B330" s="3"/>
      <c r="C330" s="3"/>
      <c r="G330" s="142"/>
      <c r="H330" s="3"/>
      <c r="P330" s="3"/>
    </row>
    <row r="331">
      <c r="A331" s="3"/>
      <c r="B331" s="3"/>
      <c r="C331" s="3"/>
      <c r="G331" s="142"/>
      <c r="H331" s="3"/>
      <c r="P331" s="3"/>
    </row>
    <row r="332">
      <c r="A332" s="3"/>
      <c r="B332" s="3"/>
      <c r="C332" s="3"/>
      <c r="G332" s="142"/>
      <c r="H332" s="3"/>
      <c r="P332" s="3"/>
    </row>
    <row r="333">
      <c r="A333" s="3"/>
      <c r="B333" s="3"/>
      <c r="C333" s="3"/>
      <c r="G333" s="142"/>
      <c r="H333" s="3"/>
      <c r="P333" s="3"/>
    </row>
    <row r="334">
      <c r="A334" s="3"/>
      <c r="B334" s="3"/>
      <c r="C334" s="3"/>
      <c r="G334" s="142"/>
      <c r="H334" s="3"/>
      <c r="P334" s="3"/>
    </row>
    <row r="335">
      <c r="A335" s="3"/>
      <c r="B335" s="3"/>
      <c r="C335" s="3"/>
      <c r="G335" s="142"/>
      <c r="H335" s="3"/>
      <c r="P335" s="3"/>
    </row>
    <row r="336">
      <c r="A336" s="3"/>
      <c r="B336" s="3"/>
      <c r="C336" s="3"/>
      <c r="G336" s="142"/>
      <c r="H336" s="3"/>
      <c r="P336" s="3"/>
    </row>
    <row r="337">
      <c r="A337" s="3"/>
      <c r="B337" s="3"/>
      <c r="C337" s="3"/>
      <c r="G337" s="142"/>
      <c r="H337" s="3"/>
      <c r="P337" s="3"/>
    </row>
    <row r="338">
      <c r="A338" s="3"/>
      <c r="B338" s="3"/>
      <c r="C338" s="3"/>
      <c r="G338" s="142"/>
      <c r="H338" s="3"/>
      <c r="P338" s="3"/>
    </row>
    <row r="339">
      <c r="A339" s="3"/>
      <c r="B339" s="3"/>
      <c r="C339" s="3"/>
      <c r="G339" s="142"/>
      <c r="H339" s="3"/>
      <c r="P339" s="3"/>
    </row>
    <row r="340">
      <c r="A340" s="3"/>
      <c r="B340" s="3"/>
      <c r="C340" s="3"/>
      <c r="G340" s="142"/>
      <c r="H340" s="3"/>
      <c r="P340" s="3"/>
    </row>
    <row r="341">
      <c r="A341" s="3"/>
      <c r="B341" s="3"/>
      <c r="C341" s="3"/>
      <c r="G341" s="142"/>
      <c r="H341" s="3"/>
      <c r="P341" s="3"/>
    </row>
    <row r="342">
      <c r="A342" s="3"/>
      <c r="B342" s="3"/>
      <c r="C342" s="3"/>
      <c r="G342" s="142"/>
      <c r="H342" s="3"/>
      <c r="P342" s="3"/>
    </row>
    <row r="343">
      <c r="A343" s="3"/>
      <c r="B343" s="3"/>
      <c r="C343" s="3"/>
      <c r="G343" s="142"/>
      <c r="H343" s="3"/>
      <c r="P343" s="3"/>
    </row>
    <row r="344">
      <c r="A344" s="3"/>
      <c r="B344" s="3"/>
      <c r="C344" s="3"/>
      <c r="G344" s="142"/>
      <c r="H344" s="3"/>
      <c r="P344" s="3"/>
    </row>
    <row r="345">
      <c r="A345" s="3"/>
      <c r="B345" s="3"/>
      <c r="C345" s="3"/>
      <c r="G345" s="142"/>
      <c r="H345" s="3"/>
      <c r="P345" s="3"/>
    </row>
    <row r="346">
      <c r="A346" s="3"/>
      <c r="B346" s="3"/>
      <c r="C346" s="3"/>
      <c r="G346" s="142"/>
      <c r="H346" s="3"/>
      <c r="P346" s="3"/>
    </row>
    <row r="347">
      <c r="A347" s="3"/>
      <c r="B347" s="3"/>
      <c r="C347" s="3"/>
      <c r="G347" s="142"/>
      <c r="H347" s="3"/>
      <c r="P347" s="3"/>
    </row>
    <row r="348">
      <c r="A348" s="3"/>
      <c r="B348" s="3"/>
      <c r="C348" s="3"/>
      <c r="G348" s="142"/>
      <c r="H348" s="3"/>
      <c r="P348" s="3"/>
    </row>
    <row r="349">
      <c r="A349" s="3"/>
      <c r="B349" s="3"/>
      <c r="C349" s="3"/>
      <c r="G349" s="142"/>
      <c r="H349" s="3"/>
      <c r="P349" s="3"/>
    </row>
    <row r="350">
      <c r="A350" s="3"/>
      <c r="B350" s="3"/>
      <c r="C350" s="3"/>
      <c r="G350" s="142"/>
      <c r="H350" s="3"/>
      <c r="P350" s="3"/>
    </row>
    <row r="351">
      <c r="A351" s="3"/>
      <c r="B351" s="3"/>
      <c r="C351" s="3"/>
      <c r="G351" s="142"/>
      <c r="H351" s="3"/>
      <c r="P351" s="3"/>
    </row>
    <row r="352">
      <c r="A352" s="3"/>
      <c r="B352" s="3"/>
      <c r="C352" s="3"/>
      <c r="G352" s="142"/>
      <c r="H352" s="3"/>
      <c r="P352" s="3"/>
    </row>
    <row r="353">
      <c r="A353" s="3"/>
      <c r="B353" s="3"/>
      <c r="C353" s="3"/>
      <c r="G353" s="142"/>
      <c r="H353" s="3"/>
      <c r="P353" s="3"/>
    </row>
    <row r="354">
      <c r="A354" s="3"/>
      <c r="B354" s="3"/>
      <c r="C354" s="3"/>
      <c r="G354" s="142"/>
      <c r="H354" s="3"/>
      <c r="P354" s="3"/>
    </row>
    <row r="355">
      <c r="A355" s="3"/>
      <c r="B355" s="3"/>
      <c r="C355" s="3"/>
      <c r="G355" s="142"/>
      <c r="H355" s="3"/>
      <c r="P355" s="3"/>
    </row>
    <row r="356">
      <c r="A356" s="3"/>
      <c r="B356" s="3"/>
      <c r="C356" s="3"/>
      <c r="G356" s="142"/>
      <c r="H356" s="3"/>
      <c r="P356" s="3"/>
    </row>
    <row r="357">
      <c r="A357" s="3"/>
      <c r="B357" s="3"/>
      <c r="C357" s="3"/>
      <c r="G357" s="142"/>
      <c r="H357" s="3"/>
      <c r="P357" s="3"/>
    </row>
    <row r="358">
      <c r="A358" s="3"/>
      <c r="B358" s="3"/>
      <c r="C358" s="3"/>
      <c r="G358" s="142"/>
      <c r="H358" s="3"/>
      <c r="P358" s="3"/>
    </row>
    <row r="359">
      <c r="A359" s="3"/>
      <c r="B359" s="3"/>
      <c r="C359" s="3"/>
      <c r="G359" s="142"/>
      <c r="H359" s="3"/>
      <c r="P359" s="3"/>
    </row>
    <row r="360">
      <c r="A360" s="3"/>
      <c r="B360" s="3"/>
      <c r="C360" s="3"/>
      <c r="G360" s="142"/>
      <c r="H360" s="3"/>
      <c r="P360" s="3"/>
    </row>
    <row r="361">
      <c r="A361" s="3"/>
      <c r="B361" s="3"/>
      <c r="C361" s="3"/>
      <c r="G361" s="142"/>
      <c r="H361" s="3"/>
      <c r="P361" s="3"/>
    </row>
    <row r="362">
      <c r="A362" s="3"/>
      <c r="B362" s="3"/>
      <c r="C362" s="3"/>
      <c r="G362" s="142"/>
      <c r="H362" s="3"/>
      <c r="P362" s="3"/>
    </row>
    <row r="363">
      <c r="A363" s="3"/>
      <c r="B363" s="3"/>
      <c r="C363" s="3"/>
      <c r="G363" s="142"/>
      <c r="H363" s="3"/>
      <c r="P363" s="3"/>
    </row>
    <row r="364">
      <c r="A364" s="3"/>
      <c r="B364" s="3"/>
      <c r="C364" s="3"/>
      <c r="G364" s="142"/>
      <c r="H364" s="3"/>
      <c r="P364" s="3"/>
    </row>
    <row r="365">
      <c r="A365" s="3"/>
      <c r="B365" s="3"/>
      <c r="C365" s="3"/>
      <c r="G365" s="142"/>
      <c r="H365" s="3"/>
      <c r="P365" s="3"/>
    </row>
    <row r="366">
      <c r="A366" s="3"/>
      <c r="B366" s="3"/>
      <c r="C366" s="3"/>
      <c r="G366" s="142"/>
      <c r="H366" s="3"/>
      <c r="P366" s="3"/>
    </row>
    <row r="367">
      <c r="A367" s="3"/>
      <c r="B367" s="3"/>
      <c r="C367" s="3"/>
      <c r="G367" s="142"/>
      <c r="H367" s="3"/>
      <c r="P367" s="3"/>
    </row>
    <row r="368">
      <c r="A368" s="3"/>
      <c r="B368" s="3"/>
      <c r="C368" s="3"/>
      <c r="G368" s="142"/>
      <c r="H368" s="3"/>
      <c r="P368" s="3"/>
    </row>
    <row r="369">
      <c r="A369" s="3"/>
      <c r="B369" s="3"/>
      <c r="C369" s="3"/>
      <c r="G369" s="142"/>
      <c r="H369" s="3"/>
      <c r="P369" s="3"/>
    </row>
    <row r="370">
      <c r="A370" s="3"/>
      <c r="B370" s="3"/>
      <c r="C370" s="3"/>
      <c r="G370" s="142"/>
      <c r="H370" s="3"/>
      <c r="P370" s="3"/>
    </row>
    <row r="371">
      <c r="A371" s="3"/>
      <c r="B371" s="3"/>
      <c r="C371" s="3"/>
      <c r="G371" s="142"/>
      <c r="H371" s="3"/>
      <c r="P371" s="3"/>
    </row>
    <row r="372">
      <c r="A372" s="3"/>
      <c r="B372" s="3"/>
      <c r="C372" s="3"/>
      <c r="G372" s="142"/>
      <c r="H372" s="3"/>
      <c r="P372" s="3"/>
    </row>
    <row r="373">
      <c r="A373" s="3"/>
      <c r="B373" s="3"/>
      <c r="C373" s="3"/>
      <c r="G373" s="142"/>
      <c r="H373" s="3"/>
      <c r="P373" s="3"/>
    </row>
    <row r="374">
      <c r="A374" s="3"/>
      <c r="B374" s="3"/>
      <c r="C374" s="3"/>
      <c r="G374" s="142"/>
      <c r="H374" s="3"/>
      <c r="P374" s="3"/>
    </row>
    <row r="375">
      <c r="A375" s="3"/>
      <c r="B375" s="3"/>
      <c r="C375" s="3"/>
      <c r="G375" s="142"/>
      <c r="H375" s="3"/>
      <c r="P375" s="3"/>
    </row>
    <row r="376">
      <c r="A376" s="3"/>
      <c r="B376" s="3"/>
      <c r="C376" s="3"/>
      <c r="G376" s="142"/>
      <c r="H376" s="3"/>
      <c r="P376" s="3"/>
    </row>
    <row r="377">
      <c r="A377" s="3"/>
      <c r="B377" s="3"/>
      <c r="C377" s="3"/>
      <c r="G377" s="142"/>
      <c r="H377" s="3"/>
      <c r="P377" s="3"/>
    </row>
    <row r="378">
      <c r="A378" s="3"/>
      <c r="B378" s="3"/>
      <c r="C378" s="3"/>
      <c r="G378" s="142"/>
      <c r="H378" s="3"/>
      <c r="P378" s="3"/>
    </row>
    <row r="379">
      <c r="A379" s="3"/>
      <c r="B379" s="3"/>
      <c r="C379" s="3"/>
      <c r="G379" s="142"/>
      <c r="H379" s="3"/>
      <c r="P379" s="3"/>
    </row>
    <row r="380">
      <c r="A380" s="3"/>
      <c r="B380" s="3"/>
      <c r="C380" s="3"/>
      <c r="G380" s="142"/>
      <c r="H380" s="3"/>
      <c r="P380" s="3"/>
    </row>
    <row r="381">
      <c r="A381" s="3"/>
      <c r="B381" s="3"/>
      <c r="C381" s="3"/>
      <c r="G381" s="142"/>
      <c r="H381" s="3"/>
      <c r="P381" s="3"/>
    </row>
    <row r="382">
      <c r="A382" s="3"/>
      <c r="B382" s="3"/>
      <c r="C382" s="3"/>
      <c r="G382" s="142"/>
      <c r="H382" s="3"/>
      <c r="P382" s="3"/>
    </row>
    <row r="383">
      <c r="A383" s="3"/>
      <c r="B383" s="3"/>
      <c r="C383" s="3"/>
      <c r="G383" s="142"/>
      <c r="H383" s="3"/>
      <c r="P383" s="3"/>
    </row>
    <row r="384">
      <c r="A384" s="3"/>
      <c r="B384" s="3"/>
      <c r="C384" s="3"/>
      <c r="G384" s="142"/>
      <c r="H384" s="3"/>
      <c r="P384" s="3"/>
    </row>
    <row r="385">
      <c r="A385" s="3"/>
      <c r="B385" s="3"/>
      <c r="C385" s="3"/>
      <c r="G385" s="142"/>
      <c r="H385" s="3"/>
      <c r="P385" s="3"/>
    </row>
    <row r="386">
      <c r="A386" s="3"/>
      <c r="B386" s="3"/>
      <c r="C386" s="3"/>
      <c r="G386" s="142"/>
      <c r="H386" s="3"/>
      <c r="P386" s="3"/>
    </row>
    <row r="387">
      <c r="A387" s="3"/>
      <c r="B387" s="3"/>
      <c r="C387" s="3"/>
      <c r="G387" s="142"/>
      <c r="H387" s="3"/>
      <c r="P387" s="3"/>
    </row>
    <row r="388">
      <c r="A388" s="3"/>
      <c r="B388" s="3"/>
      <c r="C388" s="3"/>
      <c r="G388" s="142"/>
      <c r="H388" s="3"/>
      <c r="P388" s="3"/>
    </row>
    <row r="389">
      <c r="A389" s="3"/>
      <c r="B389" s="3"/>
      <c r="C389" s="3"/>
      <c r="G389" s="142"/>
      <c r="H389" s="3"/>
      <c r="P389" s="3"/>
    </row>
    <row r="390">
      <c r="A390" s="3"/>
      <c r="B390" s="3"/>
      <c r="C390" s="3"/>
      <c r="G390" s="142"/>
      <c r="H390" s="3"/>
      <c r="P390" s="3"/>
    </row>
    <row r="391">
      <c r="A391" s="3"/>
      <c r="B391" s="3"/>
      <c r="C391" s="3"/>
      <c r="G391" s="142"/>
      <c r="H391" s="3"/>
      <c r="P391" s="3"/>
    </row>
    <row r="392">
      <c r="A392" s="3"/>
      <c r="B392" s="3"/>
      <c r="C392" s="3"/>
      <c r="G392" s="142"/>
      <c r="H392" s="3"/>
      <c r="P392" s="3"/>
    </row>
    <row r="393">
      <c r="A393" s="3"/>
      <c r="B393" s="3"/>
      <c r="C393" s="3"/>
      <c r="G393" s="142"/>
      <c r="H393" s="3"/>
      <c r="P393" s="3"/>
    </row>
    <row r="394">
      <c r="A394" s="3"/>
      <c r="B394" s="3"/>
      <c r="C394" s="3"/>
      <c r="G394" s="142"/>
      <c r="H394" s="3"/>
      <c r="P394" s="3"/>
    </row>
    <row r="395">
      <c r="A395" s="3"/>
      <c r="B395" s="3"/>
      <c r="C395" s="3"/>
      <c r="G395" s="142"/>
      <c r="H395" s="3"/>
      <c r="P395" s="3"/>
    </row>
    <row r="396">
      <c r="A396" s="3"/>
      <c r="B396" s="3"/>
      <c r="C396" s="3"/>
      <c r="G396" s="142"/>
      <c r="H396" s="3"/>
      <c r="P396" s="3"/>
    </row>
    <row r="397">
      <c r="A397" s="3"/>
      <c r="B397" s="3"/>
      <c r="C397" s="3"/>
      <c r="G397" s="142"/>
      <c r="H397" s="3"/>
      <c r="P397" s="3"/>
    </row>
    <row r="398">
      <c r="A398" s="3"/>
      <c r="B398" s="3"/>
      <c r="C398" s="3"/>
      <c r="G398" s="142"/>
      <c r="H398" s="3"/>
      <c r="P398" s="3"/>
    </row>
    <row r="399">
      <c r="A399" s="3"/>
      <c r="B399" s="3"/>
      <c r="C399" s="3"/>
      <c r="G399" s="142"/>
      <c r="H399" s="3"/>
      <c r="P399" s="3"/>
    </row>
    <row r="400">
      <c r="A400" s="3"/>
      <c r="B400" s="3"/>
      <c r="C400" s="3"/>
      <c r="G400" s="142"/>
      <c r="H400" s="3"/>
      <c r="P400" s="3"/>
    </row>
    <row r="401">
      <c r="A401" s="3"/>
      <c r="B401" s="3"/>
      <c r="C401" s="3"/>
      <c r="G401" s="142"/>
      <c r="H401" s="3"/>
      <c r="P401" s="3"/>
    </row>
    <row r="402">
      <c r="A402" s="3"/>
      <c r="B402" s="3"/>
      <c r="C402" s="3"/>
      <c r="G402" s="142"/>
      <c r="H402" s="3"/>
      <c r="P402" s="3"/>
    </row>
    <row r="403">
      <c r="A403" s="3"/>
      <c r="B403" s="3"/>
      <c r="C403" s="3"/>
      <c r="G403" s="142"/>
      <c r="H403" s="3"/>
      <c r="P403" s="3"/>
    </row>
    <row r="404">
      <c r="A404" s="3"/>
      <c r="B404" s="3"/>
      <c r="C404" s="3"/>
      <c r="G404" s="142"/>
      <c r="H404" s="3"/>
      <c r="P404" s="3"/>
    </row>
    <row r="405">
      <c r="A405" s="3"/>
      <c r="B405" s="3"/>
      <c r="C405" s="3"/>
      <c r="G405" s="142"/>
      <c r="H405" s="3"/>
      <c r="P405" s="3"/>
    </row>
    <row r="406">
      <c r="A406" s="3"/>
      <c r="B406" s="3"/>
      <c r="C406" s="3"/>
      <c r="G406" s="142"/>
      <c r="H406" s="3"/>
      <c r="P406" s="3"/>
    </row>
    <row r="407">
      <c r="A407" s="3"/>
      <c r="B407" s="3"/>
      <c r="C407" s="3"/>
      <c r="G407" s="142"/>
      <c r="H407" s="3"/>
      <c r="P407" s="3"/>
    </row>
    <row r="408">
      <c r="A408" s="3"/>
      <c r="B408" s="3"/>
      <c r="C408" s="3"/>
      <c r="G408" s="142"/>
      <c r="H408" s="3"/>
      <c r="P408" s="3"/>
    </row>
    <row r="409">
      <c r="A409" s="3"/>
      <c r="B409" s="3"/>
      <c r="C409" s="3"/>
      <c r="G409" s="142"/>
      <c r="H409" s="3"/>
      <c r="P409" s="3"/>
    </row>
    <row r="410">
      <c r="A410" s="3"/>
      <c r="B410" s="3"/>
      <c r="C410" s="3"/>
      <c r="G410" s="142"/>
      <c r="H410" s="3"/>
      <c r="P410" s="3"/>
    </row>
    <row r="411">
      <c r="A411" s="3"/>
      <c r="B411" s="3"/>
      <c r="C411" s="3"/>
      <c r="G411" s="142"/>
      <c r="H411" s="3"/>
      <c r="P411" s="3"/>
    </row>
    <row r="412">
      <c r="A412" s="3"/>
      <c r="B412" s="3"/>
      <c r="C412" s="3"/>
      <c r="G412" s="142"/>
      <c r="H412" s="3"/>
      <c r="P412" s="3"/>
    </row>
    <row r="413">
      <c r="A413" s="3"/>
      <c r="B413" s="3"/>
      <c r="C413" s="3"/>
      <c r="G413" s="142"/>
      <c r="H413" s="3"/>
      <c r="P413" s="3"/>
    </row>
    <row r="414">
      <c r="A414" s="3"/>
      <c r="B414" s="3"/>
      <c r="C414" s="3"/>
      <c r="G414" s="142"/>
      <c r="H414" s="3"/>
      <c r="P414" s="3"/>
    </row>
    <row r="415">
      <c r="A415" s="3"/>
      <c r="B415" s="3"/>
      <c r="C415" s="3"/>
      <c r="G415" s="142"/>
      <c r="H415" s="3"/>
      <c r="P415" s="3"/>
    </row>
    <row r="416">
      <c r="A416" s="3"/>
      <c r="B416" s="3"/>
      <c r="C416" s="3"/>
      <c r="G416" s="142"/>
      <c r="H416" s="3"/>
      <c r="P416" s="3"/>
    </row>
    <row r="417">
      <c r="A417" s="3"/>
      <c r="B417" s="3"/>
      <c r="C417" s="3"/>
      <c r="G417" s="142"/>
      <c r="H417" s="3"/>
      <c r="P417" s="3"/>
    </row>
    <row r="418">
      <c r="A418" s="3"/>
      <c r="B418" s="3"/>
      <c r="C418" s="3"/>
      <c r="G418" s="142"/>
      <c r="H418" s="3"/>
      <c r="P418" s="3"/>
    </row>
    <row r="419">
      <c r="A419" s="3"/>
      <c r="B419" s="3"/>
      <c r="C419" s="3"/>
      <c r="G419" s="142"/>
      <c r="H419" s="3"/>
      <c r="P419" s="3"/>
    </row>
    <row r="420">
      <c r="A420" s="3"/>
      <c r="B420" s="3"/>
      <c r="C420" s="3"/>
      <c r="G420" s="142"/>
      <c r="H420" s="3"/>
      <c r="P420" s="3"/>
    </row>
    <row r="421">
      <c r="A421" s="3"/>
      <c r="B421" s="3"/>
      <c r="C421" s="3"/>
      <c r="G421" s="142"/>
      <c r="H421" s="3"/>
      <c r="P421" s="3"/>
    </row>
    <row r="422">
      <c r="A422" s="3"/>
      <c r="B422" s="3"/>
      <c r="C422" s="3"/>
      <c r="G422" s="142"/>
      <c r="H422" s="3"/>
      <c r="P422" s="3"/>
    </row>
    <row r="423">
      <c r="A423" s="3"/>
      <c r="B423" s="3"/>
      <c r="C423" s="3"/>
      <c r="G423" s="142"/>
      <c r="H423" s="3"/>
      <c r="P423" s="3"/>
    </row>
    <row r="424">
      <c r="A424" s="3"/>
      <c r="B424" s="3"/>
      <c r="C424" s="3"/>
      <c r="G424" s="142"/>
      <c r="H424" s="3"/>
      <c r="P424" s="3"/>
    </row>
    <row r="425">
      <c r="A425" s="3"/>
      <c r="B425" s="3"/>
      <c r="C425" s="3"/>
      <c r="G425" s="142"/>
      <c r="H425" s="3"/>
      <c r="P425" s="3"/>
    </row>
    <row r="426">
      <c r="A426" s="3"/>
      <c r="B426" s="3"/>
      <c r="C426" s="3"/>
      <c r="G426" s="142"/>
      <c r="H426" s="3"/>
      <c r="P426" s="3"/>
    </row>
    <row r="427">
      <c r="A427" s="3"/>
      <c r="B427" s="3"/>
      <c r="C427" s="3"/>
      <c r="G427" s="142"/>
      <c r="H427" s="3"/>
      <c r="P427" s="3"/>
    </row>
    <row r="428">
      <c r="A428" s="3"/>
      <c r="B428" s="3"/>
      <c r="C428" s="3"/>
      <c r="G428" s="142"/>
      <c r="H428" s="3"/>
      <c r="P428" s="3"/>
    </row>
    <row r="429">
      <c r="A429" s="3"/>
      <c r="B429" s="3"/>
      <c r="C429" s="3"/>
      <c r="G429" s="142"/>
      <c r="H429" s="3"/>
      <c r="P429" s="3"/>
    </row>
    <row r="430">
      <c r="A430" s="3"/>
      <c r="B430" s="3"/>
      <c r="C430" s="3"/>
      <c r="G430" s="142"/>
      <c r="H430" s="3"/>
      <c r="P430" s="3"/>
    </row>
    <row r="431">
      <c r="A431" s="3"/>
      <c r="B431" s="3"/>
      <c r="C431" s="3"/>
      <c r="G431" s="142"/>
      <c r="H431" s="3"/>
      <c r="P431" s="3"/>
    </row>
    <row r="432">
      <c r="A432" s="3"/>
      <c r="B432" s="3"/>
      <c r="C432" s="3"/>
      <c r="G432" s="142"/>
      <c r="H432" s="3"/>
      <c r="P432" s="3"/>
    </row>
    <row r="433">
      <c r="A433" s="3"/>
      <c r="B433" s="3"/>
      <c r="C433" s="3"/>
      <c r="G433" s="142"/>
      <c r="H433" s="3"/>
      <c r="P433" s="3"/>
    </row>
    <row r="434">
      <c r="A434" s="3"/>
      <c r="B434" s="3"/>
      <c r="C434" s="3"/>
      <c r="G434" s="142"/>
      <c r="H434" s="3"/>
      <c r="P434" s="3"/>
    </row>
    <row r="435">
      <c r="A435" s="3"/>
      <c r="B435" s="3"/>
      <c r="C435" s="3"/>
      <c r="G435" s="142"/>
      <c r="H435" s="3"/>
      <c r="P435" s="3"/>
    </row>
    <row r="436">
      <c r="A436" s="3"/>
      <c r="B436" s="3"/>
      <c r="C436" s="3"/>
      <c r="G436" s="142"/>
      <c r="H436" s="3"/>
      <c r="P436" s="3"/>
    </row>
    <row r="437">
      <c r="A437" s="3"/>
      <c r="B437" s="3"/>
      <c r="C437" s="3"/>
      <c r="G437" s="142"/>
      <c r="H437" s="3"/>
      <c r="P437" s="3"/>
    </row>
    <row r="438">
      <c r="A438" s="3"/>
      <c r="B438" s="3"/>
      <c r="C438" s="3"/>
      <c r="G438" s="142"/>
      <c r="H438" s="3"/>
      <c r="P438" s="3"/>
    </row>
    <row r="439">
      <c r="A439" s="3"/>
      <c r="B439" s="3"/>
      <c r="C439" s="3"/>
      <c r="G439" s="142"/>
      <c r="H439" s="3"/>
      <c r="P439" s="3"/>
    </row>
    <row r="440">
      <c r="A440" s="3"/>
      <c r="B440" s="3"/>
      <c r="C440" s="3"/>
      <c r="G440" s="142"/>
      <c r="H440" s="3"/>
      <c r="P440" s="3"/>
    </row>
    <row r="441">
      <c r="A441" s="3"/>
      <c r="B441" s="3"/>
      <c r="C441" s="3"/>
      <c r="G441" s="142"/>
      <c r="H441" s="3"/>
      <c r="P441" s="3"/>
    </row>
    <row r="442">
      <c r="A442" s="3"/>
      <c r="B442" s="3"/>
      <c r="C442" s="3"/>
      <c r="G442" s="142"/>
      <c r="H442" s="3"/>
      <c r="P442" s="3"/>
    </row>
    <row r="443">
      <c r="A443" s="3"/>
      <c r="B443" s="3"/>
      <c r="C443" s="3"/>
      <c r="G443" s="142"/>
      <c r="H443" s="3"/>
      <c r="P443" s="3"/>
    </row>
    <row r="444">
      <c r="A444" s="3"/>
      <c r="B444" s="3"/>
      <c r="C444" s="3"/>
      <c r="G444" s="142"/>
      <c r="H444" s="3"/>
      <c r="P444" s="3"/>
    </row>
    <row r="445">
      <c r="A445" s="3"/>
      <c r="B445" s="3"/>
      <c r="C445" s="3"/>
      <c r="G445" s="142"/>
      <c r="H445" s="3"/>
      <c r="P445" s="3"/>
    </row>
    <row r="446">
      <c r="A446" s="3"/>
      <c r="B446" s="3"/>
      <c r="C446" s="3"/>
      <c r="G446" s="142"/>
      <c r="H446" s="3"/>
      <c r="P446" s="3"/>
    </row>
    <row r="447">
      <c r="A447" s="3"/>
      <c r="B447" s="3"/>
      <c r="C447" s="3"/>
      <c r="G447" s="142"/>
      <c r="H447" s="3"/>
      <c r="P447" s="3"/>
    </row>
    <row r="448">
      <c r="A448" s="3"/>
      <c r="B448" s="3"/>
      <c r="C448" s="3"/>
      <c r="G448" s="142"/>
      <c r="H448" s="3"/>
      <c r="P448" s="3"/>
    </row>
    <row r="449">
      <c r="A449" s="3"/>
      <c r="B449" s="3"/>
      <c r="C449" s="3"/>
      <c r="G449" s="142"/>
      <c r="H449" s="3"/>
      <c r="P449" s="3"/>
    </row>
    <row r="450">
      <c r="A450" s="3"/>
      <c r="B450" s="3"/>
      <c r="C450" s="3"/>
      <c r="G450" s="142"/>
      <c r="H450" s="3"/>
      <c r="P450" s="3"/>
    </row>
    <row r="451">
      <c r="A451" s="3"/>
      <c r="B451" s="3"/>
      <c r="C451" s="3"/>
      <c r="G451" s="142"/>
      <c r="H451" s="3"/>
      <c r="P451" s="3"/>
    </row>
    <row r="452">
      <c r="A452" s="3"/>
      <c r="B452" s="3"/>
      <c r="C452" s="3"/>
      <c r="G452" s="142"/>
      <c r="H452" s="3"/>
      <c r="P452" s="3"/>
    </row>
    <row r="453">
      <c r="A453" s="3"/>
      <c r="B453" s="3"/>
      <c r="C453" s="3"/>
      <c r="G453" s="142"/>
      <c r="H453" s="3"/>
      <c r="P453" s="3"/>
    </row>
    <row r="454">
      <c r="A454" s="3"/>
      <c r="B454" s="3"/>
      <c r="C454" s="3"/>
      <c r="G454" s="142"/>
      <c r="H454" s="3"/>
      <c r="P454" s="3"/>
    </row>
    <row r="455">
      <c r="A455" s="3"/>
      <c r="B455" s="3"/>
      <c r="C455" s="3"/>
      <c r="G455" s="142"/>
      <c r="H455" s="3"/>
      <c r="P455" s="3"/>
    </row>
    <row r="456">
      <c r="A456" s="3"/>
      <c r="B456" s="3"/>
      <c r="C456" s="3"/>
      <c r="G456" s="142"/>
      <c r="H456" s="3"/>
      <c r="P456" s="3"/>
    </row>
    <row r="457">
      <c r="A457" s="3"/>
      <c r="B457" s="3"/>
      <c r="C457" s="3"/>
      <c r="G457" s="142"/>
      <c r="H457" s="3"/>
      <c r="P457" s="3"/>
    </row>
    <row r="458">
      <c r="A458" s="3"/>
      <c r="B458" s="3"/>
      <c r="C458" s="3"/>
      <c r="G458" s="142"/>
      <c r="H458" s="3"/>
      <c r="P458" s="3"/>
    </row>
    <row r="459">
      <c r="A459" s="3"/>
      <c r="B459" s="3"/>
      <c r="C459" s="3"/>
      <c r="G459" s="142"/>
      <c r="H459" s="3"/>
      <c r="P459" s="3"/>
    </row>
    <row r="460">
      <c r="A460" s="3"/>
      <c r="B460" s="3"/>
      <c r="C460" s="3"/>
      <c r="G460" s="142"/>
      <c r="H460" s="3"/>
      <c r="P460" s="3"/>
    </row>
    <row r="461">
      <c r="A461" s="3"/>
      <c r="B461" s="3"/>
      <c r="C461" s="3"/>
      <c r="G461" s="142"/>
      <c r="H461" s="3"/>
      <c r="P461" s="3"/>
    </row>
    <row r="462">
      <c r="A462" s="3"/>
      <c r="B462" s="3"/>
      <c r="C462" s="3"/>
      <c r="G462" s="142"/>
      <c r="H462" s="3"/>
      <c r="P462" s="3"/>
    </row>
    <row r="463">
      <c r="A463" s="3"/>
      <c r="B463" s="3"/>
      <c r="C463" s="3"/>
      <c r="G463" s="142"/>
      <c r="H463" s="3"/>
      <c r="P463" s="3"/>
    </row>
    <row r="464">
      <c r="A464" s="3"/>
      <c r="B464" s="3"/>
      <c r="C464" s="3"/>
      <c r="G464" s="142"/>
      <c r="H464" s="3"/>
      <c r="P464" s="3"/>
    </row>
    <row r="465">
      <c r="A465" s="3"/>
      <c r="B465" s="3"/>
      <c r="C465" s="3"/>
      <c r="G465" s="142"/>
      <c r="H465" s="3"/>
      <c r="P465" s="3"/>
    </row>
    <row r="466">
      <c r="A466" s="3"/>
      <c r="B466" s="3"/>
      <c r="C466" s="3"/>
      <c r="G466" s="142"/>
      <c r="H466" s="3"/>
      <c r="P466" s="3"/>
    </row>
    <row r="467">
      <c r="A467" s="3"/>
      <c r="B467" s="3"/>
      <c r="C467" s="3"/>
      <c r="G467" s="142"/>
      <c r="H467" s="3"/>
      <c r="P467" s="3"/>
    </row>
    <row r="468">
      <c r="A468" s="3"/>
      <c r="B468" s="3"/>
      <c r="C468" s="3"/>
      <c r="G468" s="142"/>
      <c r="H468" s="3"/>
      <c r="P468" s="3"/>
    </row>
    <row r="469">
      <c r="A469" s="3"/>
      <c r="B469" s="3"/>
      <c r="C469" s="3"/>
      <c r="G469" s="142"/>
      <c r="H469" s="3"/>
      <c r="P469" s="3"/>
    </row>
    <row r="470">
      <c r="A470" s="3"/>
      <c r="B470" s="3"/>
      <c r="C470" s="3"/>
      <c r="G470" s="142"/>
      <c r="H470" s="3"/>
      <c r="P470" s="3"/>
    </row>
    <row r="471">
      <c r="A471" s="3"/>
      <c r="B471" s="3"/>
      <c r="C471" s="3"/>
      <c r="G471" s="142"/>
      <c r="H471" s="3"/>
      <c r="P471" s="3"/>
    </row>
    <row r="472">
      <c r="A472" s="3"/>
      <c r="B472" s="3"/>
      <c r="C472" s="3"/>
      <c r="G472" s="142"/>
      <c r="H472" s="3"/>
      <c r="P472" s="3"/>
    </row>
    <row r="473">
      <c r="A473" s="3"/>
      <c r="B473" s="3"/>
      <c r="C473" s="3"/>
      <c r="G473" s="142"/>
      <c r="H473" s="3"/>
      <c r="P473" s="3"/>
    </row>
    <row r="474">
      <c r="A474" s="3"/>
      <c r="B474" s="3"/>
      <c r="C474" s="3"/>
      <c r="G474" s="142"/>
      <c r="H474" s="3"/>
      <c r="P474" s="3"/>
    </row>
    <row r="475">
      <c r="A475" s="3"/>
      <c r="B475" s="3"/>
      <c r="C475" s="3"/>
      <c r="G475" s="142"/>
      <c r="H475" s="3"/>
      <c r="P475" s="3"/>
    </row>
    <row r="476">
      <c r="A476" s="3"/>
      <c r="B476" s="3"/>
      <c r="C476" s="3"/>
      <c r="G476" s="142"/>
      <c r="H476" s="3"/>
      <c r="P476" s="3"/>
    </row>
    <row r="477">
      <c r="A477" s="3"/>
      <c r="B477" s="3"/>
      <c r="C477" s="3"/>
      <c r="G477" s="142"/>
      <c r="H477" s="3"/>
      <c r="P477" s="3"/>
    </row>
    <row r="478">
      <c r="A478" s="3"/>
      <c r="B478" s="3"/>
      <c r="C478" s="3"/>
      <c r="G478" s="142"/>
      <c r="H478" s="3"/>
      <c r="P478" s="3"/>
    </row>
    <row r="479">
      <c r="A479" s="3"/>
      <c r="B479" s="3"/>
      <c r="C479" s="3"/>
      <c r="G479" s="142"/>
      <c r="H479" s="3"/>
      <c r="P479" s="3"/>
    </row>
    <row r="480">
      <c r="A480" s="3"/>
      <c r="B480" s="3"/>
      <c r="C480" s="3"/>
      <c r="G480" s="142"/>
      <c r="H480" s="3"/>
      <c r="P480" s="3"/>
    </row>
    <row r="481">
      <c r="A481" s="3"/>
      <c r="B481" s="3"/>
      <c r="C481" s="3"/>
      <c r="G481" s="142"/>
      <c r="H481" s="3"/>
      <c r="P481" s="3"/>
    </row>
    <row r="482">
      <c r="A482" s="3"/>
      <c r="B482" s="3"/>
      <c r="C482" s="3"/>
      <c r="G482" s="142"/>
      <c r="H482" s="3"/>
      <c r="P482" s="3"/>
    </row>
    <row r="483">
      <c r="A483" s="3"/>
      <c r="B483" s="3"/>
      <c r="C483" s="3"/>
      <c r="G483" s="142"/>
      <c r="H483" s="3"/>
      <c r="P483" s="3"/>
    </row>
    <row r="484">
      <c r="A484" s="3"/>
      <c r="B484" s="3"/>
      <c r="C484" s="3"/>
      <c r="G484" s="142"/>
      <c r="H484" s="3"/>
      <c r="P484" s="3"/>
    </row>
    <row r="485">
      <c r="A485" s="3"/>
      <c r="B485" s="3"/>
      <c r="C485" s="3"/>
      <c r="G485" s="142"/>
      <c r="H485" s="3"/>
      <c r="P485" s="3"/>
    </row>
    <row r="486">
      <c r="A486" s="3"/>
      <c r="B486" s="3"/>
      <c r="C486" s="3"/>
      <c r="G486" s="142"/>
      <c r="H486" s="3"/>
      <c r="P486" s="3"/>
    </row>
    <row r="487">
      <c r="A487" s="3"/>
      <c r="B487" s="3"/>
      <c r="C487" s="3"/>
      <c r="G487" s="142"/>
      <c r="H487" s="3"/>
      <c r="P487" s="3"/>
    </row>
    <row r="488">
      <c r="A488" s="3"/>
      <c r="B488" s="3"/>
      <c r="C488" s="3"/>
      <c r="G488" s="142"/>
      <c r="H488" s="3"/>
      <c r="P488" s="3"/>
    </row>
    <row r="489">
      <c r="A489" s="3"/>
      <c r="B489" s="3"/>
      <c r="C489" s="3"/>
      <c r="G489" s="142"/>
      <c r="H489" s="3"/>
      <c r="P489" s="3"/>
    </row>
    <row r="490">
      <c r="A490" s="3"/>
      <c r="B490" s="3"/>
      <c r="C490" s="3"/>
      <c r="G490" s="142"/>
      <c r="H490" s="3"/>
      <c r="P490" s="3"/>
    </row>
    <row r="491">
      <c r="A491" s="3"/>
      <c r="B491" s="3"/>
      <c r="C491" s="3"/>
      <c r="G491" s="142"/>
      <c r="H491" s="3"/>
      <c r="P491" s="3"/>
    </row>
    <row r="492">
      <c r="A492" s="3"/>
      <c r="B492" s="3"/>
      <c r="C492" s="3"/>
      <c r="G492" s="142"/>
      <c r="H492" s="3"/>
      <c r="P492" s="3"/>
    </row>
    <row r="493">
      <c r="A493" s="3"/>
      <c r="B493" s="3"/>
      <c r="C493" s="3"/>
      <c r="G493" s="142"/>
      <c r="H493" s="3"/>
      <c r="P493" s="3"/>
    </row>
    <row r="494">
      <c r="A494" s="3"/>
      <c r="B494" s="3"/>
      <c r="C494" s="3"/>
      <c r="G494" s="142"/>
      <c r="H494" s="3"/>
      <c r="P494" s="3"/>
    </row>
    <row r="495">
      <c r="A495" s="3"/>
      <c r="B495" s="3"/>
      <c r="C495" s="3"/>
      <c r="G495" s="142"/>
      <c r="H495" s="3"/>
      <c r="P495" s="3"/>
    </row>
    <row r="496">
      <c r="A496" s="3"/>
      <c r="B496" s="3"/>
      <c r="C496" s="3"/>
      <c r="G496" s="142"/>
      <c r="H496" s="3"/>
      <c r="P496" s="3"/>
    </row>
    <row r="497">
      <c r="A497" s="3"/>
      <c r="B497" s="3"/>
      <c r="C497" s="3"/>
      <c r="G497" s="142"/>
      <c r="H497" s="3"/>
      <c r="P497" s="3"/>
    </row>
    <row r="498">
      <c r="A498" s="3"/>
      <c r="B498" s="3"/>
      <c r="C498" s="3"/>
      <c r="G498" s="142"/>
      <c r="H498" s="3"/>
      <c r="P498" s="3"/>
    </row>
    <row r="499">
      <c r="A499" s="3"/>
      <c r="B499" s="3"/>
      <c r="C499" s="3"/>
      <c r="G499" s="142"/>
      <c r="H499" s="3"/>
      <c r="P499" s="3"/>
    </row>
    <row r="500">
      <c r="A500" s="3"/>
      <c r="B500" s="3"/>
      <c r="C500" s="3"/>
      <c r="G500" s="142"/>
      <c r="H500" s="3"/>
      <c r="P500" s="3"/>
    </row>
    <row r="501">
      <c r="A501" s="3"/>
      <c r="B501" s="3"/>
      <c r="C501" s="3"/>
      <c r="G501" s="142"/>
      <c r="H501" s="3"/>
      <c r="P501" s="3"/>
    </row>
    <row r="502">
      <c r="A502" s="3"/>
      <c r="B502" s="3"/>
      <c r="C502" s="3"/>
      <c r="G502" s="142"/>
      <c r="H502" s="3"/>
      <c r="P502" s="3"/>
    </row>
    <row r="503">
      <c r="A503" s="3"/>
      <c r="B503" s="3"/>
      <c r="C503" s="3"/>
      <c r="G503" s="142"/>
      <c r="H503" s="3"/>
      <c r="P503" s="3"/>
    </row>
    <row r="504">
      <c r="A504" s="3"/>
      <c r="B504" s="3"/>
      <c r="C504" s="3"/>
      <c r="G504" s="142"/>
      <c r="H504" s="3"/>
      <c r="P504" s="3"/>
    </row>
    <row r="505">
      <c r="A505" s="3"/>
      <c r="B505" s="3"/>
      <c r="C505" s="3"/>
      <c r="G505" s="142"/>
      <c r="H505" s="3"/>
      <c r="P505" s="3"/>
    </row>
    <row r="506">
      <c r="A506" s="3"/>
      <c r="B506" s="3"/>
      <c r="C506" s="3"/>
      <c r="G506" s="142"/>
      <c r="H506" s="3"/>
      <c r="P506" s="3"/>
    </row>
    <row r="507">
      <c r="A507" s="3"/>
      <c r="B507" s="3"/>
      <c r="C507" s="3"/>
      <c r="G507" s="142"/>
      <c r="H507" s="3"/>
      <c r="P507" s="3"/>
    </row>
    <row r="508">
      <c r="A508" s="3"/>
      <c r="B508" s="3"/>
      <c r="C508" s="3"/>
      <c r="G508" s="142"/>
      <c r="H508" s="3"/>
      <c r="P508" s="3"/>
    </row>
    <row r="509">
      <c r="A509" s="3"/>
      <c r="B509" s="3"/>
      <c r="C509" s="3"/>
      <c r="G509" s="142"/>
      <c r="H509" s="3"/>
      <c r="P509" s="3"/>
    </row>
    <row r="510">
      <c r="A510" s="3"/>
      <c r="B510" s="3"/>
      <c r="C510" s="3"/>
      <c r="G510" s="142"/>
      <c r="H510" s="3"/>
      <c r="P510" s="3"/>
    </row>
    <row r="511">
      <c r="A511" s="3"/>
      <c r="B511" s="3"/>
      <c r="C511" s="3"/>
      <c r="G511" s="142"/>
      <c r="H511" s="3"/>
      <c r="P511" s="3"/>
    </row>
    <row r="512">
      <c r="A512" s="3"/>
      <c r="B512" s="3"/>
      <c r="C512" s="3"/>
      <c r="G512" s="142"/>
      <c r="H512" s="3"/>
      <c r="P512" s="3"/>
    </row>
    <row r="513">
      <c r="A513" s="3"/>
      <c r="B513" s="3"/>
      <c r="C513" s="3"/>
      <c r="G513" s="142"/>
      <c r="H513" s="3"/>
      <c r="P513" s="3"/>
    </row>
    <row r="514">
      <c r="A514" s="3"/>
      <c r="B514" s="3"/>
      <c r="C514" s="3"/>
      <c r="G514" s="142"/>
      <c r="H514" s="3"/>
      <c r="P514" s="3"/>
    </row>
    <row r="515">
      <c r="A515" s="3"/>
      <c r="B515" s="3"/>
      <c r="C515" s="3"/>
      <c r="G515" s="142"/>
      <c r="H515" s="3"/>
      <c r="P515" s="3"/>
    </row>
    <row r="516">
      <c r="A516" s="3"/>
      <c r="B516" s="3"/>
      <c r="C516" s="3"/>
      <c r="G516" s="142"/>
      <c r="H516" s="3"/>
      <c r="P516" s="3"/>
    </row>
    <row r="517">
      <c r="A517" s="3"/>
      <c r="B517" s="3"/>
      <c r="C517" s="3"/>
      <c r="G517" s="142"/>
      <c r="H517" s="3"/>
      <c r="P517" s="3"/>
    </row>
    <row r="518">
      <c r="A518" s="3"/>
      <c r="B518" s="3"/>
      <c r="C518" s="3"/>
      <c r="G518" s="142"/>
      <c r="H518" s="3"/>
      <c r="P518" s="3"/>
    </row>
    <row r="519">
      <c r="A519" s="3"/>
      <c r="B519" s="3"/>
      <c r="C519" s="3"/>
      <c r="G519" s="142"/>
      <c r="H519" s="3"/>
      <c r="P519" s="3"/>
    </row>
    <row r="520">
      <c r="A520" s="3"/>
      <c r="B520" s="3"/>
      <c r="C520" s="3"/>
      <c r="G520" s="142"/>
      <c r="H520" s="3"/>
      <c r="P520" s="3"/>
    </row>
    <row r="521">
      <c r="A521" s="3"/>
      <c r="B521" s="3"/>
      <c r="C521" s="3"/>
      <c r="G521" s="142"/>
      <c r="H521" s="3"/>
      <c r="P521" s="3"/>
    </row>
    <row r="522">
      <c r="A522" s="3"/>
      <c r="B522" s="3"/>
      <c r="C522" s="3"/>
      <c r="G522" s="142"/>
      <c r="H522" s="3"/>
      <c r="P522" s="3"/>
    </row>
    <row r="523">
      <c r="A523" s="3"/>
      <c r="B523" s="3"/>
      <c r="C523" s="3"/>
      <c r="G523" s="142"/>
      <c r="H523" s="3"/>
      <c r="P523" s="3"/>
    </row>
    <row r="524">
      <c r="A524" s="3"/>
      <c r="B524" s="3"/>
      <c r="C524" s="3"/>
      <c r="G524" s="142"/>
      <c r="H524" s="3"/>
      <c r="P524" s="3"/>
    </row>
    <row r="525">
      <c r="A525" s="3"/>
      <c r="B525" s="3"/>
      <c r="C525" s="3"/>
      <c r="G525" s="142"/>
      <c r="H525" s="3"/>
      <c r="P525" s="3"/>
    </row>
    <row r="526">
      <c r="A526" s="3"/>
      <c r="B526" s="3"/>
      <c r="C526" s="3"/>
      <c r="G526" s="142"/>
      <c r="H526" s="3"/>
      <c r="P526" s="3"/>
    </row>
    <row r="527">
      <c r="A527" s="3"/>
      <c r="B527" s="3"/>
      <c r="C527" s="3"/>
      <c r="G527" s="142"/>
      <c r="H527" s="3"/>
      <c r="P527" s="3"/>
    </row>
    <row r="528">
      <c r="A528" s="3"/>
      <c r="B528" s="3"/>
      <c r="C528" s="3"/>
      <c r="G528" s="142"/>
      <c r="H528" s="3"/>
      <c r="P528" s="3"/>
    </row>
    <row r="529">
      <c r="A529" s="3"/>
      <c r="B529" s="3"/>
      <c r="C529" s="3"/>
      <c r="G529" s="142"/>
      <c r="H529" s="3"/>
      <c r="P529" s="3"/>
    </row>
    <row r="530">
      <c r="A530" s="3"/>
      <c r="B530" s="3"/>
      <c r="C530" s="3"/>
      <c r="G530" s="142"/>
      <c r="H530" s="3"/>
      <c r="P530" s="3"/>
    </row>
    <row r="531">
      <c r="A531" s="3"/>
      <c r="B531" s="3"/>
      <c r="C531" s="3"/>
      <c r="G531" s="142"/>
      <c r="H531" s="3"/>
      <c r="P531" s="3"/>
    </row>
    <row r="532">
      <c r="A532" s="3"/>
      <c r="B532" s="3"/>
      <c r="C532" s="3"/>
      <c r="G532" s="142"/>
      <c r="H532" s="3"/>
      <c r="P532" s="3"/>
    </row>
    <row r="533">
      <c r="A533" s="3"/>
      <c r="B533" s="3"/>
      <c r="C533" s="3"/>
      <c r="G533" s="142"/>
      <c r="H533" s="3"/>
      <c r="P533" s="3"/>
    </row>
    <row r="534">
      <c r="A534" s="3"/>
      <c r="B534" s="3"/>
      <c r="C534" s="3"/>
      <c r="G534" s="142"/>
      <c r="H534" s="3"/>
      <c r="P534" s="3"/>
    </row>
    <row r="535">
      <c r="A535" s="3"/>
      <c r="B535" s="3"/>
      <c r="C535" s="3"/>
      <c r="G535" s="142"/>
      <c r="H535" s="3"/>
      <c r="P535" s="3"/>
    </row>
    <row r="536">
      <c r="A536" s="3"/>
      <c r="B536" s="3"/>
      <c r="C536" s="3"/>
      <c r="G536" s="142"/>
      <c r="H536" s="3"/>
      <c r="P536" s="3"/>
    </row>
    <row r="537">
      <c r="A537" s="3"/>
      <c r="B537" s="3"/>
      <c r="C537" s="3"/>
      <c r="G537" s="142"/>
      <c r="H537" s="3"/>
      <c r="P537" s="3"/>
    </row>
    <row r="538">
      <c r="A538" s="3"/>
      <c r="B538" s="3"/>
      <c r="C538" s="3"/>
      <c r="G538" s="142"/>
      <c r="H538" s="3"/>
      <c r="P538" s="3"/>
    </row>
    <row r="539">
      <c r="A539" s="3"/>
      <c r="B539" s="3"/>
      <c r="C539" s="3"/>
      <c r="G539" s="142"/>
      <c r="H539" s="3"/>
      <c r="P539" s="3"/>
    </row>
    <row r="540">
      <c r="A540" s="3"/>
      <c r="B540" s="3"/>
      <c r="C540" s="3"/>
      <c r="G540" s="142"/>
      <c r="H540" s="3"/>
      <c r="P540" s="3"/>
    </row>
    <row r="541">
      <c r="A541" s="3"/>
      <c r="B541" s="3"/>
      <c r="C541" s="3"/>
      <c r="G541" s="142"/>
      <c r="H541" s="3"/>
      <c r="P541" s="3"/>
    </row>
    <row r="542">
      <c r="A542" s="3"/>
      <c r="B542" s="3"/>
      <c r="C542" s="3"/>
      <c r="G542" s="142"/>
      <c r="H542" s="3"/>
      <c r="P542" s="3"/>
    </row>
    <row r="543">
      <c r="A543" s="3"/>
      <c r="B543" s="3"/>
      <c r="C543" s="3"/>
      <c r="G543" s="142"/>
      <c r="H543" s="3"/>
      <c r="P543" s="3"/>
    </row>
    <row r="544">
      <c r="A544" s="3"/>
      <c r="B544" s="3"/>
      <c r="C544" s="3"/>
      <c r="G544" s="142"/>
      <c r="H544" s="3"/>
      <c r="P544" s="3"/>
    </row>
    <row r="545">
      <c r="A545" s="3"/>
      <c r="B545" s="3"/>
      <c r="C545" s="3"/>
      <c r="G545" s="142"/>
      <c r="H545" s="3"/>
      <c r="P545" s="3"/>
    </row>
    <row r="546">
      <c r="A546" s="3"/>
      <c r="B546" s="3"/>
      <c r="C546" s="3"/>
      <c r="G546" s="142"/>
      <c r="H546" s="3"/>
      <c r="P546" s="3"/>
    </row>
    <row r="547">
      <c r="A547" s="3"/>
      <c r="B547" s="3"/>
      <c r="C547" s="3"/>
      <c r="G547" s="142"/>
      <c r="H547" s="3"/>
      <c r="P547" s="3"/>
    </row>
    <row r="548">
      <c r="A548" s="3"/>
      <c r="B548" s="3"/>
      <c r="C548" s="3"/>
      <c r="G548" s="142"/>
      <c r="H548" s="3"/>
      <c r="P548" s="3"/>
    </row>
    <row r="549">
      <c r="A549" s="3"/>
      <c r="B549" s="3"/>
      <c r="C549" s="3"/>
      <c r="G549" s="142"/>
      <c r="H549" s="3"/>
      <c r="P549" s="3"/>
    </row>
    <row r="550">
      <c r="A550" s="3"/>
      <c r="B550" s="3"/>
      <c r="C550" s="3"/>
      <c r="G550" s="142"/>
      <c r="H550" s="3"/>
      <c r="P550" s="3"/>
    </row>
    <row r="551">
      <c r="A551" s="3"/>
      <c r="B551" s="3"/>
      <c r="C551" s="3"/>
      <c r="G551" s="142"/>
      <c r="H551" s="3"/>
      <c r="P551" s="3"/>
    </row>
    <row r="552">
      <c r="A552" s="3"/>
      <c r="B552" s="3"/>
      <c r="C552" s="3"/>
      <c r="G552" s="142"/>
      <c r="H552" s="3"/>
      <c r="P552" s="3"/>
    </row>
    <row r="553">
      <c r="A553" s="3"/>
      <c r="B553" s="3"/>
      <c r="C553" s="3"/>
      <c r="G553" s="142"/>
      <c r="H553" s="3"/>
      <c r="P553" s="3"/>
    </row>
    <row r="554">
      <c r="A554" s="3"/>
      <c r="B554" s="3"/>
      <c r="C554" s="3"/>
      <c r="G554" s="142"/>
      <c r="H554" s="3"/>
      <c r="P554" s="3"/>
    </row>
    <row r="555">
      <c r="A555" s="3"/>
      <c r="B555" s="3"/>
      <c r="C555" s="3"/>
      <c r="G555" s="142"/>
      <c r="H555" s="3"/>
      <c r="P555" s="3"/>
    </row>
    <row r="556">
      <c r="A556" s="3"/>
      <c r="B556" s="3"/>
      <c r="C556" s="3"/>
      <c r="G556" s="142"/>
      <c r="H556" s="3"/>
      <c r="P556" s="3"/>
    </row>
    <row r="557">
      <c r="A557" s="3"/>
      <c r="B557" s="3"/>
      <c r="C557" s="3"/>
      <c r="G557" s="142"/>
      <c r="H557" s="3"/>
      <c r="P557" s="3"/>
    </row>
    <row r="558">
      <c r="A558" s="3"/>
      <c r="B558" s="3"/>
      <c r="C558" s="3"/>
      <c r="G558" s="142"/>
      <c r="H558" s="3"/>
      <c r="P558" s="3"/>
    </row>
    <row r="559">
      <c r="A559" s="3"/>
      <c r="B559" s="3"/>
      <c r="C559" s="3"/>
      <c r="G559" s="142"/>
      <c r="H559" s="3"/>
      <c r="P559" s="3"/>
    </row>
    <row r="560">
      <c r="A560" s="3"/>
      <c r="B560" s="3"/>
      <c r="C560" s="3"/>
      <c r="G560" s="142"/>
      <c r="H560" s="3"/>
      <c r="P560" s="3"/>
    </row>
    <row r="561">
      <c r="A561" s="3"/>
      <c r="B561" s="3"/>
      <c r="C561" s="3"/>
      <c r="G561" s="142"/>
      <c r="H561" s="3"/>
      <c r="P561" s="3"/>
    </row>
    <row r="562">
      <c r="A562" s="3"/>
      <c r="B562" s="3"/>
      <c r="C562" s="3"/>
      <c r="G562" s="142"/>
      <c r="H562" s="3"/>
      <c r="P562" s="3"/>
    </row>
    <row r="563">
      <c r="A563" s="3"/>
      <c r="B563" s="3"/>
      <c r="C563" s="3"/>
      <c r="G563" s="142"/>
      <c r="H563" s="3"/>
      <c r="P563" s="3"/>
    </row>
    <row r="564">
      <c r="A564" s="3"/>
      <c r="B564" s="3"/>
      <c r="C564" s="3"/>
      <c r="G564" s="142"/>
      <c r="H564" s="3"/>
      <c r="P564" s="3"/>
    </row>
    <row r="565">
      <c r="A565" s="3"/>
      <c r="B565" s="3"/>
      <c r="C565" s="3"/>
      <c r="G565" s="142"/>
      <c r="H565" s="3"/>
      <c r="P565" s="3"/>
    </row>
    <row r="566">
      <c r="A566" s="3"/>
      <c r="B566" s="3"/>
      <c r="C566" s="3"/>
      <c r="G566" s="142"/>
      <c r="H566" s="3"/>
      <c r="P566" s="3"/>
    </row>
    <row r="567">
      <c r="A567" s="3"/>
      <c r="B567" s="3"/>
      <c r="C567" s="3"/>
      <c r="G567" s="142"/>
      <c r="H567" s="3"/>
      <c r="P567" s="3"/>
    </row>
    <row r="568">
      <c r="A568" s="3"/>
      <c r="B568" s="3"/>
      <c r="C568" s="3"/>
      <c r="G568" s="142"/>
      <c r="H568" s="3"/>
      <c r="P568" s="3"/>
    </row>
    <row r="569">
      <c r="A569" s="3"/>
      <c r="B569" s="3"/>
      <c r="C569" s="3"/>
      <c r="G569" s="142"/>
      <c r="H569" s="3"/>
      <c r="P569" s="3"/>
    </row>
    <row r="570">
      <c r="A570" s="3"/>
      <c r="B570" s="3"/>
      <c r="C570" s="3"/>
      <c r="G570" s="142"/>
      <c r="H570" s="3"/>
      <c r="P570" s="3"/>
    </row>
    <row r="571">
      <c r="A571" s="3"/>
      <c r="B571" s="3"/>
      <c r="C571" s="3"/>
      <c r="G571" s="142"/>
      <c r="H571" s="3"/>
      <c r="P571" s="3"/>
    </row>
    <row r="572">
      <c r="A572" s="3"/>
      <c r="B572" s="3"/>
      <c r="C572" s="3"/>
      <c r="G572" s="142"/>
      <c r="H572" s="3"/>
      <c r="P572" s="3"/>
    </row>
    <row r="573">
      <c r="A573" s="3"/>
      <c r="B573" s="3"/>
      <c r="C573" s="3"/>
      <c r="G573" s="142"/>
      <c r="H573" s="3"/>
      <c r="P573" s="3"/>
    </row>
    <row r="574">
      <c r="A574" s="3"/>
      <c r="B574" s="3"/>
      <c r="C574" s="3"/>
      <c r="G574" s="142"/>
      <c r="H574" s="3"/>
      <c r="P574" s="3"/>
    </row>
    <row r="575">
      <c r="A575" s="3"/>
      <c r="B575" s="3"/>
      <c r="C575" s="3"/>
      <c r="G575" s="142"/>
      <c r="H575" s="3"/>
      <c r="P575" s="3"/>
    </row>
    <row r="576">
      <c r="A576" s="3"/>
      <c r="B576" s="3"/>
      <c r="C576" s="3"/>
      <c r="G576" s="142"/>
      <c r="H576" s="3"/>
      <c r="P576" s="3"/>
    </row>
    <row r="577">
      <c r="A577" s="3"/>
      <c r="B577" s="3"/>
      <c r="C577" s="3"/>
      <c r="G577" s="142"/>
      <c r="H577" s="3"/>
      <c r="P577" s="3"/>
    </row>
    <row r="578">
      <c r="A578" s="3"/>
      <c r="B578" s="3"/>
      <c r="C578" s="3"/>
      <c r="G578" s="142"/>
      <c r="H578" s="3"/>
      <c r="P578" s="3"/>
    </row>
    <row r="579">
      <c r="A579" s="3"/>
      <c r="B579" s="3"/>
      <c r="C579" s="3"/>
      <c r="G579" s="142"/>
      <c r="H579" s="3"/>
      <c r="P579" s="3"/>
    </row>
    <row r="580">
      <c r="A580" s="3"/>
      <c r="B580" s="3"/>
      <c r="C580" s="3"/>
      <c r="G580" s="142"/>
      <c r="H580" s="3"/>
      <c r="P580" s="3"/>
    </row>
    <row r="581">
      <c r="A581" s="3"/>
      <c r="B581" s="3"/>
      <c r="C581" s="3"/>
      <c r="G581" s="142"/>
      <c r="H581" s="3"/>
      <c r="P581" s="3"/>
    </row>
    <row r="582">
      <c r="A582" s="3"/>
      <c r="B582" s="3"/>
      <c r="C582" s="3"/>
      <c r="G582" s="142"/>
      <c r="H582" s="3"/>
      <c r="P582" s="3"/>
    </row>
    <row r="583">
      <c r="A583" s="3"/>
      <c r="B583" s="3"/>
      <c r="C583" s="3"/>
      <c r="G583" s="142"/>
      <c r="H583" s="3"/>
      <c r="P583" s="3"/>
    </row>
    <row r="584">
      <c r="A584" s="3"/>
      <c r="B584" s="3"/>
      <c r="C584" s="3"/>
      <c r="G584" s="142"/>
      <c r="H584" s="3"/>
      <c r="P584" s="3"/>
    </row>
    <row r="585">
      <c r="A585" s="3"/>
      <c r="B585" s="3"/>
      <c r="C585" s="3"/>
      <c r="G585" s="142"/>
      <c r="H585" s="3"/>
      <c r="P585" s="3"/>
    </row>
    <row r="586">
      <c r="A586" s="3"/>
      <c r="B586" s="3"/>
      <c r="C586" s="3"/>
      <c r="G586" s="142"/>
      <c r="H586" s="3"/>
      <c r="P586" s="3"/>
    </row>
    <row r="587">
      <c r="A587" s="3"/>
      <c r="B587" s="3"/>
      <c r="C587" s="3"/>
      <c r="G587" s="142"/>
      <c r="H587" s="3"/>
      <c r="P587" s="3"/>
    </row>
    <row r="588">
      <c r="A588" s="3"/>
      <c r="B588" s="3"/>
      <c r="C588" s="3"/>
      <c r="G588" s="142"/>
      <c r="H588" s="3"/>
      <c r="P588" s="3"/>
    </row>
    <row r="589">
      <c r="A589" s="3"/>
      <c r="B589" s="3"/>
      <c r="C589" s="3"/>
      <c r="G589" s="142"/>
      <c r="H589" s="3"/>
      <c r="P589" s="3"/>
    </row>
    <row r="590">
      <c r="A590" s="3"/>
      <c r="B590" s="3"/>
      <c r="C590" s="3"/>
      <c r="G590" s="142"/>
      <c r="H590" s="3"/>
      <c r="P590" s="3"/>
    </row>
    <row r="591">
      <c r="A591" s="3"/>
      <c r="B591" s="3"/>
      <c r="C591" s="3"/>
      <c r="G591" s="142"/>
      <c r="H591" s="3"/>
      <c r="P591" s="3"/>
    </row>
    <row r="592">
      <c r="A592" s="3"/>
      <c r="B592" s="3"/>
      <c r="C592" s="3"/>
      <c r="G592" s="142"/>
      <c r="H592" s="3"/>
      <c r="P592" s="3"/>
    </row>
    <row r="593">
      <c r="A593" s="3"/>
      <c r="B593" s="3"/>
      <c r="C593" s="3"/>
      <c r="G593" s="142"/>
      <c r="H593" s="3"/>
      <c r="P593" s="3"/>
    </row>
    <row r="594">
      <c r="A594" s="3"/>
      <c r="B594" s="3"/>
      <c r="C594" s="3"/>
      <c r="G594" s="142"/>
      <c r="H594" s="3"/>
      <c r="P594" s="3"/>
    </row>
    <row r="595">
      <c r="A595" s="3"/>
      <c r="B595" s="3"/>
      <c r="C595" s="3"/>
      <c r="G595" s="142"/>
      <c r="H595" s="3"/>
      <c r="P595" s="3"/>
    </row>
    <row r="596">
      <c r="A596" s="3"/>
      <c r="B596" s="3"/>
      <c r="C596" s="3"/>
      <c r="G596" s="142"/>
      <c r="H596" s="3"/>
      <c r="P596" s="3"/>
    </row>
    <row r="597">
      <c r="A597" s="3"/>
      <c r="B597" s="3"/>
      <c r="C597" s="3"/>
      <c r="G597" s="142"/>
      <c r="H597" s="3"/>
      <c r="P597" s="3"/>
    </row>
    <row r="598">
      <c r="A598" s="3"/>
      <c r="B598" s="3"/>
      <c r="C598" s="3"/>
      <c r="G598" s="142"/>
      <c r="H598" s="3"/>
      <c r="P598" s="3"/>
    </row>
    <row r="599">
      <c r="A599" s="3"/>
      <c r="B599" s="3"/>
      <c r="C599" s="3"/>
      <c r="G599" s="142"/>
      <c r="H599" s="3"/>
      <c r="P599" s="3"/>
    </row>
    <row r="600">
      <c r="A600" s="3"/>
      <c r="B600" s="3"/>
      <c r="C600" s="3"/>
      <c r="G600" s="142"/>
      <c r="H600" s="3"/>
      <c r="P600" s="3"/>
    </row>
    <row r="601">
      <c r="A601" s="3"/>
      <c r="B601" s="3"/>
      <c r="C601" s="3"/>
      <c r="G601" s="142"/>
      <c r="H601" s="3"/>
      <c r="P601" s="3"/>
    </row>
    <row r="602">
      <c r="A602" s="3"/>
      <c r="B602" s="3"/>
      <c r="C602" s="3"/>
      <c r="G602" s="142"/>
      <c r="H602" s="3"/>
      <c r="P602" s="3"/>
    </row>
    <row r="603">
      <c r="A603" s="3"/>
      <c r="B603" s="3"/>
      <c r="C603" s="3"/>
      <c r="G603" s="142"/>
      <c r="H603" s="3"/>
      <c r="P603" s="3"/>
    </row>
    <row r="604">
      <c r="A604" s="3"/>
      <c r="B604" s="3"/>
      <c r="C604" s="3"/>
      <c r="G604" s="142"/>
      <c r="H604" s="3"/>
      <c r="P604" s="3"/>
    </row>
    <row r="605">
      <c r="A605" s="3"/>
      <c r="B605" s="3"/>
      <c r="C605" s="3"/>
      <c r="G605" s="142"/>
      <c r="H605" s="3"/>
      <c r="P605" s="3"/>
    </row>
    <row r="606">
      <c r="A606" s="3"/>
      <c r="B606" s="3"/>
      <c r="C606" s="3"/>
      <c r="G606" s="142"/>
      <c r="H606" s="3"/>
      <c r="P606" s="3"/>
    </row>
    <row r="607">
      <c r="A607" s="3"/>
      <c r="B607" s="3"/>
      <c r="C607" s="3"/>
      <c r="G607" s="142"/>
      <c r="H607" s="3"/>
      <c r="P607" s="3"/>
    </row>
    <row r="608">
      <c r="A608" s="3"/>
      <c r="B608" s="3"/>
      <c r="C608" s="3"/>
      <c r="G608" s="142"/>
      <c r="H608" s="3"/>
      <c r="P608" s="3"/>
    </row>
    <row r="609">
      <c r="A609" s="3"/>
      <c r="B609" s="3"/>
      <c r="C609" s="3"/>
      <c r="G609" s="142"/>
      <c r="H609" s="3"/>
      <c r="P609" s="3"/>
    </row>
    <row r="610">
      <c r="A610" s="3"/>
      <c r="B610" s="3"/>
      <c r="C610" s="3"/>
      <c r="G610" s="142"/>
      <c r="H610" s="3"/>
      <c r="P610" s="3"/>
    </row>
    <row r="611">
      <c r="A611" s="3"/>
      <c r="B611" s="3"/>
      <c r="C611" s="3"/>
      <c r="G611" s="142"/>
      <c r="H611" s="3"/>
      <c r="P611" s="3"/>
    </row>
    <row r="612">
      <c r="A612" s="3"/>
      <c r="B612" s="3"/>
      <c r="C612" s="3"/>
      <c r="G612" s="142"/>
      <c r="H612" s="3"/>
      <c r="P612" s="3"/>
    </row>
    <row r="613">
      <c r="A613" s="3"/>
      <c r="B613" s="3"/>
      <c r="C613" s="3"/>
      <c r="G613" s="142"/>
      <c r="H613" s="3"/>
      <c r="P613" s="3"/>
    </row>
    <row r="614">
      <c r="A614" s="3"/>
      <c r="B614" s="3"/>
      <c r="C614" s="3"/>
      <c r="G614" s="142"/>
      <c r="H614" s="3"/>
      <c r="P614" s="3"/>
    </row>
    <row r="615">
      <c r="A615" s="3"/>
      <c r="B615" s="3"/>
      <c r="C615" s="3"/>
      <c r="G615" s="142"/>
      <c r="H615" s="3"/>
      <c r="P615" s="3"/>
    </row>
    <row r="616">
      <c r="A616" s="3"/>
      <c r="B616" s="3"/>
      <c r="C616" s="3"/>
      <c r="G616" s="142"/>
      <c r="H616" s="3"/>
      <c r="P616" s="3"/>
    </row>
    <row r="617">
      <c r="A617" s="3"/>
      <c r="B617" s="3"/>
      <c r="C617" s="3"/>
      <c r="G617" s="142"/>
      <c r="H617" s="3"/>
      <c r="P617" s="3"/>
    </row>
    <row r="618">
      <c r="A618" s="3"/>
      <c r="B618" s="3"/>
      <c r="C618" s="3"/>
      <c r="G618" s="142"/>
      <c r="H618" s="3"/>
      <c r="P618" s="3"/>
    </row>
    <row r="619">
      <c r="A619" s="3"/>
      <c r="B619" s="3"/>
      <c r="C619" s="3"/>
      <c r="G619" s="142"/>
      <c r="H619" s="3"/>
      <c r="P619" s="3"/>
    </row>
    <row r="620">
      <c r="A620" s="3"/>
      <c r="B620" s="3"/>
      <c r="C620" s="3"/>
      <c r="G620" s="142"/>
      <c r="H620" s="3"/>
      <c r="P620" s="3"/>
    </row>
    <row r="621">
      <c r="A621" s="3"/>
      <c r="B621" s="3"/>
      <c r="C621" s="3"/>
      <c r="G621" s="142"/>
      <c r="H621" s="3"/>
      <c r="P621" s="3"/>
    </row>
    <row r="622">
      <c r="A622" s="3"/>
      <c r="B622" s="3"/>
      <c r="C622" s="3"/>
      <c r="G622" s="142"/>
      <c r="H622" s="3"/>
      <c r="P622" s="3"/>
    </row>
    <row r="623">
      <c r="A623" s="3"/>
      <c r="B623" s="3"/>
      <c r="C623" s="3"/>
      <c r="G623" s="142"/>
      <c r="H623" s="3"/>
      <c r="P623" s="3"/>
    </row>
    <row r="624">
      <c r="A624" s="3"/>
      <c r="B624" s="3"/>
      <c r="C624" s="3"/>
      <c r="G624" s="142"/>
      <c r="H624" s="3"/>
      <c r="P624" s="3"/>
    </row>
    <row r="625">
      <c r="A625" s="3"/>
      <c r="B625" s="3"/>
      <c r="C625" s="3"/>
      <c r="G625" s="142"/>
      <c r="H625" s="3"/>
      <c r="P625" s="3"/>
    </row>
    <row r="626">
      <c r="A626" s="3"/>
      <c r="B626" s="3"/>
      <c r="C626" s="3"/>
      <c r="G626" s="142"/>
      <c r="H626" s="3"/>
      <c r="P626" s="3"/>
    </row>
    <row r="627">
      <c r="A627" s="3"/>
      <c r="B627" s="3"/>
      <c r="C627" s="3"/>
      <c r="G627" s="142"/>
      <c r="H627" s="3"/>
      <c r="P627" s="3"/>
    </row>
    <row r="628">
      <c r="A628" s="3"/>
      <c r="B628" s="3"/>
      <c r="C628" s="3"/>
      <c r="G628" s="142"/>
      <c r="H628" s="3"/>
      <c r="P628" s="3"/>
    </row>
    <row r="629">
      <c r="A629" s="3"/>
      <c r="B629" s="3"/>
      <c r="C629" s="3"/>
      <c r="G629" s="142"/>
      <c r="H629" s="3"/>
      <c r="P629" s="3"/>
    </row>
    <row r="630">
      <c r="A630" s="3"/>
      <c r="B630" s="3"/>
      <c r="C630" s="3"/>
      <c r="G630" s="142"/>
      <c r="H630" s="3"/>
      <c r="P630" s="3"/>
    </row>
    <row r="631">
      <c r="A631" s="3"/>
      <c r="B631" s="3"/>
      <c r="C631" s="3"/>
      <c r="G631" s="142"/>
      <c r="H631" s="3"/>
      <c r="P631" s="3"/>
    </row>
    <row r="632">
      <c r="A632" s="3"/>
      <c r="B632" s="3"/>
      <c r="C632" s="3"/>
      <c r="G632" s="142"/>
      <c r="H632" s="3"/>
      <c r="P632" s="3"/>
    </row>
    <row r="633">
      <c r="A633" s="3"/>
      <c r="B633" s="3"/>
      <c r="C633" s="3"/>
      <c r="G633" s="142"/>
      <c r="H633" s="3"/>
      <c r="P633" s="3"/>
    </row>
    <row r="634">
      <c r="A634" s="3"/>
      <c r="B634" s="3"/>
      <c r="C634" s="3"/>
      <c r="G634" s="142"/>
      <c r="H634" s="3"/>
      <c r="P634" s="3"/>
    </row>
    <row r="635">
      <c r="A635" s="3"/>
      <c r="B635" s="3"/>
      <c r="C635" s="3"/>
      <c r="G635" s="142"/>
      <c r="H635" s="3"/>
      <c r="P635" s="3"/>
    </row>
    <row r="636">
      <c r="A636" s="3"/>
      <c r="B636" s="3"/>
      <c r="C636" s="3"/>
      <c r="G636" s="142"/>
      <c r="H636" s="3"/>
      <c r="P636" s="3"/>
    </row>
    <row r="637">
      <c r="A637" s="3"/>
      <c r="B637" s="3"/>
      <c r="C637" s="3"/>
      <c r="G637" s="142"/>
      <c r="H637" s="3"/>
      <c r="P637" s="3"/>
    </row>
    <row r="638">
      <c r="A638" s="3"/>
      <c r="B638" s="3"/>
      <c r="C638" s="3"/>
      <c r="G638" s="142"/>
      <c r="H638" s="3"/>
      <c r="P638" s="3"/>
    </row>
    <row r="639">
      <c r="A639" s="3"/>
      <c r="B639" s="3"/>
      <c r="C639" s="3"/>
      <c r="G639" s="142"/>
      <c r="H639" s="3"/>
      <c r="P639" s="3"/>
    </row>
    <row r="640">
      <c r="A640" s="3"/>
      <c r="B640" s="3"/>
      <c r="C640" s="3"/>
      <c r="G640" s="142"/>
      <c r="H640" s="3"/>
      <c r="P640" s="3"/>
    </row>
    <row r="641">
      <c r="A641" s="3"/>
      <c r="B641" s="3"/>
      <c r="C641" s="3"/>
      <c r="G641" s="142"/>
      <c r="H641" s="3"/>
      <c r="P641" s="3"/>
    </row>
    <row r="642">
      <c r="A642" s="3"/>
      <c r="B642" s="3"/>
      <c r="C642" s="3"/>
      <c r="G642" s="142"/>
      <c r="H642" s="3"/>
      <c r="P642" s="3"/>
    </row>
    <row r="643">
      <c r="A643" s="3"/>
      <c r="B643" s="3"/>
      <c r="C643" s="3"/>
      <c r="G643" s="142"/>
      <c r="H643" s="3"/>
      <c r="P643" s="3"/>
    </row>
    <row r="644">
      <c r="A644" s="3"/>
      <c r="B644" s="3"/>
      <c r="C644" s="3"/>
      <c r="G644" s="142"/>
      <c r="H644" s="3"/>
      <c r="P644" s="3"/>
    </row>
    <row r="645">
      <c r="A645" s="3"/>
      <c r="B645" s="3"/>
      <c r="C645" s="3"/>
      <c r="G645" s="142"/>
      <c r="H645" s="3"/>
      <c r="P645" s="3"/>
    </row>
    <row r="646">
      <c r="A646" s="3"/>
      <c r="B646" s="3"/>
      <c r="C646" s="3"/>
      <c r="G646" s="142"/>
      <c r="H646" s="3"/>
      <c r="P646" s="3"/>
    </row>
    <row r="647">
      <c r="A647" s="3"/>
      <c r="B647" s="3"/>
      <c r="C647" s="3"/>
      <c r="G647" s="142"/>
      <c r="H647" s="3"/>
      <c r="P647" s="3"/>
    </row>
    <row r="648">
      <c r="A648" s="3"/>
      <c r="B648" s="3"/>
      <c r="C648" s="3"/>
      <c r="G648" s="142"/>
      <c r="H648" s="3"/>
      <c r="P648" s="3"/>
    </row>
    <row r="649">
      <c r="A649" s="3"/>
      <c r="B649" s="3"/>
      <c r="C649" s="3"/>
      <c r="G649" s="142"/>
      <c r="H649" s="3"/>
      <c r="P649" s="3"/>
    </row>
    <row r="650">
      <c r="A650" s="3"/>
      <c r="B650" s="3"/>
      <c r="C650" s="3"/>
      <c r="G650" s="142"/>
      <c r="H650" s="3"/>
      <c r="P650" s="3"/>
    </row>
    <row r="651">
      <c r="A651" s="3"/>
      <c r="B651" s="3"/>
      <c r="C651" s="3"/>
      <c r="G651" s="142"/>
      <c r="H651" s="3"/>
      <c r="P651" s="3"/>
    </row>
    <row r="652">
      <c r="A652" s="3"/>
      <c r="B652" s="3"/>
      <c r="C652" s="3"/>
      <c r="G652" s="142"/>
      <c r="H652" s="3"/>
      <c r="P652" s="3"/>
    </row>
    <row r="653">
      <c r="A653" s="3"/>
      <c r="B653" s="3"/>
      <c r="C653" s="3"/>
      <c r="G653" s="142"/>
      <c r="H653" s="3"/>
      <c r="P653" s="3"/>
    </row>
    <row r="654">
      <c r="A654" s="3"/>
      <c r="B654" s="3"/>
      <c r="C654" s="3"/>
      <c r="G654" s="142"/>
      <c r="H654" s="3"/>
      <c r="P654" s="3"/>
    </row>
    <row r="655">
      <c r="A655" s="3"/>
      <c r="B655" s="3"/>
      <c r="C655" s="3"/>
      <c r="G655" s="142"/>
      <c r="H655" s="3"/>
      <c r="P655" s="3"/>
    </row>
    <row r="656">
      <c r="A656" s="3"/>
      <c r="B656" s="3"/>
      <c r="C656" s="3"/>
      <c r="G656" s="142"/>
      <c r="H656" s="3"/>
      <c r="P656" s="3"/>
    </row>
    <row r="657">
      <c r="A657" s="3"/>
      <c r="B657" s="3"/>
      <c r="C657" s="3"/>
      <c r="G657" s="142"/>
      <c r="H657" s="3"/>
      <c r="P657" s="3"/>
    </row>
    <row r="658">
      <c r="A658" s="3"/>
      <c r="B658" s="3"/>
      <c r="C658" s="3"/>
      <c r="G658" s="142"/>
      <c r="H658" s="3"/>
      <c r="P658" s="3"/>
    </row>
    <row r="659">
      <c r="A659" s="3"/>
      <c r="B659" s="3"/>
      <c r="C659" s="3"/>
      <c r="G659" s="142"/>
      <c r="H659" s="3"/>
      <c r="P659" s="3"/>
    </row>
    <row r="660">
      <c r="A660" s="3"/>
      <c r="B660" s="3"/>
      <c r="C660" s="3"/>
      <c r="G660" s="142"/>
      <c r="H660" s="3"/>
      <c r="P660" s="3"/>
    </row>
    <row r="661">
      <c r="A661" s="3"/>
      <c r="B661" s="3"/>
      <c r="C661" s="3"/>
      <c r="G661" s="142"/>
      <c r="H661" s="3"/>
      <c r="P661" s="3"/>
    </row>
    <row r="662">
      <c r="A662" s="3"/>
      <c r="B662" s="3"/>
      <c r="C662" s="3"/>
      <c r="G662" s="142"/>
      <c r="H662" s="3"/>
      <c r="P662" s="3"/>
    </row>
    <row r="663">
      <c r="A663" s="3"/>
      <c r="B663" s="3"/>
      <c r="C663" s="3"/>
      <c r="G663" s="142"/>
      <c r="H663" s="3"/>
      <c r="P663" s="3"/>
    </row>
    <row r="664">
      <c r="A664" s="3"/>
      <c r="B664" s="3"/>
      <c r="C664" s="3"/>
      <c r="G664" s="142"/>
      <c r="H664" s="3"/>
      <c r="P664" s="3"/>
    </row>
    <row r="665">
      <c r="A665" s="3"/>
      <c r="B665" s="3"/>
      <c r="C665" s="3"/>
      <c r="G665" s="142"/>
      <c r="H665" s="3"/>
      <c r="P665" s="3"/>
    </row>
    <row r="666">
      <c r="A666" s="3"/>
      <c r="B666" s="3"/>
      <c r="C666" s="3"/>
      <c r="G666" s="142"/>
      <c r="H666" s="3"/>
      <c r="P666" s="3"/>
    </row>
    <row r="667">
      <c r="A667" s="3"/>
      <c r="B667" s="3"/>
      <c r="C667" s="3"/>
      <c r="G667" s="142"/>
      <c r="H667" s="3"/>
      <c r="P667" s="3"/>
    </row>
    <row r="668">
      <c r="A668" s="3"/>
      <c r="B668" s="3"/>
      <c r="C668" s="3"/>
      <c r="G668" s="142"/>
      <c r="H668" s="3"/>
      <c r="P668" s="3"/>
    </row>
    <row r="669">
      <c r="A669" s="3"/>
      <c r="B669" s="3"/>
      <c r="C669" s="3"/>
      <c r="G669" s="142"/>
      <c r="H669" s="3"/>
      <c r="P669" s="3"/>
    </row>
    <row r="670">
      <c r="A670" s="3"/>
      <c r="B670" s="3"/>
      <c r="C670" s="3"/>
      <c r="G670" s="142"/>
      <c r="H670" s="3"/>
      <c r="P670" s="3"/>
    </row>
    <row r="671">
      <c r="A671" s="3"/>
      <c r="B671" s="3"/>
      <c r="C671" s="3"/>
      <c r="G671" s="142"/>
      <c r="H671" s="3"/>
      <c r="P671" s="3"/>
    </row>
    <row r="672">
      <c r="A672" s="3"/>
      <c r="B672" s="3"/>
      <c r="C672" s="3"/>
      <c r="G672" s="142"/>
      <c r="H672" s="3"/>
      <c r="P672" s="3"/>
    </row>
    <row r="673">
      <c r="A673" s="3"/>
      <c r="B673" s="3"/>
      <c r="C673" s="3"/>
      <c r="G673" s="142"/>
      <c r="H673" s="3"/>
      <c r="P673" s="3"/>
    </row>
    <row r="674">
      <c r="A674" s="3"/>
      <c r="B674" s="3"/>
      <c r="C674" s="3"/>
      <c r="G674" s="142"/>
      <c r="H674" s="3"/>
      <c r="P674" s="3"/>
    </row>
    <row r="675">
      <c r="A675" s="3"/>
      <c r="B675" s="3"/>
      <c r="C675" s="3"/>
      <c r="G675" s="142"/>
      <c r="H675" s="3"/>
      <c r="P675" s="3"/>
    </row>
    <row r="676">
      <c r="A676" s="3"/>
      <c r="B676" s="3"/>
      <c r="C676" s="3"/>
      <c r="G676" s="142"/>
      <c r="H676" s="3"/>
      <c r="P676" s="3"/>
    </row>
    <row r="677">
      <c r="A677" s="3"/>
      <c r="B677" s="3"/>
      <c r="C677" s="3"/>
      <c r="G677" s="142"/>
      <c r="H677" s="3"/>
      <c r="P677" s="3"/>
    </row>
    <row r="678">
      <c r="A678" s="3"/>
      <c r="B678" s="3"/>
      <c r="C678" s="3"/>
      <c r="G678" s="142"/>
      <c r="H678" s="3"/>
      <c r="P678" s="3"/>
    </row>
    <row r="679">
      <c r="A679" s="3"/>
      <c r="B679" s="3"/>
      <c r="C679" s="3"/>
      <c r="G679" s="142"/>
      <c r="H679" s="3"/>
      <c r="P679" s="3"/>
    </row>
    <row r="680">
      <c r="A680" s="3"/>
      <c r="B680" s="3"/>
      <c r="C680" s="3"/>
      <c r="G680" s="142"/>
      <c r="H680" s="3"/>
      <c r="P680" s="3"/>
    </row>
    <row r="681">
      <c r="A681" s="3"/>
      <c r="B681" s="3"/>
      <c r="C681" s="3"/>
      <c r="G681" s="142"/>
      <c r="H681" s="3"/>
      <c r="P681" s="3"/>
    </row>
    <row r="682">
      <c r="A682" s="3"/>
      <c r="B682" s="3"/>
      <c r="C682" s="3"/>
      <c r="G682" s="142"/>
      <c r="H682" s="3"/>
      <c r="P682" s="3"/>
    </row>
    <row r="683">
      <c r="A683" s="3"/>
      <c r="B683" s="3"/>
      <c r="C683" s="3"/>
      <c r="G683" s="142"/>
      <c r="H683" s="3"/>
      <c r="P683" s="3"/>
    </row>
    <row r="684">
      <c r="A684" s="3"/>
      <c r="B684" s="3"/>
      <c r="C684" s="3"/>
      <c r="G684" s="142"/>
      <c r="H684" s="3"/>
      <c r="P684" s="3"/>
    </row>
    <row r="685">
      <c r="A685" s="3"/>
      <c r="B685" s="3"/>
      <c r="C685" s="3"/>
      <c r="G685" s="142"/>
      <c r="H685" s="3"/>
      <c r="P685" s="3"/>
    </row>
    <row r="686">
      <c r="A686" s="3"/>
      <c r="B686" s="3"/>
      <c r="C686" s="3"/>
      <c r="G686" s="142"/>
      <c r="H686" s="3"/>
      <c r="P686" s="3"/>
    </row>
    <row r="687">
      <c r="A687" s="3"/>
      <c r="B687" s="3"/>
      <c r="C687" s="3"/>
      <c r="G687" s="142"/>
      <c r="H687" s="3"/>
      <c r="P687" s="3"/>
    </row>
    <row r="688">
      <c r="A688" s="3"/>
      <c r="B688" s="3"/>
      <c r="C688" s="3"/>
      <c r="G688" s="142"/>
      <c r="H688" s="3"/>
      <c r="P688" s="3"/>
    </row>
    <row r="689">
      <c r="A689" s="3"/>
      <c r="B689" s="3"/>
      <c r="C689" s="3"/>
      <c r="G689" s="142"/>
      <c r="H689" s="3"/>
      <c r="P689" s="3"/>
    </row>
    <row r="690">
      <c r="A690" s="3"/>
      <c r="B690" s="3"/>
      <c r="C690" s="3"/>
      <c r="G690" s="142"/>
      <c r="H690" s="3"/>
      <c r="P690" s="3"/>
    </row>
    <row r="691">
      <c r="A691" s="3"/>
      <c r="B691" s="3"/>
      <c r="C691" s="3"/>
      <c r="G691" s="142"/>
      <c r="H691" s="3"/>
      <c r="P691" s="3"/>
    </row>
    <row r="692">
      <c r="A692" s="3"/>
      <c r="B692" s="3"/>
      <c r="C692" s="3"/>
      <c r="G692" s="142"/>
      <c r="H692" s="3"/>
      <c r="P692" s="3"/>
    </row>
    <row r="693">
      <c r="A693" s="3"/>
      <c r="B693" s="3"/>
      <c r="C693" s="3"/>
      <c r="G693" s="142"/>
      <c r="H693" s="3"/>
      <c r="P693" s="3"/>
    </row>
    <row r="694">
      <c r="A694" s="3"/>
      <c r="B694" s="3"/>
      <c r="C694" s="3"/>
      <c r="G694" s="142"/>
      <c r="H694" s="3"/>
      <c r="P694" s="3"/>
    </row>
    <row r="695">
      <c r="A695" s="3"/>
      <c r="B695" s="3"/>
      <c r="C695" s="3"/>
      <c r="G695" s="142"/>
      <c r="H695" s="3"/>
      <c r="P695" s="3"/>
    </row>
    <row r="696">
      <c r="A696" s="3"/>
      <c r="B696" s="3"/>
      <c r="C696" s="3"/>
      <c r="G696" s="142"/>
      <c r="H696" s="3"/>
      <c r="P696" s="3"/>
    </row>
    <row r="697">
      <c r="A697" s="3"/>
      <c r="B697" s="3"/>
      <c r="C697" s="3"/>
      <c r="G697" s="142"/>
      <c r="H697" s="3"/>
      <c r="P697" s="3"/>
    </row>
    <row r="698">
      <c r="A698" s="3"/>
      <c r="B698" s="3"/>
      <c r="C698" s="3"/>
      <c r="G698" s="142"/>
      <c r="H698" s="3"/>
      <c r="P698" s="3"/>
    </row>
    <row r="699">
      <c r="A699" s="3"/>
      <c r="B699" s="3"/>
      <c r="C699" s="3"/>
      <c r="G699" s="142"/>
      <c r="H699" s="3"/>
      <c r="P699" s="3"/>
    </row>
    <row r="700">
      <c r="A700" s="3"/>
      <c r="B700" s="3"/>
      <c r="C700" s="3"/>
      <c r="G700" s="142"/>
      <c r="H700" s="3"/>
      <c r="P700" s="3"/>
    </row>
    <row r="701">
      <c r="A701" s="3"/>
      <c r="B701" s="3"/>
      <c r="C701" s="3"/>
      <c r="G701" s="142"/>
      <c r="H701" s="3"/>
      <c r="P701" s="3"/>
    </row>
    <row r="702">
      <c r="A702" s="3"/>
      <c r="B702" s="3"/>
      <c r="C702" s="3"/>
      <c r="G702" s="142"/>
      <c r="H702" s="3"/>
      <c r="P702" s="3"/>
    </row>
    <row r="703">
      <c r="A703" s="3"/>
      <c r="B703" s="3"/>
      <c r="C703" s="3"/>
      <c r="G703" s="142"/>
      <c r="H703" s="3"/>
      <c r="P703" s="3"/>
    </row>
    <row r="704">
      <c r="A704" s="3"/>
      <c r="B704" s="3"/>
      <c r="C704" s="3"/>
      <c r="G704" s="142"/>
      <c r="H704" s="3"/>
      <c r="P704" s="3"/>
    </row>
    <row r="705">
      <c r="A705" s="3"/>
      <c r="B705" s="3"/>
      <c r="C705" s="3"/>
      <c r="G705" s="142"/>
      <c r="H705" s="3"/>
      <c r="P705" s="3"/>
    </row>
    <row r="706">
      <c r="A706" s="3"/>
      <c r="B706" s="3"/>
      <c r="C706" s="3"/>
      <c r="G706" s="142"/>
      <c r="H706" s="3"/>
      <c r="P706" s="3"/>
    </row>
    <row r="707">
      <c r="A707" s="3"/>
      <c r="B707" s="3"/>
      <c r="C707" s="3"/>
      <c r="G707" s="142"/>
      <c r="H707" s="3"/>
      <c r="P707" s="3"/>
    </row>
    <row r="708">
      <c r="A708" s="3"/>
      <c r="B708" s="3"/>
      <c r="C708" s="3"/>
      <c r="G708" s="142"/>
      <c r="H708" s="3"/>
      <c r="P708" s="3"/>
    </row>
    <row r="709">
      <c r="A709" s="3"/>
      <c r="B709" s="3"/>
      <c r="C709" s="3"/>
      <c r="G709" s="142"/>
      <c r="H709" s="3"/>
      <c r="P709" s="3"/>
    </row>
    <row r="710">
      <c r="A710" s="3"/>
      <c r="B710" s="3"/>
      <c r="C710" s="3"/>
      <c r="G710" s="142"/>
      <c r="H710" s="3"/>
      <c r="P710" s="3"/>
    </row>
    <row r="711">
      <c r="A711" s="3"/>
      <c r="B711" s="3"/>
      <c r="C711" s="3"/>
      <c r="G711" s="142"/>
      <c r="H711" s="3"/>
      <c r="P711" s="3"/>
    </row>
    <row r="712">
      <c r="A712" s="3"/>
      <c r="B712" s="3"/>
      <c r="C712" s="3"/>
      <c r="G712" s="142"/>
      <c r="H712" s="3"/>
      <c r="P712" s="3"/>
    </row>
    <row r="713">
      <c r="A713" s="3"/>
      <c r="B713" s="3"/>
      <c r="C713" s="3"/>
      <c r="G713" s="142"/>
      <c r="H713" s="3"/>
      <c r="P713" s="3"/>
    </row>
    <row r="714">
      <c r="A714" s="3"/>
      <c r="B714" s="3"/>
      <c r="C714" s="3"/>
      <c r="G714" s="142"/>
      <c r="H714" s="3"/>
      <c r="P714" s="3"/>
    </row>
    <row r="715">
      <c r="A715" s="3"/>
      <c r="B715" s="3"/>
      <c r="C715" s="3"/>
      <c r="G715" s="142"/>
      <c r="H715" s="3"/>
      <c r="P715" s="3"/>
    </row>
    <row r="716">
      <c r="A716" s="3"/>
      <c r="B716" s="3"/>
      <c r="C716" s="3"/>
      <c r="G716" s="142"/>
      <c r="H716" s="3"/>
      <c r="P716" s="3"/>
    </row>
    <row r="717">
      <c r="A717" s="3"/>
      <c r="B717" s="3"/>
      <c r="C717" s="3"/>
      <c r="G717" s="142"/>
      <c r="H717" s="3"/>
      <c r="P717" s="3"/>
    </row>
    <row r="718">
      <c r="A718" s="3"/>
      <c r="B718" s="3"/>
      <c r="C718" s="3"/>
      <c r="G718" s="142"/>
      <c r="H718" s="3"/>
      <c r="P718" s="3"/>
    </row>
    <row r="719">
      <c r="A719" s="3"/>
      <c r="B719" s="3"/>
      <c r="C719" s="3"/>
      <c r="G719" s="142"/>
      <c r="H719" s="3"/>
      <c r="P719" s="3"/>
    </row>
    <row r="720">
      <c r="A720" s="3"/>
      <c r="B720" s="3"/>
      <c r="C720" s="3"/>
      <c r="G720" s="142"/>
      <c r="H720" s="3"/>
      <c r="P720" s="3"/>
    </row>
    <row r="721">
      <c r="A721" s="3"/>
      <c r="B721" s="3"/>
      <c r="C721" s="3"/>
      <c r="G721" s="142"/>
      <c r="H721" s="3"/>
      <c r="P721" s="3"/>
    </row>
    <row r="722">
      <c r="A722" s="3"/>
      <c r="B722" s="3"/>
      <c r="C722" s="3"/>
      <c r="G722" s="142"/>
      <c r="H722" s="3"/>
      <c r="P722" s="3"/>
    </row>
    <row r="723">
      <c r="A723" s="3"/>
      <c r="B723" s="3"/>
      <c r="C723" s="3"/>
      <c r="G723" s="142"/>
      <c r="H723" s="3"/>
      <c r="P723" s="3"/>
    </row>
    <row r="724">
      <c r="A724" s="3"/>
      <c r="B724" s="3"/>
      <c r="C724" s="3"/>
      <c r="G724" s="142"/>
      <c r="H724" s="3"/>
      <c r="P724" s="3"/>
    </row>
    <row r="725">
      <c r="A725" s="3"/>
      <c r="B725" s="3"/>
      <c r="C725" s="3"/>
      <c r="G725" s="142"/>
      <c r="H725" s="3"/>
      <c r="P725" s="3"/>
    </row>
    <row r="726">
      <c r="A726" s="3"/>
      <c r="B726" s="3"/>
      <c r="C726" s="3"/>
      <c r="G726" s="142"/>
      <c r="H726" s="3"/>
      <c r="P726" s="3"/>
    </row>
    <row r="727">
      <c r="A727" s="3"/>
      <c r="B727" s="3"/>
      <c r="C727" s="3"/>
      <c r="G727" s="142"/>
      <c r="H727" s="3"/>
      <c r="P727" s="3"/>
    </row>
    <row r="728">
      <c r="A728" s="3"/>
      <c r="B728" s="3"/>
      <c r="C728" s="3"/>
      <c r="G728" s="142"/>
      <c r="H728" s="3"/>
      <c r="P728" s="3"/>
    </row>
    <row r="729">
      <c r="A729" s="3"/>
      <c r="B729" s="3"/>
      <c r="C729" s="3"/>
      <c r="G729" s="142"/>
      <c r="H729" s="3"/>
      <c r="P729" s="3"/>
    </row>
    <row r="730">
      <c r="A730" s="3"/>
      <c r="B730" s="3"/>
      <c r="C730" s="3"/>
      <c r="G730" s="142"/>
      <c r="H730" s="3"/>
      <c r="P730" s="3"/>
    </row>
    <row r="731">
      <c r="A731" s="3"/>
      <c r="B731" s="3"/>
      <c r="C731" s="3"/>
      <c r="G731" s="142"/>
      <c r="H731" s="3"/>
      <c r="P731" s="3"/>
    </row>
    <row r="732">
      <c r="A732" s="3"/>
      <c r="B732" s="3"/>
      <c r="C732" s="3"/>
      <c r="G732" s="142"/>
      <c r="H732" s="3"/>
      <c r="P732" s="3"/>
    </row>
    <row r="733">
      <c r="A733" s="3"/>
      <c r="B733" s="3"/>
      <c r="C733" s="3"/>
      <c r="G733" s="142"/>
      <c r="H733" s="3"/>
      <c r="P733" s="3"/>
    </row>
    <row r="734">
      <c r="A734" s="3"/>
      <c r="B734" s="3"/>
      <c r="C734" s="3"/>
      <c r="G734" s="142"/>
      <c r="H734" s="3"/>
      <c r="P734" s="3"/>
    </row>
    <row r="735">
      <c r="A735" s="3"/>
      <c r="B735" s="3"/>
      <c r="C735" s="3"/>
      <c r="G735" s="142"/>
      <c r="H735" s="3"/>
      <c r="P735" s="3"/>
    </row>
    <row r="736">
      <c r="A736" s="3"/>
      <c r="B736" s="3"/>
      <c r="C736" s="3"/>
      <c r="G736" s="142"/>
      <c r="H736" s="3"/>
      <c r="P736" s="3"/>
    </row>
    <row r="737">
      <c r="A737" s="3"/>
      <c r="B737" s="3"/>
      <c r="C737" s="3"/>
      <c r="G737" s="142"/>
      <c r="H737" s="3"/>
      <c r="P737" s="3"/>
    </row>
    <row r="738">
      <c r="A738" s="3"/>
      <c r="B738" s="3"/>
      <c r="C738" s="3"/>
      <c r="G738" s="142"/>
      <c r="H738" s="3"/>
      <c r="P738" s="3"/>
    </row>
    <row r="739">
      <c r="A739" s="3"/>
      <c r="B739" s="3"/>
      <c r="C739" s="3"/>
      <c r="G739" s="142"/>
      <c r="H739" s="3"/>
      <c r="P739" s="3"/>
    </row>
    <row r="740">
      <c r="A740" s="3"/>
      <c r="B740" s="3"/>
      <c r="C740" s="3"/>
      <c r="G740" s="142"/>
      <c r="H740" s="3"/>
      <c r="P740" s="3"/>
    </row>
    <row r="741">
      <c r="A741" s="3"/>
      <c r="B741" s="3"/>
      <c r="C741" s="3"/>
      <c r="G741" s="142"/>
      <c r="H741" s="3"/>
      <c r="P741" s="3"/>
    </row>
    <row r="742">
      <c r="A742" s="3"/>
      <c r="B742" s="3"/>
      <c r="C742" s="3"/>
      <c r="G742" s="142"/>
      <c r="H742" s="3"/>
      <c r="P742" s="3"/>
    </row>
    <row r="743">
      <c r="A743" s="3"/>
      <c r="B743" s="3"/>
      <c r="C743" s="3"/>
      <c r="G743" s="142"/>
      <c r="H743" s="3"/>
      <c r="P743" s="3"/>
    </row>
    <row r="744">
      <c r="A744" s="3"/>
      <c r="B744" s="3"/>
      <c r="C744" s="3"/>
      <c r="G744" s="142"/>
      <c r="H744" s="3"/>
      <c r="P744" s="3"/>
    </row>
    <row r="745">
      <c r="A745" s="3"/>
      <c r="B745" s="3"/>
      <c r="C745" s="3"/>
      <c r="G745" s="142"/>
      <c r="H745" s="3"/>
      <c r="P745" s="3"/>
    </row>
    <row r="746">
      <c r="A746" s="3"/>
      <c r="B746" s="3"/>
      <c r="C746" s="3"/>
      <c r="G746" s="142"/>
      <c r="H746" s="3"/>
      <c r="P746" s="3"/>
    </row>
    <row r="747">
      <c r="A747" s="3"/>
      <c r="B747" s="3"/>
      <c r="C747" s="3"/>
      <c r="G747" s="142"/>
      <c r="H747" s="3"/>
      <c r="P747" s="3"/>
    </row>
    <row r="748">
      <c r="A748" s="3"/>
      <c r="B748" s="3"/>
      <c r="C748" s="3"/>
      <c r="G748" s="142"/>
      <c r="H748" s="3"/>
      <c r="P748" s="3"/>
    </row>
    <row r="749">
      <c r="A749" s="3"/>
      <c r="B749" s="3"/>
      <c r="C749" s="3"/>
      <c r="G749" s="142"/>
      <c r="H749" s="3"/>
      <c r="P749" s="3"/>
    </row>
    <row r="750">
      <c r="A750" s="3"/>
      <c r="B750" s="3"/>
      <c r="C750" s="3"/>
      <c r="G750" s="142"/>
      <c r="H750" s="3"/>
      <c r="P750" s="3"/>
    </row>
    <row r="751">
      <c r="A751" s="3"/>
      <c r="B751" s="3"/>
      <c r="C751" s="3"/>
      <c r="G751" s="142"/>
      <c r="H751" s="3"/>
      <c r="P751" s="3"/>
    </row>
    <row r="752">
      <c r="A752" s="3"/>
      <c r="B752" s="3"/>
      <c r="C752" s="3"/>
      <c r="G752" s="142"/>
      <c r="H752" s="3"/>
      <c r="P752" s="3"/>
    </row>
    <row r="753">
      <c r="A753" s="3"/>
      <c r="B753" s="3"/>
      <c r="C753" s="3"/>
      <c r="G753" s="142"/>
      <c r="H753" s="3"/>
      <c r="P753" s="3"/>
    </row>
    <row r="754">
      <c r="A754" s="3"/>
      <c r="B754" s="3"/>
      <c r="C754" s="3"/>
      <c r="G754" s="142"/>
      <c r="H754" s="3"/>
      <c r="P754" s="3"/>
    </row>
    <row r="755">
      <c r="A755" s="3"/>
      <c r="B755" s="3"/>
      <c r="C755" s="3"/>
      <c r="G755" s="142"/>
      <c r="H755" s="3"/>
      <c r="P755" s="3"/>
    </row>
    <row r="756">
      <c r="A756" s="3"/>
      <c r="B756" s="3"/>
      <c r="C756" s="3"/>
      <c r="G756" s="142"/>
      <c r="H756" s="3"/>
      <c r="P756" s="3"/>
    </row>
    <row r="757">
      <c r="A757" s="3"/>
      <c r="B757" s="3"/>
      <c r="C757" s="3"/>
      <c r="G757" s="142"/>
      <c r="H757" s="3"/>
      <c r="P757" s="3"/>
    </row>
    <row r="758">
      <c r="A758" s="3"/>
      <c r="B758" s="3"/>
      <c r="C758" s="3"/>
      <c r="G758" s="142"/>
      <c r="H758" s="3"/>
      <c r="P758" s="3"/>
    </row>
    <row r="759">
      <c r="A759" s="3"/>
      <c r="B759" s="3"/>
      <c r="C759" s="3"/>
      <c r="G759" s="142"/>
      <c r="H759" s="3"/>
      <c r="P759" s="3"/>
    </row>
    <row r="760">
      <c r="A760" s="3"/>
      <c r="B760" s="3"/>
      <c r="C760" s="3"/>
      <c r="G760" s="142"/>
      <c r="H760" s="3"/>
      <c r="P760" s="3"/>
    </row>
    <row r="761">
      <c r="A761" s="3"/>
      <c r="B761" s="3"/>
      <c r="C761" s="3"/>
      <c r="G761" s="142"/>
      <c r="H761" s="3"/>
      <c r="P761" s="3"/>
    </row>
    <row r="762">
      <c r="A762" s="3"/>
      <c r="B762" s="3"/>
      <c r="C762" s="3"/>
      <c r="G762" s="142"/>
      <c r="H762" s="3"/>
      <c r="P762" s="3"/>
    </row>
    <row r="763">
      <c r="A763" s="3"/>
      <c r="B763" s="3"/>
      <c r="C763" s="3"/>
      <c r="G763" s="142"/>
      <c r="H763" s="3"/>
      <c r="P763" s="3"/>
    </row>
    <row r="764">
      <c r="A764" s="3"/>
      <c r="B764" s="3"/>
      <c r="C764" s="3"/>
      <c r="G764" s="142"/>
      <c r="H764" s="3"/>
      <c r="P764" s="3"/>
    </row>
    <row r="765">
      <c r="A765" s="3"/>
      <c r="B765" s="3"/>
      <c r="C765" s="3"/>
      <c r="G765" s="142"/>
      <c r="H765" s="3"/>
      <c r="P765" s="3"/>
    </row>
    <row r="766">
      <c r="A766" s="3"/>
      <c r="B766" s="3"/>
      <c r="C766" s="3"/>
      <c r="G766" s="142"/>
      <c r="H766" s="3"/>
      <c r="P766" s="3"/>
    </row>
    <row r="767">
      <c r="A767" s="3"/>
      <c r="B767" s="3"/>
      <c r="C767" s="3"/>
      <c r="G767" s="142"/>
      <c r="H767" s="3"/>
      <c r="P767" s="3"/>
    </row>
    <row r="768">
      <c r="A768" s="3"/>
      <c r="B768" s="3"/>
      <c r="C768" s="3"/>
      <c r="G768" s="142"/>
      <c r="H768" s="3"/>
      <c r="P768" s="3"/>
    </row>
    <row r="769">
      <c r="A769" s="3"/>
      <c r="B769" s="3"/>
      <c r="C769" s="3"/>
      <c r="G769" s="142"/>
      <c r="H769" s="3"/>
      <c r="P769" s="3"/>
    </row>
    <row r="770">
      <c r="A770" s="3"/>
      <c r="B770" s="3"/>
      <c r="C770" s="3"/>
      <c r="G770" s="142"/>
      <c r="H770" s="3"/>
      <c r="P770" s="3"/>
    </row>
    <row r="771">
      <c r="A771" s="3"/>
      <c r="B771" s="3"/>
      <c r="C771" s="3"/>
      <c r="G771" s="142"/>
      <c r="H771" s="3"/>
      <c r="P771" s="3"/>
    </row>
    <row r="772">
      <c r="A772" s="3"/>
      <c r="B772" s="3"/>
      <c r="C772" s="3"/>
      <c r="G772" s="142"/>
      <c r="H772" s="3"/>
      <c r="P772" s="3"/>
    </row>
    <row r="773">
      <c r="A773" s="3"/>
      <c r="B773" s="3"/>
      <c r="C773" s="3"/>
      <c r="G773" s="142"/>
      <c r="H773" s="3"/>
      <c r="P773" s="3"/>
    </row>
    <row r="774">
      <c r="A774" s="3"/>
      <c r="B774" s="3"/>
      <c r="C774" s="3"/>
      <c r="G774" s="142"/>
      <c r="H774" s="3"/>
      <c r="P774" s="3"/>
    </row>
    <row r="775">
      <c r="A775" s="3"/>
      <c r="B775" s="3"/>
      <c r="C775" s="3"/>
      <c r="G775" s="142"/>
      <c r="H775" s="3"/>
      <c r="P775" s="3"/>
    </row>
    <row r="776">
      <c r="A776" s="3"/>
      <c r="B776" s="3"/>
      <c r="C776" s="3"/>
      <c r="G776" s="142"/>
      <c r="H776" s="3"/>
      <c r="P776" s="3"/>
    </row>
    <row r="777">
      <c r="A777" s="3"/>
      <c r="B777" s="3"/>
      <c r="C777" s="3"/>
      <c r="G777" s="142"/>
      <c r="H777" s="3"/>
      <c r="P777" s="3"/>
    </row>
    <row r="778">
      <c r="A778" s="3"/>
      <c r="B778" s="3"/>
      <c r="C778" s="3"/>
      <c r="G778" s="142"/>
      <c r="H778" s="3"/>
      <c r="P778" s="3"/>
    </row>
    <row r="779">
      <c r="A779" s="3"/>
      <c r="B779" s="3"/>
      <c r="C779" s="3"/>
      <c r="G779" s="142"/>
      <c r="H779" s="3"/>
      <c r="P779" s="3"/>
    </row>
    <row r="780">
      <c r="A780" s="3"/>
      <c r="B780" s="3"/>
      <c r="C780" s="3"/>
      <c r="G780" s="142"/>
      <c r="H780" s="3"/>
      <c r="P780" s="3"/>
    </row>
    <row r="781">
      <c r="A781" s="3"/>
      <c r="B781" s="3"/>
      <c r="C781" s="3"/>
      <c r="G781" s="142"/>
      <c r="H781" s="3"/>
      <c r="P781" s="3"/>
    </row>
    <row r="782">
      <c r="A782" s="3"/>
      <c r="B782" s="3"/>
      <c r="C782" s="3"/>
      <c r="G782" s="142"/>
      <c r="H782" s="3"/>
      <c r="P782" s="3"/>
    </row>
    <row r="783">
      <c r="A783" s="3"/>
      <c r="B783" s="3"/>
      <c r="C783" s="3"/>
      <c r="G783" s="142"/>
      <c r="H783" s="3"/>
      <c r="P783" s="3"/>
    </row>
    <row r="784">
      <c r="A784" s="3"/>
      <c r="B784" s="3"/>
      <c r="C784" s="3"/>
      <c r="G784" s="142"/>
      <c r="H784" s="3"/>
      <c r="P784" s="3"/>
    </row>
    <row r="785">
      <c r="A785" s="3"/>
      <c r="B785" s="3"/>
      <c r="C785" s="3"/>
      <c r="G785" s="142"/>
      <c r="H785" s="3"/>
      <c r="P785" s="3"/>
    </row>
    <row r="786">
      <c r="A786" s="3"/>
      <c r="B786" s="3"/>
      <c r="C786" s="3"/>
      <c r="G786" s="142"/>
      <c r="H786" s="3"/>
      <c r="P786" s="3"/>
    </row>
    <row r="787">
      <c r="A787" s="3"/>
      <c r="B787" s="3"/>
      <c r="C787" s="3"/>
      <c r="G787" s="142"/>
      <c r="H787" s="3"/>
      <c r="P787" s="3"/>
    </row>
    <row r="788">
      <c r="A788" s="3"/>
      <c r="B788" s="3"/>
      <c r="C788" s="3"/>
      <c r="G788" s="142"/>
      <c r="H788" s="3"/>
      <c r="P788" s="3"/>
    </row>
    <row r="789">
      <c r="A789" s="3"/>
      <c r="B789" s="3"/>
      <c r="C789" s="3"/>
      <c r="G789" s="142"/>
      <c r="H789" s="3"/>
      <c r="P789" s="3"/>
    </row>
    <row r="790">
      <c r="A790" s="3"/>
      <c r="B790" s="3"/>
      <c r="C790" s="3"/>
      <c r="G790" s="142"/>
      <c r="H790" s="3"/>
      <c r="P790" s="3"/>
    </row>
    <row r="791">
      <c r="A791" s="3"/>
      <c r="B791" s="3"/>
      <c r="C791" s="3"/>
      <c r="G791" s="142"/>
      <c r="H791" s="3"/>
      <c r="P791" s="3"/>
    </row>
    <row r="792">
      <c r="A792" s="3"/>
      <c r="B792" s="3"/>
      <c r="C792" s="3"/>
      <c r="G792" s="142"/>
      <c r="H792" s="3"/>
      <c r="P792" s="3"/>
    </row>
    <row r="793">
      <c r="A793" s="3"/>
      <c r="B793" s="3"/>
      <c r="C793" s="3"/>
      <c r="G793" s="142"/>
      <c r="H793" s="3"/>
      <c r="P793" s="3"/>
    </row>
    <row r="794">
      <c r="A794" s="3"/>
      <c r="B794" s="3"/>
      <c r="C794" s="3"/>
      <c r="G794" s="142"/>
      <c r="H794" s="3"/>
      <c r="P794" s="3"/>
    </row>
    <row r="795">
      <c r="A795" s="3"/>
      <c r="B795" s="3"/>
      <c r="C795" s="3"/>
      <c r="G795" s="142"/>
      <c r="H795" s="3"/>
      <c r="P795" s="3"/>
    </row>
    <row r="796">
      <c r="A796" s="3"/>
      <c r="B796" s="3"/>
      <c r="C796" s="3"/>
      <c r="G796" s="142"/>
      <c r="H796" s="3"/>
      <c r="P796" s="3"/>
    </row>
    <row r="797">
      <c r="A797" s="3"/>
      <c r="B797" s="3"/>
      <c r="C797" s="3"/>
      <c r="G797" s="142"/>
      <c r="H797" s="3"/>
      <c r="P797" s="3"/>
    </row>
    <row r="798">
      <c r="A798" s="3"/>
      <c r="B798" s="3"/>
      <c r="C798" s="3"/>
      <c r="G798" s="142"/>
      <c r="H798" s="3"/>
      <c r="P798" s="3"/>
    </row>
    <row r="799">
      <c r="A799" s="3"/>
      <c r="B799" s="3"/>
      <c r="C799" s="3"/>
      <c r="G799" s="142"/>
      <c r="H799" s="3"/>
      <c r="P799" s="3"/>
    </row>
    <row r="800">
      <c r="A800" s="3"/>
      <c r="B800" s="3"/>
      <c r="C800" s="3"/>
      <c r="G800" s="142"/>
      <c r="H800" s="3"/>
      <c r="P800" s="3"/>
    </row>
    <row r="801">
      <c r="A801" s="3"/>
      <c r="B801" s="3"/>
      <c r="C801" s="3"/>
      <c r="G801" s="142"/>
      <c r="H801" s="3"/>
      <c r="P801" s="3"/>
    </row>
    <row r="802">
      <c r="A802" s="3"/>
      <c r="B802" s="3"/>
      <c r="C802" s="3"/>
      <c r="G802" s="142"/>
      <c r="H802" s="3"/>
      <c r="P802" s="3"/>
    </row>
    <row r="803">
      <c r="A803" s="3"/>
      <c r="B803" s="3"/>
      <c r="C803" s="3"/>
      <c r="G803" s="142"/>
      <c r="H803" s="3"/>
      <c r="P803" s="3"/>
    </row>
    <row r="804">
      <c r="A804" s="3"/>
      <c r="B804" s="3"/>
      <c r="C804" s="3"/>
      <c r="G804" s="142"/>
      <c r="H804" s="3"/>
      <c r="P804" s="3"/>
    </row>
    <row r="805">
      <c r="A805" s="3"/>
      <c r="B805" s="3"/>
      <c r="C805" s="3"/>
      <c r="G805" s="142"/>
      <c r="H805" s="3"/>
      <c r="P805" s="3"/>
    </row>
    <row r="806">
      <c r="A806" s="3"/>
      <c r="B806" s="3"/>
      <c r="C806" s="3"/>
      <c r="G806" s="142"/>
      <c r="H806" s="3"/>
      <c r="P806" s="3"/>
    </row>
    <row r="807">
      <c r="A807" s="3"/>
      <c r="B807" s="3"/>
      <c r="C807" s="3"/>
      <c r="G807" s="142"/>
      <c r="H807" s="3"/>
      <c r="P807" s="3"/>
    </row>
    <row r="808">
      <c r="A808" s="3"/>
      <c r="B808" s="3"/>
      <c r="C808" s="3"/>
      <c r="G808" s="142"/>
      <c r="H808" s="3"/>
      <c r="P808" s="3"/>
    </row>
    <row r="809">
      <c r="A809" s="3"/>
      <c r="B809" s="3"/>
      <c r="C809" s="3"/>
      <c r="G809" s="142"/>
      <c r="H809" s="3"/>
      <c r="P809" s="3"/>
    </row>
    <row r="810">
      <c r="A810" s="3"/>
      <c r="B810" s="3"/>
      <c r="C810" s="3"/>
      <c r="G810" s="142"/>
      <c r="H810" s="3"/>
      <c r="P810" s="3"/>
    </row>
    <row r="811">
      <c r="A811" s="3"/>
      <c r="B811" s="3"/>
      <c r="C811" s="3"/>
      <c r="G811" s="142"/>
      <c r="H811" s="3"/>
      <c r="P811" s="3"/>
    </row>
    <row r="812">
      <c r="A812" s="3"/>
      <c r="B812" s="3"/>
      <c r="C812" s="3"/>
      <c r="G812" s="142"/>
      <c r="H812" s="3"/>
      <c r="P812" s="3"/>
    </row>
    <row r="813">
      <c r="A813" s="3"/>
      <c r="B813" s="3"/>
      <c r="C813" s="3"/>
      <c r="G813" s="142"/>
      <c r="H813" s="3"/>
      <c r="P813" s="3"/>
    </row>
    <row r="814">
      <c r="A814" s="3"/>
      <c r="B814" s="3"/>
      <c r="C814" s="3"/>
      <c r="G814" s="142"/>
      <c r="H814" s="3"/>
      <c r="P814" s="3"/>
    </row>
    <row r="815">
      <c r="A815" s="3"/>
      <c r="B815" s="3"/>
      <c r="C815" s="3"/>
      <c r="G815" s="142"/>
      <c r="H815" s="3"/>
      <c r="P815" s="3"/>
    </row>
    <row r="816">
      <c r="A816" s="3"/>
      <c r="B816" s="3"/>
      <c r="C816" s="3"/>
      <c r="G816" s="142"/>
      <c r="H816" s="3"/>
      <c r="P816" s="3"/>
    </row>
    <row r="817">
      <c r="A817" s="3"/>
      <c r="B817" s="3"/>
      <c r="C817" s="3"/>
      <c r="G817" s="142"/>
      <c r="H817" s="3"/>
      <c r="P817" s="3"/>
    </row>
    <row r="818">
      <c r="A818" s="3"/>
      <c r="B818" s="3"/>
      <c r="C818" s="3"/>
      <c r="G818" s="142"/>
      <c r="H818" s="3"/>
      <c r="P818" s="3"/>
    </row>
    <row r="819">
      <c r="A819" s="3"/>
      <c r="B819" s="3"/>
      <c r="C819" s="3"/>
      <c r="G819" s="142"/>
      <c r="H819" s="3"/>
      <c r="P819" s="3"/>
    </row>
    <row r="820">
      <c r="A820" s="3"/>
      <c r="B820" s="3"/>
      <c r="C820" s="3"/>
      <c r="G820" s="142"/>
      <c r="H820" s="3"/>
      <c r="P820" s="3"/>
    </row>
    <row r="821">
      <c r="A821" s="3"/>
      <c r="B821" s="3"/>
      <c r="C821" s="3"/>
      <c r="G821" s="142"/>
      <c r="H821" s="3"/>
      <c r="P821" s="3"/>
    </row>
    <row r="822">
      <c r="A822" s="3"/>
      <c r="B822" s="3"/>
      <c r="C822" s="3"/>
      <c r="G822" s="142"/>
      <c r="H822" s="3"/>
      <c r="P822" s="3"/>
    </row>
    <row r="823">
      <c r="A823" s="3"/>
      <c r="B823" s="3"/>
      <c r="C823" s="3"/>
      <c r="G823" s="142"/>
      <c r="H823" s="3"/>
      <c r="P823" s="3"/>
    </row>
    <row r="824">
      <c r="A824" s="3"/>
      <c r="B824" s="3"/>
      <c r="C824" s="3"/>
      <c r="G824" s="142"/>
      <c r="H824" s="3"/>
      <c r="P824" s="3"/>
    </row>
    <row r="825">
      <c r="A825" s="3"/>
      <c r="B825" s="3"/>
      <c r="C825" s="3"/>
      <c r="G825" s="142"/>
      <c r="H825" s="3"/>
      <c r="P825" s="3"/>
    </row>
    <row r="826">
      <c r="A826" s="3"/>
      <c r="B826" s="3"/>
      <c r="C826" s="3"/>
      <c r="G826" s="142"/>
      <c r="H826" s="3"/>
      <c r="P826" s="3"/>
    </row>
    <row r="827">
      <c r="A827" s="3"/>
      <c r="B827" s="3"/>
      <c r="C827" s="3"/>
      <c r="G827" s="142"/>
      <c r="H827" s="3"/>
      <c r="P827" s="3"/>
    </row>
    <row r="828">
      <c r="A828" s="3"/>
      <c r="B828" s="3"/>
      <c r="C828" s="3"/>
      <c r="G828" s="142"/>
      <c r="H828" s="3"/>
      <c r="P828" s="3"/>
    </row>
    <row r="829">
      <c r="A829" s="3"/>
      <c r="B829" s="3"/>
      <c r="C829" s="3"/>
      <c r="G829" s="142"/>
      <c r="H829" s="3"/>
      <c r="P829" s="3"/>
    </row>
    <row r="830">
      <c r="A830" s="3"/>
      <c r="B830" s="3"/>
      <c r="C830" s="3"/>
      <c r="G830" s="142"/>
      <c r="H830" s="3"/>
      <c r="P830" s="3"/>
    </row>
    <row r="831">
      <c r="A831" s="3"/>
      <c r="B831" s="3"/>
      <c r="C831" s="3"/>
      <c r="G831" s="142"/>
      <c r="H831" s="3"/>
      <c r="P831" s="3"/>
    </row>
    <row r="832">
      <c r="A832" s="3"/>
      <c r="B832" s="3"/>
      <c r="C832" s="3"/>
      <c r="G832" s="142"/>
      <c r="H832" s="3"/>
      <c r="P832" s="3"/>
    </row>
    <row r="833">
      <c r="A833" s="3"/>
      <c r="B833" s="3"/>
      <c r="C833" s="3"/>
      <c r="G833" s="142"/>
      <c r="H833" s="3"/>
      <c r="P833" s="3"/>
    </row>
    <row r="834">
      <c r="A834" s="3"/>
      <c r="B834" s="3"/>
      <c r="C834" s="3"/>
      <c r="G834" s="142"/>
      <c r="H834" s="3"/>
      <c r="P834" s="3"/>
    </row>
    <row r="835">
      <c r="A835" s="3"/>
      <c r="B835" s="3"/>
      <c r="C835" s="3"/>
      <c r="G835" s="142"/>
      <c r="H835" s="3"/>
      <c r="P835" s="3"/>
    </row>
    <row r="836">
      <c r="A836" s="3"/>
      <c r="B836" s="3"/>
      <c r="C836" s="3"/>
      <c r="G836" s="142"/>
      <c r="H836" s="3"/>
      <c r="P836" s="3"/>
    </row>
    <row r="837">
      <c r="A837" s="3"/>
      <c r="B837" s="3"/>
      <c r="C837" s="3"/>
      <c r="G837" s="142"/>
      <c r="H837" s="3"/>
      <c r="P837" s="3"/>
    </row>
    <row r="838">
      <c r="A838" s="3"/>
      <c r="B838" s="3"/>
      <c r="C838" s="3"/>
      <c r="G838" s="142"/>
      <c r="H838" s="3"/>
      <c r="P838" s="3"/>
    </row>
    <row r="839">
      <c r="A839" s="3"/>
      <c r="B839" s="3"/>
      <c r="C839" s="3"/>
      <c r="G839" s="142"/>
      <c r="H839" s="3"/>
      <c r="P839" s="3"/>
    </row>
    <row r="840">
      <c r="A840" s="3"/>
      <c r="B840" s="3"/>
      <c r="C840" s="3"/>
      <c r="G840" s="142"/>
      <c r="H840" s="3"/>
      <c r="P840" s="3"/>
    </row>
    <row r="841">
      <c r="A841" s="3"/>
      <c r="B841" s="3"/>
      <c r="C841" s="3"/>
      <c r="G841" s="142"/>
      <c r="H841" s="3"/>
      <c r="P841" s="3"/>
    </row>
    <row r="842">
      <c r="A842" s="3"/>
      <c r="B842" s="3"/>
      <c r="C842" s="3"/>
      <c r="G842" s="142"/>
      <c r="H842" s="3"/>
      <c r="P842" s="3"/>
    </row>
    <row r="843">
      <c r="A843" s="3"/>
      <c r="B843" s="3"/>
      <c r="C843" s="3"/>
      <c r="G843" s="142"/>
      <c r="H843" s="3"/>
      <c r="P843" s="3"/>
    </row>
    <row r="844">
      <c r="A844" s="3"/>
      <c r="B844" s="3"/>
      <c r="C844" s="3"/>
      <c r="G844" s="142"/>
      <c r="H844" s="3"/>
      <c r="P844" s="3"/>
    </row>
    <row r="845">
      <c r="A845" s="3"/>
      <c r="B845" s="3"/>
      <c r="C845" s="3"/>
      <c r="G845" s="142"/>
      <c r="H845" s="3"/>
      <c r="P845" s="3"/>
    </row>
    <row r="846">
      <c r="A846" s="3"/>
      <c r="B846" s="3"/>
      <c r="C846" s="3"/>
      <c r="G846" s="142"/>
      <c r="H846" s="3"/>
      <c r="P846" s="3"/>
    </row>
    <row r="847">
      <c r="A847" s="3"/>
      <c r="B847" s="3"/>
      <c r="C847" s="3"/>
      <c r="G847" s="142"/>
      <c r="H847" s="3"/>
      <c r="P847" s="3"/>
    </row>
    <row r="848">
      <c r="A848" s="3"/>
      <c r="B848" s="3"/>
      <c r="C848" s="3"/>
      <c r="G848" s="142"/>
      <c r="H848" s="3"/>
      <c r="P848" s="3"/>
    </row>
    <row r="849">
      <c r="A849" s="3"/>
      <c r="B849" s="3"/>
      <c r="C849" s="3"/>
      <c r="G849" s="142"/>
      <c r="H849" s="3"/>
      <c r="P849" s="3"/>
    </row>
    <row r="850">
      <c r="A850" s="3"/>
      <c r="B850" s="3"/>
      <c r="C850" s="3"/>
      <c r="G850" s="142"/>
      <c r="H850" s="3"/>
      <c r="P850" s="3"/>
    </row>
    <row r="851">
      <c r="A851" s="3"/>
      <c r="B851" s="3"/>
      <c r="C851" s="3"/>
      <c r="G851" s="142"/>
      <c r="H851" s="3"/>
      <c r="P851" s="3"/>
    </row>
    <row r="852">
      <c r="A852" s="3"/>
      <c r="B852" s="3"/>
      <c r="C852" s="3"/>
      <c r="G852" s="142"/>
      <c r="H852" s="3"/>
      <c r="P852" s="3"/>
    </row>
    <row r="853">
      <c r="A853" s="3"/>
      <c r="B853" s="3"/>
      <c r="C853" s="3"/>
      <c r="G853" s="142"/>
      <c r="H853" s="3"/>
      <c r="P853" s="3"/>
    </row>
    <row r="854">
      <c r="A854" s="3"/>
      <c r="B854" s="3"/>
      <c r="C854" s="3"/>
      <c r="G854" s="142"/>
      <c r="H854" s="3"/>
      <c r="P854" s="3"/>
    </row>
    <row r="855">
      <c r="A855" s="3"/>
      <c r="B855" s="3"/>
      <c r="C855" s="3"/>
      <c r="G855" s="142"/>
      <c r="H855" s="3"/>
      <c r="P855" s="3"/>
    </row>
    <row r="856">
      <c r="A856" s="3"/>
      <c r="B856" s="3"/>
      <c r="C856" s="3"/>
      <c r="G856" s="142"/>
      <c r="H856" s="3"/>
      <c r="P856" s="3"/>
    </row>
    <row r="857">
      <c r="A857" s="3"/>
      <c r="B857" s="3"/>
      <c r="C857" s="3"/>
      <c r="G857" s="142"/>
      <c r="H857" s="3"/>
      <c r="P857" s="3"/>
    </row>
    <row r="858">
      <c r="A858" s="3"/>
      <c r="B858" s="3"/>
      <c r="C858" s="3"/>
      <c r="G858" s="142"/>
      <c r="H858" s="3"/>
      <c r="P858" s="3"/>
    </row>
    <row r="859">
      <c r="A859" s="3"/>
      <c r="B859" s="3"/>
      <c r="C859" s="3"/>
      <c r="G859" s="142"/>
      <c r="H859" s="3"/>
      <c r="P859" s="3"/>
    </row>
    <row r="860">
      <c r="A860" s="3"/>
      <c r="B860" s="3"/>
      <c r="C860" s="3"/>
      <c r="G860" s="142"/>
      <c r="H860" s="3"/>
      <c r="P860" s="3"/>
    </row>
    <row r="861">
      <c r="A861" s="3"/>
      <c r="B861" s="3"/>
      <c r="C861" s="3"/>
      <c r="G861" s="142"/>
      <c r="H861" s="3"/>
      <c r="P861" s="3"/>
    </row>
    <row r="862">
      <c r="A862" s="3"/>
      <c r="B862" s="3"/>
      <c r="C862" s="3"/>
      <c r="G862" s="142"/>
      <c r="H862" s="3"/>
      <c r="P862" s="3"/>
    </row>
    <row r="863">
      <c r="A863" s="3"/>
      <c r="B863" s="3"/>
      <c r="C863" s="3"/>
      <c r="G863" s="142"/>
      <c r="H863" s="3"/>
      <c r="P863" s="3"/>
    </row>
    <row r="864">
      <c r="A864" s="3"/>
      <c r="B864" s="3"/>
      <c r="C864" s="3"/>
      <c r="G864" s="142"/>
      <c r="H864" s="3"/>
      <c r="P864" s="3"/>
    </row>
    <row r="865">
      <c r="A865" s="3"/>
      <c r="B865" s="3"/>
      <c r="C865" s="3"/>
      <c r="G865" s="142"/>
      <c r="H865" s="3"/>
      <c r="P865" s="3"/>
    </row>
    <row r="866">
      <c r="A866" s="3"/>
      <c r="B866" s="3"/>
      <c r="C866" s="3"/>
      <c r="G866" s="142"/>
      <c r="H866" s="3"/>
      <c r="P866" s="3"/>
    </row>
    <row r="867">
      <c r="A867" s="3"/>
      <c r="B867" s="3"/>
      <c r="C867" s="3"/>
      <c r="G867" s="142"/>
      <c r="H867" s="3"/>
      <c r="P867" s="3"/>
    </row>
    <row r="868">
      <c r="A868" s="3"/>
      <c r="B868" s="3"/>
      <c r="C868" s="3"/>
      <c r="G868" s="142"/>
      <c r="H868" s="3"/>
      <c r="P868" s="3"/>
    </row>
    <row r="869">
      <c r="A869" s="3"/>
      <c r="B869" s="3"/>
      <c r="C869" s="3"/>
      <c r="G869" s="142"/>
      <c r="H869" s="3"/>
      <c r="P869" s="3"/>
    </row>
    <row r="870">
      <c r="A870" s="3"/>
      <c r="B870" s="3"/>
      <c r="C870" s="3"/>
      <c r="G870" s="142"/>
      <c r="H870" s="3"/>
      <c r="P870" s="3"/>
    </row>
    <row r="871">
      <c r="A871" s="3"/>
      <c r="B871" s="3"/>
      <c r="C871" s="3"/>
      <c r="G871" s="142"/>
      <c r="H871" s="3"/>
      <c r="P871" s="3"/>
    </row>
    <row r="872">
      <c r="A872" s="3"/>
      <c r="B872" s="3"/>
      <c r="C872" s="3"/>
      <c r="G872" s="142"/>
      <c r="H872" s="3"/>
      <c r="P872" s="3"/>
    </row>
    <row r="873">
      <c r="A873" s="3"/>
      <c r="B873" s="3"/>
      <c r="C873" s="3"/>
      <c r="G873" s="142"/>
      <c r="H873" s="3"/>
      <c r="P873" s="3"/>
    </row>
    <row r="874">
      <c r="A874" s="3"/>
      <c r="B874" s="3"/>
      <c r="C874" s="3"/>
      <c r="G874" s="142"/>
      <c r="H874" s="3"/>
      <c r="P874" s="3"/>
    </row>
    <row r="875">
      <c r="A875" s="3"/>
      <c r="B875" s="3"/>
      <c r="C875" s="3"/>
      <c r="G875" s="142"/>
      <c r="H875" s="3"/>
      <c r="P875" s="3"/>
    </row>
    <row r="876">
      <c r="A876" s="3"/>
      <c r="B876" s="3"/>
      <c r="C876" s="3"/>
      <c r="G876" s="142"/>
      <c r="H876" s="3"/>
      <c r="P876" s="3"/>
    </row>
    <row r="877">
      <c r="A877" s="3"/>
      <c r="B877" s="3"/>
      <c r="C877" s="3"/>
      <c r="G877" s="142"/>
      <c r="H877" s="3"/>
      <c r="P877" s="3"/>
    </row>
    <row r="878">
      <c r="A878" s="3"/>
      <c r="B878" s="3"/>
      <c r="C878" s="3"/>
      <c r="G878" s="142"/>
      <c r="H878" s="3"/>
      <c r="P878" s="3"/>
    </row>
    <row r="879">
      <c r="A879" s="3"/>
      <c r="B879" s="3"/>
      <c r="C879" s="3"/>
      <c r="G879" s="142"/>
      <c r="H879" s="3"/>
      <c r="P879" s="3"/>
    </row>
    <row r="880">
      <c r="A880" s="3"/>
      <c r="B880" s="3"/>
      <c r="C880" s="3"/>
      <c r="G880" s="142"/>
      <c r="H880" s="3"/>
      <c r="P880" s="3"/>
    </row>
    <row r="881">
      <c r="A881" s="3"/>
      <c r="B881" s="3"/>
      <c r="C881" s="3"/>
      <c r="G881" s="142"/>
      <c r="H881" s="3"/>
      <c r="P881" s="3"/>
    </row>
    <row r="882">
      <c r="A882" s="3"/>
      <c r="B882" s="3"/>
      <c r="C882" s="3"/>
      <c r="G882" s="142"/>
      <c r="H882" s="3"/>
      <c r="P882" s="3"/>
    </row>
    <row r="883">
      <c r="A883" s="3"/>
      <c r="B883" s="3"/>
      <c r="C883" s="3"/>
      <c r="G883" s="142"/>
      <c r="H883" s="3"/>
      <c r="P883" s="3"/>
    </row>
    <row r="884">
      <c r="A884" s="3"/>
      <c r="B884" s="3"/>
      <c r="C884" s="3"/>
      <c r="G884" s="142"/>
      <c r="H884" s="3"/>
      <c r="P884" s="3"/>
    </row>
    <row r="885">
      <c r="A885" s="3"/>
      <c r="B885" s="3"/>
      <c r="C885" s="3"/>
      <c r="G885" s="142"/>
      <c r="H885" s="3"/>
      <c r="P885" s="3"/>
    </row>
    <row r="886">
      <c r="A886" s="3"/>
      <c r="B886" s="3"/>
      <c r="C886" s="3"/>
      <c r="G886" s="142"/>
      <c r="H886" s="3"/>
      <c r="P886" s="3"/>
    </row>
    <row r="887">
      <c r="A887" s="3"/>
      <c r="B887" s="3"/>
      <c r="C887" s="3"/>
      <c r="G887" s="142"/>
      <c r="H887" s="3"/>
      <c r="P887" s="3"/>
    </row>
    <row r="888">
      <c r="A888" s="3"/>
      <c r="B888" s="3"/>
      <c r="C888" s="3"/>
      <c r="G888" s="142"/>
      <c r="H888" s="3"/>
      <c r="P888" s="3"/>
    </row>
    <row r="889">
      <c r="A889" s="3"/>
      <c r="B889" s="3"/>
      <c r="C889" s="3"/>
      <c r="G889" s="142"/>
      <c r="H889" s="3"/>
      <c r="P889" s="3"/>
    </row>
    <row r="890">
      <c r="A890" s="3"/>
      <c r="B890" s="3"/>
      <c r="C890" s="3"/>
      <c r="G890" s="142"/>
      <c r="H890" s="3"/>
      <c r="P890" s="3"/>
    </row>
    <row r="891">
      <c r="A891" s="3"/>
      <c r="B891" s="3"/>
      <c r="C891" s="3"/>
      <c r="G891" s="142"/>
      <c r="H891" s="3"/>
      <c r="P891" s="3"/>
    </row>
    <row r="892">
      <c r="A892" s="3"/>
      <c r="B892" s="3"/>
      <c r="C892" s="3"/>
      <c r="G892" s="142"/>
      <c r="H892" s="3"/>
      <c r="P892" s="3"/>
    </row>
    <row r="893">
      <c r="A893" s="3"/>
      <c r="B893" s="3"/>
      <c r="C893" s="3"/>
      <c r="G893" s="142"/>
      <c r="H893" s="3"/>
      <c r="P893" s="3"/>
    </row>
    <row r="894">
      <c r="A894" s="3"/>
      <c r="B894" s="3"/>
      <c r="C894" s="3"/>
      <c r="G894" s="142"/>
      <c r="H894" s="3"/>
      <c r="P894" s="3"/>
    </row>
    <row r="895">
      <c r="A895" s="3"/>
      <c r="B895" s="3"/>
      <c r="C895" s="3"/>
      <c r="G895" s="142"/>
      <c r="H895" s="3"/>
      <c r="P895" s="3"/>
    </row>
    <row r="896">
      <c r="A896" s="3"/>
      <c r="B896" s="3"/>
      <c r="C896" s="3"/>
      <c r="G896" s="142"/>
      <c r="H896" s="3"/>
      <c r="P896" s="3"/>
    </row>
    <row r="897">
      <c r="A897" s="3"/>
      <c r="B897" s="3"/>
      <c r="C897" s="3"/>
      <c r="G897" s="142"/>
      <c r="H897" s="3"/>
      <c r="P897" s="3"/>
    </row>
    <row r="898">
      <c r="A898" s="3"/>
      <c r="B898" s="3"/>
      <c r="C898" s="3"/>
      <c r="G898" s="142"/>
      <c r="H898" s="3"/>
      <c r="P898" s="3"/>
    </row>
    <row r="899">
      <c r="A899" s="3"/>
      <c r="B899" s="3"/>
      <c r="C899" s="3"/>
      <c r="G899" s="142"/>
      <c r="H899" s="3"/>
      <c r="P899" s="3"/>
    </row>
    <row r="900">
      <c r="A900" s="3"/>
      <c r="B900" s="3"/>
      <c r="C900" s="3"/>
      <c r="G900" s="142"/>
      <c r="H900" s="3"/>
      <c r="P900" s="3"/>
    </row>
    <row r="901">
      <c r="A901" s="3"/>
      <c r="B901" s="3"/>
      <c r="C901" s="3"/>
      <c r="G901" s="142"/>
      <c r="H901" s="3"/>
      <c r="P901" s="3"/>
    </row>
    <row r="902">
      <c r="A902" s="3"/>
      <c r="B902" s="3"/>
      <c r="C902" s="3"/>
      <c r="G902" s="142"/>
      <c r="H902" s="3"/>
      <c r="P902" s="3"/>
    </row>
    <row r="903">
      <c r="A903" s="3"/>
      <c r="B903" s="3"/>
      <c r="C903" s="3"/>
      <c r="G903" s="142"/>
      <c r="H903" s="3"/>
      <c r="P903" s="3"/>
    </row>
    <row r="904">
      <c r="A904" s="3"/>
      <c r="B904" s="3"/>
      <c r="C904" s="3"/>
      <c r="G904" s="142"/>
      <c r="H904" s="3"/>
      <c r="P904" s="3"/>
    </row>
    <row r="905">
      <c r="A905" s="3"/>
      <c r="B905" s="3"/>
      <c r="C905" s="3"/>
      <c r="G905" s="142"/>
      <c r="H905" s="3"/>
      <c r="P905" s="3"/>
    </row>
    <row r="906">
      <c r="A906" s="3"/>
      <c r="B906" s="3"/>
      <c r="C906" s="3"/>
      <c r="G906" s="142"/>
      <c r="H906" s="3"/>
      <c r="P906" s="3"/>
    </row>
    <row r="907">
      <c r="A907" s="3"/>
      <c r="B907" s="3"/>
      <c r="C907" s="3"/>
      <c r="G907" s="142"/>
      <c r="H907" s="3"/>
      <c r="P907" s="3"/>
    </row>
    <row r="908">
      <c r="A908" s="3"/>
      <c r="B908" s="3"/>
      <c r="C908" s="3"/>
      <c r="G908" s="142"/>
      <c r="H908" s="3"/>
      <c r="P908" s="3"/>
    </row>
    <row r="909">
      <c r="A909" s="3"/>
      <c r="B909" s="3"/>
      <c r="C909" s="3"/>
      <c r="G909" s="142"/>
      <c r="H909" s="3"/>
      <c r="P909" s="3"/>
    </row>
    <row r="910">
      <c r="A910" s="3"/>
      <c r="B910" s="3"/>
      <c r="C910" s="3"/>
      <c r="G910" s="142"/>
      <c r="H910" s="3"/>
      <c r="P910" s="3"/>
    </row>
    <row r="911">
      <c r="A911" s="3"/>
      <c r="B911" s="3"/>
      <c r="C911" s="3"/>
      <c r="G911" s="142"/>
      <c r="H911" s="3"/>
      <c r="P911" s="3"/>
    </row>
    <row r="912">
      <c r="A912" s="3"/>
      <c r="B912" s="3"/>
      <c r="C912" s="3"/>
      <c r="G912" s="142"/>
      <c r="H912" s="3"/>
      <c r="P912" s="3"/>
    </row>
    <row r="913">
      <c r="A913" s="3"/>
      <c r="B913" s="3"/>
      <c r="C913" s="3"/>
      <c r="G913" s="142"/>
      <c r="H913" s="3"/>
      <c r="P913" s="3"/>
    </row>
    <row r="914">
      <c r="A914" s="3"/>
      <c r="B914" s="3"/>
      <c r="C914" s="3"/>
      <c r="G914" s="142"/>
      <c r="H914" s="3"/>
      <c r="P914" s="3"/>
    </row>
    <row r="915">
      <c r="A915" s="3"/>
      <c r="B915" s="3"/>
      <c r="C915" s="3"/>
      <c r="G915" s="142"/>
      <c r="H915" s="3"/>
      <c r="P915" s="3"/>
    </row>
    <row r="916">
      <c r="A916" s="3"/>
      <c r="B916" s="3"/>
      <c r="C916" s="3"/>
      <c r="G916" s="142"/>
      <c r="H916" s="3"/>
      <c r="P916" s="3"/>
    </row>
    <row r="917">
      <c r="A917" s="3"/>
      <c r="B917" s="3"/>
      <c r="C917" s="3"/>
      <c r="G917" s="142"/>
      <c r="H917" s="3"/>
      <c r="P917" s="3"/>
    </row>
    <row r="918">
      <c r="A918" s="3"/>
      <c r="B918" s="3"/>
      <c r="C918" s="3"/>
      <c r="G918" s="142"/>
      <c r="H918" s="3"/>
      <c r="P918" s="3"/>
    </row>
    <row r="919">
      <c r="A919" s="3"/>
      <c r="B919" s="3"/>
      <c r="C919" s="3"/>
      <c r="G919" s="142"/>
      <c r="H919" s="3"/>
      <c r="P919" s="3"/>
    </row>
    <row r="920">
      <c r="A920" s="3"/>
      <c r="B920" s="3"/>
      <c r="C920" s="3"/>
      <c r="G920" s="142"/>
      <c r="H920" s="3"/>
      <c r="P920" s="3"/>
    </row>
    <row r="921">
      <c r="A921" s="3"/>
      <c r="B921" s="3"/>
      <c r="C921" s="3"/>
      <c r="G921" s="142"/>
      <c r="H921" s="3"/>
      <c r="P921" s="3"/>
    </row>
    <row r="922">
      <c r="A922" s="3"/>
      <c r="B922" s="3"/>
      <c r="C922" s="3"/>
      <c r="G922" s="142"/>
      <c r="H922" s="3"/>
      <c r="P922" s="3"/>
    </row>
    <row r="923">
      <c r="A923" s="3"/>
      <c r="B923" s="3"/>
      <c r="C923" s="3"/>
      <c r="G923" s="142"/>
      <c r="H923" s="3"/>
      <c r="P923" s="3"/>
    </row>
    <row r="924">
      <c r="A924" s="3"/>
      <c r="B924" s="3"/>
      <c r="C924" s="3"/>
      <c r="G924" s="142"/>
      <c r="H924" s="3"/>
      <c r="P924" s="3"/>
    </row>
    <row r="925">
      <c r="A925" s="3"/>
      <c r="B925" s="3"/>
      <c r="C925" s="3"/>
      <c r="G925" s="142"/>
      <c r="H925" s="3"/>
      <c r="P925" s="3"/>
    </row>
    <row r="926">
      <c r="A926" s="3"/>
      <c r="B926" s="3"/>
      <c r="C926" s="3"/>
      <c r="G926" s="142"/>
      <c r="H926" s="3"/>
      <c r="P926" s="3"/>
    </row>
    <row r="927">
      <c r="A927" s="3"/>
      <c r="B927" s="3"/>
      <c r="C927" s="3"/>
      <c r="G927" s="142"/>
      <c r="H927" s="3"/>
      <c r="P927" s="3"/>
    </row>
    <row r="928">
      <c r="A928" s="3"/>
      <c r="B928" s="3"/>
      <c r="C928" s="3"/>
      <c r="G928" s="142"/>
      <c r="H928" s="3"/>
      <c r="P928" s="3"/>
    </row>
    <row r="929">
      <c r="A929" s="3"/>
      <c r="B929" s="3"/>
      <c r="C929" s="3"/>
      <c r="G929" s="142"/>
      <c r="H929" s="3"/>
      <c r="P929" s="3"/>
    </row>
    <row r="930">
      <c r="A930" s="3"/>
      <c r="B930" s="3"/>
      <c r="C930" s="3"/>
      <c r="G930" s="142"/>
      <c r="H930" s="3"/>
      <c r="P930" s="3"/>
    </row>
    <row r="931">
      <c r="A931" s="3"/>
      <c r="B931" s="3"/>
      <c r="C931" s="3"/>
      <c r="G931" s="142"/>
      <c r="H931" s="3"/>
      <c r="P931" s="3"/>
    </row>
    <row r="932">
      <c r="A932" s="3"/>
      <c r="B932" s="3"/>
      <c r="C932" s="3"/>
      <c r="G932" s="142"/>
      <c r="H932" s="3"/>
      <c r="P932" s="3"/>
    </row>
    <row r="933">
      <c r="A933" s="3"/>
      <c r="B933" s="3"/>
      <c r="C933" s="3"/>
      <c r="G933" s="142"/>
      <c r="H933" s="3"/>
      <c r="P933" s="3"/>
    </row>
    <row r="934">
      <c r="A934" s="3"/>
      <c r="B934" s="3"/>
      <c r="C934" s="3"/>
      <c r="G934" s="142"/>
      <c r="H934" s="3"/>
      <c r="P934" s="3"/>
    </row>
    <row r="935">
      <c r="A935" s="3"/>
      <c r="B935" s="3"/>
      <c r="C935" s="3"/>
      <c r="G935" s="142"/>
      <c r="H935" s="3"/>
      <c r="P935" s="3"/>
    </row>
    <row r="936">
      <c r="A936" s="3"/>
      <c r="B936" s="3"/>
      <c r="C936" s="3"/>
      <c r="G936" s="142"/>
      <c r="H936" s="3"/>
      <c r="P936" s="3"/>
    </row>
    <row r="937">
      <c r="A937" s="3"/>
      <c r="B937" s="3"/>
      <c r="C937" s="3"/>
      <c r="G937" s="142"/>
      <c r="H937" s="3"/>
      <c r="P937" s="3"/>
    </row>
    <row r="938">
      <c r="A938" s="3"/>
      <c r="B938" s="3"/>
      <c r="C938" s="3"/>
      <c r="G938" s="142"/>
      <c r="H938" s="3"/>
      <c r="P938" s="3"/>
    </row>
    <row r="939">
      <c r="A939" s="3"/>
      <c r="B939" s="3"/>
      <c r="C939" s="3"/>
      <c r="G939" s="142"/>
      <c r="H939" s="3"/>
      <c r="P939" s="3"/>
    </row>
    <row r="940">
      <c r="A940" s="3"/>
      <c r="B940" s="3"/>
      <c r="C940" s="3"/>
      <c r="G940" s="142"/>
      <c r="H940" s="3"/>
      <c r="P940" s="3"/>
    </row>
    <row r="941">
      <c r="A941" s="3"/>
      <c r="B941" s="3"/>
      <c r="C941" s="3"/>
      <c r="G941" s="142"/>
      <c r="H941" s="3"/>
      <c r="P941" s="3"/>
    </row>
    <row r="942">
      <c r="A942" s="3"/>
      <c r="B942" s="3"/>
      <c r="C942" s="3"/>
      <c r="G942" s="142"/>
      <c r="H942" s="3"/>
      <c r="P942" s="3"/>
    </row>
    <row r="943">
      <c r="A943" s="3"/>
      <c r="B943" s="3"/>
      <c r="C943" s="3"/>
      <c r="G943" s="142"/>
      <c r="H943" s="3"/>
      <c r="P943" s="3"/>
    </row>
    <row r="944">
      <c r="A944" s="3"/>
      <c r="B944" s="3"/>
      <c r="C944" s="3"/>
      <c r="G944" s="142"/>
      <c r="H944" s="3"/>
      <c r="P944" s="3"/>
    </row>
    <row r="945">
      <c r="A945" s="3"/>
      <c r="B945" s="3"/>
      <c r="C945" s="3"/>
      <c r="G945" s="142"/>
      <c r="H945" s="3"/>
      <c r="P945" s="3"/>
    </row>
    <row r="946">
      <c r="A946" s="3"/>
      <c r="B946" s="3"/>
      <c r="C946" s="3"/>
      <c r="G946" s="142"/>
      <c r="H946" s="3"/>
      <c r="P946" s="3"/>
    </row>
    <row r="947">
      <c r="A947" s="3"/>
      <c r="B947" s="3"/>
      <c r="C947" s="3"/>
      <c r="G947" s="142"/>
      <c r="H947" s="3"/>
      <c r="P947" s="3"/>
    </row>
    <row r="948">
      <c r="A948" s="3"/>
      <c r="B948" s="3"/>
      <c r="C948" s="3"/>
      <c r="G948" s="142"/>
      <c r="H948" s="3"/>
      <c r="P948" s="3"/>
    </row>
    <row r="949">
      <c r="A949" s="3"/>
      <c r="B949" s="3"/>
      <c r="C949" s="3"/>
      <c r="G949" s="142"/>
      <c r="H949" s="3"/>
      <c r="P949" s="3"/>
    </row>
    <row r="950">
      <c r="A950" s="3"/>
      <c r="B950" s="3"/>
      <c r="C950" s="3"/>
      <c r="G950" s="142"/>
      <c r="H950" s="3"/>
      <c r="P950" s="3"/>
    </row>
    <row r="951">
      <c r="A951" s="3"/>
      <c r="B951" s="3"/>
      <c r="C951" s="3"/>
      <c r="G951" s="142"/>
      <c r="H951" s="3"/>
      <c r="P951" s="3"/>
    </row>
    <row r="952">
      <c r="A952" s="3"/>
      <c r="B952" s="3"/>
      <c r="C952" s="3"/>
      <c r="G952" s="142"/>
      <c r="H952" s="3"/>
      <c r="P952" s="3"/>
    </row>
    <row r="953">
      <c r="A953" s="3"/>
      <c r="B953" s="3"/>
      <c r="C953" s="3"/>
      <c r="G953" s="142"/>
      <c r="H953" s="3"/>
      <c r="P953" s="3"/>
    </row>
    <row r="954">
      <c r="A954" s="3"/>
      <c r="B954" s="3"/>
      <c r="C954" s="3"/>
      <c r="G954" s="142"/>
      <c r="H954" s="3"/>
      <c r="P954" s="3"/>
    </row>
    <row r="955">
      <c r="A955" s="3"/>
      <c r="B955" s="3"/>
      <c r="C955" s="3"/>
      <c r="G955" s="142"/>
      <c r="H955" s="3"/>
      <c r="P955" s="3"/>
    </row>
    <row r="956">
      <c r="A956" s="3"/>
      <c r="B956" s="3"/>
      <c r="C956" s="3"/>
      <c r="G956" s="142"/>
      <c r="H956" s="3"/>
      <c r="P956" s="3"/>
    </row>
    <row r="957">
      <c r="A957" s="3"/>
      <c r="B957" s="3"/>
      <c r="C957" s="3"/>
      <c r="G957" s="142"/>
      <c r="H957" s="3"/>
      <c r="P957" s="3"/>
    </row>
    <row r="958">
      <c r="A958" s="3"/>
      <c r="B958" s="3"/>
      <c r="C958" s="3"/>
      <c r="G958" s="142"/>
      <c r="H958" s="3"/>
      <c r="P958" s="3"/>
    </row>
    <row r="959">
      <c r="A959" s="3"/>
      <c r="B959" s="3"/>
      <c r="C959" s="3"/>
      <c r="G959" s="142"/>
      <c r="H959" s="3"/>
      <c r="P959" s="3"/>
    </row>
    <row r="960">
      <c r="A960" s="3"/>
      <c r="B960" s="3"/>
      <c r="C960" s="3"/>
      <c r="G960" s="142"/>
      <c r="H960" s="3"/>
      <c r="P960" s="3"/>
    </row>
    <row r="961">
      <c r="A961" s="3"/>
      <c r="B961" s="3"/>
      <c r="C961" s="3"/>
      <c r="G961" s="142"/>
      <c r="H961" s="3"/>
      <c r="P961" s="3"/>
    </row>
    <row r="962">
      <c r="A962" s="3"/>
      <c r="B962" s="3"/>
      <c r="C962" s="3"/>
      <c r="G962" s="142"/>
      <c r="H962" s="3"/>
      <c r="P962" s="3"/>
    </row>
    <row r="963">
      <c r="A963" s="3"/>
      <c r="B963" s="3"/>
      <c r="C963" s="3"/>
      <c r="G963" s="142"/>
      <c r="H963" s="3"/>
      <c r="P963" s="3"/>
    </row>
    <row r="964">
      <c r="A964" s="3"/>
      <c r="B964" s="3"/>
      <c r="C964" s="3"/>
      <c r="G964" s="142"/>
      <c r="H964" s="3"/>
      <c r="P964" s="3"/>
    </row>
    <row r="965">
      <c r="A965" s="3"/>
      <c r="B965" s="3"/>
      <c r="C965" s="3"/>
      <c r="G965" s="142"/>
      <c r="H965" s="3"/>
      <c r="P965" s="3"/>
    </row>
    <row r="966">
      <c r="A966" s="3"/>
      <c r="B966" s="3"/>
      <c r="C966" s="3"/>
      <c r="G966" s="142"/>
      <c r="H966" s="3"/>
      <c r="P966" s="3"/>
    </row>
    <row r="967">
      <c r="A967" s="3"/>
      <c r="B967" s="3"/>
      <c r="C967" s="3"/>
      <c r="G967" s="142"/>
      <c r="H967" s="3"/>
      <c r="P967" s="3"/>
    </row>
    <row r="968">
      <c r="A968" s="3"/>
      <c r="B968" s="3"/>
      <c r="C968" s="3"/>
      <c r="G968" s="142"/>
      <c r="H968" s="3"/>
      <c r="P968" s="3"/>
    </row>
    <row r="969">
      <c r="A969" s="3"/>
      <c r="B969" s="3"/>
      <c r="C969" s="3"/>
      <c r="G969" s="142"/>
      <c r="H969" s="3"/>
      <c r="P969" s="3"/>
    </row>
    <row r="970">
      <c r="A970" s="3"/>
      <c r="B970" s="3"/>
      <c r="C970" s="3"/>
      <c r="G970" s="142"/>
      <c r="H970" s="3"/>
      <c r="P970" s="3"/>
    </row>
    <row r="971">
      <c r="A971" s="3"/>
      <c r="B971" s="3"/>
      <c r="C971" s="3"/>
      <c r="G971" s="142"/>
      <c r="H971" s="3"/>
      <c r="P971" s="3"/>
    </row>
    <row r="972">
      <c r="A972" s="3"/>
      <c r="B972" s="3"/>
      <c r="C972" s="3"/>
      <c r="G972" s="142"/>
      <c r="H972" s="3"/>
      <c r="P972" s="3"/>
    </row>
    <row r="973">
      <c r="A973" s="3"/>
      <c r="B973" s="3"/>
      <c r="C973" s="3"/>
      <c r="G973" s="142"/>
      <c r="H973" s="3"/>
      <c r="P973" s="3"/>
    </row>
    <row r="974">
      <c r="A974" s="3"/>
      <c r="B974" s="3"/>
      <c r="C974" s="3"/>
      <c r="G974" s="142"/>
      <c r="H974" s="3"/>
      <c r="P974" s="3"/>
    </row>
    <row r="975">
      <c r="A975" s="3"/>
      <c r="B975" s="3"/>
      <c r="C975" s="3"/>
      <c r="G975" s="142"/>
      <c r="H975" s="3"/>
      <c r="P975" s="3"/>
    </row>
    <row r="976">
      <c r="A976" s="3"/>
      <c r="B976" s="3"/>
      <c r="C976" s="3"/>
      <c r="G976" s="142"/>
      <c r="H976" s="3"/>
      <c r="P976" s="3"/>
    </row>
    <row r="977">
      <c r="A977" s="3"/>
      <c r="B977" s="3"/>
      <c r="C977" s="3"/>
      <c r="G977" s="142"/>
      <c r="H977" s="3"/>
      <c r="P977" s="3"/>
    </row>
    <row r="978">
      <c r="A978" s="3"/>
      <c r="B978" s="3"/>
      <c r="C978" s="3"/>
      <c r="G978" s="142"/>
      <c r="H978" s="3"/>
      <c r="P978" s="3"/>
    </row>
    <row r="979">
      <c r="A979" s="3"/>
      <c r="B979" s="3"/>
      <c r="C979" s="3"/>
      <c r="G979" s="142"/>
      <c r="H979" s="3"/>
      <c r="P979" s="3"/>
    </row>
    <row r="980">
      <c r="A980" s="3"/>
      <c r="B980" s="3"/>
      <c r="C980" s="3"/>
      <c r="G980" s="142"/>
      <c r="H980" s="3"/>
      <c r="P980" s="3"/>
    </row>
    <row r="981">
      <c r="A981" s="3"/>
      <c r="B981" s="3"/>
      <c r="C981" s="3"/>
      <c r="G981" s="142"/>
      <c r="H981" s="3"/>
      <c r="P981" s="3"/>
    </row>
    <row r="982">
      <c r="A982" s="3"/>
      <c r="B982" s="3"/>
      <c r="C982" s="3"/>
      <c r="G982" s="142"/>
      <c r="H982" s="3"/>
      <c r="P982" s="3"/>
    </row>
    <row r="983">
      <c r="A983" s="3"/>
      <c r="B983" s="3"/>
      <c r="C983" s="3"/>
      <c r="G983" s="142"/>
      <c r="H983" s="3"/>
      <c r="P983" s="3"/>
    </row>
    <row r="984">
      <c r="A984" s="3"/>
      <c r="B984" s="3"/>
      <c r="C984" s="3"/>
      <c r="G984" s="142"/>
      <c r="H984" s="3"/>
      <c r="P984" s="3"/>
    </row>
    <row r="985">
      <c r="A985" s="3"/>
      <c r="B985" s="3"/>
      <c r="C985" s="3"/>
      <c r="G985" s="142"/>
      <c r="H985" s="3"/>
      <c r="P985" s="3"/>
    </row>
    <row r="986">
      <c r="A986" s="3"/>
      <c r="B986" s="3"/>
      <c r="C986" s="3"/>
      <c r="G986" s="142"/>
      <c r="H986" s="3"/>
      <c r="P986" s="3"/>
    </row>
    <row r="987">
      <c r="A987" s="3"/>
      <c r="B987" s="3"/>
      <c r="C987" s="3"/>
      <c r="G987" s="142"/>
      <c r="H987" s="3"/>
      <c r="P987" s="3"/>
    </row>
    <row r="988">
      <c r="A988" s="3"/>
      <c r="B988" s="3"/>
      <c r="C988" s="3"/>
      <c r="G988" s="142"/>
      <c r="H988" s="3"/>
      <c r="P988" s="3"/>
    </row>
    <row r="989">
      <c r="A989" s="3"/>
      <c r="B989" s="3"/>
      <c r="C989" s="3"/>
      <c r="G989" s="142"/>
      <c r="H989" s="3"/>
      <c r="P989" s="3"/>
    </row>
    <row r="990">
      <c r="A990" s="3"/>
      <c r="B990" s="3"/>
      <c r="C990" s="3"/>
      <c r="G990" s="142"/>
      <c r="H990" s="3"/>
      <c r="P990" s="3"/>
    </row>
    <row r="991">
      <c r="A991" s="3"/>
      <c r="B991" s="3"/>
      <c r="C991" s="3"/>
      <c r="G991" s="142"/>
      <c r="H991" s="3"/>
      <c r="P991" s="3"/>
    </row>
    <row r="992">
      <c r="A992" s="3"/>
      <c r="B992" s="3"/>
      <c r="C992" s="3"/>
      <c r="G992" s="142"/>
      <c r="H992" s="3"/>
      <c r="P992" s="3"/>
    </row>
    <row r="993">
      <c r="A993" s="3"/>
      <c r="B993" s="3"/>
      <c r="C993" s="3"/>
      <c r="G993" s="142"/>
      <c r="H993" s="3"/>
      <c r="P993" s="3"/>
    </row>
    <row r="994">
      <c r="A994" s="3"/>
      <c r="B994" s="3"/>
      <c r="C994" s="3"/>
      <c r="G994" s="142"/>
      <c r="H994" s="3"/>
      <c r="P994" s="3"/>
    </row>
    <row r="995">
      <c r="A995" s="3"/>
      <c r="B995" s="3"/>
      <c r="C995" s="3"/>
      <c r="G995" s="142"/>
      <c r="H995" s="3"/>
      <c r="P995" s="3"/>
    </row>
    <row r="996">
      <c r="A996" s="3"/>
      <c r="B996" s="3"/>
      <c r="C996" s="3"/>
      <c r="G996" s="142"/>
      <c r="H996" s="3"/>
      <c r="P996" s="3"/>
    </row>
    <row r="997">
      <c r="A997" s="3"/>
      <c r="B997" s="3"/>
      <c r="C997" s="3"/>
      <c r="G997" s="142"/>
      <c r="H997" s="3"/>
    </row>
  </sheetData>
  <autoFilter ref="$E$1:$E$99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2"/>
  <cols>
    <col customWidth="1" min="1" max="1" width="15.25"/>
    <col customWidth="1" min="2" max="2" width="14.63"/>
    <col customWidth="1" min="3" max="3" width="39.88"/>
  </cols>
  <sheetData>
    <row r="1">
      <c r="A1" s="10" t="s">
        <v>5</v>
      </c>
      <c r="B1" s="10" t="s">
        <v>9</v>
      </c>
      <c r="C1" s="10" t="s">
        <v>11</v>
      </c>
      <c r="D1" s="14"/>
      <c r="E1" s="14"/>
      <c r="F1" s="14"/>
      <c r="G1" s="14"/>
      <c r="H1" s="17"/>
      <c r="I1" s="20"/>
      <c r="J1" s="21" t="s">
        <v>20</v>
      </c>
      <c r="K1" s="24">
        <v>720.0</v>
      </c>
      <c r="L1" s="14"/>
      <c r="M1" s="14"/>
      <c r="N1" s="14"/>
      <c r="O1" s="14"/>
      <c r="P1" s="14"/>
      <c r="Q1" s="14"/>
      <c r="R1" s="14"/>
      <c r="S1" s="14"/>
      <c r="T1" s="14"/>
      <c r="U1" s="14"/>
      <c r="V1" s="14"/>
      <c r="W1" s="14"/>
      <c r="X1" s="14"/>
      <c r="Y1" s="14"/>
      <c r="Z1" s="14"/>
      <c r="AA1" s="14"/>
    </row>
    <row r="2">
      <c r="A2" s="34" t="s">
        <v>30</v>
      </c>
      <c r="B2" s="38">
        <v>45793.0</v>
      </c>
      <c r="C2" s="41" t="s">
        <v>36</v>
      </c>
      <c r="D2" s="11" t="s">
        <v>37</v>
      </c>
      <c r="E2" s="14"/>
      <c r="F2" s="44"/>
      <c r="G2" s="14" t="s">
        <v>39</v>
      </c>
      <c r="H2" s="17"/>
      <c r="I2" s="45"/>
      <c r="J2" s="14"/>
      <c r="K2" s="14"/>
      <c r="L2" s="14"/>
      <c r="M2" s="14"/>
      <c r="N2" s="14"/>
      <c r="O2" s="14"/>
      <c r="P2" s="14"/>
      <c r="Q2" s="14"/>
      <c r="R2" s="14"/>
      <c r="S2" s="14"/>
      <c r="T2" s="14"/>
      <c r="U2" s="14"/>
      <c r="V2" s="14"/>
      <c r="W2" s="14"/>
      <c r="X2" s="14"/>
      <c r="Y2" s="14"/>
      <c r="Z2" s="14"/>
      <c r="AA2" s="14"/>
    </row>
    <row r="3">
      <c r="A3" s="20"/>
      <c r="B3" s="38">
        <v>45793.0</v>
      </c>
      <c r="C3" s="41" t="s">
        <v>44</v>
      </c>
      <c r="D3" s="11" t="s">
        <v>45</v>
      </c>
      <c r="E3" s="14"/>
      <c r="F3" s="46"/>
      <c r="G3" s="14" t="s">
        <v>48</v>
      </c>
      <c r="H3" s="17"/>
      <c r="I3" s="45"/>
      <c r="J3" s="14"/>
      <c r="K3" s="14"/>
      <c r="L3" s="14"/>
      <c r="M3" s="14"/>
      <c r="N3" s="14"/>
      <c r="O3" s="14"/>
      <c r="P3" s="14"/>
      <c r="Q3" s="14"/>
      <c r="R3" s="14"/>
      <c r="S3" s="14"/>
      <c r="T3" s="14"/>
      <c r="U3" s="14"/>
      <c r="V3" s="14"/>
      <c r="W3" s="14"/>
      <c r="X3" s="14"/>
      <c r="Y3" s="14"/>
      <c r="Z3" s="14"/>
      <c r="AA3" s="14"/>
    </row>
    <row r="4">
      <c r="A4" s="20"/>
      <c r="B4" s="48">
        <v>45796.0</v>
      </c>
      <c r="C4" s="50" t="s">
        <v>54</v>
      </c>
      <c r="D4" s="14"/>
      <c r="E4" s="14"/>
      <c r="F4" s="51"/>
      <c r="G4" s="14" t="s">
        <v>56</v>
      </c>
      <c r="H4" s="17"/>
      <c r="I4" s="17"/>
      <c r="J4" s="14"/>
      <c r="K4" s="14"/>
      <c r="L4" s="14"/>
      <c r="M4" s="14"/>
      <c r="N4" s="14"/>
      <c r="O4" s="14"/>
      <c r="P4" s="14"/>
      <c r="Q4" s="14"/>
      <c r="R4" s="14"/>
      <c r="S4" s="14"/>
      <c r="T4" s="14"/>
      <c r="U4" s="14"/>
      <c r="V4" s="14"/>
      <c r="W4" s="14"/>
      <c r="X4" s="14"/>
      <c r="Y4" s="14"/>
      <c r="Z4" s="14"/>
      <c r="AA4" s="14"/>
    </row>
    <row r="5">
      <c r="A5" s="20"/>
      <c r="B5" s="48">
        <v>45796.0</v>
      </c>
      <c r="C5" s="50" t="s">
        <v>60</v>
      </c>
      <c r="D5" s="17" t="s">
        <v>24</v>
      </c>
      <c r="E5" s="14"/>
      <c r="F5" s="55"/>
      <c r="G5" s="11" t="s">
        <v>63</v>
      </c>
      <c r="H5" s="17"/>
      <c r="I5" s="45"/>
      <c r="J5" s="14"/>
      <c r="K5" s="14"/>
      <c r="L5" s="14"/>
      <c r="M5" s="14"/>
      <c r="N5" s="14"/>
      <c r="O5" s="14"/>
      <c r="P5" s="14"/>
      <c r="Q5" s="14"/>
      <c r="R5" s="14"/>
      <c r="S5" s="14"/>
      <c r="T5" s="14"/>
      <c r="U5" s="14"/>
      <c r="V5" s="14"/>
      <c r="W5" s="14"/>
      <c r="X5" s="14"/>
      <c r="Y5" s="14"/>
      <c r="Z5" s="14"/>
      <c r="AA5" s="14"/>
    </row>
    <row r="6">
      <c r="A6" s="20"/>
      <c r="B6" s="38">
        <v>45798.0</v>
      </c>
      <c r="C6" s="41" t="s">
        <v>60</v>
      </c>
      <c r="D6" s="11" t="s">
        <v>64</v>
      </c>
      <c r="E6" s="14"/>
      <c r="F6" s="14"/>
      <c r="G6" s="14"/>
      <c r="H6" s="17"/>
      <c r="I6" s="14"/>
      <c r="J6" s="14"/>
      <c r="K6" s="14"/>
      <c r="L6" s="14"/>
      <c r="M6" s="14"/>
      <c r="N6" s="14"/>
      <c r="O6" s="14"/>
      <c r="P6" s="14"/>
      <c r="Q6" s="14"/>
      <c r="R6" s="14"/>
      <c r="S6" s="14"/>
      <c r="T6" s="14"/>
      <c r="U6" s="14"/>
      <c r="V6" s="14"/>
      <c r="W6" s="14"/>
      <c r="X6" s="14"/>
      <c r="Y6" s="14"/>
      <c r="Z6" s="14"/>
      <c r="AA6" s="14"/>
    </row>
    <row r="7">
      <c r="A7" s="20"/>
      <c r="B7" s="48">
        <v>45799.0</v>
      </c>
      <c r="C7" s="50" t="s">
        <v>60</v>
      </c>
      <c r="D7" s="14"/>
      <c r="E7" s="14"/>
      <c r="F7" s="14"/>
      <c r="G7" s="14"/>
      <c r="H7" s="17"/>
      <c r="I7" s="45"/>
      <c r="J7" s="14"/>
      <c r="K7" s="14"/>
      <c r="L7" s="14"/>
      <c r="M7" s="14"/>
      <c r="N7" s="14"/>
      <c r="O7" s="14"/>
      <c r="P7" s="14"/>
      <c r="Q7" s="14"/>
      <c r="R7" s="14"/>
      <c r="S7" s="14"/>
      <c r="T7" s="14"/>
      <c r="U7" s="14"/>
      <c r="V7" s="14"/>
      <c r="W7" s="14"/>
      <c r="X7" s="14"/>
      <c r="Y7" s="14"/>
      <c r="Z7" s="14"/>
      <c r="AA7" s="14"/>
    </row>
    <row r="8">
      <c r="A8" s="20"/>
      <c r="B8" s="38">
        <v>45804.0</v>
      </c>
      <c r="C8" s="41" t="s">
        <v>60</v>
      </c>
      <c r="D8" s="11" t="s">
        <v>72</v>
      </c>
      <c r="E8" s="14"/>
      <c r="F8" s="14"/>
      <c r="G8" s="14"/>
      <c r="H8" s="17"/>
      <c r="I8" s="45"/>
      <c r="J8" s="14"/>
      <c r="K8" s="14"/>
      <c r="L8" s="14"/>
      <c r="M8" s="14"/>
      <c r="N8" s="14"/>
      <c r="O8" s="14"/>
      <c r="P8" s="14"/>
      <c r="Q8" s="14"/>
      <c r="R8" s="14"/>
      <c r="S8" s="14"/>
      <c r="T8" s="14"/>
      <c r="U8" s="14"/>
      <c r="V8" s="14"/>
      <c r="W8" s="14"/>
      <c r="X8" s="14"/>
      <c r="Y8" s="14"/>
      <c r="Z8" s="14"/>
      <c r="AA8" s="14"/>
    </row>
    <row r="9">
      <c r="A9" s="60" t="s">
        <v>76</v>
      </c>
      <c r="B9" s="38">
        <v>45810.0</v>
      </c>
      <c r="C9" s="41" t="s">
        <v>36</v>
      </c>
      <c r="D9" s="11" t="s">
        <v>77</v>
      </c>
      <c r="E9" s="14"/>
      <c r="F9" s="14"/>
      <c r="G9" s="14"/>
      <c r="H9" s="17"/>
      <c r="I9" s="45"/>
      <c r="J9" s="14"/>
      <c r="K9" s="14"/>
      <c r="L9" s="14"/>
      <c r="M9" s="14"/>
      <c r="N9" s="14"/>
      <c r="O9" s="14"/>
      <c r="P9" s="14"/>
      <c r="Q9" s="14"/>
      <c r="R9" s="14"/>
      <c r="S9" s="14"/>
      <c r="T9" s="14"/>
      <c r="U9" s="14"/>
      <c r="V9" s="14"/>
      <c r="W9" s="14"/>
      <c r="X9" s="14"/>
      <c r="Y9" s="14"/>
      <c r="Z9" s="14"/>
      <c r="AA9" s="14"/>
    </row>
    <row r="10">
      <c r="A10" s="20"/>
      <c r="B10" s="38">
        <v>45810.0</v>
      </c>
      <c r="C10" s="41" t="s">
        <v>79</v>
      </c>
      <c r="D10" s="11" t="s">
        <v>80</v>
      </c>
      <c r="E10" s="14"/>
      <c r="F10" s="14"/>
      <c r="G10" s="14"/>
      <c r="H10" s="17"/>
      <c r="I10" s="45"/>
      <c r="J10" s="14"/>
      <c r="K10" s="14"/>
      <c r="L10" s="14"/>
      <c r="M10" s="14"/>
      <c r="N10" s="14"/>
      <c r="O10" s="14"/>
      <c r="P10" s="14"/>
      <c r="Q10" s="14"/>
      <c r="R10" s="14"/>
      <c r="S10" s="14"/>
      <c r="T10" s="14"/>
      <c r="U10" s="14"/>
      <c r="V10" s="14"/>
      <c r="W10" s="14"/>
      <c r="X10" s="14"/>
      <c r="Y10" s="14"/>
      <c r="Z10" s="14"/>
      <c r="AA10" s="14"/>
    </row>
    <row r="11">
      <c r="A11" s="20"/>
      <c r="B11" s="48">
        <v>45811.0</v>
      </c>
      <c r="C11" s="50" t="s">
        <v>60</v>
      </c>
      <c r="D11" s="14"/>
      <c r="E11" s="14"/>
      <c r="F11" s="14"/>
      <c r="G11" s="14"/>
      <c r="H11" s="17"/>
      <c r="I11" s="45"/>
      <c r="J11" s="14"/>
      <c r="K11" s="14"/>
      <c r="L11" s="14"/>
      <c r="M11" s="14"/>
      <c r="N11" s="14"/>
      <c r="O11" s="14"/>
      <c r="P11" s="14"/>
      <c r="Q11" s="14"/>
      <c r="R11" s="14"/>
      <c r="S11" s="14"/>
      <c r="T11" s="14"/>
      <c r="U11" s="14"/>
      <c r="V11" s="14"/>
      <c r="W11" s="14"/>
      <c r="X11" s="14"/>
      <c r="Y11" s="14"/>
      <c r="Z11" s="14"/>
      <c r="AA11" s="14"/>
    </row>
    <row r="12">
      <c r="A12" s="20"/>
      <c r="B12" s="48">
        <v>45812.0</v>
      </c>
      <c r="C12" s="50" t="s">
        <v>83</v>
      </c>
      <c r="D12" s="14"/>
      <c r="E12" s="14"/>
      <c r="F12" s="14"/>
      <c r="G12" s="14"/>
      <c r="H12" s="17"/>
      <c r="I12" s="45"/>
      <c r="J12" s="14"/>
      <c r="K12" s="14"/>
      <c r="L12" s="14"/>
      <c r="M12" s="14"/>
      <c r="N12" s="14"/>
      <c r="O12" s="14"/>
      <c r="P12" s="14"/>
      <c r="Q12" s="14"/>
      <c r="R12" s="14"/>
      <c r="S12" s="14"/>
      <c r="T12" s="14"/>
      <c r="U12" s="14"/>
      <c r="V12" s="14"/>
      <c r="W12" s="14"/>
      <c r="X12" s="14"/>
      <c r="Y12" s="14"/>
      <c r="Z12" s="14"/>
      <c r="AA12" s="14"/>
    </row>
    <row r="13">
      <c r="A13" s="20"/>
      <c r="B13" s="48">
        <v>45813.0</v>
      </c>
      <c r="C13" s="50" t="s">
        <v>60</v>
      </c>
      <c r="D13" s="14"/>
      <c r="E13" s="14"/>
      <c r="F13" s="14"/>
      <c r="G13" s="14"/>
      <c r="H13" s="17"/>
      <c r="I13" s="45"/>
      <c r="J13" s="14"/>
      <c r="K13" s="14"/>
      <c r="L13" s="14"/>
      <c r="M13" s="14"/>
      <c r="N13" s="14"/>
      <c r="O13" s="14"/>
      <c r="P13" s="14"/>
      <c r="Q13" s="14"/>
      <c r="R13" s="14"/>
      <c r="S13" s="14"/>
      <c r="T13" s="14"/>
      <c r="U13" s="14"/>
      <c r="V13" s="14"/>
      <c r="W13" s="14"/>
      <c r="X13" s="14"/>
      <c r="Y13" s="14"/>
      <c r="Z13" s="14"/>
      <c r="AA13" s="14"/>
    </row>
    <row r="14">
      <c r="A14" s="20"/>
      <c r="B14" s="48">
        <v>45814.0</v>
      </c>
      <c r="C14" s="50" t="s">
        <v>60</v>
      </c>
      <c r="D14" s="14"/>
      <c r="E14" s="14"/>
      <c r="F14" s="14"/>
      <c r="G14" s="14"/>
      <c r="H14" s="17"/>
      <c r="I14" s="45"/>
      <c r="J14" s="14"/>
      <c r="K14" s="14"/>
      <c r="L14" s="14"/>
      <c r="M14" s="14"/>
      <c r="N14" s="14"/>
      <c r="O14" s="14"/>
      <c r="P14" s="14"/>
      <c r="Q14" s="14"/>
      <c r="R14" s="14"/>
      <c r="S14" s="14"/>
      <c r="T14" s="14"/>
      <c r="U14" s="14"/>
      <c r="V14" s="14"/>
      <c r="W14" s="14"/>
      <c r="X14" s="14"/>
      <c r="Y14" s="14"/>
      <c r="Z14" s="14"/>
      <c r="AA14" s="14"/>
    </row>
    <row r="15">
      <c r="A15" s="20"/>
      <c r="B15" s="48">
        <v>45814.0</v>
      </c>
      <c r="C15" s="50" t="s">
        <v>83</v>
      </c>
      <c r="D15" s="14"/>
      <c r="E15" s="14"/>
      <c r="F15" s="14"/>
      <c r="G15" s="14"/>
      <c r="H15" s="17"/>
      <c r="I15" s="45"/>
      <c r="J15" s="14"/>
      <c r="K15" s="14"/>
      <c r="L15" s="14"/>
      <c r="M15" s="14"/>
      <c r="N15" s="14"/>
      <c r="O15" s="14"/>
      <c r="P15" s="14"/>
      <c r="Q15" s="14"/>
      <c r="R15" s="14"/>
      <c r="S15" s="14"/>
      <c r="T15" s="14"/>
      <c r="U15" s="14"/>
      <c r="V15" s="14"/>
      <c r="W15" s="14"/>
      <c r="X15" s="14"/>
      <c r="Y15" s="14"/>
      <c r="Z15" s="14"/>
      <c r="AA15" s="14"/>
    </row>
    <row r="16">
      <c r="A16" s="20"/>
      <c r="B16" s="38">
        <v>45817.0</v>
      </c>
      <c r="C16" s="41" t="s">
        <v>98</v>
      </c>
      <c r="D16" s="11" t="s">
        <v>100</v>
      </c>
      <c r="E16" s="14"/>
      <c r="F16" s="14"/>
      <c r="G16" s="14"/>
      <c r="H16" s="17"/>
      <c r="I16" s="45"/>
      <c r="J16" s="14"/>
      <c r="K16" s="14"/>
      <c r="L16" s="14"/>
      <c r="M16" s="14"/>
      <c r="N16" s="14"/>
      <c r="O16" s="14"/>
      <c r="P16" s="14"/>
      <c r="Q16" s="14"/>
      <c r="R16" s="14"/>
      <c r="S16" s="14"/>
      <c r="T16" s="14"/>
      <c r="U16" s="14"/>
      <c r="V16" s="14"/>
      <c r="W16" s="14"/>
      <c r="X16" s="14"/>
      <c r="Y16" s="14"/>
      <c r="Z16" s="14"/>
      <c r="AA16" s="14"/>
    </row>
    <row r="17">
      <c r="A17" s="20"/>
      <c r="B17" s="48">
        <v>45817.0</v>
      </c>
      <c r="C17" s="50" t="s">
        <v>83</v>
      </c>
      <c r="D17" s="14"/>
      <c r="E17" s="14"/>
      <c r="F17" s="14"/>
      <c r="G17" s="14"/>
      <c r="H17" s="17"/>
      <c r="I17" s="45"/>
      <c r="J17" s="14"/>
      <c r="K17" s="14"/>
      <c r="L17" s="14"/>
      <c r="M17" s="14"/>
      <c r="N17" s="14"/>
      <c r="O17" s="14"/>
      <c r="P17" s="14"/>
      <c r="Q17" s="14"/>
      <c r="R17" s="14"/>
      <c r="S17" s="14"/>
      <c r="T17" s="14"/>
      <c r="U17" s="14"/>
      <c r="V17" s="14"/>
      <c r="W17" s="14"/>
      <c r="X17" s="14"/>
      <c r="Y17" s="14"/>
      <c r="Z17" s="14"/>
      <c r="AA17" s="14"/>
    </row>
    <row r="18">
      <c r="A18" s="20"/>
      <c r="B18" s="48">
        <v>45818.0</v>
      </c>
      <c r="C18" s="50" t="s">
        <v>60</v>
      </c>
      <c r="D18" s="14"/>
      <c r="E18" s="14"/>
      <c r="F18" s="14"/>
      <c r="G18" s="14"/>
      <c r="H18" s="17"/>
      <c r="I18" s="20"/>
      <c r="J18" s="14"/>
      <c r="K18" s="14"/>
      <c r="L18" s="14"/>
      <c r="M18" s="14"/>
      <c r="N18" s="14"/>
      <c r="O18" s="14"/>
      <c r="P18" s="14"/>
      <c r="Q18" s="14"/>
      <c r="R18" s="14"/>
      <c r="S18" s="14"/>
      <c r="T18" s="14"/>
      <c r="U18" s="14"/>
      <c r="V18" s="14"/>
      <c r="W18" s="14"/>
      <c r="X18" s="14"/>
      <c r="Y18" s="14"/>
      <c r="Z18" s="14"/>
      <c r="AA18" s="14"/>
    </row>
    <row r="19">
      <c r="A19" s="20"/>
      <c r="B19" s="48">
        <v>45819.0</v>
      </c>
      <c r="C19" s="50" t="s">
        <v>60</v>
      </c>
      <c r="D19" s="14"/>
      <c r="E19" s="14"/>
      <c r="F19" s="14"/>
      <c r="G19" s="14"/>
      <c r="H19" s="17"/>
      <c r="I19" s="20"/>
      <c r="J19" s="14"/>
      <c r="K19" s="14"/>
      <c r="L19" s="14"/>
      <c r="M19" s="14"/>
      <c r="N19" s="14"/>
      <c r="O19" s="14"/>
      <c r="P19" s="14"/>
      <c r="Q19" s="14"/>
      <c r="R19" s="14"/>
      <c r="S19" s="14"/>
      <c r="T19" s="14"/>
      <c r="U19" s="14"/>
      <c r="V19" s="14"/>
      <c r="W19" s="14"/>
      <c r="X19" s="14"/>
      <c r="Y19" s="14"/>
      <c r="Z19" s="14"/>
      <c r="AA19" s="14"/>
    </row>
    <row r="20">
      <c r="A20" s="20"/>
      <c r="B20" s="48">
        <v>45819.0</v>
      </c>
      <c r="C20" s="50" t="s">
        <v>83</v>
      </c>
      <c r="D20" s="17" t="s">
        <v>109</v>
      </c>
      <c r="E20" s="14"/>
      <c r="F20" s="14"/>
      <c r="G20" s="14"/>
      <c r="H20" s="17"/>
      <c r="I20" s="45"/>
      <c r="J20" s="14"/>
      <c r="K20" s="14"/>
      <c r="L20" s="14"/>
      <c r="M20" s="14"/>
      <c r="N20" s="14"/>
      <c r="O20" s="14"/>
      <c r="P20" s="14"/>
      <c r="Q20" s="14"/>
      <c r="R20" s="14"/>
      <c r="S20" s="14"/>
      <c r="T20" s="14"/>
      <c r="U20" s="14"/>
      <c r="V20" s="14"/>
      <c r="W20" s="14"/>
      <c r="X20" s="14"/>
      <c r="Y20" s="14"/>
      <c r="Z20" s="14"/>
      <c r="AA20" s="14"/>
    </row>
    <row r="21">
      <c r="A21" s="20"/>
      <c r="B21" s="38">
        <v>45821.0</v>
      </c>
      <c r="C21" s="41" t="s">
        <v>36</v>
      </c>
      <c r="D21" s="11" t="s">
        <v>112</v>
      </c>
      <c r="E21" s="14"/>
      <c r="F21" s="14"/>
      <c r="G21" s="14"/>
      <c r="H21" s="17"/>
      <c r="I21" s="20"/>
      <c r="J21" s="14"/>
      <c r="K21" s="14"/>
      <c r="L21" s="14"/>
      <c r="M21" s="14"/>
      <c r="N21" s="14"/>
      <c r="O21" s="14"/>
      <c r="P21" s="14"/>
      <c r="Q21" s="14"/>
      <c r="R21" s="14"/>
      <c r="S21" s="14"/>
      <c r="T21" s="14"/>
      <c r="U21" s="14"/>
      <c r="V21" s="14"/>
      <c r="W21" s="14"/>
      <c r="X21" s="14"/>
      <c r="Y21" s="14"/>
      <c r="Z21" s="14"/>
      <c r="AA21" s="14"/>
    </row>
    <row r="22">
      <c r="A22" s="34" t="s">
        <v>115</v>
      </c>
      <c r="B22" s="75">
        <v>45847.0</v>
      </c>
      <c r="C22" s="41" t="s">
        <v>36</v>
      </c>
      <c r="D22" s="11" t="s">
        <v>119</v>
      </c>
      <c r="E22" s="14"/>
      <c r="F22" s="14"/>
      <c r="G22" s="14"/>
      <c r="H22" s="17"/>
      <c r="I22" s="20"/>
      <c r="J22" s="14"/>
      <c r="K22" s="14"/>
      <c r="L22" s="14"/>
      <c r="M22" s="14"/>
      <c r="N22" s="14"/>
      <c r="O22" s="14"/>
      <c r="P22" s="14"/>
      <c r="Q22" s="14"/>
      <c r="R22" s="14"/>
      <c r="S22" s="14"/>
      <c r="T22" s="14"/>
      <c r="U22" s="14"/>
      <c r="V22" s="14"/>
      <c r="W22" s="14"/>
      <c r="X22" s="14"/>
      <c r="Y22" s="14"/>
      <c r="Z22" s="14"/>
      <c r="AA22" s="14"/>
    </row>
    <row r="23">
      <c r="A23" s="14"/>
      <c r="B23" s="75">
        <v>45847.0</v>
      </c>
      <c r="C23" s="41" t="s">
        <v>123</v>
      </c>
      <c r="D23" s="11" t="s">
        <v>119</v>
      </c>
      <c r="E23" s="14"/>
      <c r="F23" s="14"/>
      <c r="G23" s="14"/>
      <c r="H23" s="17"/>
      <c r="I23" s="20"/>
      <c r="J23" s="14"/>
      <c r="K23" s="14"/>
      <c r="L23" s="14"/>
      <c r="M23" s="14"/>
      <c r="N23" s="14"/>
      <c r="O23" s="14"/>
      <c r="P23" s="14"/>
      <c r="Q23" s="14"/>
      <c r="R23" s="14"/>
      <c r="S23" s="14"/>
      <c r="T23" s="14"/>
      <c r="U23" s="14"/>
      <c r="V23" s="14"/>
      <c r="W23" s="14"/>
      <c r="X23" s="14"/>
      <c r="Y23" s="14"/>
      <c r="Z23" s="14"/>
      <c r="AA23" s="14"/>
    </row>
    <row r="24">
      <c r="A24" s="14"/>
      <c r="B24" s="79">
        <v>45848.0</v>
      </c>
      <c r="C24" s="50" t="s">
        <v>60</v>
      </c>
      <c r="D24" s="81" t="s">
        <v>118</v>
      </c>
      <c r="E24" s="14"/>
      <c r="F24" s="14"/>
      <c r="G24" s="14"/>
      <c r="H24" s="17"/>
      <c r="I24" s="45"/>
      <c r="J24" s="14"/>
      <c r="K24" s="14"/>
      <c r="L24" s="14"/>
      <c r="M24" s="14"/>
      <c r="N24" s="14"/>
      <c r="O24" s="14"/>
      <c r="P24" s="14"/>
      <c r="Q24" s="14"/>
      <c r="R24" s="14"/>
      <c r="S24" s="14"/>
      <c r="T24" s="14"/>
      <c r="U24" s="14"/>
      <c r="V24" s="14"/>
      <c r="W24" s="14"/>
      <c r="X24" s="14"/>
      <c r="Y24" s="14"/>
      <c r="Z24" s="14"/>
      <c r="AA24" s="14"/>
    </row>
    <row r="25">
      <c r="A25" s="14"/>
      <c r="B25" s="82">
        <v>45852.0</v>
      </c>
      <c r="C25" s="81" t="s">
        <v>131</v>
      </c>
      <c r="D25" s="81" t="s">
        <v>132</v>
      </c>
      <c r="E25" s="14"/>
      <c r="F25" s="14"/>
      <c r="G25" s="14"/>
      <c r="H25" s="17"/>
      <c r="I25" s="45"/>
      <c r="J25" s="14"/>
      <c r="K25" s="14"/>
      <c r="L25" s="14"/>
      <c r="M25" s="14"/>
      <c r="N25" s="14"/>
      <c r="O25" s="14"/>
      <c r="P25" s="14"/>
      <c r="Q25" s="14"/>
      <c r="R25" s="14"/>
      <c r="S25" s="14"/>
      <c r="T25" s="14"/>
      <c r="U25" s="14"/>
      <c r="V25" s="14"/>
      <c r="W25" s="14"/>
      <c r="X25" s="14"/>
      <c r="Y25" s="14"/>
      <c r="Z25" s="14"/>
      <c r="AA25" s="14"/>
    </row>
    <row r="26">
      <c r="A26" s="14"/>
      <c r="B26" s="79">
        <v>45859.0</v>
      </c>
      <c r="C26" s="50" t="s">
        <v>134</v>
      </c>
      <c r="D26" s="81"/>
      <c r="E26" s="14"/>
      <c r="F26" s="14"/>
      <c r="G26" s="14"/>
      <c r="H26" s="17"/>
      <c r="I26" s="45"/>
      <c r="J26" s="14"/>
      <c r="K26" s="14"/>
      <c r="L26" s="14"/>
      <c r="M26" s="14"/>
      <c r="N26" s="14"/>
      <c r="O26" s="14"/>
      <c r="P26" s="14"/>
      <c r="Q26" s="14"/>
      <c r="R26" s="14"/>
      <c r="S26" s="14"/>
      <c r="T26" s="14"/>
      <c r="U26" s="14"/>
      <c r="V26" s="14"/>
      <c r="W26" s="14"/>
      <c r="X26" s="14"/>
      <c r="Y26" s="14"/>
      <c r="Z26" s="14"/>
      <c r="AA26" s="14"/>
    </row>
    <row r="27">
      <c r="A27" s="14"/>
      <c r="B27" s="79">
        <v>45861.0</v>
      </c>
      <c r="C27" s="50" t="s">
        <v>136</v>
      </c>
      <c r="D27" s="81" t="s">
        <v>137</v>
      </c>
      <c r="E27" s="14"/>
      <c r="F27" s="14"/>
      <c r="G27" s="14"/>
      <c r="H27" s="17"/>
      <c r="I27" s="17"/>
      <c r="J27" s="14"/>
      <c r="K27" s="14"/>
      <c r="L27" s="14"/>
      <c r="M27" s="14"/>
      <c r="N27" s="14"/>
      <c r="O27" s="14"/>
      <c r="P27" s="14"/>
      <c r="Q27" s="14"/>
      <c r="R27" s="14"/>
      <c r="S27" s="14"/>
      <c r="T27" s="14"/>
      <c r="U27" s="14"/>
      <c r="V27" s="14"/>
      <c r="W27" s="14"/>
      <c r="X27" s="14"/>
      <c r="Y27" s="14"/>
      <c r="Z27" s="14"/>
      <c r="AA27" s="14"/>
    </row>
    <row r="28">
      <c r="A28" s="14"/>
      <c r="B28" s="75">
        <v>45866.0</v>
      </c>
      <c r="C28" s="41" t="s">
        <v>131</v>
      </c>
      <c r="D28" s="88" t="s">
        <v>139</v>
      </c>
      <c r="E28" s="14"/>
      <c r="F28" s="14"/>
      <c r="G28" s="14"/>
      <c r="H28" s="17"/>
      <c r="I28" s="20"/>
      <c r="J28" s="14"/>
      <c r="K28" s="14"/>
      <c r="L28" s="14"/>
      <c r="M28" s="14"/>
      <c r="N28" s="14"/>
      <c r="O28" s="14"/>
      <c r="P28" s="14"/>
      <c r="Q28" s="14"/>
      <c r="R28" s="14"/>
      <c r="S28" s="14"/>
      <c r="T28" s="14"/>
      <c r="U28" s="14"/>
      <c r="V28" s="14"/>
      <c r="W28" s="14"/>
      <c r="X28" s="14"/>
      <c r="Y28" s="14"/>
      <c r="Z28" s="14"/>
      <c r="AA28" s="14"/>
    </row>
    <row r="29">
      <c r="A29" s="14"/>
      <c r="B29" s="79">
        <v>45866.0</v>
      </c>
      <c r="C29" s="50" t="s">
        <v>142</v>
      </c>
      <c r="D29" s="17" t="s">
        <v>144</v>
      </c>
      <c r="E29" s="14"/>
      <c r="F29" s="14"/>
      <c r="G29" s="14"/>
      <c r="H29" s="17"/>
      <c r="I29" s="20"/>
      <c r="J29" s="14"/>
      <c r="K29" s="14"/>
      <c r="L29" s="14"/>
      <c r="M29" s="14"/>
      <c r="N29" s="14"/>
      <c r="O29" s="14"/>
      <c r="P29" s="14"/>
      <c r="Q29" s="14"/>
      <c r="R29" s="14"/>
      <c r="S29" s="14"/>
      <c r="T29" s="14"/>
      <c r="U29" s="14"/>
      <c r="V29" s="14"/>
      <c r="W29" s="14"/>
      <c r="X29" s="14"/>
      <c r="Y29" s="14"/>
      <c r="Z29" s="14"/>
      <c r="AA29" s="14"/>
    </row>
    <row r="30">
      <c r="A30" s="14"/>
      <c r="B30" s="79">
        <v>45868.0</v>
      </c>
      <c r="C30" s="50" t="s">
        <v>146</v>
      </c>
      <c r="D30" s="81" t="s">
        <v>144</v>
      </c>
      <c r="E30" s="14"/>
      <c r="F30" s="14"/>
      <c r="G30" s="14"/>
      <c r="H30" s="17"/>
      <c r="I30" s="20"/>
      <c r="J30" s="14"/>
      <c r="K30" s="14"/>
      <c r="L30" s="14"/>
      <c r="M30" s="14"/>
      <c r="N30" s="14"/>
      <c r="O30" s="14"/>
      <c r="P30" s="14"/>
      <c r="Q30" s="14"/>
      <c r="R30" s="14"/>
      <c r="S30" s="14"/>
      <c r="T30" s="14"/>
      <c r="U30" s="14"/>
      <c r="V30" s="14"/>
      <c r="W30" s="14"/>
      <c r="X30" s="14"/>
      <c r="Y30" s="14"/>
      <c r="Z30" s="14"/>
      <c r="AA30" s="14"/>
    </row>
    <row r="31">
      <c r="A31" s="60" t="s">
        <v>150</v>
      </c>
      <c r="B31" s="79">
        <v>45870.0</v>
      </c>
      <c r="C31" s="50" t="s">
        <v>146</v>
      </c>
      <c r="D31" s="81"/>
      <c r="E31" s="14"/>
      <c r="F31" s="14"/>
      <c r="G31" s="14"/>
      <c r="H31" s="17"/>
      <c r="I31" s="20"/>
      <c r="J31" s="14"/>
      <c r="K31" s="14"/>
      <c r="L31" s="14"/>
      <c r="M31" s="14"/>
      <c r="N31" s="14"/>
      <c r="O31" s="14"/>
      <c r="P31" s="14"/>
      <c r="Q31" s="14"/>
      <c r="R31" s="14"/>
      <c r="S31" s="14"/>
      <c r="T31" s="14"/>
      <c r="U31" s="14"/>
      <c r="V31" s="14"/>
      <c r="W31" s="14"/>
      <c r="X31" s="14"/>
      <c r="Y31" s="14"/>
      <c r="Z31" s="14"/>
      <c r="AA31" s="14"/>
    </row>
    <row r="32">
      <c r="A32" s="14"/>
      <c r="B32" s="95">
        <v>45873.0</v>
      </c>
      <c r="C32" s="17" t="s">
        <v>155</v>
      </c>
      <c r="D32" s="17" t="s">
        <v>156</v>
      </c>
      <c r="E32" s="14"/>
      <c r="F32" s="14"/>
      <c r="G32" s="14"/>
      <c r="H32" s="17"/>
      <c r="I32" s="20"/>
      <c r="J32" s="14"/>
      <c r="K32" s="14"/>
      <c r="L32" s="14"/>
      <c r="M32" s="14"/>
      <c r="N32" s="14"/>
      <c r="O32" s="14"/>
      <c r="P32" s="14"/>
      <c r="Q32" s="14"/>
      <c r="R32" s="14"/>
      <c r="S32" s="14"/>
      <c r="T32" s="14"/>
      <c r="U32" s="14"/>
      <c r="V32" s="14"/>
      <c r="W32" s="14"/>
      <c r="X32" s="14"/>
      <c r="Y32" s="14"/>
      <c r="Z32" s="14"/>
      <c r="AA32" s="14"/>
    </row>
    <row r="33">
      <c r="A33" s="14"/>
      <c r="B33" s="95">
        <v>45873.0</v>
      </c>
      <c r="C33" s="17" t="s">
        <v>158</v>
      </c>
      <c r="D33" s="17" t="s">
        <v>159</v>
      </c>
      <c r="E33" s="14"/>
      <c r="F33" s="14"/>
      <c r="G33" s="14"/>
      <c r="H33" s="17"/>
      <c r="I33" s="20"/>
      <c r="J33" s="14"/>
      <c r="K33" s="14"/>
      <c r="L33" s="14"/>
      <c r="M33" s="14"/>
      <c r="N33" s="14"/>
      <c r="O33" s="14"/>
      <c r="P33" s="14"/>
      <c r="Q33" s="14"/>
      <c r="R33" s="14"/>
      <c r="S33" s="14"/>
      <c r="T33" s="14"/>
      <c r="U33" s="14"/>
      <c r="V33" s="14"/>
      <c r="W33" s="14"/>
      <c r="X33" s="14"/>
      <c r="Y33" s="14"/>
      <c r="Z33" s="14"/>
      <c r="AA33" s="14"/>
    </row>
    <row r="34">
      <c r="A34" s="14"/>
      <c r="B34" s="99">
        <v>45877.0</v>
      </c>
      <c r="C34" s="50" t="s">
        <v>166</v>
      </c>
      <c r="D34" s="14"/>
      <c r="E34" s="14"/>
      <c r="F34" s="14"/>
      <c r="G34" s="14"/>
      <c r="H34" s="17"/>
      <c r="I34" s="20"/>
      <c r="J34" s="14"/>
      <c r="K34" s="14"/>
      <c r="L34" s="14"/>
      <c r="M34" s="14"/>
      <c r="N34" s="14"/>
      <c r="O34" s="14"/>
      <c r="P34" s="14"/>
      <c r="Q34" s="14"/>
      <c r="R34" s="14"/>
      <c r="S34" s="14"/>
      <c r="T34" s="14"/>
      <c r="U34" s="14"/>
      <c r="V34" s="14"/>
      <c r="W34" s="14"/>
      <c r="X34" s="14"/>
      <c r="Y34" s="14"/>
      <c r="Z34" s="14"/>
      <c r="AA34" s="14"/>
    </row>
    <row r="35">
      <c r="A35" s="14"/>
      <c r="B35" s="99">
        <v>45880.0</v>
      </c>
      <c r="C35" s="50" t="s">
        <v>166</v>
      </c>
      <c r="D35" s="14"/>
      <c r="E35" s="14"/>
      <c r="F35" s="14"/>
      <c r="G35" s="14"/>
      <c r="H35" s="17"/>
      <c r="I35" s="20"/>
      <c r="J35" s="14"/>
      <c r="K35" s="14"/>
      <c r="L35" s="14"/>
      <c r="M35" s="14"/>
      <c r="N35" s="14"/>
      <c r="O35" s="14"/>
      <c r="P35" s="14"/>
      <c r="Q35" s="14"/>
      <c r="R35" s="14"/>
      <c r="S35" s="14"/>
      <c r="T35" s="14"/>
      <c r="U35" s="14"/>
      <c r="V35" s="14"/>
      <c r="W35" s="14"/>
      <c r="X35" s="14"/>
      <c r="Y35" s="14"/>
      <c r="Z35" s="14"/>
      <c r="AA35" s="14"/>
    </row>
    <row r="36">
      <c r="A36" s="14"/>
      <c r="B36" s="99">
        <v>45880.0</v>
      </c>
      <c r="C36" s="50" t="s">
        <v>83</v>
      </c>
      <c r="D36" s="17" t="s">
        <v>171</v>
      </c>
      <c r="E36" s="14"/>
      <c r="F36" s="14"/>
      <c r="G36" s="14"/>
      <c r="H36" s="17"/>
      <c r="I36" s="20"/>
      <c r="J36" s="14"/>
      <c r="K36" s="14"/>
      <c r="L36" s="14"/>
      <c r="M36" s="14"/>
      <c r="N36" s="14"/>
      <c r="O36" s="14"/>
      <c r="P36" s="14"/>
      <c r="Q36" s="14"/>
      <c r="R36" s="14"/>
      <c r="S36" s="14"/>
      <c r="T36" s="14"/>
      <c r="U36" s="14"/>
      <c r="V36" s="14"/>
      <c r="W36" s="14"/>
      <c r="X36" s="14"/>
      <c r="Y36" s="14"/>
      <c r="Z36" s="14"/>
      <c r="AA36" s="14"/>
    </row>
    <row r="37">
      <c r="A37" s="14"/>
      <c r="B37" s="75">
        <v>45882.0</v>
      </c>
      <c r="C37" s="80" t="s">
        <v>174</v>
      </c>
      <c r="D37" s="17"/>
      <c r="E37" s="14"/>
      <c r="F37" s="14"/>
      <c r="G37" s="14"/>
      <c r="H37" s="17"/>
      <c r="I37" s="45"/>
      <c r="J37" s="14"/>
      <c r="K37" s="14"/>
      <c r="L37" s="14"/>
      <c r="M37" s="14"/>
      <c r="N37" s="14"/>
      <c r="O37" s="14"/>
      <c r="P37" s="14"/>
      <c r="Q37" s="14"/>
      <c r="R37" s="14"/>
      <c r="S37" s="14"/>
      <c r="T37" s="14"/>
      <c r="U37" s="14"/>
      <c r="V37" s="14"/>
      <c r="W37" s="14"/>
      <c r="X37" s="14"/>
      <c r="Y37" s="14"/>
      <c r="Z37" s="14"/>
      <c r="AA37" s="14"/>
    </row>
    <row r="38">
      <c r="A38" s="14"/>
      <c r="B38" s="75">
        <v>45882.0</v>
      </c>
      <c r="C38" s="80" t="s">
        <v>177</v>
      </c>
      <c r="D38" s="17" t="s">
        <v>24</v>
      </c>
      <c r="E38" s="14"/>
      <c r="F38" s="14"/>
      <c r="G38" s="14"/>
      <c r="H38" s="17"/>
      <c r="I38" s="20"/>
      <c r="J38" s="14"/>
      <c r="K38" s="14"/>
      <c r="L38" s="14"/>
      <c r="M38" s="14"/>
      <c r="N38" s="14"/>
      <c r="O38" s="14"/>
      <c r="P38" s="14"/>
      <c r="Q38" s="14"/>
      <c r="R38" s="14"/>
      <c r="S38" s="14"/>
      <c r="T38" s="14"/>
      <c r="U38" s="14"/>
      <c r="V38" s="14"/>
      <c r="W38" s="14"/>
      <c r="X38" s="14"/>
      <c r="Y38" s="14"/>
      <c r="Z38" s="14"/>
      <c r="AA38" s="14"/>
    </row>
    <row r="39">
      <c r="A39" s="14"/>
      <c r="B39" s="79">
        <v>45889.0</v>
      </c>
      <c r="C39" s="50" t="s">
        <v>179</v>
      </c>
      <c r="D39" s="14"/>
      <c r="E39" s="14"/>
      <c r="F39" s="14"/>
      <c r="G39" s="14"/>
      <c r="H39" s="17"/>
      <c r="I39" s="14"/>
      <c r="J39" s="14"/>
      <c r="K39" s="14"/>
      <c r="L39" s="14"/>
      <c r="M39" s="14"/>
      <c r="N39" s="14"/>
      <c r="O39" s="14"/>
      <c r="P39" s="14"/>
      <c r="Q39" s="14"/>
      <c r="R39" s="14"/>
      <c r="S39" s="14"/>
      <c r="T39" s="14"/>
      <c r="U39" s="14"/>
      <c r="V39" s="14"/>
      <c r="W39" s="14"/>
      <c r="X39" s="14"/>
      <c r="Y39" s="14"/>
      <c r="Z39" s="14"/>
      <c r="AA39" s="14"/>
    </row>
    <row r="40">
      <c r="A40" s="14"/>
      <c r="B40" s="79">
        <v>45889.0</v>
      </c>
      <c r="C40" s="50" t="s">
        <v>83</v>
      </c>
      <c r="D40" s="14"/>
      <c r="E40" s="14"/>
      <c r="F40" s="14"/>
      <c r="G40" s="14"/>
      <c r="H40" s="17"/>
      <c r="I40" s="14"/>
      <c r="J40" s="14"/>
      <c r="K40" s="14"/>
      <c r="L40" s="14"/>
      <c r="M40" s="14"/>
      <c r="N40" s="14"/>
      <c r="O40" s="14"/>
      <c r="P40" s="14"/>
      <c r="Q40" s="14"/>
      <c r="R40" s="14"/>
      <c r="S40" s="14"/>
      <c r="T40" s="14"/>
      <c r="U40" s="14"/>
      <c r="V40" s="14"/>
      <c r="W40" s="14"/>
      <c r="X40" s="14"/>
      <c r="Y40" s="14"/>
      <c r="Z40" s="14"/>
      <c r="AA40" s="14"/>
    </row>
    <row r="41">
      <c r="A41" s="14"/>
      <c r="B41" s="75">
        <v>45890.0</v>
      </c>
      <c r="C41" s="80" t="s">
        <v>179</v>
      </c>
      <c r="D41" s="14" t="s">
        <v>187</v>
      </c>
      <c r="E41" s="14"/>
      <c r="F41" s="14"/>
      <c r="G41" s="14"/>
      <c r="H41" s="17"/>
      <c r="I41" s="14"/>
      <c r="J41" s="14"/>
      <c r="K41" s="14"/>
      <c r="L41" s="14"/>
      <c r="M41" s="14"/>
      <c r="N41" s="14"/>
      <c r="O41" s="14"/>
      <c r="P41" s="14"/>
      <c r="Q41" s="14"/>
      <c r="R41" s="14"/>
      <c r="S41" s="14"/>
      <c r="T41" s="14"/>
      <c r="U41" s="14"/>
      <c r="V41" s="14"/>
      <c r="W41" s="14"/>
      <c r="X41" s="14"/>
      <c r="Y41" s="14"/>
      <c r="Z41" s="14"/>
      <c r="AA41" s="14"/>
    </row>
    <row r="42">
      <c r="A42" s="17"/>
      <c r="B42" s="79">
        <v>45891.0</v>
      </c>
      <c r="C42" s="50" t="s">
        <v>189</v>
      </c>
      <c r="D42" s="14"/>
      <c r="E42" s="14"/>
      <c r="F42" s="14"/>
      <c r="G42" s="14"/>
      <c r="H42" s="17"/>
      <c r="I42" s="14"/>
      <c r="J42" s="14"/>
      <c r="K42" s="14"/>
      <c r="L42" s="14"/>
      <c r="M42" s="14"/>
      <c r="N42" s="14"/>
      <c r="O42" s="14"/>
      <c r="P42" s="14"/>
      <c r="Q42" s="14"/>
      <c r="R42" s="14"/>
      <c r="S42" s="14"/>
      <c r="T42" s="14"/>
      <c r="U42" s="14"/>
      <c r="V42" s="14"/>
      <c r="W42" s="14"/>
      <c r="X42" s="14"/>
      <c r="Y42" s="14"/>
      <c r="Z42" s="14"/>
      <c r="AA42" s="14"/>
    </row>
    <row r="43">
      <c r="A43" s="17"/>
      <c r="B43" s="79">
        <v>45891.0</v>
      </c>
      <c r="C43" s="50" t="s">
        <v>142</v>
      </c>
      <c r="D43" s="14"/>
      <c r="E43" s="14"/>
      <c r="F43" s="14"/>
      <c r="G43" s="14"/>
      <c r="H43" s="14"/>
      <c r="I43" s="14"/>
      <c r="J43" s="14"/>
      <c r="K43" s="14"/>
      <c r="L43" s="14"/>
      <c r="M43" s="14"/>
      <c r="N43" s="14"/>
      <c r="O43" s="14"/>
      <c r="P43" s="14"/>
      <c r="Q43" s="14"/>
      <c r="R43" s="14"/>
      <c r="S43" s="14"/>
      <c r="T43" s="14"/>
      <c r="U43" s="14"/>
      <c r="V43" s="14"/>
      <c r="W43" s="14"/>
      <c r="X43" s="14"/>
      <c r="Y43" s="14"/>
      <c r="Z43" s="14"/>
      <c r="AA43" s="14"/>
    </row>
    <row r="44">
      <c r="A44" s="14"/>
      <c r="B44" s="79">
        <v>45894.0</v>
      </c>
      <c r="C44" s="50" t="s">
        <v>142</v>
      </c>
      <c r="D44" s="14"/>
      <c r="E44" s="14"/>
      <c r="F44" s="14"/>
      <c r="G44" s="14"/>
      <c r="H44" s="14"/>
      <c r="I44" s="14"/>
      <c r="J44" s="14"/>
      <c r="K44" s="14"/>
      <c r="L44" s="14"/>
      <c r="M44" s="14"/>
      <c r="N44" s="14"/>
      <c r="O44" s="14"/>
      <c r="P44" s="14"/>
      <c r="Q44" s="14"/>
      <c r="R44" s="14"/>
      <c r="S44" s="14"/>
      <c r="T44" s="14"/>
      <c r="U44" s="14"/>
      <c r="V44" s="14"/>
      <c r="W44" s="14"/>
      <c r="X44" s="14"/>
      <c r="Y44" s="14"/>
      <c r="Z44" s="14"/>
      <c r="AA44" s="14"/>
    </row>
    <row r="45">
      <c r="A45" s="14"/>
      <c r="B45" s="107">
        <v>45896.0</v>
      </c>
      <c r="C45" s="80" t="s">
        <v>199</v>
      </c>
      <c r="D45" s="14"/>
      <c r="E45" s="14"/>
      <c r="F45" s="14"/>
      <c r="G45" s="14"/>
      <c r="H45" s="14"/>
      <c r="I45" s="14"/>
      <c r="J45" s="14"/>
      <c r="K45" s="14"/>
      <c r="L45" s="14"/>
      <c r="M45" s="14"/>
      <c r="N45" s="14"/>
      <c r="O45" s="14"/>
      <c r="P45" s="14"/>
      <c r="Q45" s="14"/>
      <c r="R45" s="14"/>
      <c r="S45" s="14"/>
      <c r="T45" s="14"/>
      <c r="U45" s="14"/>
      <c r="V45" s="14"/>
      <c r="W45" s="14"/>
      <c r="X45" s="14"/>
      <c r="Y45" s="14"/>
      <c r="Z45" s="14"/>
      <c r="AA45" s="14"/>
    </row>
    <row r="46">
      <c r="A46" s="34" t="s">
        <v>200</v>
      </c>
      <c r="B46" s="75">
        <v>45904.0</v>
      </c>
      <c r="C46" s="80" t="s">
        <v>202</v>
      </c>
      <c r="D46" s="17"/>
      <c r="E46" s="14"/>
      <c r="F46" s="14"/>
      <c r="G46" s="14"/>
      <c r="H46" s="14"/>
      <c r="I46" s="14"/>
      <c r="J46" s="14"/>
      <c r="K46" s="14"/>
      <c r="L46" s="14"/>
      <c r="M46" s="14"/>
      <c r="N46" s="14"/>
      <c r="O46" s="14"/>
      <c r="P46" s="14"/>
      <c r="Q46" s="14"/>
      <c r="R46" s="14"/>
      <c r="S46" s="14"/>
      <c r="T46" s="14"/>
      <c r="U46" s="14"/>
      <c r="V46" s="14"/>
      <c r="W46" s="14"/>
      <c r="X46" s="14"/>
      <c r="Y46" s="14"/>
      <c r="Z46" s="14"/>
      <c r="AA46" s="14"/>
    </row>
    <row r="47">
      <c r="A47" s="17"/>
      <c r="B47" s="75">
        <v>45908.0</v>
      </c>
      <c r="C47" s="80" t="s">
        <v>208</v>
      </c>
      <c r="D47" s="17" t="s">
        <v>137</v>
      </c>
      <c r="E47" s="14"/>
      <c r="F47" s="14"/>
      <c r="G47" s="14"/>
      <c r="H47" s="14"/>
      <c r="I47" s="14"/>
      <c r="J47" s="14"/>
      <c r="K47" s="14"/>
      <c r="L47" s="14"/>
      <c r="M47" s="14"/>
      <c r="N47" s="14"/>
      <c r="O47" s="14"/>
      <c r="P47" s="14"/>
      <c r="Q47" s="14"/>
      <c r="R47" s="14"/>
      <c r="S47" s="14"/>
      <c r="T47" s="14"/>
      <c r="U47" s="14"/>
      <c r="V47" s="14"/>
      <c r="W47" s="14"/>
      <c r="X47" s="14"/>
      <c r="Y47" s="14"/>
      <c r="Z47" s="14"/>
      <c r="AA47" s="14"/>
    </row>
    <row r="48">
      <c r="A48" s="14"/>
      <c r="B48" s="75">
        <v>45908.0</v>
      </c>
      <c r="C48" s="80" t="s">
        <v>210</v>
      </c>
      <c r="D48" s="17" t="s">
        <v>137</v>
      </c>
      <c r="E48" s="14"/>
      <c r="F48" s="14"/>
      <c r="G48" s="14"/>
      <c r="H48" s="14"/>
      <c r="I48" s="14"/>
      <c r="J48" s="14"/>
      <c r="K48" s="14"/>
      <c r="L48" s="14"/>
      <c r="M48" s="14"/>
      <c r="N48" s="14"/>
      <c r="O48" s="14"/>
      <c r="P48" s="14"/>
      <c r="Q48" s="14"/>
      <c r="R48" s="14"/>
      <c r="S48" s="14"/>
      <c r="T48" s="14"/>
      <c r="U48" s="14"/>
      <c r="V48" s="14"/>
      <c r="W48" s="14"/>
      <c r="X48" s="14"/>
      <c r="Y48" s="14"/>
      <c r="Z48" s="14"/>
      <c r="AA48" s="14"/>
    </row>
    <row r="49">
      <c r="A49" s="14"/>
      <c r="B49" s="75">
        <v>45909.0</v>
      </c>
      <c r="C49" s="80" t="s">
        <v>208</v>
      </c>
      <c r="D49" s="14"/>
      <c r="E49" s="14"/>
      <c r="F49" s="14"/>
      <c r="G49" s="14"/>
      <c r="H49" s="14"/>
      <c r="I49" s="14"/>
      <c r="J49" s="14"/>
      <c r="K49" s="14"/>
      <c r="L49" s="14"/>
      <c r="M49" s="14"/>
      <c r="N49" s="14"/>
      <c r="O49" s="14"/>
      <c r="P49" s="14"/>
      <c r="Q49" s="14"/>
      <c r="R49" s="14"/>
      <c r="S49" s="14"/>
      <c r="T49" s="14"/>
      <c r="U49" s="14"/>
      <c r="V49" s="14"/>
      <c r="W49" s="14"/>
      <c r="X49" s="14"/>
      <c r="Y49" s="14"/>
      <c r="Z49" s="14"/>
      <c r="AA49" s="14"/>
    </row>
    <row r="50">
      <c r="A50" s="14"/>
      <c r="B50" s="79">
        <v>45930.0</v>
      </c>
      <c r="C50" s="111" t="s">
        <v>218</v>
      </c>
      <c r="D50" s="14"/>
      <c r="E50" s="14"/>
      <c r="F50" s="14"/>
      <c r="G50" s="14"/>
      <c r="H50" s="14"/>
      <c r="I50" s="14"/>
      <c r="J50" s="14"/>
      <c r="K50" s="14"/>
      <c r="L50" s="14"/>
      <c r="M50" s="14"/>
      <c r="N50" s="14"/>
      <c r="O50" s="14"/>
      <c r="P50" s="14"/>
      <c r="Q50" s="14"/>
      <c r="R50" s="14"/>
      <c r="S50" s="14"/>
      <c r="T50" s="14"/>
      <c r="U50" s="14"/>
      <c r="V50" s="14"/>
      <c r="W50" s="14"/>
      <c r="X50" s="14"/>
      <c r="Y50" s="14"/>
      <c r="Z50" s="14"/>
      <c r="AA50" s="14"/>
    </row>
    <row r="51">
      <c r="A51" s="60" t="s">
        <v>221</v>
      </c>
      <c r="B51" s="79">
        <v>45943.0</v>
      </c>
      <c r="C51" s="111" t="s">
        <v>218</v>
      </c>
      <c r="D51" s="17" t="s">
        <v>222</v>
      </c>
      <c r="E51" s="14"/>
      <c r="F51" s="14"/>
      <c r="G51" s="14"/>
      <c r="H51" s="14"/>
      <c r="I51" s="14"/>
      <c r="J51" s="14"/>
      <c r="K51" s="14"/>
      <c r="L51" s="14"/>
      <c r="M51" s="14"/>
      <c r="N51" s="14"/>
      <c r="O51" s="14"/>
      <c r="P51" s="14"/>
      <c r="Q51" s="14"/>
      <c r="R51" s="14"/>
      <c r="S51" s="14"/>
      <c r="T51" s="14"/>
      <c r="U51" s="14"/>
      <c r="V51" s="14"/>
      <c r="W51" s="14"/>
      <c r="X51" s="14"/>
      <c r="Y51" s="14"/>
      <c r="Z51" s="14"/>
      <c r="AA51" s="14"/>
    </row>
    <row r="52">
      <c r="A52" s="17"/>
      <c r="B52" s="79">
        <v>45944.0</v>
      </c>
      <c r="C52" s="111" t="s">
        <v>218</v>
      </c>
      <c r="D52" s="14"/>
      <c r="E52" s="14"/>
      <c r="F52" s="14"/>
      <c r="G52" s="14"/>
      <c r="H52" s="14"/>
      <c r="I52" s="14"/>
      <c r="J52" s="14"/>
      <c r="K52" s="14"/>
      <c r="L52" s="14"/>
      <c r="M52" s="14"/>
      <c r="N52" s="14"/>
      <c r="O52" s="14"/>
      <c r="P52" s="14"/>
      <c r="Q52" s="14"/>
      <c r="R52" s="14"/>
      <c r="S52" s="14"/>
      <c r="T52" s="14"/>
      <c r="U52" s="14"/>
      <c r="V52" s="14"/>
      <c r="W52" s="14"/>
      <c r="X52" s="14"/>
      <c r="Y52" s="14"/>
      <c r="Z52" s="14"/>
      <c r="AA52" s="14"/>
    </row>
    <row r="53">
      <c r="A53" s="14"/>
      <c r="B53" s="79">
        <v>45946.0</v>
      </c>
      <c r="C53" s="111" t="s">
        <v>218</v>
      </c>
      <c r="D53" s="14"/>
      <c r="E53" s="14"/>
      <c r="F53" s="14"/>
      <c r="G53" s="14"/>
      <c r="H53" s="14"/>
      <c r="I53" s="14"/>
      <c r="J53" s="14"/>
      <c r="K53" s="14"/>
      <c r="L53" s="14"/>
      <c r="M53" s="14"/>
      <c r="N53" s="14"/>
      <c r="O53" s="14"/>
      <c r="P53" s="14"/>
      <c r="Q53" s="14"/>
      <c r="R53" s="14"/>
      <c r="S53" s="14"/>
      <c r="T53" s="14"/>
      <c r="U53" s="14"/>
      <c r="V53" s="14"/>
      <c r="W53" s="14"/>
      <c r="X53" s="14"/>
      <c r="Y53" s="14"/>
      <c r="Z53" s="14"/>
      <c r="AA53" s="14"/>
    </row>
    <row r="54">
      <c r="A54" s="14"/>
      <c r="B54" s="79">
        <v>45951.0</v>
      </c>
      <c r="C54" s="111" t="s">
        <v>218</v>
      </c>
      <c r="D54" s="14"/>
      <c r="E54" s="14"/>
      <c r="F54" s="14"/>
      <c r="G54" s="14"/>
      <c r="H54" s="14"/>
      <c r="I54" s="14"/>
      <c r="J54" s="14"/>
      <c r="K54" s="14"/>
      <c r="L54" s="14"/>
      <c r="M54" s="14"/>
      <c r="N54" s="14"/>
      <c r="O54" s="14"/>
      <c r="P54" s="14"/>
      <c r="Q54" s="14"/>
      <c r="R54" s="14"/>
      <c r="S54" s="14"/>
      <c r="T54" s="14"/>
      <c r="U54" s="14"/>
      <c r="V54" s="14"/>
      <c r="W54" s="14"/>
      <c r="X54" s="14"/>
      <c r="Y54" s="14"/>
      <c r="Z54" s="14"/>
      <c r="AA54" s="14"/>
    </row>
    <row r="55">
      <c r="A55" s="14"/>
      <c r="B55" s="79">
        <v>45953.0</v>
      </c>
      <c r="C55" s="111" t="s">
        <v>218</v>
      </c>
      <c r="D55" s="14"/>
      <c r="E55" s="14"/>
      <c r="F55" s="14"/>
      <c r="G55" s="14"/>
      <c r="H55" s="14"/>
      <c r="I55" s="14"/>
      <c r="J55" s="14"/>
      <c r="K55" s="14"/>
      <c r="L55" s="14"/>
      <c r="M55" s="14"/>
      <c r="N55" s="14"/>
      <c r="O55" s="14"/>
      <c r="P55" s="14"/>
      <c r="Q55" s="14"/>
      <c r="R55" s="14"/>
      <c r="S55" s="14"/>
      <c r="T55" s="14"/>
      <c r="U55" s="14"/>
      <c r="V55" s="14"/>
      <c r="W55" s="14"/>
      <c r="X55" s="14"/>
      <c r="Y55" s="14"/>
      <c r="Z55" s="14"/>
      <c r="AA55" s="14"/>
    </row>
    <row r="56">
      <c r="A56" s="14"/>
      <c r="B56" s="79">
        <v>45957.0</v>
      </c>
      <c r="C56" s="111" t="s">
        <v>233</v>
      </c>
      <c r="D56" s="14" t="s">
        <v>234</v>
      </c>
      <c r="E56" s="14"/>
      <c r="F56" s="14"/>
      <c r="G56" s="14"/>
      <c r="H56" s="14"/>
      <c r="I56" s="14"/>
      <c r="J56" s="14"/>
      <c r="K56" s="14"/>
      <c r="L56" s="14"/>
      <c r="M56" s="14"/>
      <c r="N56" s="14"/>
      <c r="O56" s="14"/>
      <c r="P56" s="14"/>
      <c r="Q56" s="14"/>
      <c r="R56" s="14"/>
      <c r="S56" s="14"/>
      <c r="T56" s="14"/>
      <c r="U56" s="14"/>
      <c r="V56" s="14"/>
      <c r="W56" s="14"/>
      <c r="X56" s="14"/>
      <c r="Y56" s="14"/>
      <c r="Z56" s="14"/>
      <c r="AA56" s="14"/>
    </row>
    <row r="57">
      <c r="A57" s="14"/>
      <c r="B57" s="75">
        <v>45958.0</v>
      </c>
      <c r="C57" s="114" t="s">
        <v>239</v>
      </c>
      <c r="D57" s="14" t="s">
        <v>241</v>
      </c>
      <c r="E57" s="14"/>
      <c r="F57" s="14"/>
      <c r="G57" s="14"/>
      <c r="H57" s="14"/>
      <c r="I57" s="14"/>
      <c r="J57" s="14"/>
      <c r="K57" s="14"/>
      <c r="L57" s="14"/>
      <c r="M57" s="14"/>
      <c r="N57" s="14"/>
      <c r="O57" s="14"/>
      <c r="P57" s="14"/>
      <c r="Q57" s="14"/>
      <c r="R57" s="14"/>
      <c r="S57" s="14"/>
      <c r="T57" s="14"/>
      <c r="U57" s="14"/>
      <c r="V57" s="14"/>
      <c r="W57" s="14"/>
      <c r="X57" s="14"/>
      <c r="Y57" s="14"/>
      <c r="Z57" s="14"/>
      <c r="AA57" s="14"/>
    </row>
    <row r="58">
      <c r="A58" s="14"/>
      <c r="B58" s="79">
        <v>45958.0</v>
      </c>
      <c r="C58" s="50" t="s">
        <v>242</v>
      </c>
      <c r="D58" s="14"/>
      <c r="E58" s="14"/>
      <c r="F58" s="14"/>
      <c r="G58" s="14"/>
      <c r="H58" s="14"/>
      <c r="I58" s="14"/>
      <c r="J58" s="14"/>
      <c r="K58" s="14"/>
      <c r="L58" s="14"/>
      <c r="M58" s="14"/>
      <c r="N58" s="14"/>
      <c r="O58" s="14"/>
      <c r="P58" s="14"/>
      <c r="Q58" s="14"/>
      <c r="R58" s="14"/>
      <c r="S58" s="14"/>
      <c r="T58" s="14"/>
      <c r="U58" s="14"/>
      <c r="V58" s="14"/>
      <c r="W58" s="14"/>
      <c r="X58" s="14"/>
      <c r="Y58" s="14"/>
      <c r="Z58" s="14"/>
      <c r="AA58" s="14"/>
    </row>
    <row r="59">
      <c r="A59" s="34" t="s">
        <v>245</v>
      </c>
      <c r="B59" s="79">
        <v>45965.0</v>
      </c>
      <c r="C59" s="50" t="s">
        <v>239</v>
      </c>
      <c r="D59" s="14" t="s">
        <v>247</v>
      </c>
      <c r="E59" s="14"/>
      <c r="F59" s="14"/>
      <c r="G59" s="14"/>
      <c r="H59" s="14"/>
      <c r="I59" s="14"/>
      <c r="J59" s="14"/>
      <c r="K59" s="14"/>
      <c r="L59" s="14"/>
      <c r="M59" s="14"/>
      <c r="N59" s="14"/>
      <c r="O59" s="14"/>
      <c r="P59" s="14"/>
      <c r="Q59" s="14"/>
      <c r="R59" s="14"/>
      <c r="S59" s="14"/>
      <c r="T59" s="14"/>
      <c r="U59" s="14"/>
      <c r="V59" s="14"/>
      <c r="W59" s="14"/>
      <c r="X59" s="14"/>
      <c r="Y59" s="14"/>
      <c r="Z59" s="14"/>
      <c r="AA59" s="14"/>
    </row>
    <row r="60">
      <c r="A60" s="14"/>
      <c r="B60" s="79">
        <v>45968.0</v>
      </c>
      <c r="C60" s="50" t="s">
        <v>218</v>
      </c>
      <c r="D60" s="14"/>
      <c r="E60" s="14"/>
      <c r="F60" s="14"/>
      <c r="G60" s="14"/>
      <c r="H60" s="14"/>
      <c r="I60" s="14"/>
      <c r="J60" s="14"/>
      <c r="K60" s="14"/>
      <c r="L60" s="14"/>
      <c r="M60" s="14"/>
      <c r="N60" s="14"/>
      <c r="O60" s="14"/>
      <c r="P60" s="14"/>
      <c r="Q60" s="14"/>
      <c r="R60" s="14"/>
      <c r="S60" s="14"/>
      <c r="T60" s="14"/>
      <c r="U60" s="14"/>
      <c r="V60" s="14"/>
      <c r="W60" s="14"/>
      <c r="X60" s="14"/>
      <c r="Y60" s="14"/>
      <c r="Z60" s="14"/>
      <c r="AA60" s="14"/>
    </row>
    <row r="61">
      <c r="A61" s="14"/>
      <c r="B61" s="79">
        <v>45968.0</v>
      </c>
      <c r="C61" s="50" t="s">
        <v>250</v>
      </c>
      <c r="D61" s="14"/>
      <c r="E61" s="14"/>
      <c r="F61" s="14"/>
      <c r="G61" s="14"/>
      <c r="H61" s="14"/>
      <c r="I61" s="14"/>
      <c r="J61" s="14"/>
      <c r="K61" s="14"/>
      <c r="L61" s="14"/>
      <c r="M61" s="14"/>
      <c r="N61" s="14"/>
      <c r="O61" s="14"/>
      <c r="P61" s="14"/>
      <c r="Q61" s="14"/>
      <c r="R61" s="14"/>
      <c r="S61" s="14"/>
      <c r="T61" s="14"/>
      <c r="U61" s="14"/>
      <c r="V61" s="14"/>
      <c r="W61" s="14"/>
      <c r="X61" s="14"/>
      <c r="Y61" s="14"/>
      <c r="Z61" s="14"/>
      <c r="AA61" s="14"/>
    </row>
    <row r="62">
      <c r="A62" s="17"/>
      <c r="B62" s="79">
        <v>45971.0</v>
      </c>
      <c r="C62" s="50" t="s">
        <v>179</v>
      </c>
      <c r="D62" s="14"/>
      <c r="E62" s="14"/>
      <c r="F62" s="14"/>
      <c r="G62" s="14"/>
      <c r="H62" s="14"/>
      <c r="I62" s="14"/>
      <c r="J62" s="14"/>
      <c r="K62" s="14"/>
      <c r="L62" s="14"/>
      <c r="M62" s="14"/>
      <c r="N62" s="14"/>
      <c r="O62" s="14"/>
      <c r="P62" s="14"/>
      <c r="Q62" s="14"/>
      <c r="R62" s="14"/>
      <c r="S62" s="14"/>
      <c r="T62" s="14"/>
      <c r="U62" s="14"/>
      <c r="V62" s="14"/>
      <c r="W62" s="14"/>
      <c r="X62" s="14"/>
      <c r="Y62" s="14"/>
      <c r="Z62" s="14"/>
      <c r="AA62" s="14"/>
    </row>
    <row r="63">
      <c r="A63" s="17"/>
      <c r="B63" s="79">
        <v>45972.0</v>
      </c>
      <c r="C63" s="50" t="s">
        <v>257</v>
      </c>
      <c r="D63" s="14"/>
      <c r="E63" s="14"/>
      <c r="F63" s="14"/>
      <c r="G63" s="14"/>
      <c r="H63" s="14"/>
      <c r="I63" s="14"/>
      <c r="J63" s="14"/>
      <c r="K63" s="14"/>
      <c r="L63" s="14"/>
      <c r="M63" s="14"/>
      <c r="N63" s="14"/>
      <c r="O63" s="14"/>
      <c r="P63" s="14"/>
      <c r="Q63" s="14"/>
      <c r="R63" s="14"/>
      <c r="S63" s="14"/>
      <c r="T63" s="14"/>
      <c r="U63" s="14"/>
      <c r="V63" s="14"/>
      <c r="W63" s="14"/>
      <c r="X63" s="14"/>
      <c r="Y63" s="14"/>
      <c r="Z63" s="14"/>
      <c r="AA63" s="14"/>
    </row>
    <row r="64">
      <c r="A64" s="17"/>
      <c r="B64" s="79">
        <v>45972.0</v>
      </c>
      <c r="C64" s="50" t="s">
        <v>261</v>
      </c>
      <c r="D64" s="14"/>
      <c r="E64" s="14"/>
      <c r="F64" s="14"/>
      <c r="G64" s="14"/>
      <c r="H64" s="14"/>
      <c r="I64" s="14"/>
      <c r="J64" s="14"/>
      <c r="K64" s="14"/>
      <c r="L64" s="14"/>
      <c r="M64" s="14"/>
      <c r="N64" s="14"/>
      <c r="O64" s="14"/>
      <c r="P64" s="14"/>
      <c r="Q64" s="14"/>
      <c r="R64" s="14"/>
      <c r="S64" s="14"/>
      <c r="T64" s="14"/>
      <c r="U64" s="14"/>
      <c r="V64" s="14"/>
      <c r="W64" s="14"/>
      <c r="X64" s="14"/>
      <c r="Y64" s="14"/>
      <c r="Z64" s="14"/>
      <c r="AA64" s="14"/>
    </row>
    <row r="65">
      <c r="A65" s="17"/>
      <c r="B65" s="79">
        <v>45978.0</v>
      </c>
      <c r="C65" s="50" t="s">
        <v>218</v>
      </c>
      <c r="D65" s="14"/>
      <c r="E65" s="14"/>
      <c r="F65" s="14"/>
      <c r="G65" s="14"/>
      <c r="H65" s="14"/>
      <c r="I65" s="14"/>
      <c r="J65" s="14"/>
      <c r="K65" s="14"/>
      <c r="L65" s="14"/>
      <c r="M65" s="14"/>
      <c r="N65" s="14"/>
      <c r="O65" s="14"/>
      <c r="P65" s="14"/>
      <c r="Q65" s="14"/>
      <c r="R65" s="14"/>
      <c r="S65" s="14"/>
      <c r="T65" s="14"/>
      <c r="U65" s="14"/>
      <c r="V65" s="14"/>
      <c r="W65" s="14"/>
      <c r="X65" s="14"/>
      <c r="Y65" s="14"/>
      <c r="Z65" s="14"/>
      <c r="AA65" s="14"/>
    </row>
    <row r="66">
      <c r="A66" s="17"/>
      <c r="B66" s="79">
        <v>45979.0</v>
      </c>
      <c r="C66" s="50" t="s">
        <v>218</v>
      </c>
      <c r="D66" s="14"/>
      <c r="E66" s="14"/>
      <c r="F66" s="14"/>
      <c r="G66" s="14"/>
      <c r="H66" s="14"/>
      <c r="I66" s="14"/>
      <c r="J66" s="14"/>
      <c r="K66" s="14"/>
      <c r="L66" s="14"/>
      <c r="M66" s="14"/>
      <c r="N66" s="14"/>
      <c r="O66" s="14"/>
      <c r="P66" s="14"/>
      <c r="Q66" s="14"/>
      <c r="R66" s="14"/>
      <c r="S66" s="14"/>
      <c r="T66" s="14"/>
      <c r="U66" s="14"/>
      <c r="V66" s="14"/>
      <c r="W66" s="14"/>
      <c r="X66" s="14"/>
      <c r="Y66" s="14"/>
      <c r="Z66" s="14"/>
      <c r="AA66" s="14"/>
    </row>
    <row r="67">
      <c r="A67" s="14"/>
      <c r="B67" s="79">
        <v>45979.0</v>
      </c>
      <c r="C67" s="50" t="s">
        <v>250</v>
      </c>
      <c r="D67" s="14"/>
      <c r="E67" s="14"/>
      <c r="F67" s="14"/>
      <c r="G67" s="14"/>
      <c r="H67" s="14"/>
      <c r="I67" s="14"/>
      <c r="J67" s="14"/>
      <c r="K67" s="14"/>
      <c r="L67" s="14"/>
      <c r="M67" s="14"/>
      <c r="N67" s="14"/>
      <c r="O67" s="14"/>
      <c r="P67" s="14"/>
      <c r="Q67" s="14"/>
      <c r="R67" s="14"/>
      <c r="S67" s="14"/>
      <c r="T67" s="14"/>
      <c r="U67" s="14"/>
      <c r="V67" s="14"/>
      <c r="W67" s="14"/>
      <c r="X67" s="14"/>
      <c r="Y67" s="14"/>
      <c r="Z67" s="14"/>
      <c r="AA67" s="14"/>
    </row>
    <row r="68">
      <c r="A68" s="14"/>
      <c r="B68" s="79">
        <v>45981.0</v>
      </c>
      <c r="C68" s="50" t="s">
        <v>269</v>
      </c>
      <c r="D68" s="14"/>
      <c r="E68" s="14"/>
      <c r="F68" s="14"/>
      <c r="G68" s="14"/>
      <c r="H68" s="14"/>
      <c r="I68" s="14"/>
      <c r="J68" s="14"/>
      <c r="K68" s="14"/>
      <c r="L68" s="14"/>
      <c r="M68" s="14"/>
      <c r="N68" s="14"/>
      <c r="O68" s="14"/>
      <c r="P68" s="14"/>
      <c r="Q68" s="14"/>
      <c r="R68" s="14"/>
      <c r="S68" s="14"/>
      <c r="T68" s="14"/>
      <c r="U68" s="14"/>
      <c r="V68" s="14"/>
      <c r="W68" s="14"/>
      <c r="X68" s="14"/>
      <c r="Y68" s="14"/>
      <c r="Z68" s="14"/>
      <c r="AA68" s="14"/>
    </row>
    <row r="69">
      <c r="A69" s="14"/>
      <c r="B69" s="79">
        <v>45985.0</v>
      </c>
      <c r="C69" s="50" t="s">
        <v>271</v>
      </c>
      <c r="D69" s="14"/>
      <c r="E69" s="14"/>
      <c r="F69" s="14"/>
      <c r="G69" s="14"/>
      <c r="H69" s="14"/>
      <c r="I69" s="14"/>
      <c r="J69" s="14"/>
      <c r="K69" s="14"/>
      <c r="L69" s="14"/>
      <c r="M69" s="14"/>
      <c r="N69" s="14"/>
      <c r="O69" s="14"/>
      <c r="P69" s="14"/>
      <c r="Q69" s="14"/>
      <c r="R69" s="14"/>
      <c r="S69" s="14"/>
      <c r="T69" s="14"/>
      <c r="U69" s="14"/>
      <c r="V69" s="14"/>
      <c r="W69" s="14"/>
      <c r="X69" s="14"/>
      <c r="Y69" s="14"/>
      <c r="Z69" s="14"/>
      <c r="AA69" s="14"/>
    </row>
    <row r="70">
      <c r="A70" s="14"/>
      <c r="B70" s="79">
        <v>45986.0</v>
      </c>
      <c r="C70" s="50" t="s">
        <v>271</v>
      </c>
      <c r="D70" s="14"/>
      <c r="E70" s="14"/>
      <c r="F70" s="14"/>
      <c r="G70" s="14"/>
      <c r="H70" s="14"/>
      <c r="I70" s="14"/>
      <c r="J70" s="14"/>
      <c r="K70" s="14"/>
      <c r="L70" s="14"/>
      <c r="M70" s="14"/>
      <c r="N70" s="14"/>
      <c r="O70" s="14"/>
      <c r="P70" s="14"/>
      <c r="Q70" s="14"/>
      <c r="R70" s="14"/>
      <c r="S70" s="14"/>
      <c r="T70" s="14"/>
      <c r="U70" s="14"/>
      <c r="V70" s="14"/>
      <c r="W70" s="14"/>
      <c r="X70" s="14"/>
      <c r="Y70" s="14"/>
      <c r="Z70" s="14"/>
      <c r="AA70" s="14"/>
    </row>
    <row r="71">
      <c r="A71" s="14"/>
      <c r="B71" s="75">
        <v>45987.0</v>
      </c>
      <c r="C71" s="80" t="s">
        <v>280</v>
      </c>
      <c r="D71" s="17" t="s">
        <v>281</v>
      </c>
      <c r="E71" s="14"/>
      <c r="F71" s="14"/>
      <c r="G71" s="14"/>
      <c r="H71" s="14"/>
      <c r="I71" s="14"/>
      <c r="J71" s="14"/>
      <c r="K71" s="14"/>
      <c r="L71" s="14"/>
      <c r="M71" s="14"/>
      <c r="N71" s="14"/>
      <c r="O71" s="14"/>
      <c r="P71" s="14"/>
      <c r="Q71" s="14"/>
      <c r="R71" s="14"/>
      <c r="S71" s="14"/>
      <c r="T71" s="14"/>
      <c r="U71" s="14"/>
      <c r="V71" s="14"/>
      <c r="W71" s="14"/>
      <c r="X71" s="14"/>
      <c r="Y71" s="14"/>
      <c r="Z71" s="14"/>
      <c r="AA71" s="14"/>
    </row>
    <row r="72">
      <c r="A72" s="14"/>
      <c r="B72" s="79">
        <v>45987.0</v>
      </c>
      <c r="C72" s="50" t="s">
        <v>250</v>
      </c>
      <c r="D72" s="14"/>
      <c r="E72" s="14"/>
      <c r="F72" s="14"/>
      <c r="G72" s="14"/>
      <c r="H72" s="14"/>
      <c r="I72" s="14"/>
      <c r="J72" s="14"/>
      <c r="K72" s="14"/>
      <c r="L72" s="14"/>
      <c r="M72" s="14"/>
      <c r="N72" s="14"/>
      <c r="O72" s="14"/>
      <c r="P72" s="14"/>
      <c r="Q72" s="14"/>
      <c r="R72" s="14"/>
      <c r="S72" s="14"/>
      <c r="T72" s="14"/>
      <c r="U72" s="14"/>
      <c r="V72" s="14"/>
      <c r="W72" s="14"/>
      <c r="X72" s="14"/>
      <c r="Y72" s="14"/>
      <c r="Z72" s="14"/>
      <c r="AA72" s="14"/>
    </row>
    <row r="73">
      <c r="A73" s="34" t="s">
        <v>288</v>
      </c>
      <c r="B73" s="79">
        <v>45994.0</v>
      </c>
      <c r="C73" s="50" t="s">
        <v>218</v>
      </c>
      <c r="D73" s="14"/>
      <c r="E73" s="14"/>
      <c r="F73" s="14"/>
      <c r="G73" s="14"/>
      <c r="H73" s="14"/>
      <c r="I73" s="14"/>
      <c r="J73" s="14"/>
      <c r="K73" s="14"/>
      <c r="L73" s="14"/>
      <c r="M73" s="14"/>
      <c r="N73" s="14"/>
      <c r="O73" s="14"/>
      <c r="P73" s="14"/>
      <c r="Q73" s="14"/>
      <c r="R73" s="14"/>
      <c r="S73" s="14"/>
      <c r="T73" s="14"/>
      <c r="U73" s="14"/>
      <c r="V73" s="14"/>
      <c r="W73" s="14"/>
      <c r="X73" s="14"/>
      <c r="Y73" s="14"/>
      <c r="Z73" s="14"/>
      <c r="AA73" s="14"/>
    </row>
    <row r="74">
      <c r="A74" s="14"/>
      <c r="B74" s="79">
        <v>45994.0</v>
      </c>
      <c r="C74" s="50" t="s">
        <v>250</v>
      </c>
      <c r="D74" s="14"/>
      <c r="E74" s="14"/>
      <c r="F74" s="14"/>
      <c r="G74" s="14"/>
      <c r="H74" s="14"/>
      <c r="I74" s="14"/>
      <c r="J74" s="14"/>
      <c r="K74" s="14"/>
      <c r="L74" s="14"/>
      <c r="M74" s="14"/>
      <c r="N74" s="14"/>
      <c r="O74" s="14"/>
      <c r="P74" s="14"/>
      <c r="Q74" s="14"/>
      <c r="R74" s="14"/>
      <c r="S74" s="14"/>
      <c r="T74" s="14"/>
      <c r="U74" s="14"/>
      <c r="V74" s="14"/>
      <c r="W74" s="14"/>
      <c r="X74" s="14"/>
      <c r="Y74" s="14"/>
      <c r="Z74" s="14"/>
      <c r="AA74" s="14"/>
    </row>
    <row r="75">
      <c r="A75" s="14"/>
      <c r="B75" s="79">
        <v>45996.0</v>
      </c>
      <c r="C75" s="50" t="s">
        <v>218</v>
      </c>
      <c r="D75" s="14" t="s">
        <v>295</v>
      </c>
      <c r="E75" s="14"/>
      <c r="F75" s="14"/>
      <c r="G75" s="14"/>
      <c r="H75" s="14"/>
      <c r="I75" s="14"/>
      <c r="J75" s="14"/>
      <c r="K75" s="14"/>
      <c r="L75" s="14"/>
      <c r="M75" s="14"/>
      <c r="N75" s="14"/>
      <c r="O75" s="14"/>
      <c r="P75" s="14"/>
      <c r="Q75" s="14"/>
      <c r="R75" s="14"/>
      <c r="S75" s="14"/>
      <c r="T75" s="14"/>
      <c r="U75" s="14"/>
      <c r="V75" s="14"/>
      <c r="W75" s="14"/>
      <c r="X75" s="14"/>
      <c r="Y75" s="14"/>
      <c r="Z75" s="14"/>
      <c r="AA75" s="14"/>
    </row>
    <row r="76">
      <c r="A76" s="14"/>
      <c r="B76" s="79">
        <v>46002.0</v>
      </c>
      <c r="C76" s="50" t="s">
        <v>297</v>
      </c>
      <c r="D76" s="14" t="s">
        <v>298</v>
      </c>
      <c r="E76" s="14"/>
      <c r="F76" s="14"/>
      <c r="G76" s="14"/>
      <c r="H76" s="14"/>
      <c r="I76" s="14"/>
      <c r="J76" s="14"/>
      <c r="K76" s="14"/>
      <c r="L76" s="14"/>
      <c r="M76" s="14"/>
      <c r="N76" s="14"/>
      <c r="O76" s="14"/>
      <c r="P76" s="14"/>
      <c r="Q76" s="14"/>
      <c r="R76" s="14"/>
      <c r="S76" s="14"/>
      <c r="T76" s="14"/>
      <c r="U76" s="14"/>
      <c r="V76" s="14"/>
      <c r="W76" s="14"/>
      <c r="X76" s="14"/>
      <c r="Y76" s="14"/>
      <c r="Z76" s="14"/>
      <c r="AA76" s="14"/>
    </row>
    <row r="77">
      <c r="A77" s="14"/>
      <c r="B77" s="79">
        <v>46006.0</v>
      </c>
      <c r="C77" s="50" t="s">
        <v>302</v>
      </c>
      <c r="D77" s="14"/>
      <c r="E77" s="14"/>
      <c r="F77" s="14"/>
      <c r="G77" s="14"/>
      <c r="H77" s="14"/>
      <c r="I77" s="14"/>
      <c r="J77" s="14"/>
      <c r="K77" s="14"/>
      <c r="L77" s="14"/>
      <c r="M77" s="14"/>
      <c r="N77" s="14"/>
      <c r="O77" s="14"/>
      <c r="P77" s="14"/>
      <c r="Q77" s="14"/>
      <c r="R77" s="14"/>
      <c r="S77" s="14"/>
      <c r="T77" s="14"/>
      <c r="U77" s="14"/>
      <c r="V77" s="14"/>
      <c r="W77" s="14"/>
      <c r="X77" s="14"/>
      <c r="Y77" s="14"/>
      <c r="Z77" s="14"/>
      <c r="AA77" s="14"/>
    </row>
    <row r="78">
      <c r="A78" s="14"/>
      <c r="B78" s="79">
        <v>46010.0</v>
      </c>
      <c r="C78" s="50" t="s">
        <v>179</v>
      </c>
      <c r="D78" s="14"/>
      <c r="E78" s="14"/>
      <c r="F78" s="14"/>
      <c r="G78" s="14"/>
      <c r="H78" s="14"/>
      <c r="I78" s="14"/>
      <c r="J78" s="14"/>
      <c r="K78" s="14"/>
      <c r="L78" s="14"/>
      <c r="M78" s="14"/>
      <c r="N78" s="14"/>
      <c r="O78" s="14"/>
      <c r="P78" s="14"/>
      <c r="Q78" s="14"/>
      <c r="R78" s="14"/>
      <c r="S78" s="14"/>
      <c r="T78" s="14"/>
      <c r="U78" s="14"/>
      <c r="V78" s="14"/>
      <c r="W78" s="14"/>
      <c r="X78" s="14"/>
      <c r="Y78" s="14"/>
      <c r="Z78" s="14"/>
      <c r="AA78" s="14"/>
    </row>
    <row r="79">
      <c r="A79" s="14"/>
      <c r="B79" s="79">
        <v>46010.0</v>
      </c>
      <c r="C79" s="50" t="s">
        <v>308</v>
      </c>
      <c r="D79" s="14" t="s">
        <v>309</v>
      </c>
      <c r="E79" s="14"/>
      <c r="F79" s="14"/>
      <c r="G79" s="14"/>
      <c r="H79" s="14"/>
      <c r="I79" s="14"/>
      <c r="J79" s="14"/>
      <c r="K79" s="14"/>
      <c r="L79" s="14"/>
      <c r="M79" s="14"/>
      <c r="N79" s="14"/>
      <c r="O79" s="14"/>
      <c r="P79" s="14"/>
      <c r="Q79" s="14"/>
      <c r="R79" s="14"/>
      <c r="S79" s="14"/>
      <c r="T79" s="14"/>
      <c r="U79" s="14"/>
      <c r="V79" s="14"/>
      <c r="W79" s="14"/>
      <c r="X79" s="14"/>
      <c r="Y79" s="14"/>
      <c r="Z79" s="14"/>
      <c r="AA79" s="14"/>
    </row>
    <row r="80">
      <c r="A80" s="14"/>
      <c r="B80" s="79">
        <v>46013.0</v>
      </c>
      <c r="C80" s="50" t="s">
        <v>166</v>
      </c>
      <c r="D80" s="14" t="s">
        <v>313</v>
      </c>
      <c r="E80" s="14"/>
      <c r="F80" s="14"/>
      <c r="G80" s="14"/>
      <c r="H80" s="14"/>
      <c r="I80" s="14"/>
      <c r="J80" s="14"/>
      <c r="K80" s="14"/>
      <c r="L80" s="14"/>
      <c r="M80" s="14"/>
      <c r="N80" s="14"/>
      <c r="O80" s="14"/>
      <c r="P80" s="14"/>
      <c r="Q80" s="14"/>
      <c r="R80" s="14"/>
      <c r="S80" s="14"/>
      <c r="T80" s="14"/>
      <c r="U80" s="14"/>
      <c r="V80" s="14"/>
      <c r="W80" s="14"/>
      <c r="X80" s="14"/>
      <c r="Y80" s="14"/>
      <c r="Z80" s="14"/>
      <c r="AA80" s="14"/>
    </row>
    <row r="81">
      <c r="A81" s="14"/>
      <c r="B81" s="79">
        <v>46014.0</v>
      </c>
      <c r="C81" s="50" t="s">
        <v>179</v>
      </c>
      <c r="D81" s="14"/>
      <c r="E81" s="14"/>
      <c r="F81" s="14"/>
      <c r="G81" s="14"/>
      <c r="H81" s="14"/>
      <c r="I81" s="14"/>
      <c r="J81" s="14"/>
      <c r="K81" s="14"/>
      <c r="L81" s="14"/>
      <c r="M81" s="14"/>
      <c r="N81" s="14"/>
      <c r="O81" s="14"/>
      <c r="P81" s="14"/>
      <c r="Q81" s="14"/>
      <c r="R81" s="14"/>
      <c r="S81" s="14"/>
      <c r="T81" s="14"/>
      <c r="U81" s="14"/>
      <c r="V81" s="14"/>
      <c r="W81" s="14"/>
      <c r="X81" s="14"/>
      <c r="Y81" s="14"/>
      <c r="Z81" s="14"/>
      <c r="AA81" s="14"/>
    </row>
    <row r="82">
      <c r="A82" s="121" t="s">
        <v>318</v>
      </c>
      <c r="B82" s="79">
        <v>46027.0</v>
      </c>
      <c r="C82" s="50" t="s">
        <v>179</v>
      </c>
      <c r="D82" s="14"/>
      <c r="E82" s="14"/>
      <c r="F82" s="14"/>
      <c r="G82" s="14"/>
      <c r="H82" s="14"/>
      <c r="I82" s="14"/>
      <c r="J82" s="14"/>
      <c r="K82" s="14"/>
      <c r="L82" s="14"/>
      <c r="M82" s="14"/>
      <c r="N82" s="14"/>
      <c r="O82" s="14"/>
      <c r="P82" s="14"/>
      <c r="Q82" s="14"/>
      <c r="R82" s="14"/>
      <c r="S82" s="14"/>
      <c r="T82" s="14"/>
      <c r="U82" s="14"/>
      <c r="V82" s="14"/>
      <c r="W82" s="14"/>
      <c r="X82" s="14"/>
      <c r="Y82" s="14"/>
      <c r="Z82" s="14"/>
      <c r="AA82" s="14"/>
    </row>
    <row r="83">
      <c r="A83" s="17"/>
      <c r="B83" s="79">
        <v>46028.0</v>
      </c>
      <c r="C83" s="50" t="s">
        <v>179</v>
      </c>
      <c r="D83" s="14" t="s">
        <v>323</v>
      </c>
      <c r="E83" s="14"/>
      <c r="F83" s="14"/>
      <c r="G83" s="14"/>
      <c r="H83" s="14"/>
      <c r="I83" s="14"/>
      <c r="J83" s="14"/>
      <c r="K83" s="14"/>
      <c r="L83" s="14"/>
      <c r="M83" s="14"/>
      <c r="N83" s="14"/>
      <c r="O83" s="14"/>
      <c r="P83" s="14"/>
      <c r="Q83" s="14"/>
      <c r="R83" s="14"/>
      <c r="S83" s="14"/>
      <c r="T83" s="14"/>
      <c r="U83" s="14"/>
      <c r="V83" s="14"/>
      <c r="W83" s="14"/>
      <c r="X83" s="14"/>
      <c r="Y83" s="14"/>
      <c r="Z83" s="14"/>
      <c r="AA83" s="14"/>
    </row>
    <row r="84">
      <c r="A84" s="17"/>
      <c r="B84" s="79">
        <v>46029.0</v>
      </c>
      <c r="C84" s="50" t="s">
        <v>325</v>
      </c>
      <c r="D84" s="14" t="s">
        <v>326</v>
      </c>
      <c r="E84" s="14"/>
      <c r="F84" s="14"/>
      <c r="G84" s="14"/>
      <c r="H84" s="14"/>
      <c r="I84" s="14"/>
      <c r="J84" s="14"/>
      <c r="K84" s="14"/>
      <c r="L84" s="14"/>
      <c r="M84" s="14"/>
      <c r="N84" s="14"/>
      <c r="O84" s="14"/>
      <c r="P84" s="14"/>
      <c r="Q84" s="14"/>
      <c r="R84" s="14"/>
      <c r="S84" s="14"/>
      <c r="T84" s="14"/>
      <c r="U84" s="14"/>
      <c r="V84" s="14"/>
      <c r="W84" s="14"/>
      <c r="X84" s="14"/>
      <c r="Y84" s="14"/>
      <c r="Z84" s="14"/>
      <c r="AA84" s="14"/>
    </row>
    <row r="85">
      <c r="A85" s="17"/>
      <c r="B85" s="75">
        <v>46030.0</v>
      </c>
      <c r="C85" s="80" t="s">
        <v>271</v>
      </c>
      <c r="D85" s="14" t="s">
        <v>330</v>
      </c>
      <c r="E85" s="14"/>
      <c r="F85" s="14"/>
      <c r="G85" s="14"/>
      <c r="H85" s="14"/>
      <c r="I85" s="14"/>
      <c r="J85" s="14"/>
      <c r="K85" s="14"/>
      <c r="L85" s="14"/>
      <c r="M85" s="14"/>
      <c r="N85" s="14"/>
      <c r="O85" s="14"/>
      <c r="P85" s="14"/>
      <c r="Q85" s="14"/>
      <c r="R85" s="14"/>
      <c r="S85" s="14"/>
      <c r="T85" s="14"/>
      <c r="U85" s="14"/>
      <c r="V85" s="14"/>
      <c r="W85" s="14"/>
      <c r="X85" s="14"/>
      <c r="Y85" s="14"/>
      <c r="Z85" s="14"/>
      <c r="AA85" s="14"/>
    </row>
    <row r="86">
      <c r="A86" s="17"/>
      <c r="B86" s="79">
        <v>46031.0</v>
      </c>
      <c r="C86" s="50" t="s">
        <v>332</v>
      </c>
      <c r="D86" s="14" t="s">
        <v>333</v>
      </c>
      <c r="E86" s="14"/>
      <c r="F86" s="14"/>
      <c r="G86" s="14"/>
      <c r="H86" s="14"/>
      <c r="I86" s="14"/>
      <c r="J86" s="14"/>
      <c r="K86" s="14"/>
      <c r="L86" s="14"/>
      <c r="M86" s="14"/>
      <c r="N86" s="14"/>
      <c r="O86" s="14"/>
      <c r="P86" s="14"/>
      <c r="Q86" s="14"/>
      <c r="R86" s="14"/>
      <c r="S86" s="14"/>
      <c r="T86" s="14"/>
      <c r="U86" s="14"/>
      <c r="V86" s="14"/>
      <c r="W86" s="14"/>
      <c r="X86" s="14"/>
      <c r="Y86" s="14"/>
      <c r="Z86" s="14"/>
      <c r="AA86" s="14"/>
    </row>
    <row r="87">
      <c r="A87" s="14"/>
      <c r="B87" s="79">
        <v>46034.0</v>
      </c>
      <c r="C87" s="50" t="s">
        <v>297</v>
      </c>
      <c r="D87" s="14"/>
      <c r="E87" s="14"/>
      <c r="F87" s="14"/>
      <c r="G87" s="14"/>
      <c r="H87" s="14"/>
      <c r="I87" s="14"/>
      <c r="J87" s="14"/>
      <c r="K87" s="14"/>
      <c r="L87" s="14"/>
      <c r="M87" s="14"/>
      <c r="N87" s="14"/>
      <c r="O87" s="14"/>
      <c r="P87" s="14"/>
      <c r="Q87" s="14"/>
      <c r="R87" s="14"/>
      <c r="S87" s="14"/>
      <c r="T87" s="14"/>
      <c r="U87" s="14"/>
      <c r="V87" s="14"/>
      <c r="W87" s="14"/>
      <c r="X87" s="14"/>
      <c r="Y87" s="14"/>
      <c r="Z87" s="14"/>
      <c r="AA87" s="14"/>
    </row>
    <row r="88">
      <c r="A88" s="14"/>
      <c r="B88" s="75">
        <v>46036.0</v>
      </c>
      <c r="C88" s="80" t="s">
        <v>297</v>
      </c>
      <c r="D88" s="17" t="s">
        <v>339</v>
      </c>
      <c r="E88" s="14"/>
      <c r="F88" s="14"/>
      <c r="G88" s="14"/>
      <c r="H88" s="14"/>
      <c r="I88" s="14"/>
      <c r="J88" s="14"/>
      <c r="K88" s="14"/>
      <c r="L88" s="14"/>
      <c r="M88" s="14"/>
      <c r="N88" s="14"/>
      <c r="O88" s="14"/>
      <c r="P88" s="14"/>
      <c r="Q88" s="14"/>
      <c r="R88" s="14"/>
      <c r="S88" s="14"/>
      <c r="T88" s="14"/>
      <c r="U88" s="14"/>
      <c r="V88" s="14"/>
      <c r="W88" s="14"/>
      <c r="X88" s="14"/>
      <c r="Y88" s="14"/>
      <c r="Z88" s="14"/>
      <c r="AA88" s="14"/>
    </row>
    <row r="89">
      <c r="A89" s="14"/>
      <c r="B89" s="79">
        <v>46036.0</v>
      </c>
      <c r="C89" s="50" t="s">
        <v>342</v>
      </c>
      <c r="D89" s="14"/>
      <c r="E89" s="14"/>
      <c r="F89" s="14"/>
      <c r="G89" s="14"/>
      <c r="H89" s="14"/>
      <c r="I89" s="14"/>
      <c r="J89" s="14"/>
      <c r="K89" s="14"/>
      <c r="L89" s="14"/>
      <c r="M89" s="14"/>
      <c r="N89" s="14"/>
      <c r="O89" s="14"/>
      <c r="P89" s="14"/>
      <c r="Q89" s="14"/>
      <c r="R89" s="14"/>
      <c r="S89" s="14"/>
      <c r="T89" s="14"/>
      <c r="U89" s="14"/>
      <c r="V89" s="14"/>
      <c r="W89" s="14"/>
      <c r="X89" s="14"/>
      <c r="Y89" s="14"/>
      <c r="Z89" s="14"/>
      <c r="AA89" s="14"/>
    </row>
    <row r="90">
      <c r="A90" s="14"/>
      <c r="B90" s="79">
        <v>46037.0</v>
      </c>
      <c r="C90" s="50" t="s">
        <v>179</v>
      </c>
      <c r="D90" s="14"/>
      <c r="E90" s="14"/>
      <c r="F90" s="14"/>
      <c r="G90" s="14"/>
      <c r="H90" s="14"/>
      <c r="I90" s="14"/>
      <c r="J90" s="14"/>
      <c r="K90" s="14"/>
      <c r="L90" s="14"/>
      <c r="M90" s="14"/>
      <c r="N90" s="14"/>
      <c r="O90" s="14"/>
      <c r="P90" s="14"/>
      <c r="Q90" s="14"/>
      <c r="R90" s="14"/>
      <c r="S90" s="14"/>
      <c r="T90" s="14"/>
      <c r="U90" s="14"/>
      <c r="V90" s="14"/>
      <c r="W90" s="14"/>
      <c r="X90" s="14"/>
      <c r="Y90" s="14"/>
      <c r="Z90" s="14"/>
      <c r="AA90" s="14"/>
    </row>
    <row r="91">
      <c r="A91" s="14"/>
      <c r="B91" s="79">
        <v>46043.0</v>
      </c>
      <c r="C91" s="50" t="s">
        <v>179</v>
      </c>
      <c r="D91" s="14"/>
      <c r="E91" s="14"/>
      <c r="F91" s="14"/>
      <c r="G91" s="14"/>
      <c r="H91" s="14"/>
      <c r="I91" s="14"/>
      <c r="J91" s="14"/>
      <c r="K91" s="14"/>
      <c r="L91" s="14"/>
      <c r="M91" s="14"/>
      <c r="N91" s="14"/>
      <c r="O91" s="14"/>
      <c r="P91" s="14"/>
      <c r="Q91" s="14"/>
      <c r="R91" s="14"/>
      <c r="S91" s="14"/>
      <c r="T91" s="14"/>
      <c r="U91" s="14"/>
      <c r="V91" s="14"/>
      <c r="W91" s="14"/>
      <c r="X91" s="14"/>
      <c r="Y91" s="14"/>
      <c r="Z91" s="14"/>
      <c r="AA91" s="14"/>
    </row>
    <row r="92">
      <c r="A92" s="14"/>
      <c r="B92" s="79">
        <v>46043.0</v>
      </c>
      <c r="C92" s="50" t="s">
        <v>351</v>
      </c>
      <c r="D92" s="14"/>
      <c r="E92" s="14"/>
      <c r="F92" s="14"/>
      <c r="G92" s="14"/>
      <c r="H92" s="14"/>
      <c r="I92" s="14"/>
      <c r="J92" s="14"/>
      <c r="K92" s="14"/>
      <c r="L92" s="14"/>
      <c r="M92" s="14"/>
      <c r="N92" s="14"/>
      <c r="O92" s="14"/>
      <c r="P92" s="14"/>
      <c r="Q92" s="14"/>
      <c r="R92" s="14"/>
      <c r="S92" s="14"/>
      <c r="T92" s="14"/>
      <c r="U92" s="14"/>
      <c r="V92" s="14"/>
      <c r="W92" s="14"/>
      <c r="X92" s="14"/>
      <c r="Y92" s="14"/>
      <c r="Z92" s="14"/>
      <c r="AA92" s="14"/>
    </row>
    <row r="93">
      <c r="A93" s="14"/>
      <c r="B93" s="79">
        <v>46044.0</v>
      </c>
      <c r="C93" s="50" t="s">
        <v>179</v>
      </c>
      <c r="D93" s="14"/>
      <c r="E93" s="14"/>
      <c r="F93" s="14"/>
      <c r="G93" s="14"/>
      <c r="H93" s="14"/>
      <c r="I93" s="14"/>
      <c r="J93" s="14"/>
      <c r="K93" s="14"/>
      <c r="L93" s="14"/>
      <c r="M93" s="14"/>
      <c r="N93" s="14"/>
      <c r="O93" s="14"/>
      <c r="P93" s="14"/>
      <c r="Q93" s="14"/>
      <c r="R93" s="14"/>
      <c r="S93" s="14"/>
      <c r="T93" s="14"/>
      <c r="U93" s="14"/>
      <c r="V93" s="14"/>
      <c r="W93" s="14"/>
      <c r="X93" s="14"/>
      <c r="Y93" s="14"/>
      <c r="Z93" s="14"/>
      <c r="AA93" s="14"/>
    </row>
    <row r="94">
      <c r="A94" s="14"/>
      <c r="B94" s="75">
        <v>46048.0</v>
      </c>
      <c r="C94" s="80" t="s">
        <v>179</v>
      </c>
      <c r="D94" s="17" t="s">
        <v>357</v>
      </c>
      <c r="E94" s="14"/>
      <c r="F94" s="14"/>
      <c r="G94" s="14"/>
      <c r="H94" s="14"/>
      <c r="I94" s="14"/>
      <c r="J94" s="14"/>
      <c r="K94" s="14"/>
      <c r="L94" s="14"/>
      <c r="M94" s="14"/>
      <c r="N94" s="14"/>
      <c r="O94" s="14"/>
      <c r="P94" s="14"/>
      <c r="Q94" s="14"/>
      <c r="R94" s="14"/>
      <c r="S94" s="14"/>
      <c r="T94" s="14"/>
      <c r="U94" s="14"/>
      <c r="V94" s="14"/>
      <c r="W94" s="14"/>
      <c r="X94" s="14"/>
      <c r="Y94" s="14"/>
      <c r="Z94" s="14"/>
      <c r="AA94" s="14"/>
    </row>
    <row r="95">
      <c r="A95" s="14"/>
      <c r="B95" s="75">
        <v>45684.0</v>
      </c>
      <c r="C95" s="80" t="s">
        <v>179</v>
      </c>
      <c r="D95" s="14" t="s">
        <v>361</v>
      </c>
      <c r="E95" s="14"/>
      <c r="F95" s="14"/>
      <c r="G95" s="14"/>
      <c r="H95" s="14"/>
      <c r="I95" s="14"/>
      <c r="J95" s="14"/>
      <c r="K95" s="14"/>
      <c r="L95" s="14"/>
      <c r="M95" s="14"/>
      <c r="N95" s="14"/>
      <c r="O95" s="14"/>
      <c r="P95" s="14"/>
      <c r="Q95" s="14"/>
      <c r="R95" s="14"/>
      <c r="S95" s="14"/>
      <c r="T95" s="14"/>
      <c r="U95" s="14"/>
      <c r="V95" s="14"/>
      <c r="W95" s="14"/>
      <c r="X95" s="14"/>
      <c r="Y95" s="14"/>
      <c r="Z95" s="14"/>
      <c r="AA95" s="14"/>
    </row>
    <row r="96">
      <c r="A96" s="14"/>
      <c r="B96" s="79">
        <v>46052.0</v>
      </c>
      <c r="C96" s="50" t="s">
        <v>179</v>
      </c>
      <c r="D96" s="14"/>
      <c r="E96" s="14"/>
      <c r="F96" s="14"/>
      <c r="G96" s="14"/>
      <c r="H96" s="14"/>
      <c r="I96" s="14"/>
      <c r="J96" s="14"/>
      <c r="K96" s="14"/>
      <c r="L96" s="14"/>
      <c r="M96" s="14"/>
      <c r="N96" s="14"/>
      <c r="O96" s="14"/>
      <c r="P96" s="14"/>
      <c r="Q96" s="14"/>
      <c r="R96" s="14"/>
      <c r="S96" s="14"/>
      <c r="T96" s="14"/>
      <c r="U96" s="14"/>
      <c r="V96" s="14"/>
      <c r="W96" s="14"/>
      <c r="X96" s="14"/>
      <c r="Y96" s="14"/>
      <c r="Z96" s="14"/>
      <c r="AA96" s="14"/>
    </row>
    <row r="97">
      <c r="A97" s="14"/>
      <c r="B97" s="79">
        <v>46052.0</v>
      </c>
      <c r="C97" s="50" t="s">
        <v>351</v>
      </c>
      <c r="D97" s="127" t="s">
        <v>367</v>
      </c>
      <c r="E97" s="14"/>
      <c r="F97" s="14"/>
      <c r="G97" s="14"/>
      <c r="H97" s="14"/>
      <c r="I97" s="14"/>
      <c r="J97" s="14"/>
      <c r="K97" s="14"/>
      <c r="L97" s="14"/>
      <c r="M97" s="14"/>
      <c r="N97" s="14"/>
      <c r="O97" s="14"/>
      <c r="P97" s="14"/>
      <c r="Q97" s="14"/>
      <c r="R97" s="14"/>
      <c r="S97" s="14"/>
      <c r="T97" s="14"/>
      <c r="U97" s="14"/>
      <c r="V97" s="14"/>
      <c r="W97" s="14"/>
      <c r="X97" s="14"/>
      <c r="Y97" s="14"/>
      <c r="Z97" s="14"/>
      <c r="AA97" s="14"/>
    </row>
    <row r="98">
      <c r="A98" s="34" t="s">
        <v>373</v>
      </c>
      <c r="B98" s="79">
        <v>46055.0</v>
      </c>
      <c r="C98" s="50" t="s">
        <v>374</v>
      </c>
      <c r="D98" s="14"/>
      <c r="E98" s="14"/>
      <c r="F98" s="14"/>
      <c r="G98" s="14"/>
      <c r="H98" s="14"/>
      <c r="I98" s="14"/>
      <c r="J98" s="14"/>
      <c r="K98" s="14"/>
      <c r="L98" s="14"/>
      <c r="M98" s="14"/>
      <c r="N98" s="14"/>
      <c r="O98" s="14"/>
      <c r="P98" s="14"/>
      <c r="Q98" s="14"/>
      <c r="R98" s="14"/>
      <c r="S98" s="14"/>
      <c r="T98" s="14"/>
      <c r="U98" s="14"/>
      <c r="V98" s="14"/>
      <c r="W98" s="14"/>
      <c r="X98" s="14"/>
      <c r="Y98" s="14"/>
      <c r="Z98" s="14"/>
      <c r="AA98" s="14"/>
    </row>
    <row r="99">
      <c r="A99" s="14"/>
      <c r="B99" s="48">
        <v>46055.0</v>
      </c>
      <c r="C99" s="50" t="s">
        <v>377</v>
      </c>
      <c r="D99" s="14"/>
      <c r="E99" s="14"/>
      <c r="F99" s="14"/>
      <c r="G99" s="14"/>
      <c r="H99" s="14"/>
      <c r="I99" s="14"/>
      <c r="J99" s="14"/>
      <c r="K99" s="14"/>
      <c r="L99" s="14"/>
      <c r="M99" s="14"/>
      <c r="N99" s="14"/>
      <c r="O99" s="14"/>
      <c r="P99" s="14"/>
      <c r="Q99" s="14"/>
      <c r="R99" s="14"/>
      <c r="S99" s="14"/>
      <c r="T99" s="14"/>
      <c r="U99" s="14"/>
      <c r="V99" s="14"/>
      <c r="W99" s="14"/>
      <c r="X99" s="14"/>
      <c r="Y99" s="14"/>
      <c r="Z99" s="14"/>
      <c r="AA99" s="14"/>
    </row>
    <row r="100">
      <c r="A100" s="14"/>
      <c r="B100" s="48">
        <v>46056.0</v>
      </c>
      <c r="C100" s="50" t="s">
        <v>374</v>
      </c>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 r="A101" s="14"/>
      <c r="B101" s="48">
        <v>46057.0</v>
      </c>
      <c r="C101" s="50" t="s">
        <v>374</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 r="A102" s="14"/>
      <c r="B102" s="48">
        <v>46057.0</v>
      </c>
      <c r="C102" s="50" t="s">
        <v>377</v>
      </c>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 r="A103" s="14"/>
      <c r="B103" s="79">
        <v>45693.0</v>
      </c>
      <c r="C103" s="50" t="s">
        <v>271</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 r="A104" s="14"/>
      <c r="B104" s="48">
        <v>46059.0</v>
      </c>
      <c r="C104" s="50" t="s">
        <v>374</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 r="A105" s="14"/>
      <c r="B105" s="48">
        <v>46062.0</v>
      </c>
      <c r="C105" s="50" t="s">
        <v>374</v>
      </c>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 r="A106" s="14"/>
      <c r="B106" s="75">
        <v>46063.0</v>
      </c>
      <c r="C106" s="80" t="s">
        <v>374</v>
      </c>
      <c r="D106" s="17" t="s">
        <v>388</v>
      </c>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 r="A107" s="14"/>
      <c r="B107" s="79">
        <v>46065.0</v>
      </c>
      <c r="C107" s="50" t="s">
        <v>374</v>
      </c>
      <c r="D107" s="17" t="s">
        <v>392</v>
      </c>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 r="A108" s="14"/>
      <c r="B108" s="75">
        <v>46070.0</v>
      </c>
      <c r="C108" s="80" t="s">
        <v>374</v>
      </c>
      <c r="D108" s="17" t="s">
        <v>398</v>
      </c>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 r="A109" s="14"/>
      <c r="B109" s="48">
        <v>46071.0</v>
      </c>
      <c r="C109" s="50" t="s">
        <v>374</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 r="A110" s="14"/>
      <c r="B110" s="48">
        <v>46072.0</v>
      </c>
      <c r="C110" s="50" t="s">
        <v>374</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 r="A111" s="14"/>
      <c r="B111" s="38">
        <v>46076.0</v>
      </c>
      <c r="C111" s="80" t="s">
        <v>374</v>
      </c>
      <c r="D111" s="17" t="s">
        <v>404</v>
      </c>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 r="A112" s="14"/>
      <c r="B112" s="48">
        <v>46077.0</v>
      </c>
      <c r="C112" s="50" t="s">
        <v>374</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 r="A113" s="121" t="s">
        <v>412</v>
      </c>
      <c r="B113" s="79">
        <v>46083.0</v>
      </c>
      <c r="C113" s="50" t="s">
        <v>325</v>
      </c>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 r="A114" s="14"/>
      <c r="B114" s="48">
        <v>46084.0</v>
      </c>
      <c r="C114" s="50" t="s">
        <v>417</v>
      </c>
      <c r="D114" s="17" t="s">
        <v>277</v>
      </c>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 r="A115" s="14"/>
      <c r="B115" s="48">
        <v>46084.0</v>
      </c>
      <c r="C115" s="50" t="s">
        <v>422</v>
      </c>
      <c r="D115" s="17" t="s">
        <v>283</v>
      </c>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 r="A116" s="14"/>
      <c r="B116" s="48">
        <v>46085.0</v>
      </c>
      <c r="C116" s="50" t="s">
        <v>425</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 r="A117" s="14"/>
      <c r="B117" s="75">
        <v>46091.0</v>
      </c>
      <c r="C117" s="80" t="s">
        <v>179</v>
      </c>
      <c r="D117" s="17" t="s">
        <v>429</v>
      </c>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 r="A118" s="14"/>
      <c r="B118" s="75">
        <v>46107.0</v>
      </c>
      <c r="C118" s="80" t="s">
        <v>325</v>
      </c>
      <c r="D118" s="17" t="s">
        <v>432</v>
      </c>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 r="A119" s="34" t="s">
        <v>435</v>
      </c>
      <c r="B119" s="48">
        <v>46113.0</v>
      </c>
      <c r="C119" s="50" t="s">
        <v>179</v>
      </c>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 r="A120" s="14"/>
      <c r="B120" s="48">
        <v>46118.0</v>
      </c>
      <c r="C120" s="50" t="s">
        <v>179</v>
      </c>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 r="A121" s="14"/>
      <c r="B121" s="48">
        <v>46120.0</v>
      </c>
      <c r="C121" s="50" t="s">
        <v>179</v>
      </c>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 r="A122" s="14"/>
      <c r="B122" s="131">
        <v>46120.0</v>
      </c>
      <c r="C122" s="81" t="s">
        <v>308</v>
      </c>
      <c r="D122" s="17" t="s">
        <v>444</v>
      </c>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 r="A123" s="14"/>
      <c r="B123" s="48">
        <v>46121.0</v>
      </c>
      <c r="C123" s="50" t="s">
        <v>142</v>
      </c>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 r="A124" s="14"/>
      <c r="B124" s="38">
        <v>46122.0</v>
      </c>
      <c r="C124" s="80" t="s">
        <v>136</v>
      </c>
      <c r="D124" s="17" t="s">
        <v>449</v>
      </c>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 r="A125" s="14"/>
      <c r="B125" s="48">
        <v>46125.0</v>
      </c>
      <c r="C125" s="50" t="s">
        <v>179</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 r="A126" s="14"/>
      <c r="B126" s="48">
        <v>46127.0</v>
      </c>
      <c r="C126" s="50" t="s">
        <v>179</v>
      </c>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 r="A127" s="17"/>
      <c r="B127" s="75">
        <v>46133.0</v>
      </c>
      <c r="C127" s="80" t="s">
        <v>179</v>
      </c>
      <c r="D127" s="17" t="s">
        <v>458</v>
      </c>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 r="A128" s="17"/>
      <c r="B128" s="38">
        <v>46134.0</v>
      </c>
      <c r="C128" s="80" t="s">
        <v>146</v>
      </c>
      <c r="D128" s="17" t="s">
        <v>460</v>
      </c>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 r="A129" s="14"/>
      <c r="B129" s="38">
        <v>13263.0</v>
      </c>
      <c r="C129" s="80" t="s">
        <v>179</v>
      </c>
      <c r="D129" s="17" t="s">
        <v>464</v>
      </c>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 r="A130" s="14"/>
      <c r="B130" s="38">
        <v>46135.0</v>
      </c>
      <c r="C130" s="80" t="s">
        <v>377</v>
      </c>
      <c r="D130" s="17" t="s">
        <v>464</v>
      </c>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 r="A131" s="14"/>
      <c r="B131" s="75">
        <v>46140.0</v>
      </c>
      <c r="C131" s="80" t="s">
        <v>469</v>
      </c>
      <c r="D131" s="17" t="s">
        <v>470</v>
      </c>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 r="A132" s="14"/>
      <c r="B132" s="75">
        <v>46140.0</v>
      </c>
      <c r="C132" s="80" t="s">
        <v>134</v>
      </c>
      <c r="D132" s="17" t="s">
        <v>472</v>
      </c>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 r="A133" s="17"/>
      <c r="B133" s="79">
        <v>46142.0</v>
      </c>
      <c r="C133" s="50" t="s">
        <v>179</v>
      </c>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121" t="s">
        <v>478</v>
      </c>
      <c r="B134" s="79">
        <v>46143.0</v>
      </c>
      <c r="C134" s="50" t="s">
        <v>179</v>
      </c>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14"/>
      <c r="B135" s="79">
        <v>46146.0</v>
      </c>
      <c r="C135" s="50" t="s">
        <v>136</v>
      </c>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 r="A136" s="14"/>
      <c r="B136" s="79">
        <v>46147.0</v>
      </c>
      <c r="C136" s="50" t="s">
        <v>136</v>
      </c>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 r="A137" s="14"/>
      <c r="B137" s="48">
        <v>46148.0</v>
      </c>
      <c r="C137" s="50" t="s">
        <v>179</v>
      </c>
      <c r="D137" s="17" t="s">
        <v>487</v>
      </c>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14"/>
      <c r="B138" s="75">
        <v>46148.0</v>
      </c>
      <c r="C138" s="80" t="s">
        <v>136</v>
      </c>
      <c r="D138" s="17" t="s">
        <v>490</v>
      </c>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 r="A139" s="14"/>
      <c r="B139" s="79">
        <v>46149.0</v>
      </c>
      <c r="C139" s="50" t="s">
        <v>136</v>
      </c>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14"/>
      <c r="B140" s="79">
        <v>46154.0</v>
      </c>
      <c r="C140" s="50" t="s">
        <v>422</v>
      </c>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14"/>
      <c r="B141" s="79">
        <v>46155.0</v>
      </c>
      <c r="C141" s="50" t="s">
        <v>136</v>
      </c>
      <c r="D141" s="17" t="s">
        <v>495</v>
      </c>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 r="A142" s="14"/>
      <c r="B142" s="38">
        <v>46156.0</v>
      </c>
      <c r="C142" s="80" t="s">
        <v>136</v>
      </c>
      <c r="D142" s="17" t="s">
        <v>498</v>
      </c>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14"/>
      <c r="B143" s="79">
        <v>46157.0</v>
      </c>
      <c r="C143" s="50" t="s">
        <v>136</v>
      </c>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 r="A144" s="14"/>
      <c r="B144" s="79">
        <v>46160.0</v>
      </c>
      <c r="C144" s="50" t="s">
        <v>142</v>
      </c>
      <c r="D144" s="17"/>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14"/>
      <c r="B145" s="48">
        <v>46161.0</v>
      </c>
      <c r="C145" s="50" t="s">
        <v>179</v>
      </c>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 r="A146" s="14"/>
      <c r="B146" s="48">
        <v>46162.0</v>
      </c>
      <c r="C146" s="50" t="s">
        <v>179</v>
      </c>
      <c r="D146" s="17" t="s">
        <v>511</v>
      </c>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14"/>
      <c r="B147" s="48">
        <v>46163.0</v>
      </c>
      <c r="C147" s="50" t="s">
        <v>179</v>
      </c>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 r="A148" s="14"/>
      <c r="B148" s="79">
        <v>46170.0</v>
      </c>
      <c r="C148" s="50" t="s">
        <v>146</v>
      </c>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14"/>
      <c r="B149" s="75">
        <v>46171.0</v>
      </c>
      <c r="C149" s="80" t="s">
        <v>179</v>
      </c>
      <c r="D149" s="17" t="s">
        <v>523</v>
      </c>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 r="A150" s="34" t="s">
        <v>526</v>
      </c>
      <c r="B150" s="48">
        <v>46175.0</v>
      </c>
      <c r="C150" s="50" t="s">
        <v>527</v>
      </c>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14"/>
      <c r="B151" s="38">
        <v>46176.0</v>
      </c>
      <c r="C151" s="80" t="s">
        <v>527</v>
      </c>
      <c r="D151" s="17" t="s">
        <v>532</v>
      </c>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 r="A152" s="14"/>
      <c r="B152" s="48">
        <v>46178.0</v>
      </c>
      <c r="C152" s="50" t="s">
        <v>179</v>
      </c>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14"/>
      <c r="B153" s="48">
        <v>13312.0</v>
      </c>
      <c r="C153" s="50" t="s">
        <v>179</v>
      </c>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14"/>
      <c r="B154" s="48">
        <v>46184.0</v>
      </c>
      <c r="C154" s="50" t="s">
        <v>308</v>
      </c>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14"/>
      <c r="B155" s="48">
        <v>46188.0</v>
      </c>
      <c r="C155" s="50" t="s">
        <v>179</v>
      </c>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14"/>
      <c r="B156" s="48">
        <v>46189.0</v>
      </c>
      <c r="C156" s="50" t="s">
        <v>179</v>
      </c>
      <c r="D156" s="17" t="s">
        <v>543</v>
      </c>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14"/>
      <c r="B157" s="75">
        <v>46189.0</v>
      </c>
      <c r="C157" s="80" t="s">
        <v>545</v>
      </c>
      <c r="D157" s="17" t="s">
        <v>547</v>
      </c>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14"/>
      <c r="B158" s="48">
        <v>46191.0</v>
      </c>
      <c r="C158" s="50" t="s">
        <v>179</v>
      </c>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14"/>
      <c r="B159" s="48">
        <v>46196.0</v>
      </c>
      <c r="C159" s="50" t="s">
        <v>179</v>
      </c>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14"/>
      <c r="B160" s="38">
        <v>46197.0</v>
      </c>
      <c r="C160" s="80" t="s">
        <v>179</v>
      </c>
      <c r="D160" s="17" t="s">
        <v>558</v>
      </c>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14"/>
      <c r="B161" s="48">
        <v>46202.0</v>
      </c>
      <c r="C161" s="50" t="s">
        <v>179</v>
      </c>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60" t="s">
        <v>562</v>
      </c>
      <c r="B162" s="48">
        <v>46218.0</v>
      </c>
      <c r="C162" s="50" t="s">
        <v>179</v>
      </c>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14"/>
      <c r="B163" s="38">
        <v>46219.0</v>
      </c>
      <c r="C163" s="80" t="s">
        <v>179</v>
      </c>
      <c r="D163" s="17" t="s">
        <v>565</v>
      </c>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34" t="s">
        <v>566</v>
      </c>
      <c r="B164" s="48">
        <v>46239.0</v>
      </c>
      <c r="C164" s="44" t="s">
        <v>179</v>
      </c>
      <c r="D164" s="11" t="s">
        <v>568</v>
      </c>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143"/>
      <c r="B165" s="38">
        <v>46244.0</v>
      </c>
      <c r="C165" s="80" t="s">
        <v>179</v>
      </c>
      <c r="D165" s="11" t="s">
        <v>571</v>
      </c>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14"/>
      <c r="B166" s="48">
        <v>46245.0</v>
      </c>
      <c r="C166" s="50" t="s">
        <v>179</v>
      </c>
      <c r="D166" s="11" t="s">
        <v>574</v>
      </c>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14"/>
      <c r="B167" s="48">
        <v>46247.0</v>
      </c>
      <c r="C167" s="50" t="s">
        <v>179</v>
      </c>
      <c r="D167" s="11" t="s">
        <v>576</v>
      </c>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14"/>
      <c r="B168" s="75">
        <v>46251.0</v>
      </c>
      <c r="C168" s="80" t="s">
        <v>579</v>
      </c>
      <c r="D168" s="11" t="s">
        <v>580</v>
      </c>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14"/>
      <c r="B169" s="79">
        <v>46260.0</v>
      </c>
      <c r="C169" s="50" t="s">
        <v>179</v>
      </c>
      <c r="D169" s="11" t="s">
        <v>581</v>
      </c>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14"/>
      <c r="B170" s="79">
        <v>46261.0</v>
      </c>
      <c r="C170" s="50" t="s">
        <v>179</v>
      </c>
      <c r="D170" s="11" t="s">
        <v>583</v>
      </c>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14"/>
      <c r="B171" s="79">
        <v>46265.0</v>
      </c>
      <c r="C171" s="50" t="s">
        <v>579</v>
      </c>
      <c r="D171" s="11" t="s">
        <v>586</v>
      </c>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121" t="s">
        <v>601</v>
      </c>
      <c r="B173" s="38">
        <v>46274.0</v>
      </c>
      <c r="C173" s="51" t="s">
        <v>422</v>
      </c>
      <c r="D173" s="11" t="s">
        <v>605</v>
      </c>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43"/>
      <c r="B174" s="148">
        <v>46275.0</v>
      </c>
      <c r="C174" s="51" t="s">
        <v>422</v>
      </c>
      <c r="D174" s="11" t="s">
        <v>605</v>
      </c>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43"/>
      <c r="B175" s="38">
        <v>46279.0</v>
      </c>
      <c r="C175" s="51" t="s">
        <v>422</v>
      </c>
      <c r="D175" s="11" t="s">
        <v>605</v>
      </c>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14"/>
      <c r="B176" s="148">
        <v>46280.0</v>
      </c>
      <c r="C176" s="51" t="s">
        <v>179</v>
      </c>
      <c r="D176" s="11" t="s">
        <v>605</v>
      </c>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14"/>
      <c r="B177" s="38">
        <v>46281.0</v>
      </c>
      <c r="C177" s="51" t="s">
        <v>179</v>
      </c>
      <c r="D177" s="150" t="s">
        <v>615</v>
      </c>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14"/>
      <c r="B178" s="148">
        <v>46282.0</v>
      </c>
      <c r="C178" s="51" t="s">
        <v>179</v>
      </c>
      <c r="D178" s="11" t="s">
        <v>617</v>
      </c>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14"/>
      <c r="B179" s="152">
        <v>46293.0</v>
      </c>
      <c r="C179" s="153" t="s">
        <v>179</v>
      </c>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14"/>
      <c r="B180" s="48">
        <v>46294.0</v>
      </c>
      <c r="C180" s="44" t="s">
        <v>179</v>
      </c>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14"/>
      <c r="B181" s="38">
        <v>46295.0</v>
      </c>
      <c r="C181" s="51" t="s">
        <v>179</v>
      </c>
      <c r="D181" s="11" t="s">
        <v>622</v>
      </c>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34" t="s">
        <v>627</v>
      </c>
      <c r="B183" s="152">
        <v>46296.0</v>
      </c>
      <c r="C183" s="153" t="s">
        <v>179</v>
      </c>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14"/>
      <c r="B184" s="148">
        <v>46301.0</v>
      </c>
      <c r="C184" s="51" t="s">
        <v>179</v>
      </c>
      <c r="D184" s="11" t="s">
        <v>629</v>
      </c>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14"/>
      <c r="B185" s="152">
        <v>46302.0</v>
      </c>
      <c r="C185" s="44" t="s">
        <v>179</v>
      </c>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14"/>
      <c r="B186" s="152">
        <v>46303.0</v>
      </c>
      <c r="C186" s="44" t="s">
        <v>179</v>
      </c>
      <c r="D186" s="11" t="s">
        <v>632</v>
      </c>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14"/>
      <c r="B187" s="152">
        <v>46304.0</v>
      </c>
      <c r="C187" s="153" t="s">
        <v>572</v>
      </c>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B188" s="159">
        <v>46309.0</v>
      </c>
      <c r="C188" s="160" t="s">
        <v>637</v>
      </c>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14"/>
      <c r="B189" s="159">
        <v>46315.0</v>
      </c>
      <c r="C189" s="44" t="s">
        <v>179</v>
      </c>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B190" s="159">
        <v>46317.0</v>
      </c>
      <c r="C190" s="44" t="s">
        <v>179</v>
      </c>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14"/>
      <c r="B191" s="161">
        <v>46325.0</v>
      </c>
      <c r="C191" s="44" t="s">
        <v>179</v>
      </c>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121" t="s">
        <v>642</v>
      </c>
      <c r="B193" s="162">
        <v>46331.0</v>
      </c>
      <c r="C193" s="153" t="s">
        <v>179</v>
      </c>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14"/>
      <c r="B194" s="162">
        <v>46332.0</v>
      </c>
      <c r="C194" s="153" t="s">
        <v>179</v>
      </c>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14"/>
      <c r="B195" s="159">
        <v>46345.0</v>
      </c>
      <c r="C195" s="153" t="s">
        <v>332</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14"/>
      <c r="B196" s="159">
        <v>46346.0</v>
      </c>
      <c r="C196" s="153" t="s">
        <v>179</v>
      </c>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14"/>
      <c r="B197" s="159">
        <v>46349.0</v>
      </c>
      <c r="C197" s="153" t="s">
        <v>179</v>
      </c>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34" t="s">
        <v>652</v>
      </c>
      <c r="B199" s="161">
        <v>46374.0</v>
      </c>
      <c r="C199" s="153" t="s">
        <v>179</v>
      </c>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row>
    <row r="1008">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row>
    <row r="1010">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row r="1011">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row>
    <row r="1012">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row>
    <row r="1013">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row>
    <row r="1014">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row>
    <row r="1015">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row>
    <row r="1016">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row>
    <row r="1017">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row>
    <row r="1018">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row>
    <row r="1019">
      <c r="A1019" s="14"/>
      <c r="B1019" s="14"/>
      <c r="C1019" s="14"/>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row>
    <row r="1020">
      <c r="A1020" s="14"/>
      <c r="B1020" s="14"/>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row>
    <row r="1021">
      <c r="A1021" s="14"/>
      <c r="B1021" s="14"/>
      <c r="C1021" s="14"/>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row>
    <row r="1022">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row>
    <row r="1023">
      <c r="A1023" s="14"/>
      <c r="B1023" s="14"/>
      <c r="C1023" s="14"/>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row>
    <row r="1024">
      <c r="A1024" s="14"/>
      <c r="B1024" s="14"/>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row>
    <row r="1025">
      <c r="A1025" s="14"/>
      <c r="B1025" s="14"/>
      <c r="C1025" s="14"/>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row>
    <row r="1026">
      <c r="A1026" s="14"/>
      <c r="B1026" s="14"/>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row>
    <row r="1027">
      <c r="A1027" s="14"/>
      <c r="B1027" s="14"/>
      <c r="C1027" s="14"/>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row>
    <row r="1028">
      <c r="A1028" s="14"/>
      <c r="B1028" s="14"/>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row>
    <row r="1029">
      <c r="A1029" s="14"/>
      <c r="B1029" s="14"/>
      <c r="C1029" s="14"/>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row>
    <row r="1030">
      <c r="A1030" s="14"/>
      <c r="B1030" s="14"/>
      <c r="C1030" s="14"/>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row>
    <row r="1031">
      <c r="A1031" s="14"/>
      <c r="B1031" s="14"/>
      <c r="C1031" s="14"/>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row>
    <row r="1032">
      <c r="A1032" s="14"/>
      <c r="B1032" s="14"/>
      <c r="C1032" s="14"/>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row>
    <row r="1033">
      <c r="A1033" s="14"/>
      <c r="B1033" s="14"/>
      <c r="C1033" s="14"/>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row>
    <row r="1034">
      <c r="A1034" s="14"/>
      <c r="B1034" s="14"/>
      <c r="C1034" s="14"/>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row>
    <row r="1035">
      <c r="A1035" s="14"/>
      <c r="B1035" s="14"/>
      <c r="C1035" s="14"/>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row>
    <row r="1036">
      <c r="A1036" s="14"/>
      <c r="B1036" s="14"/>
      <c r="C1036" s="14"/>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row>
    <row r="1037">
      <c r="A1037" s="14"/>
      <c r="B1037" s="14"/>
      <c r="C1037" s="14"/>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row>
    <row r="1038">
      <c r="A1038" s="14"/>
      <c r="B1038" s="14"/>
      <c r="C1038" s="14"/>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row>
    <row r="1039">
      <c r="A1039" s="14"/>
      <c r="B1039" s="14"/>
      <c r="C1039" s="14"/>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row>
    <row r="1040">
      <c r="A1040" s="14"/>
      <c r="B1040" s="14"/>
      <c r="C1040" s="14"/>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row>
    <row r="1041">
      <c r="A1041" s="14"/>
      <c r="B1041" s="14"/>
      <c r="C1041" s="14"/>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row>
    <row r="1042">
      <c r="A1042" s="14"/>
      <c r="B1042" s="14"/>
      <c r="C1042" s="14"/>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row>
    <row r="1043">
      <c r="A1043" s="14"/>
      <c r="B1043" s="14"/>
      <c r="C1043" s="14"/>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row>
    <row r="1044">
      <c r="A1044" s="14"/>
      <c r="B1044" s="14"/>
      <c r="C1044" s="14"/>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row>
    <row r="1045">
      <c r="A1045" s="14"/>
      <c r="B1045" s="3"/>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row>
    <row r="1046">
      <c r="A1046" s="14"/>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row>
    <row r="1047">
      <c r="A1047" s="14"/>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Col="2"/>
  <cols>
    <col customWidth="1" min="1" max="1" width="13.25"/>
    <col customWidth="1" min="2" max="2" width="8.63"/>
    <col customWidth="1" min="3" max="3" width="3.38"/>
    <col customWidth="1" min="4" max="4" width="58.0"/>
    <col customWidth="1" min="5" max="5" width="9.63"/>
    <col customWidth="1" min="6" max="6" width="9.38"/>
    <col customWidth="1" min="7" max="7" width="17.5"/>
    <col customWidth="1" min="8" max="8" width="3.25"/>
    <col customWidth="1" min="9" max="9" width="25.75"/>
    <col customWidth="1" min="10" max="10" width="11.88"/>
    <col customWidth="1" min="11" max="11" width="13.13"/>
    <col customWidth="1" min="12" max="12" width="20.5"/>
    <col customWidth="1" min="13" max="13" width="18.75"/>
    <col customWidth="1" min="14" max="14" width="7.5"/>
    <col customWidth="1" min="15" max="15" width="6.13"/>
  </cols>
  <sheetData>
    <row r="1">
      <c r="A1" s="64" t="s">
        <v>24</v>
      </c>
      <c r="B1" s="66"/>
      <c r="C1" s="66"/>
      <c r="D1" s="68" t="s">
        <v>92</v>
      </c>
      <c r="H1" s="66"/>
      <c r="I1" s="68" t="s">
        <v>95</v>
      </c>
      <c r="L1" s="66"/>
      <c r="M1" s="68" t="s">
        <v>97</v>
      </c>
      <c r="Q1" s="69"/>
      <c r="Y1" s="16"/>
    </row>
    <row r="2">
      <c r="A2" s="10" t="s">
        <v>5</v>
      </c>
      <c r="B2" s="10" t="s">
        <v>0</v>
      </c>
      <c r="C2" s="66"/>
      <c r="D2" s="70" t="s">
        <v>101</v>
      </c>
      <c r="E2" s="10" t="s">
        <v>102</v>
      </c>
      <c r="F2" s="10" t="s">
        <v>103</v>
      </c>
      <c r="G2" s="10" t="s">
        <v>104</v>
      </c>
      <c r="H2" s="66"/>
      <c r="I2" s="70" t="s">
        <v>105</v>
      </c>
      <c r="J2" s="72" t="s">
        <v>106</v>
      </c>
      <c r="K2" s="72" t="s">
        <v>107</v>
      </c>
      <c r="L2" s="66"/>
      <c r="M2" s="10" t="s">
        <v>108</v>
      </c>
      <c r="N2" s="10" t="s">
        <v>110</v>
      </c>
      <c r="O2" s="72" t="s">
        <v>111</v>
      </c>
      <c r="P2" s="17"/>
      <c r="Q2" s="74" t="s">
        <v>113</v>
      </c>
      <c r="Y2" s="16" t="s">
        <v>24</v>
      </c>
    </row>
    <row r="3">
      <c r="A3" s="76" t="s">
        <v>118</v>
      </c>
      <c r="B3" s="77" t="s">
        <v>33</v>
      </c>
      <c r="C3" s="77"/>
      <c r="D3" s="77" t="s">
        <v>124</v>
      </c>
      <c r="E3" s="78"/>
      <c r="F3" s="78"/>
      <c r="G3" s="80"/>
      <c r="H3" s="80"/>
      <c r="I3" s="51"/>
      <c r="J3" s="78"/>
      <c r="K3" s="78"/>
      <c r="L3" s="78"/>
      <c r="M3" s="80" t="s">
        <v>129</v>
      </c>
      <c r="N3" s="51"/>
      <c r="O3" s="51"/>
      <c r="P3" s="14"/>
      <c r="Q3" s="69"/>
    </row>
    <row r="4">
      <c r="A4" s="76" t="s">
        <v>118</v>
      </c>
      <c r="B4" s="84" t="s">
        <v>43</v>
      </c>
      <c r="C4" s="85"/>
      <c r="D4" s="84"/>
      <c r="E4" s="87">
        <v>45796.0</v>
      </c>
      <c r="F4" s="87">
        <v>45796.0</v>
      </c>
      <c r="G4" s="89" t="s">
        <v>60</v>
      </c>
      <c r="H4" s="66"/>
      <c r="I4" s="90" t="s">
        <v>143</v>
      </c>
      <c r="J4" s="87">
        <v>45792.0</v>
      </c>
      <c r="K4" s="87">
        <v>45792.0</v>
      </c>
      <c r="L4" s="91"/>
      <c r="M4" s="90" t="s">
        <v>24</v>
      </c>
      <c r="N4" s="93" t="s">
        <v>149</v>
      </c>
      <c r="O4" s="94"/>
      <c r="P4" s="14"/>
      <c r="Q4" s="69"/>
    </row>
    <row r="5">
      <c r="A5" s="76" t="s">
        <v>118</v>
      </c>
      <c r="B5" s="84" t="s">
        <v>22</v>
      </c>
      <c r="C5" s="85"/>
      <c r="D5" s="84"/>
      <c r="E5" s="96">
        <v>45930.0</v>
      </c>
      <c r="F5" s="87">
        <v>45778.0</v>
      </c>
      <c r="G5" s="98" t="s">
        <v>60</v>
      </c>
      <c r="H5" s="66"/>
      <c r="I5" s="94"/>
      <c r="J5" s="87">
        <v>45778.0</v>
      </c>
      <c r="K5" s="87">
        <v>45778.0</v>
      </c>
      <c r="L5" s="91"/>
      <c r="M5" s="93" t="s">
        <v>161</v>
      </c>
      <c r="N5" s="94"/>
      <c r="O5" s="90"/>
      <c r="P5" s="14"/>
      <c r="Q5" s="69"/>
    </row>
    <row r="6">
      <c r="A6" s="76" t="s">
        <v>118</v>
      </c>
      <c r="B6" s="84" t="s">
        <v>10</v>
      </c>
      <c r="C6" s="85"/>
      <c r="D6" s="84"/>
      <c r="E6" s="87">
        <v>45796.0</v>
      </c>
      <c r="F6" s="87">
        <v>45790.0</v>
      </c>
      <c r="G6" s="89" t="s">
        <v>54</v>
      </c>
      <c r="H6" s="66"/>
      <c r="I6" s="90"/>
      <c r="J6" s="87">
        <v>45790.0</v>
      </c>
      <c r="K6" s="87">
        <v>45796.0</v>
      </c>
      <c r="L6" s="91"/>
      <c r="M6" s="90"/>
      <c r="N6" s="90" t="s">
        <v>165</v>
      </c>
      <c r="O6" s="90" t="s">
        <v>167</v>
      </c>
      <c r="P6" s="14"/>
      <c r="Q6" s="69"/>
    </row>
    <row r="7">
      <c r="A7" s="76" t="s">
        <v>118</v>
      </c>
      <c r="B7" s="77" t="s">
        <v>49</v>
      </c>
      <c r="C7" s="77"/>
      <c r="D7" s="77" t="s">
        <v>170</v>
      </c>
      <c r="E7" s="78"/>
      <c r="F7" s="78"/>
      <c r="G7" s="80"/>
      <c r="H7" s="80"/>
      <c r="I7" s="51"/>
      <c r="J7" s="78"/>
      <c r="K7" s="78"/>
      <c r="L7" s="78"/>
      <c r="M7" s="80" t="s">
        <v>173</v>
      </c>
      <c r="N7" s="80" t="s">
        <v>175</v>
      </c>
      <c r="O7" s="51"/>
      <c r="P7" s="14"/>
      <c r="Q7" s="69"/>
    </row>
    <row r="8">
      <c r="A8" s="76" t="s">
        <v>118</v>
      </c>
      <c r="B8" s="84" t="s">
        <v>50</v>
      </c>
      <c r="C8" s="85"/>
      <c r="D8" s="84"/>
      <c r="E8" s="96">
        <v>45848.0</v>
      </c>
      <c r="F8" s="87">
        <v>45810.0</v>
      </c>
      <c r="G8" s="89" t="s">
        <v>60</v>
      </c>
      <c r="H8" s="66"/>
      <c r="I8" s="90"/>
      <c r="J8" s="87">
        <v>45810.0</v>
      </c>
      <c r="K8" s="87">
        <v>45819.0</v>
      </c>
      <c r="L8" s="91"/>
      <c r="M8" s="94" t="s">
        <v>181</v>
      </c>
      <c r="N8" s="94" t="s">
        <v>182</v>
      </c>
      <c r="O8" s="90"/>
      <c r="P8" s="14"/>
      <c r="Q8" s="69"/>
    </row>
    <row r="9">
      <c r="A9" s="76" t="s">
        <v>118</v>
      </c>
      <c r="B9" s="84" t="s">
        <v>27</v>
      </c>
      <c r="C9" s="85"/>
      <c r="D9" s="84"/>
      <c r="E9" s="87">
        <v>45799.0</v>
      </c>
      <c r="F9" s="87">
        <v>45796.0</v>
      </c>
      <c r="G9" s="89" t="s">
        <v>60</v>
      </c>
      <c r="H9" s="66"/>
      <c r="I9" s="90"/>
      <c r="J9" s="87">
        <v>45796.0</v>
      </c>
      <c r="K9" s="87">
        <v>45796.0</v>
      </c>
      <c r="L9" s="91"/>
      <c r="M9" s="94"/>
      <c r="N9" s="94"/>
      <c r="O9" s="90"/>
      <c r="P9" s="14"/>
      <c r="Q9" s="74">
        <v>5.0</v>
      </c>
    </row>
    <row r="10">
      <c r="A10" s="104" t="s">
        <v>137</v>
      </c>
      <c r="B10" s="77" t="s">
        <v>66</v>
      </c>
      <c r="C10" s="77"/>
      <c r="D10" s="77" t="s">
        <v>194</v>
      </c>
      <c r="E10" s="78"/>
      <c r="F10" s="78"/>
      <c r="G10" s="106" t="s">
        <v>60</v>
      </c>
      <c r="H10" s="80"/>
      <c r="I10" s="51"/>
      <c r="J10" s="78"/>
      <c r="K10" s="78"/>
      <c r="L10" s="78"/>
      <c r="M10" s="51" t="s">
        <v>197</v>
      </c>
      <c r="N10" s="80" t="s">
        <v>198</v>
      </c>
      <c r="O10" s="51"/>
      <c r="P10" s="14"/>
      <c r="Q10" s="69"/>
    </row>
    <row r="11">
      <c r="A11" s="104" t="s">
        <v>137</v>
      </c>
      <c r="B11" s="84" t="s">
        <v>58</v>
      </c>
      <c r="C11" s="85"/>
      <c r="D11" s="84" t="s">
        <v>201</v>
      </c>
      <c r="E11" s="96">
        <v>45889.0</v>
      </c>
      <c r="F11" s="96">
        <v>45897.0</v>
      </c>
      <c r="G11" s="89" t="s">
        <v>83</v>
      </c>
      <c r="H11" s="66"/>
      <c r="I11" s="94" t="s">
        <v>206</v>
      </c>
      <c r="J11" s="96">
        <v>45889.0</v>
      </c>
      <c r="K11" s="96">
        <v>45897.0</v>
      </c>
      <c r="L11" s="110"/>
      <c r="M11" s="90" t="s">
        <v>212</v>
      </c>
      <c r="N11" s="94" t="s">
        <v>214</v>
      </c>
      <c r="O11" s="90"/>
      <c r="P11" s="14"/>
      <c r="Q11" s="69"/>
    </row>
    <row r="12">
      <c r="A12" s="104" t="s">
        <v>137</v>
      </c>
      <c r="B12" s="84" t="s">
        <v>70</v>
      </c>
      <c r="C12" s="85"/>
      <c r="D12" s="84" t="s">
        <v>219</v>
      </c>
      <c r="E12" s="87">
        <v>45861.0</v>
      </c>
      <c r="F12" s="96">
        <v>45890.0</v>
      </c>
      <c r="G12" s="89" t="s">
        <v>136</v>
      </c>
      <c r="H12" s="66"/>
      <c r="I12" s="90" t="s">
        <v>223</v>
      </c>
      <c r="J12" s="96">
        <v>45890.0</v>
      </c>
      <c r="K12" s="96">
        <v>45890.0</v>
      </c>
      <c r="L12" s="110"/>
      <c r="M12" s="94" t="s">
        <v>225</v>
      </c>
      <c r="N12" s="94" t="s">
        <v>226</v>
      </c>
      <c r="O12" s="90"/>
      <c r="P12" s="14"/>
      <c r="Q12" s="69"/>
    </row>
    <row r="13">
      <c r="A13" s="104" t="s">
        <v>137</v>
      </c>
      <c r="B13" s="84" t="s">
        <v>41</v>
      </c>
      <c r="C13" s="85"/>
      <c r="D13" s="84"/>
      <c r="E13" s="87">
        <v>45812.0</v>
      </c>
      <c r="F13" s="87">
        <v>45813.0</v>
      </c>
      <c r="G13" s="89" t="s">
        <v>83</v>
      </c>
      <c r="H13" s="66"/>
      <c r="I13" s="90"/>
      <c r="J13" s="87">
        <v>45812.0</v>
      </c>
      <c r="K13" s="87">
        <v>45812.0</v>
      </c>
      <c r="L13" s="91"/>
      <c r="M13" s="90"/>
      <c r="N13" s="94" t="s">
        <v>230</v>
      </c>
      <c r="O13" s="90"/>
      <c r="P13" s="14"/>
      <c r="Q13" s="69"/>
    </row>
    <row r="14">
      <c r="A14" s="104" t="s">
        <v>137</v>
      </c>
      <c r="B14" s="77" t="s">
        <v>73</v>
      </c>
      <c r="C14" s="77"/>
      <c r="D14" s="77" t="s">
        <v>235</v>
      </c>
      <c r="E14" s="78"/>
      <c r="F14" s="78"/>
      <c r="G14" s="80"/>
      <c r="H14" s="80"/>
      <c r="I14" s="51" t="s">
        <v>238</v>
      </c>
      <c r="J14" s="78"/>
      <c r="K14" s="78"/>
      <c r="L14" s="78"/>
      <c r="M14" s="51" t="s">
        <v>240</v>
      </c>
      <c r="N14" s="80"/>
      <c r="O14" s="51"/>
      <c r="P14" s="14"/>
      <c r="Q14" s="69"/>
    </row>
    <row r="15">
      <c r="A15" s="104" t="s">
        <v>137</v>
      </c>
      <c r="B15" s="84" t="s">
        <v>38</v>
      </c>
      <c r="C15" s="85"/>
      <c r="D15" s="84"/>
      <c r="E15" s="87">
        <v>45818.0</v>
      </c>
      <c r="F15" s="87">
        <v>45820.0</v>
      </c>
      <c r="G15" s="89" t="s">
        <v>60</v>
      </c>
      <c r="H15" s="66"/>
      <c r="I15" s="90"/>
      <c r="J15" s="87">
        <v>45820.0</v>
      </c>
      <c r="K15" s="87">
        <v>45820.0</v>
      </c>
      <c r="L15" s="91"/>
      <c r="M15" s="94"/>
      <c r="N15" s="94" t="s">
        <v>246</v>
      </c>
      <c r="O15" s="90"/>
      <c r="P15" s="14"/>
      <c r="Q15" s="69"/>
    </row>
    <row r="16">
      <c r="A16" s="104" t="s">
        <v>137</v>
      </c>
      <c r="B16" s="84" t="s">
        <v>75</v>
      </c>
      <c r="C16" s="85"/>
      <c r="D16" s="94" t="s">
        <v>249</v>
      </c>
      <c r="E16" s="87">
        <v>45814.0</v>
      </c>
      <c r="F16" s="96">
        <v>45825.0</v>
      </c>
      <c r="G16" s="89" t="s">
        <v>83</v>
      </c>
      <c r="H16" s="66"/>
      <c r="I16" s="90"/>
      <c r="J16" s="96">
        <v>45825.0</v>
      </c>
      <c r="K16" s="96">
        <v>45825.0</v>
      </c>
      <c r="L16" s="110"/>
      <c r="M16" s="94" t="s">
        <v>252</v>
      </c>
      <c r="N16" s="94" t="s">
        <v>253</v>
      </c>
      <c r="O16" s="90"/>
      <c r="P16" s="14"/>
      <c r="Q16" s="69"/>
    </row>
    <row r="17">
      <c r="A17" s="104" t="s">
        <v>137</v>
      </c>
      <c r="B17" s="84" t="s">
        <v>55</v>
      </c>
      <c r="C17" s="85"/>
      <c r="D17" s="84"/>
      <c r="E17" s="87">
        <v>45819.0</v>
      </c>
      <c r="F17" s="87">
        <v>45818.0</v>
      </c>
      <c r="G17" s="89" t="s">
        <v>60</v>
      </c>
      <c r="H17" s="66"/>
      <c r="I17" s="94"/>
      <c r="J17" s="87">
        <v>45818.0</v>
      </c>
      <c r="K17" s="87">
        <v>45818.0</v>
      </c>
      <c r="L17" s="91"/>
      <c r="M17" s="90" t="s">
        <v>258</v>
      </c>
      <c r="N17" s="94" t="s">
        <v>246</v>
      </c>
      <c r="O17" s="90"/>
      <c r="P17" s="14"/>
      <c r="Q17" s="69"/>
    </row>
    <row r="18">
      <c r="A18" s="104" t="s">
        <v>137</v>
      </c>
      <c r="B18" s="84" t="s">
        <v>57</v>
      </c>
      <c r="C18" s="85"/>
      <c r="D18" s="84"/>
      <c r="E18" s="87">
        <v>45994.0</v>
      </c>
      <c r="F18" s="87">
        <v>45807.0</v>
      </c>
      <c r="G18" s="89" t="s">
        <v>60</v>
      </c>
      <c r="H18" s="66"/>
      <c r="I18" s="90"/>
      <c r="J18" s="87">
        <v>45807.0</v>
      </c>
      <c r="K18" s="87">
        <v>45807.0</v>
      </c>
      <c r="L18" s="91"/>
      <c r="M18" s="94" t="s">
        <v>264</v>
      </c>
      <c r="N18" s="90" t="s">
        <v>265</v>
      </c>
      <c r="O18" s="90"/>
      <c r="P18" s="14"/>
      <c r="Q18" s="69"/>
    </row>
    <row r="19">
      <c r="A19" s="104" t="s">
        <v>137</v>
      </c>
      <c r="B19" s="84" t="s">
        <v>67</v>
      </c>
      <c r="C19" s="85"/>
      <c r="D19" s="84"/>
      <c r="E19" s="87">
        <v>45813.0</v>
      </c>
      <c r="F19" s="87">
        <v>45819.0</v>
      </c>
      <c r="G19" s="89" t="s">
        <v>60</v>
      </c>
      <c r="H19" s="66"/>
      <c r="I19" s="94"/>
      <c r="J19" s="87">
        <v>45819.0</v>
      </c>
      <c r="K19" s="87">
        <v>45819.0</v>
      </c>
      <c r="L19" s="91"/>
      <c r="M19" s="94"/>
      <c r="N19" s="94" t="s">
        <v>246</v>
      </c>
      <c r="O19" s="94"/>
      <c r="P19" s="14"/>
      <c r="Q19" s="69"/>
    </row>
    <row r="20">
      <c r="A20" s="104" t="s">
        <v>137</v>
      </c>
      <c r="B20" s="84" t="s">
        <v>59</v>
      </c>
      <c r="C20" s="85"/>
      <c r="D20" s="94" t="s">
        <v>270</v>
      </c>
      <c r="E20" s="96">
        <v>45889.0</v>
      </c>
      <c r="F20" s="96">
        <v>45897.0</v>
      </c>
      <c r="G20" s="89" t="s">
        <v>60</v>
      </c>
      <c r="H20" s="66"/>
      <c r="I20" s="90" t="s">
        <v>273</v>
      </c>
      <c r="J20" s="96">
        <v>45889.0</v>
      </c>
      <c r="K20" s="96">
        <v>45897.0</v>
      </c>
      <c r="L20" s="110"/>
      <c r="M20" s="94" t="s">
        <v>275</v>
      </c>
      <c r="N20" s="94" t="s">
        <v>276</v>
      </c>
      <c r="O20" s="90"/>
      <c r="P20" s="14"/>
      <c r="Q20" s="69"/>
    </row>
    <row r="21">
      <c r="A21" s="104" t="s">
        <v>137</v>
      </c>
      <c r="B21" s="84" t="s">
        <v>53</v>
      </c>
      <c r="C21" s="85"/>
      <c r="D21" s="84"/>
      <c r="E21" s="87">
        <v>45994.0</v>
      </c>
      <c r="F21" s="87">
        <v>45807.0</v>
      </c>
      <c r="G21" s="89" t="s">
        <v>282</v>
      </c>
      <c r="H21" s="66"/>
      <c r="I21" s="90"/>
      <c r="J21" s="87">
        <v>45807.0</v>
      </c>
      <c r="K21" s="87">
        <v>45807.0</v>
      </c>
      <c r="L21" s="91"/>
      <c r="M21" s="94" t="s">
        <v>284</v>
      </c>
      <c r="N21" s="90" t="s">
        <v>285</v>
      </c>
      <c r="O21" s="90"/>
      <c r="P21" s="14"/>
      <c r="Q21" s="69"/>
    </row>
    <row r="22">
      <c r="A22" s="104" t="s">
        <v>137</v>
      </c>
      <c r="B22" s="84" t="s">
        <v>65</v>
      </c>
      <c r="C22" s="85"/>
      <c r="D22" s="84"/>
      <c r="E22" s="87">
        <v>45814.0</v>
      </c>
      <c r="F22" s="87">
        <v>45833.0</v>
      </c>
      <c r="G22" s="89" t="s">
        <v>60</v>
      </c>
      <c r="H22" s="66"/>
      <c r="I22" s="94" t="s">
        <v>289</v>
      </c>
      <c r="J22" s="87">
        <v>45833.0</v>
      </c>
      <c r="K22" s="87">
        <v>45833.0</v>
      </c>
      <c r="L22" s="91"/>
      <c r="M22" s="94"/>
      <c r="N22" s="94" t="s">
        <v>291</v>
      </c>
      <c r="O22" s="90"/>
      <c r="P22" s="14"/>
      <c r="Q22" s="69"/>
    </row>
    <row r="23">
      <c r="A23" s="104" t="s">
        <v>137</v>
      </c>
      <c r="B23" s="84" t="s">
        <v>62</v>
      </c>
      <c r="C23" s="85"/>
      <c r="D23" s="84"/>
      <c r="E23" s="96">
        <v>45811.0</v>
      </c>
      <c r="F23" s="87">
        <v>45813.0</v>
      </c>
      <c r="G23" s="89" t="s">
        <v>60</v>
      </c>
      <c r="H23" s="66"/>
      <c r="I23" s="94" t="s">
        <v>292</v>
      </c>
      <c r="J23" s="87">
        <v>45813.0</v>
      </c>
      <c r="K23" s="87">
        <v>45813.0</v>
      </c>
      <c r="L23" s="91"/>
      <c r="M23" s="94"/>
      <c r="N23" s="94" t="s">
        <v>294</v>
      </c>
      <c r="O23" s="90"/>
      <c r="P23" s="14"/>
      <c r="Q23" s="69"/>
    </row>
    <row r="24">
      <c r="A24" s="104" t="s">
        <v>137</v>
      </c>
      <c r="B24" s="84" t="s">
        <v>34</v>
      </c>
      <c r="C24" s="85"/>
      <c r="D24" s="84"/>
      <c r="E24" s="96">
        <v>45817.0</v>
      </c>
      <c r="F24" s="87">
        <v>45824.0</v>
      </c>
      <c r="G24" s="89" t="s">
        <v>83</v>
      </c>
      <c r="H24" s="66"/>
      <c r="I24" s="90"/>
      <c r="J24" s="87">
        <v>45824.0</v>
      </c>
      <c r="K24" s="87">
        <v>45824.0</v>
      </c>
      <c r="L24" s="91"/>
      <c r="M24" s="94" t="s">
        <v>299</v>
      </c>
      <c r="N24" s="89" t="s">
        <v>294</v>
      </c>
      <c r="O24" s="90"/>
      <c r="P24" s="17"/>
      <c r="Q24" s="74">
        <v>13.0</v>
      </c>
    </row>
    <row r="25">
      <c r="A25" s="76" t="s">
        <v>109</v>
      </c>
      <c r="B25" s="84" t="s">
        <v>78</v>
      </c>
      <c r="C25" s="85"/>
      <c r="D25" s="84"/>
      <c r="E25" s="96">
        <v>45880.0</v>
      </c>
      <c r="F25" s="96">
        <v>45848.0</v>
      </c>
      <c r="G25" s="89" t="s">
        <v>83</v>
      </c>
      <c r="H25" s="66"/>
      <c r="I25" s="94" t="s">
        <v>303</v>
      </c>
      <c r="J25" s="96">
        <v>45848.0</v>
      </c>
      <c r="K25" s="96">
        <v>45880.0</v>
      </c>
      <c r="L25" s="110"/>
      <c r="M25" s="94" t="s">
        <v>305</v>
      </c>
      <c r="N25" s="94" t="s">
        <v>303</v>
      </c>
      <c r="O25" s="90" t="s">
        <v>306</v>
      </c>
      <c r="P25" s="14"/>
      <c r="Q25" s="69"/>
    </row>
    <row r="26">
      <c r="A26" s="76" t="s">
        <v>109</v>
      </c>
      <c r="B26" s="77" t="s">
        <v>91</v>
      </c>
      <c r="C26" s="77"/>
      <c r="D26" s="80" t="s">
        <v>310</v>
      </c>
      <c r="E26" s="120"/>
      <c r="F26" s="120"/>
      <c r="G26" s="106"/>
      <c r="H26" s="80"/>
      <c r="I26" s="80"/>
      <c r="J26" s="120"/>
      <c r="K26" s="120"/>
      <c r="L26" s="120"/>
      <c r="M26" s="51" t="s">
        <v>316</v>
      </c>
      <c r="N26" s="51"/>
      <c r="O26" s="51"/>
      <c r="P26" s="14"/>
      <c r="Q26" s="69"/>
    </row>
    <row r="27">
      <c r="A27" s="76" t="s">
        <v>109</v>
      </c>
      <c r="B27" s="77" t="s">
        <v>88</v>
      </c>
      <c r="C27" s="77"/>
      <c r="D27" s="80" t="s">
        <v>320</v>
      </c>
      <c r="E27" s="120"/>
      <c r="F27" s="78"/>
      <c r="G27" s="106"/>
      <c r="H27" s="80"/>
      <c r="I27" s="51"/>
      <c r="J27" s="78"/>
      <c r="K27" s="78"/>
      <c r="L27" s="78"/>
      <c r="M27" s="80" t="s">
        <v>321</v>
      </c>
      <c r="N27" s="51"/>
      <c r="O27" s="51"/>
      <c r="P27" s="14"/>
      <c r="Q27" s="69"/>
    </row>
    <row r="28">
      <c r="A28" s="76" t="s">
        <v>109</v>
      </c>
      <c r="B28" s="84" t="s">
        <v>32</v>
      </c>
      <c r="C28" s="85"/>
      <c r="D28" s="94" t="s">
        <v>324</v>
      </c>
      <c r="E28" s="122">
        <v>45819.0</v>
      </c>
      <c r="F28" s="87">
        <v>45853.0</v>
      </c>
      <c r="G28" s="89" t="s">
        <v>83</v>
      </c>
      <c r="H28" s="66"/>
      <c r="I28" s="90"/>
      <c r="J28" s="87">
        <v>45853.0</v>
      </c>
      <c r="K28" s="87">
        <v>45853.0</v>
      </c>
      <c r="L28" s="91"/>
      <c r="M28" s="90" t="s">
        <v>328</v>
      </c>
      <c r="N28" s="90" t="s">
        <v>329</v>
      </c>
      <c r="O28" s="90"/>
      <c r="P28" s="14"/>
      <c r="Q28" s="69"/>
    </row>
    <row r="29">
      <c r="A29" s="76" t="s">
        <v>109</v>
      </c>
      <c r="B29" s="84" t="s">
        <v>46</v>
      </c>
      <c r="C29" s="85"/>
      <c r="D29" s="94" t="s">
        <v>331</v>
      </c>
      <c r="E29" s="96">
        <v>45859.0</v>
      </c>
      <c r="F29" s="87">
        <v>45845.0</v>
      </c>
      <c r="G29" s="89" t="s">
        <v>134</v>
      </c>
      <c r="H29" s="66"/>
      <c r="I29" s="94"/>
      <c r="J29" s="87">
        <v>45845.0</v>
      </c>
      <c r="K29" s="87">
        <v>45845.0</v>
      </c>
      <c r="L29" s="91"/>
      <c r="M29" s="94" t="s">
        <v>334</v>
      </c>
      <c r="N29" s="94"/>
      <c r="O29" s="90"/>
      <c r="P29" s="14"/>
      <c r="Q29" s="74">
        <v>3.0</v>
      </c>
    </row>
    <row r="30">
      <c r="A30" s="104" t="s">
        <v>144</v>
      </c>
      <c r="B30" s="84" t="s">
        <v>81</v>
      </c>
      <c r="C30" s="85"/>
      <c r="D30" s="94" t="s">
        <v>338</v>
      </c>
      <c r="E30" s="96">
        <v>45891.0</v>
      </c>
      <c r="F30" s="87">
        <v>45882.0</v>
      </c>
      <c r="G30" s="89" t="s">
        <v>189</v>
      </c>
      <c r="H30" s="66"/>
      <c r="I30" s="94"/>
      <c r="J30" s="87">
        <v>45875.0</v>
      </c>
      <c r="K30" s="87">
        <v>45882.0</v>
      </c>
      <c r="L30" s="91"/>
      <c r="M30" s="94" t="s">
        <v>343</v>
      </c>
      <c r="N30" s="94" t="s">
        <v>344</v>
      </c>
      <c r="O30" s="90"/>
      <c r="P30" s="123" t="s">
        <v>346</v>
      </c>
      <c r="Q30" s="69"/>
    </row>
    <row r="31">
      <c r="A31" s="104" t="s">
        <v>144</v>
      </c>
      <c r="B31" s="84" t="s">
        <v>74</v>
      </c>
      <c r="C31" s="85"/>
      <c r="D31" s="94" t="s">
        <v>349</v>
      </c>
      <c r="E31" s="96">
        <v>45868.0</v>
      </c>
      <c r="F31" s="96">
        <v>45897.0</v>
      </c>
      <c r="G31" s="89" t="s">
        <v>146</v>
      </c>
      <c r="H31" s="66"/>
      <c r="I31" s="94"/>
      <c r="J31" s="96">
        <v>45897.0</v>
      </c>
      <c r="K31" s="96">
        <v>45868.0</v>
      </c>
      <c r="L31" s="110"/>
      <c r="M31" s="94" t="s">
        <v>354</v>
      </c>
      <c r="N31" s="94" t="s">
        <v>355</v>
      </c>
      <c r="O31" s="90" t="s">
        <v>24</v>
      </c>
      <c r="P31" s="14"/>
      <c r="Q31" s="69"/>
    </row>
    <row r="32">
      <c r="A32" s="104" t="s">
        <v>144</v>
      </c>
      <c r="B32" s="84" t="s">
        <v>84</v>
      </c>
      <c r="C32" s="85"/>
      <c r="D32" s="94" t="s">
        <v>360</v>
      </c>
      <c r="E32" s="122">
        <v>45866.0</v>
      </c>
      <c r="F32" s="96">
        <v>45876.0</v>
      </c>
      <c r="G32" s="89" t="s">
        <v>136</v>
      </c>
      <c r="H32" s="66"/>
      <c r="I32" s="90"/>
      <c r="J32" s="96">
        <v>45876.0</v>
      </c>
      <c r="K32" s="96">
        <v>45876.0</v>
      </c>
      <c r="L32" s="110"/>
      <c r="M32" s="94" t="s">
        <v>363</v>
      </c>
      <c r="N32" s="94"/>
      <c r="O32" s="94"/>
      <c r="P32" s="14"/>
      <c r="Q32" s="69"/>
    </row>
    <row r="33">
      <c r="A33" s="104" t="s">
        <v>144</v>
      </c>
      <c r="B33" s="84" t="s">
        <v>87</v>
      </c>
      <c r="C33" s="85"/>
      <c r="D33" s="94" t="s">
        <v>366</v>
      </c>
      <c r="E33" s="96">
        <v>45894.0</v>
      </c>
      <c r="F33" s="96">
        <v>45876.0</v>
      </c>
      <c r="G33" s="89" t="s">
        <v>369</v>
      </c>
      <c r="H33" s="66"/>
      <c r="I33" s="90"/>
      <c r="J33" s="96">
        <v>45876.0</v>
      </c>
      <c r="K33" s="96">
        <v>45876.0</v>
      </c>
      <c r="L33" s="110"/>
      <c r="M33" s="94" t="s">
        <v>370</v>
      </c>
      <c r="N33" s="90" t="s">
        <v>371</v>
      </c>
      <c r="O33" s="90"/>
      <c r="P33" s="17" t="s">
        <v>24</v>
      </c>
      <c r="Q33" s="69"/>
    </row>
    <row r="34">
      <c r="A34" s="104" t="s">
        <v>144</v>
      </c>
      <c r="B34" s="84" t="s">
        <v>85</v>
      </c>
      <c r="C34" s="85"/>
      <c r="D34" s="94"/>
      <c r="E34" s="96">
        <v>45891.0</v>
      </c>
      <c r="F34" s="96">
        <v>45883.0</v>
      </c>
      <c r="G34" s="89" t="s">
        <v>369</v>
      </c>
      <c r="H34" s="66"/>
      <c r="I34" s="90"/>
      <c r="J34" s="96">
        <v>45883.0</v>
      </c>
      <c r="K34" s="96">
        <v>45883.0</v>
      </c>
      <c r="L34" s="110"/>
      <c r="M34" s="94" t="s">
        <v>376</v>
      </c>
      <c r="N34" s="90"/>
      <c r="O34" s="90"/>
      <c r="P34" s="17"/>
      <c r="Q34" s="69"/>
    </row>
    <row r="35">
      <c r="A35" s="104" t="s">
        <v>144</v>
      </c>
      <c r="B35" s="84" t="s">
        <v>86</v>
      </c>
      <c r="C35" s="85"/>
      <c r="D35" s="94"/>
      <c r="E35" s="96">
        <v>45870.0</v>
      </c>
      <c r="F35" s="96">
        <v>45884.0</v>
      </c>
      <c r="G35" s="89" t="s">
        <v>146</v>
      </c>
      <c r="H35" s="66"/>
      <c r="I35" s="90"/>
      <c r="J35" s="96">
        <v>45884.0</v>
      </c>
      <c r="K35" s="96">
        <v>45884.0</v>
      </c>
      <c r="L35" s="110"/>
      <c r="M35" s="94"/>
      <c r="N35" s="90"/>
      <c r="O35" s="90"/>
      <c r="P35" s="14"/>
      <c r="Q35" s="69"/>
    </row>
    <row r="36">
      <c r="A36" s="104" t="s">
        <v>144</v>
      </c>
      <c r="B36" s="84" t="s">
        <v>121</v>
      </c>
      <c r="C36" s="85"/>
      <c r="D36" s="94" t="s">
        <v>379</v>
      </c>
      <c r="E36" s="96">
        <v>45953.0</v>
      </c>
      <c r="F36" s="87">
        <v>45875.0</v>
      </c>
      <c r="G36" s="89" t="s">
        <v>60</v>
      </c>
      <c r="H36" s="66"/>
      <c r="I36" s="90"/>
      <c r="J36" s="87">
        <v>45875.0</v>
      </c>
      <c r="K36" s="87">
        <v>45875.0</v>
      </c>
      <c r="L36" s="91"/>
      <c r="M36" s="94" t="s">
        <v>381</v>
      </c>
      <c r="N36" s="90"/>
      <c r="O36" s="90"/>
      <c r="P36" s="14"/>
      <c r="Q36" s="69"/>
    </row>
    <row r="37">
      <c r="A37" s="104" t="s">
        <v>144</v>
      </c>
      <c r="B37" s="84" t="s">
        <v>90</v>
      </c>
      <c r="C37" s="85"/>
      <c r="D37" s="94" t="s">
        <v>383</v>
      </c>
      <c r="E37" s="96">
        <v>45880.0</v>
      </c>
      <c r="F37" s="87">
        <v>45887.0</v>
      </c>
      <c r="G37" s="89" t="s">
        <v>166</v>
      </c>
      <c r="H37" s="66"/>
      <c r="I37" s="90"/>
      <c r="J37" s="87">
        <v>45887.0</v>
      </c>
      <c r="K37" s="87">
        <v>45887.0</v>
      </c>
      <c r="L37" s="91"/>
      <c r="M37" s="94"/>
      <c r="N37" s="90"/>
      <c r="O37" s="90"/>
      <c r="P37" s="14"/>
      <c r="Q37" s="69"/>
    </row>
    <row r="38">
      <c r="A38" s="104" t="s">
        <v>144</v>
      </c>
      <c r="B38" s="84" t="s">
        <v>89</v>
      </c>
      <c r="C38" s="85"/>
      <c r="D38" s="94" t="s">
        <v>386</v>
      </c>
      <c r="E38" s="96">
        <v>45877.0</v>
      </c>
      <c r="F38" s="87">
        <v>45884.0</v>
      </c>
      <c r="G38" s="89" t="s">
        <v>166</v>
      </c>
      <c r="H38" s="66"/>
      <c r="I38" s="90"/>
      <c r="J38" s="87">
        <v>45884.0</v>
      </c>
      <c r="K38" s="87">
        <v>45884.0</v>
      </c>
      <c r="L38" s="91"/>
      <c r="M38" s="90" t="s">
        <v>354</v>
      </c>
      <c r="N38" s="90"/>
      <c r="O38" s="90"/>
      <c r="P38" s="14"/>
      <c r="Q38" s="69"/>
    </row>
    <row r="39">
      <c r="A39" s="104" t="s">
        <v>144</v>
      </c>
      <c r="B39" s="77" t="s">
        <v>71</v>
      </c>
      <c r="C39" s="77"/>
      <c r="D39" s="80" t="s">
        <v>387</v>
      </c>
      <c r="E39" s="120"/>
      <c r="F39" s="120"/>
      <c r="G39" s="106"/>
      <c r="H39" s="80"/>
      <c r="I39" s="51"/>
      <c r="J39" s="120"/>
      <c r="K39" s="120"/>
      <c r="L39" s="120"/>
      <c r="M39" s="80" t="s">
        <v>389</v>
      </c>
      <c r="N39" s="51" t="s">
        <v>390</v>
      </c>
      <c r="O39" s="51"/>
      <c r="P39" s="14"/>
      <c r="Q39" s="74">
        <v>9.0</v>
      </c>
    </row>
    <row r="40">
      <c r="A40" s="76" t="s">
        <v>395</v>
      </c>
      <c r="B40" s="84" t="s">
        <v>122</v>
      </c>
      <c r="C40" s="85"/>
      <c r="D40" s="94" t="s">
        <v>397</v>
      </c>
      <c r="E40" s="96">
        <v>45951.0</v>
      </c>
      <c r="F40" s="96">
        <v>45925.0</v>
      </c>
      <c r="G40" s="89" t="s">
        <v>166</v>
      </c>
      <c r="H40" s="66"/>
      <c r="I40" s="90"/>
      <c r="J40" s="96">
        <v>45925.0</v>
      </c>
      <c r="K40" s="96">
        <v>45925.0</v>
      </c>
      <c r="L40" s="110"/>
      <c r="M40" s="94" t="s">
        <v>399</v>
      </c>
      <c r="N40" s="90"/>
      <c r="O40" s="90"/>
      <c r="P40" s="14"/>
      <c r="Q40" s="69"/>
    </row>
    <row r="41">
      <c r="A41" s="76" t="s">
        <v>395</v>
      </c>
      <c r="B41" s="84" t="s">
        <v>127</v>
      </c>
      <c r="C41" s="85"/>
      <c r="D41" s="94" t="s">
        <v>401</v>
      </c>
      <c r="E41" s="96">
        <v>46010.0</v>
      </c>
      <c r="F41" s="96">
        <v>45933.0</v>
      </c>
      <c r="G41" s="89" t="s">
        <v>166</v>
      </c>
      <c r="H41" s="66"/>
      <c r="I41" s="90"/>
      <c r="J41" s="96">
        <v>45933.0</v>
      </c>
      <c r="K41" s="96">
        <v>45933.0</v>
      </c>
      <c r="L41" s="110"/>
      <c r="M41" s="94" t="s">
        <v>403</v>
      </c>
      <c r="N41" s="90"/>
      <c r="O41" s="90"/>
      <c r="P41" s="14"/>
      <c r="Q41" s="69"/>
    </row>
    <row r="42">
      <c r="A42" s="76" t="s">
        <v>395</v>
      </c>
      <c r="B42" s="84" t="s">
        <v>125</v>
      </c>
      <c r="C42" s="85"/>
      <c r="D42" s="94" t="s">
        <v>405</v>
      </c>
      <c r="E42" s="96">
        <v>45968.0</v>
      </c>
      <c r="F42" s="96">
        <v>45932.0</v>
      </c>
      <c r="G42" s="89" t="s">
        <v>374</v>
      </c>
      <c r="H42" s="66"/>
      <c r="I42" s="90"/>
      <c r="J42" s="96">
        <v>45932.0</v>
      </c>
      <c r="K42" s="96">
        <v>45932.0</v>
      </c>
      <c r="L42" s="110"/>
      <c r="M42" s="94" t="s">
        <v>409</v>
      </c>
      <c r="N42" s="90"/>
      <c r="O42" s="90"/>
      <c r="P42" s="14"/>
      <c r="Q42" s="74">
        <v>3.0</v>
      </c>
    </row>
    <row r="43">
      <c r="A43" s="104" t="s">
        <v>411</v>
      </c>
      <c r="B43" s="84" t="s">
        <v>117</v>
      </c>
      <c r="C43" s="85"/>
      <c r="D43" s="94" t="s">
        <v>413</v>
      </c>
      <c r="E43" s="96">
        <v>45946.0</v>
      </c>
      <c r="F43" s="87">
        <v>45930.0</v>
      </c>
      <c r="G43" s="89" t="s">
        <v>374</v>
      </c>
      <c r="H43" s="66"/>
      <c r="I43" s="90"/>
      <c r="J43" s="87">
        <v>45930.0</v>
      </c>
      <c r="K43" s="87">
        <v>45930.0</v>
      </c>
      <c r="L43" s="91"/>
      <c r="M43" s="94" t="s">
        <v>414</v>
      </c>
      <c r="N43" s="90"/>
      <c r="O43" s="94"/>
      <c r="P43" s="14"/>
      <c r="Q43" s="69"/>
    </row>
    <row r="44">
      <c r="A44" s="104" t="s">
        <v>411</v>
      </c>
      <c r="B44" s="77" t="s">
        <v>154</v>
      </c>
      <c r="C44" s="77"/>
      <c r="D44" s="80" t="s">
        <v>419</v>
      </c>
      <c r="E44" s="120"/>
      <c r="F44" s="78"/>
      <c r="G44" s="80"/>
      <c r="H44" s="80"/>
      <c r="I44" s="51"/>
      <c r="J44" s="78"/>
      <c r="K44" s="78"/>
      <c r="L44" s="78"/>
      <c r="M44" s="80" t="s">
        <v>420</v>
      </c>
      <c r="N44" s="51"/>
      <c r="O44" s="51"/>
      <c r="P44" s="14"/>
      <c r="Q44" s="69"/>
    </row>
    <row r="45">
      <c r="A45" s="129" t="s">
        <v>411</v>
      </c>
      <c r="B45" s="84" t="s">
        <v>133</v>
      </c>
      <c r="C45" s="85"/>
      <c r="D45" s="94" t="s">
        <v>427</v>
      </c>
      <c r="E45" s="96">
        <v>45943.0</v>
      </c>
      <c r="F45" s="87">
        <v>45939.0</v>
      </c>
      <c r="G45" s="89" t="s">
        <v>374</v>
      </c>
      <c r="H45" s="66"/>
      <c r="I45" s="94"/>
      <c r="J45" s="87">
        <v>45939.0</v>
      </c>
      <c r="K45" s="87">
        <v>45939.0</v>
      </c>
      <c r="L45" s="91"/>
      <c r="M45" s="94" t="s">
        <v>430</v>
      </c>
      <c r="N45" s="90"/>
      <c r="O45" s="90"/>
      <c r="P45" s="14"/>
      <c r="Q45" s="69"/>
    </row>
    <row r="46">
      <c r="A46" s="129" t="s">
        <v>411</v>
      </c>
      <c r="B46" s="84" t="s">
        <v>152</v>
      </c>
      <c r="C46" s="85"/>
      <c r="D46" s="94" t="s">
        <v>433</v>
      </c>
      <c r="E46" s="96">
        <v>45979.0</v>
      </c>
      <c r="F46" s="87">
        <v>45950.0</v>
      </c>
      <c r="G46" s="89" t="s">
        <v>83</v>
      </c>
      <c r="H46" s="66"/>
      <c r="I46" s="90"/>
      <c r="J46" s="87">
        <v>45950.0</v>
      </c>
      <c r="K46" s="87">
        <v>45950.0</v>
      </c>
      <c r="L46" s="91"/>
      <c r="M46" s="94" t="s">
        <v>436</v>
      </c>
      <c r="N46" s="90"/>
      <c r="O46" s="90"/>
      <c r="P46" s="17" t="s">
        <v>24</v>
      </c>
      <c r="Q46" s="69"/>
    </row>
    <row r="47">
      <c r="A47" s="129" t="s">
        <v>411</v>
      </c>
      <c r="B47" s="84" t="s">
        <v>120</v>
      </c>
      <c r="C47" s="85"/>
      <c r="D47" s="94" t="s">
        <v>439</v>
      </c>
      <c r="E47" s="96">
        <v>46006.0</v>
      </c>
      <c r="F47" s="96">
        <v>45971.0</v>
      </c>
      <c r="G47" s="89" t="s">
        <v>440</v>
      </c>
      <c r="H47" s="66"/>
      <c r="I47" s="90"/>
      <c r="J47" s="96">
        <v>45971.0</v>
      </c>
      <c r="K47" s="96">
        <v>45971.0</v>
      </c>
      <c r="L47" s="110"/>
      <c r="M47" s="94" t="s">
        <v>441</v>
      </c>
      <c r="N47" s="90"/>
      <c r="O47" s="90"/>
      <c r="P47" s="14"/>
      <c r="Q47" s="69"/>
    </row>
    <row r="48">
      <c r="A48" s="129" t="s">
        <v>411</v>
      </c>
      <c r="B48" s="84" t="s">
        <v>93</v>
      </c>
      <c r="C48" s="85"/>
      <c r="D48" s="94" t="s">
        <v>442</v>
      </c>
      <c r="E48" s="87">
        <v>45968.0</v>
      </c>
      <c r="F48" s="87">
        <v>45933.0</v>
      </c>
      <c r="G48" s="89" t="s">
        <v>83</v>
      </c>
      <c r="H48" s="66"/>
      <c r="I48" s="90"/>
      <c r="J48" s="87">
        <v>45933.0</v>
      </c>
      <c r="K48" s="87">
        <v>45933.0</v>
      </c>
      <c r="L48" s="91"/>
      <c r="M48" s="94" t="s">
        <v>445</v>
      </c>
      <c r="N48" s="90"/>
      <c r="O48" s="90"/>
      <c r="P48" s="14"/>
      <c r="Q48" s="69"/>
    </row>
    <row r="49">
      <c r="A49" s="129" t="s">
        <v>411</v>
      </c>
      <c r="B49" s="94" t="s">
        <v>126</v>
      </c>
      <c r="C49" s="66"/>
      <c r="D49" s="94" t="s">
        <v>447</v>
      </c>
      <c r="E49" s="87">
        <v>46034.0</v>
      </c>
      <c r="F49" s="96">
        <v>45953.0</v>
      </c>
      <c r="G49" s="89" t="s">
        <v>450</v>
      </c>
      <c r="H49" s="66"/>
      <c r="I49" s="90"/>
      <c r="J49" s="96">
        <v>45978.0</v>
      </c>
      <c r="K49" s="96">
        <v>45978.0</v>
      </c>
      <c r="L49" s="110"/>
      <c r="M49" s="94" t="s">
        <v>452</v>
      </c>
      <c r="N49" s="90"/>
      <c r="O49" s="90" t="s">
        <v>453</v>
      </c>
      <c r="P49" s="14"/>
      <c r="Q49" s="69"/>
    </row>
    <row r="50">
      <c r="A50" s="104" t="s">
        <v>411</v>
      </c>
      <c r="B50" s="94" t="s">
        <v>148</v>
      </c>
      <c r="C50" s="66"/>
      <c r="D50" s="94" t="s">
        <v>455</v>
      </c>
      <c r="E50" s="96">
        <v>45978.0</v>
      </c>
      <c r="F50" s="96">
        <v>45946.0</v>
      </c>
      <c r="G50" s="89" t="s">
        <v>374</v>
      </c>
      <c r="H50" s="66"/>
      <c r="I50" s="90"/>
      <c r="J50" s="96">
        <v>45946.0</v>
      </c>
      <c r="K50" s="96">
        <v>45946.0</v>
      </c>
      <c r="L50" s="110"/>
      <c r="M50" s="94" t="s">
        <v>457</v>
      </c>
      <c r="N50" s="90"/>
      <c r="O50" s="90"/>
      <c r="P50" s="14"/>
      <c r="Q50" s="69"/>
    </row>
    <row r="51">
      <c r="A51" s="129" t="s">
        <v>411</v>
      </c>
      <c r="B51" s="94" t="s">
        <v>96</v>
      </c>
      <c r="C51" s="66"/>
      <c r="D51" s="94" t="s">
        <v>459</v>
      </c>
      <c r="E51" s="96">
        <v>45987.0</v>
      </c>
      <c r="F51" s="96">
        <v>45937.0</v>
      </c>
      <c r="G51" s="89" t="s">
        <v>83</v>
      </c>
      <c r="H51" s="66"/>
      <c r="I51" s="90"/>
      <c r="J51" s="96">
        <v>45937.0</v>
      </c>
      <c r="K51" s="96">
        <v>45937.0</v>
      </c>
      <c r="L51" s="110"/>
      <c r="M51" s="94"/>
      <c r="N51" s="90"/>
      <c r="O51" s="90"/>
      <c r="P51" s="14"/>
      <c r="Q51" s="69"/>
    </row>
    <row r="52">
      <c r="A52" s="129" t="s">
        <v>411</v>
      </c>
      <c r="B52" s="94" t="s">
        <v>147</v>
      </c>
      <c r="C52" s="66"/>
      <c r="D52" s="94" t="s">
        <v>463</v>
      </c>
      <c r="E52" s="96">
        <v>46071.0</v>
      </c>
      <c r="F52" s="96">
        <v>46071.0</v>
      </c>
      <c r="G52" s="89" t="s">
        <v>374</v>
      </c>
      <c r="H52" s="66"/>
      <c r="I52" s="90" t="s">
        <v>465</v>
      </c>
      <c r="J52" s="96">
        <v>46078.0</v>
      </c>
      <c r="K52" s="96">
        <v>46078.0</v>
      </c>
      <c r="L52" s="110"/>
      <c r="M52" s="94" t="s">
        <v>466</v>
      </c>
      <c r="N52" s="90"/>
      <c r="O52" s="90"/>
      <c r="P52" s="14"/>
      <c r="Q52" s="69"/>
    </row>
    <row r="53">
      <c r="A53" s="129" t="s">
        <v>411</v>
      </c>
      <c r="B53" s="94" t="s">
        <v>135</v>
      </c>
      <c r="C53" s="66"/>
      <c r="D53" s="94" t="s">
        <v>468</v>
      </c>
      <c r="E53" s="96">
        <v>45979.0</v>
      </c>
      <c r="F53" s="96">
        <v>45951.0</v>
      </c>
      <c r="G53" s="89" t="s">
        <v>374</v>
      </c>
      <c r="H53" s="66"/>
      <c r="I53" s="90"/>
      <c r="J53" s="96">
        <v>45951.0</v>
      </c>
      <c r="K53" s="96">
        <v>45951.0</v>
      </c>
      <c r="L53" s="110"/>
      <c r="M53" s="94" t="s">
        <v>471</v>
      </c>
      <c r="N53" s="90"/>
      <c r="O53" s="90"/>
      <c r="P53" s="14"/>
      <c r="Q53" s="69"/>
    </row>
    <row r="54">
      <c r="A54" s="129" t="s">
        <v>411</v>
      </c>
      <c r="B54" s="80" t="s">
        <v>25</v>
      </c>
      <c r="C54" s="80"/>
      <c r="D54" s="80" t="s">
        <v>473</v>
      </c>
      <c r="E54" s="120"/>
      <c r="F54" s="120"/>
      <c r="G54" s="80"/>
      <c r="H54" s="80"/>
      <c r="I54" s="51"/>
      <c r="J54" s="120"/>
      <c r="K54" s="120"/>
      <c r="L54" s="120"/>
      <c r="M54" s="80" t="s">
        <v>476</v>
      </c>
      <c r="N54" s="51"/>
      <c r="O54" s="51"/>
      <c r="P54" s="14"/>
      <c r="Q54" s="69"/>
    </row>
    <row r="55">
      <c r="A55" s="129" t="s">
        <v>411</v>
      </c>
      <c r="B55" s="94" t="s">
        <v>116</v>
      </c>
      <c r="C55" s="66"/>
      <c r="D55" s="94" t="s">
        <v>479</v>
      </c>
      <c r="E55" s="96">
        <v>45944.0</v>
      </c>
      <c r="F55" s="96">
        <v>46045.0</v>
      </c>
      <c r="G55" s="89" t="s">
        <v>374</v>
      </c>
      <c r="H55" s="66"/>
      <c r="I55" s="90"/>
      <c r="J55" s="96">
        <v>46045.0</v>
      </c>
      <c r="K55" s="96">
        <v>46045.0</v>
      </c>
      <c r="L55" s="110"/>
      <c r="M55" s="94"/>
      <c r="N55" s="90" t="s">
        <v>481</v>
      </c>
      <c r="O55" s="90"/>
      <c r="P55" s="14"/>
      <c r="Q55" s="69"/>
    </row>
    <row r="56">
      <c r="A56" s="129" t="s">
        <v>411</v>
      </c>
      <c r="B56" s="94" t="s">
        <v>128</v>
      </c>
      <c r="C56" s="66"/>
      <c r="D56" s="94" t="s">
        <v>483</v>
      </c>
      <c r="E56" s="96">
        <v>45972.0</v>
      </c>
      <c r="F56" s="96">
        <v>45995.0</v>
      </c>
      <c r="G56" s="89" t="s">
        <v>450</v>
      </c>
      <c r="H56" s="66"/>
      <c r="I56" s="90"/>
      <c r="J56" s="96">
        <v>45930.0</v>
      </c>
      <c r="K56" s="96">
        <v>45931.0</v>
      </c>
      <c r="L56" s="134"/>
      <c r="M56" s="94" t="s">
        <v>488</v>
      </c>
      <c r="N56" s="90"/>
      <c r="O56" s="90"/>
      <c r="P56" s="14"/>
      <c r="Q56" s="74">
        <v>12.0</v>
      </c>
    </row>
    <row r="57">
      <c r="A57" s="136">
        <v>45962.0</v>
      </c>
      <c r="B57" s="94" t="s">
        <v>114</v>
      </c>
      <c r="C57" s="66"/>
      <c r="D57" s="94" t="s">
        <v>491</v>
      </c>
      <c r="E57" s="96">
        <v>45981.0</v>
      </c>
      <c r="F57" s="96">
        <v>45972.0</v>
      </c>
      <c r="G57" s="89" t="s">
        <v>374</v>
      </c>
      <c r="H57" s="66"/>
      <c r="I57" s="94"/>
      <c r="J57" s="96">
        <v>45972.0</v>
      </c>
      <c r="K57" s="96">
        <v>45972.0</v>
      </c>
      <c r="L57" s="110"/>
      <c r="M57" s="94" t="s">
        <v>494</v>
      </c>
      <c r="N57" s="94"/>
      <c r="O57" s="90"/>
      <c r="P57" s="14"/>
      <c r="Q57" s="69"/>
    </row>
    <row r="58">
      <c r="A58" s="136">
        <v>45962.0</v>
      </c>
      <c r="B58" s="94" t="s">
        <v>153</v>
      </c>
      <c r="C58" s="66"/>
      <c r="D58" s="94" t="s">
        <v>497</v>
      </c>
      <c r="E58" s="96">
        <v>45958.0</v>
      </c>
      <c r="F58" s="96">
        <v>45971.0</v>
      </c>
      <c r="G58" s="89" t="s">
        <v>83</v>
      </c>
      <c r="H58" s="66"/>
      <c r="I58" s="137" t="s">
        <v>499</v>
      </c>
      <c r="J58" s="96">
        <v>45971.0</v>
      </c>
      <c r="K58" s="96">
        <v>45971.0</v>
      </c>
      <c r="L58" s="110"/>
      <c r="M58" s="94" t="s">
        <v>500</v>
      </c>
      <c r="N58" s="90"/>
      <c r="O58" s="94"/>
      <c r="P58" s="14"/>
      <c r="Q58" s="69"/>
    </row>
    <row r="59">
      <c r="A59" s="136">
        <v>45962.0</v>
      </c>
      <c r="B59" s="94" t="s">
        <v>178</v>
      </c>
      <c r="C59" s="66"/>
      <c r="D59" s="94" t="s">
        <v>504</v>
      </c>
      <c r="E59" s="96">
        <v>45996.0</v>
      </c>
      <c r="F59" s="87">
        <v>45996.0</v>
      </c>
      <c r="G59" s="89" t="s">
        <v>374</v>
      </c>
      <c r="H59" s="66"/>
      <c r="I59" s="90"/>
      <c r="J59" s="87">
        <v>45986.0</v>
      </c>
      <c r="K59" s="87">
        <v>45986.0</v>
      </c>
      <c r="L59" s="91"/>
      <c r="M59" s="94" t="s">
        <v>506</v>
      </c>
      <c r="N59" s="94"/>
      <c r="O59" s="90"/>
      <c r="P59" s="14"/>
      <c r="Q59" s="69"/>
    </row>
    <row r="60">
      <c r="A60" s="136">
        <v>45962.0</v>
      </c>
      <c r="B60" s="94" t="s">
        <v>180</v>
      </c>
      <c r="C60" s="66"/>
      <c r="D60" s="94" t="s">
        <v>508</v>
      </c>
      <c r="E60" s="96">
        <v>45972.0</v>
      </c>
      <c r="F60" s="96">
        <v>45981.0</v>
      </c>
      <c r="G60" s="89" t="s">
        <v>510</v>
      </c>
      <c r="H60" s="66"/>
      <c r="I60" s="90"/>
      <c r="J60" s="96">
        <v>45986.0</v>
      </c>
      <c r="K60" s="122">
        <v>45986.0</v>
      </c>
      <c r="L60" s="138"/>
      <c r="M60" s="94" t="s">
        <v>514</v>
      </c>
      <c r="N60" s="94"/>
      <c r="O60" s="90"/>
      <c r="P60" s="14"/>
      <c r="Q60" s="69"/>
    </row>
    <row r="61">
      <c r="A61" s="136">
        <v>45962.0</v>
      </c>
      <c r="B61" s="94" t="s">
        <v>157</v>
      </c>
      <c r="C61" s="66"/>
      <c r="D61" s="94" t="s">
        <v>516</v>
      </c>
      <c r="E61" s="96">
        <v>45985.0</v>
      </c>
      <c r="F61" s="96">
        <v>45978.0</v>
      </c>
      <c r="G61" s="89" t="s">
        <v>374</v>
      </c>
      <c r="H61" s="66"/>
      <c r="I61" s="94"/>
      <c r="J61" s="96">
        <v>45978.0</v>
      </c>
      <c r="K61" s="96">
        <v>45978.0</v>
      </c>
      <c r="L61" s="110"/>
      <c r="M61" s="94" t="s">
        <v>519</v>
      </c>
      <c r="N61" s="90"/>
      <c r="O61" s="90"/>
      <c r="P61" s="14"/>
      <c r="Q61" s="69"/>
    </row>
    <row r="62">
      <c r="A62" s="136">
        <v>45962.0</v>
      </c>
      <c r="B62" s="94" t="s">
        <v>151</v>
      </c>
      <c r="C62" s="66"/>
      <c r="D62" s="94" t="s">
        <v>521</v>
      </c>
      <c r="E62" s="96">
        <v>46002.0</v>
      </c>
      <c r="F62" s="96">
        <v>46014.0</v>
      </c>
      <c r="G62" s="89" t="s">
        <v>374</v>
      </c>
      <c r="H62" s="66"/>
      <c r="I62" s="94"/>
      <c r="J62" s="96">
        <v>46014.0</v>
      </c>
      <c r="K62" s="96">
        <v>46014.0</v>
      </c>
      <c r="L62" s="110"/>
      <c r="M62" s="94" t="s">
        <v>522</v>
      </c>
      <c r="N62" s="90"/>
      <c r="O62" s="90"/>
      <c r="P62" s="17"/>
      <c r="Q62" s="69"/>
    </row>
    <row r="63">
      <c r="A63" s="136">
        <v>45962.0</v>
      </c>
      <c r="B63" s="94" t="s">
        <v>162</v>
      </c>
      <c r="C63" s="66"/>
      <c r="D63" s="94" t="s">
        <v>525</v>
      </c>
      <c r="E63" s="96">
        <v>45971.0</v>
      </c>
      <c r="F63" s="96">
        <v>45975.0</v>
      </c>
      <c r="G63" s="89" t="s">
        <v>374</v>
      </c>
      <c r="H63" s="66"/>
      <c r="I63" s="90"/>
      <c r="J63" s="96">
        <v>45975.0</v>
      </c>
      <c r="K63" s="96">
        <v>45975.0</v>
      </c>
      <c r="L63" s="110"/>
      <c r="M63" s="94" t="s">
        <v>529</v>
      </c>
      <c r="N63" s="94"/>
      <c r="O63" s="90"/>
      <c r="P63" s="14"/>
      <c r="Q63" s="69"/>
    </row>
    <row r="64">
      <c r="A64" s="136">
        <v>45962.0</v>
      </c>
      <c r="B64" s="94" t="s">
        <v>193</v>
      </c>
      <c r="C64" s="66"/>
      <c r="D64" s="94" t="s">
        <v>531</v>
      </c>
      <c r="E64" s="96">
        <v>46014.0</v>
      </c>
      <c r="F64" s="96">
        <v>46010.0</v>
      </c>
      <c r="G64" s="89" t="s">
        <v>374</v>
      </c>
      <c r="H64" s="66"/>
      <c r="I64" s="94"/>
      <c r="J64" s="96">
        <v>46010.0</v>
      </c>
      <c r="K64" s="96">
        <v>46010.0</v>
      </c>
      <c r="L64" s="110"/>
      <c r="M64" s="90" t="s">
        <v>535</v>
      </c>
      <c r="N64" s="94"/>
      <c r="O64" s="90"/>
      <c r="P64" s="14"/>
      <c r="Q64" s="69"/>
    </row>
    <row r="65">
      <c r="A65" s="136">
        <v>45962.0</v>
      </c>
      <c r="B65" s="94" t="s">
        <v>164</v>
      </c>
      <c r="C65" s="66"/>
      <c r="D65" s="94" t="s">
        <v>546</v>
      </c>
      <c r="E65" s="96">
        <v>45957.0</v>
      </c>
      <c r="F65" s="96">
        <v>46083.0</v>
      </c>
      <c r="G65" s="89" t="s">
        <v>545</v>
      </c>
      <c r="H65" s="66"/>
      <c r="I65" s="90" t="s">
        <v>548</v>
      </c>
      <c r="J65" s="96">
        <v>46083.0</v>
      </c>
      <c r="K65" s="96">
        <v>46083.0</v>
      </c>
      <c r="L65" s="110"/>
      <c r="M65" s="90" t="s">
        <v>550</v>
      </c>
      <c r="N65" s="94" t="s">
        <v>552</v>
      </c>
      <c r="O65" s="90"/>
      <c r="P65" s="14"/>
      <c r="Q65" s="74">
        <v>9.0</v>
      </c>
    </row>
    <row r="66">
      <c r="A66" s="129">
        <v>45992.0</v>
      </c>
      <c r="B66" s="94" t="s">
        <v>183</v>
      </c>
      <c r="C66" s="66"/>
      <c r="D66" s="94" t="s">
        <v>554</v>
      </c>
      <c r="E66" s="87">
        <v>46052.0</v>
      </c>
      <c r="F66" s="96">
        <v>46052.0</v>
      </c>
      <c r="G66" s="89" t="s">
        <v>374</v>
      </c>
      <c r="H66" s="66"/>
      <c r="I66" s="90"/>
      <c r="J66" s="96">
        <v>46052.0</v>
      </c>
      <c r="K66" s="96">
        <v>46052.0</v>
      </c>
      <c r="L66" s="110"/>
      <c r="M66" s="94" t="s">
        <v>559</v>
      </c>
      <c r="N66" s="94" t="s">
        <v>560</v>
      </c>
      <c r="O66" s="90"/>
      <c r="P66" s="14"/>
      <c r="Q66" s="69"/>
    </row>
    <row r="67">
      <c r="A67" s="129">
        <v>45992.0</v>
      </c>
      <c r="B67" s="94" t="s">
        <v>215</v>
      </c>
      <c r="C67" s="66"/>
      <c r="D67" s="94" t="s">
        <v>561</v>
      </c>
      <c r="E67" s="87">
        <v>46043.0</v>
      </c>
      <c r="F67" s="87">
        <v>46043.0</v>
      </c>
      <c r="G67" s="89" t="s">
        <v>351</v>
      </c>
      <c r="H67" s="66"/>
      <c r="I67" s="90"/>
      <c r="J67" s="96">
        <v>46043.0</v>
      </c>
      <c r="K67" s="96">
        <v>46043.0</v>
      </c>
      <c r="L67" s="110"/>
      <c r="M67" s="94" t="s">
        <v>563</v>
      </c>
      <c r="N67" s="90"/>
      <c r="O67" s="90"/>
      <c r="P67" s="14"/>
      <c r="Q67" s="69"/>
    </row>
    <row r="68">
      <c r="A68" s="129">
        <v>45992.0</v>
      </c>
      <c r="B68" s="94" t="s">
        <v>196</v>
      </c>
      <c r="C68" s="66"/>
      <c r="D68" s="94" t="s">
        <v>567</v>
      </c>
      <c r="E68" s="96">
        <v>46013.0</v>
      </c>
      <c r="F68" s="96">
        <v>46013.0</v>
      </c>
      <c r="G68" s="89" t="s">
        <v>374</v>
      </c>
      <c r="H68" s="66"/>
      <c r="I68" s="90"/>
      <c r="J68" s="96">
        <v>46013.0</v>
      </c>
      <c r="K68" s="96">
        <v>46013.0</v>
      </c>
      <c r="L68" s="110"/>
      <c r="M68" s="94" t="s">
        <v>569</v>
      </c>
      <c r="N68" s="94"/>
      <c r="O68" s="90"/>
      <c r="P68" s="14"/>
      <c r="Q68" s="69"/>
    </row>
    <row r="69">
      <c r="A69" s="129">
        <v>45992.0</v>
      </c>
      <c r="B69" s="80" t="s">
        <v>211</v>
      </c>
      <c r="C69" s="80"/>
      <c r="D69" s="80" t="s">
        <v>570</v>
      </c>
      <c r="E69" s="78"/>
      <c r="F69" s="78"/>
      <c r="G69" s="106" t="s">
        <v>572</v>
      </c>
      <c r="H69" s="80"/>
      <c r="I69" s="80"/>
      <c r="J69" s="78"/>
      <c r="K69" s="78"/>
      <c r="L69" s="78"/>
      <c r="M69" s="80" t="s">
        <v>573</v>
      </c>
      <c r="N69" s="80"/>
      <c r="O69" s="51"/>
      <c r="P69" s="14"/>
      <c r="Q69" s="69"/>
    </row>
    <row r="70">
      <c r="A70" s="129">
        <v>45992.0</v>
      </c>
      <c r="B70" s="94" t="s">
        <v>184</v>
      </c>
      <c r="C70" s="66"/>
      <c r="D70" s="94" t="s">
        <v>575</v>
      </c>
      <c r="E70" s="87">
        <v>46027.0</v>
      </c>
      <c r="F70" s="96">
        <v>46027.0</v>
      </c>
      <c r="G70" s="89" t="s">
        <v>374</v>
      </c>
      <c r="H70" s="66"/>
      <c r="I70" s="94" t="s">
        <v>577</v>
      </c>
      <c r="J70" s="96">
        <v>46001.0</v>
      </c>
      <c r="K70" s="96">
        <v>46001.0</v>
      </c>
      <c r="L70" s="110"/>
      <c r="M70" s="94" t="s">
        <v>578</v>
      </c>
      <c r="N70" s="145" t="s">
        <v>560</v>
      </c>
      <c r="O70" s="90"/>
      <c r="P70" s="14"/>
      <c r="Q70" s="69"/>
    </row>
    <row r="71">
      <c r="A71" s="129">
        <v>45992.0</v>
      </c>
      <c r="B71" s="94" t="s">
        <v>190</v>
      </c>
      <c r="C71" s="66"/>
      <c r="D71" s="94" t="s">
        <v>582</v>
      </c>
      <c r="E71" s="87">
        <v>46031.0</v>
      </c>
      <c r="F71" s="96">
        <v>46031.0</v>
      </c>
      <c r="G71" s="89" t="s">
        <v>450</v>
      </c>
      <c r="H71" s="146"/>
      <c r="I71" s="94"/>
      <c r="J71" s="96">
        <v>46010.0</v>
      </c>
      <c r="K71" s="96">
        <v>46010.0</v>
      </c>
      <c r="L71" s="110"/>
      <c r="M71" s="94" t="s">
        <v>584</v>
      </c>
      <c r="N71" s="90" t="s">
        <v>560</v>
      </c>
      <c r="O71" s="90"/>
      <c r="P71" s="14"/>
      <c r="Q71" s="69"/>
    </row>
    <row r="72">
      <c r="A72" s="129">
        <v>45992.0</v>
      </c>
      <c r="B72" s="94" t="s">
        <v>188</v>
      </c>
      <c r="C72" s="66"/>
      <c r="D72" s="94" t="s">
        <v>585</v>
      </c>
      <c r="E72" s="96">
        <v>45986.0</v>
      </c>
      <c r="F72" s="96">
        <v>46003.0</v>
      </c>
      <c r="G72" s="89" t="s">
        <v>374</v>
      </c>
      <c r="H72" s="66"/>
      <c r="I72" s="90"/>
      <c r="J72" s="96">
        <v>46003.0</v>
      </c>
      <c r="K72" s="96">
        <v>46003.0</v>
      </c>
      <c r="L72" s="110"/>
      <c r="M72" s="94" t="s">
        <v>587</v>
      </c>
      <c r="N72" s="90"/>
      <c r="O72" s="90"/>
      <c r="P72" s="14"/>
      <c r="Q72" s="69"/>
    </row>
    <row r="73">
      <c r="A73" s="129">
        <v>45992.0</v>
      </c>
      <c r="B73" s="94" t="s">
        <v>195</v>
      </c>
      <c r="C73" s="66"/>
      <c r="D73" s="94" t="s">
        <v>588</v>
      </c>
      <c r="E73" s="96">
        <v>46036.0</v>
      </c>
      <c r="F73" s="96">
        <v>46036.0</v>
      </c>
      <c r="G73" s="89" t="s">
        <v>342</v>
      </c>
      <c r="H73" s="66"/>
      <c r="I73" s="94" t="s">
        <v>589</v>
      </c>
      <c r="J73" s="87">
        <v>46071.0</v>
      </c>
      <c r="K73" s="96">
        <v>46037.0</v>
      </c>
      <c r="L73" s="110"/>
      <c r="M73" s="90" t="s">
        <v>590</v>
      </c>
      <c r="N73" s="94"/>
      <c r="O73" s="90"/>
      <c r="P73" s="14"/>
      <c r="Q73" s="69"/>
    </row>
    <row r="74">
      <c r="A74" s="129">
        <v>45992.0</v>
      </c>
      <c r="B74" s="94" t="s">
        <v>138</v>
      </c>
      <c r="C74" s="66"/>
      <c r="D74" s="94" t="s">
        <v>593</v>
      </c>
      <c r="E74" s="96">
        <v>46010.0</v>
      </c>
      <c r="F74" s="96">
        <v>46010.0</v>
      </c>
      <c r="G74" s="89" t="s">
        <v>545</v>
      </c>
      <c r="H74" s="146"/>
      <c r="I74" s="94"/>
      <c r="J74" s="96">
        <v>46013.0</v>
      </c>
      <c r="K74" s="96">
        <v>46013.0</v>
      </c>
      <c r="L74" s="110"/>
      <c r="M74" s="94" t="s">
        <v>595</v>
      </c>
      <c r="N74" s="90"/>
      <c r="O74" s="90"/>
      <c r="P74" s="14"/>
      <c r="Q74" s="69"/>
    </row>
    <row r="75">
      <c r="A75" s="129">
        <v>45992.0</v>
      </c>
      <c r="B75" s="94" t="s">
        <v>216</v>
      </c>
      <c r="C75" s="66"/>
      <c r="D75" s="94" t="s">
        <v>603</v>
      </c>
      <c r="E75" s="96">
        <v>46077.0</v>
      </c>
      <c r="F75" s="96">
        <v>46077.0</v>
      </c>
      <c r="G75" s="89" t="s">
        <v>374</v>
      </c>
      <c r="H75" s="66"/>
      <c r="I75" s="94"/>
      <c r="J75" s="96">
        <v>46077.0</v>
      </c>
      <c r="K75" s="96">
        <v>46077.0</v>
      </c>
      <c r="L75" s="91"/>
      <c r="M75" s="94" t="s">
        <v>607</v>
      </c>
      <c r="N75" s="90"/>
      <c r="O75" s="90"/>
      <c r="P75" s="14"/>
      <c r="Q75" s="74">
        <v>9.0</v>
      </c>
    </row>
    <row r="76">
      <c r="A76" s="136">
        <v>46023.0</v>
      </c>
      <c r="B76" s="94" t="s">
        <v>229</v>
      </c>
      <c r="C76" s="66"/>
      <c r="D76" s="94" t="s">
        <v>608</v>
      </c>
      <c r="E76" s="87">
        <v>46065.0</v>
      </c>
      <c r="F76" s="87">
        <v>46065.0</v>
      </c>
      <c r="G76" s="89" t="s">
        <v>374</v>
      </c>
      <c r="H76" s="66"/>
      <c r="I76" s="94" t="s">
        <v>609</v>
      </c>
      <c r="J76" s="87">
        <v>46086.0</v>
      </c>
      <c r="K76" s="87">
        <v>46086.0</v>
      </c>
      <c r="L76" s="110"/>
      <c r="M76" s="94" t="s">
        <v>610</v>
      </c>
      <c r="N76" s="90" t="s">
        <v>611</v>
      </c>
      <c r="O76" s="90"/>
      <c r="P76" s="14"/>
      <c r="Q76" s="69"/>
    </row>
    <row r="77">
      <c r="A77" s="136">
        <v>46023.0</v>
      </c>
      <c r="B77" s="94" t="s">
        <v>254</v>
      </c>
      <c r="C77" s="66"/>
      <c r="D77" s="94" t="s">
        <v>612</v>
      </c>
      <c r="E77" s="96">
        <v>46148.0</v>
      </c>
      <c r="F77" s="96">
        <v>46148.0</v>
      </c>
      <c r="G77" s="89" t="s">
        <v>325</v>
      </c>
      <c r="H77" s="66"/>
      <c r="I77" s="94" t="s">
        <v>613</v>
      </c>
      <c r="J77" s="96">
        <v>46148.0</v>
      </c>
      <c r="K77" s="96">
        <v>46148.0</v>
      </c>
      <c r="L77" s="146"/>
      <c r="M77" s="94" t="s">
        <v>614</v>
      </c>
      <c r="N77" s="90" t="s">
        <v>611</v>
      </c>
      <c r="O77" s="90"/>
      <c r="P77" s="14"/>
      <c r="Q77" s="69"/>
    </row>
    <row r="78">
      <c r="A78" s="136">
        <v>46023.0</v>
      </c>
      <c r="B78" s="94" t="s">
        <v>186</v>
      </c>
      <c r="C78" s="66"/>
      <c r="D78" s="94" t="s">
        <v>616</v>
      </c>
      <c r="E78" s="87">
        <v>46029.0</v>
      </c>
      <c r="F78" s="96">
        <v>46029.0</v>
      </c>
      <c r="G78" s="89" t="s">
        <v>374</v>
      </c>
      <c r="H78" s="66"/>
      <c r="I78" s="94"/>
      <c r="J78" s="96">
        <v>46044.0</v>
      </c>
      <c r="K78" s="96">
        <v>46044.0</v>
      </c>
      <c r="L78" s="110"/>
      <c r="M78" s="94" t="s">
        <v>618</v>
      </c>
      <c r="N78" s="94" t="s">
        <v>611</v>
      </c>
      <c r="O78" s="90"/>
      <c r="P78" s="17"/>
      <c r="Q78" s="69"/>
    </row>
    <row r="79">
      <c r="A79" s="136">
        <v>46023.0</v>
      </c>
      <c r="B79" s="94" t="s">
        <v>231</v>
      </c>
      <c r="C79" s="66"/>
      <c r="D79" s="94" t="s">
        <v>619</v>
      </c>
      <c r="E79" s="87">
        <v>46056.0</v>
      </c>
      <c r="F79" s="96">
        <v>46056.0</v>
      </c>
      <c r="G79" s="89" t="s">
        <v>374</v>
      </c>
      <c r="H79" s="66"/>
      <c r="I79" s="94"/>
      <c r="J79" s="96">
        <v>46030.0</v>
      </c>
      <c r="K79" s="96">
        <v>46030.0</v>
      </c>
      <c r="L79" s="110"/>
      <c r="M79" s="94" t="s">
        <v>620</v>
      </c>
      <c r="N79" s="90"/>
      <c r="O79" s="90"/>
      <c r="P79" s="14"/>
      <c r="Q79" s="69"/>
    </row>
    <row r="80">
      <c r="A80" s="136">
        <v>46023.0</v>
      </c>
      <c r="B80" s="94" t="s">
        <v>207</v>
      </c>
      <c r="C80" s="66"/>
      <c r="D80" s="94" t="s">
        <v>621</v>
      </c>
      <c r="E80" s="87">
        <v>46044.0</v>
      </c>
      <c r="F80" s="87">
        <v>46044.0</v>
      </c>
      <c r="G80" s="89" t="s">
        <v>374</v>
      </c>
      <c r="H80" s="66"/>
      <c r="I80" s="94"/>
      <c r="J80" s="87">
        <v>46042.0</v>
      </c>
      <c r="K80" s="87">
        <v>46042.0</v>
      </c>
      <c r="L80" s="91"/>
      <c r="M80" s="94"/>
      <c r="N80" s="90" t="s">
        <v>611</v>
      </c>
      <c r="O80" s="90"/>
      <c r="P80" s="14"/>
      <c r="Q80" s="69"/>
    </row>
    <row r="81">
      <c r="A81" s="136">
        <v>46023.0</v>
      </c>
      <c r="B81" s="80" t="s">
        <v>272</v>
      </c>
      <c r="C81" s="80"/>
      <c r="D81" s="80" t="s">
        <v>623</v>
      </c>
      <c r="E81" s="120"/>
      <c r="F81" s="120"/>
      <c r="G81" s="80"/>
      <c r="H81" s="51"/>
      <c r="I81" s="51" t="s">
        <v>624</v>
      </c>
      <c r="J81" s="75"/>
      <c r="K81" s="75"/>
      <c r="L81" s="51" t="s">
        <v>625</v>
      </c>
      <c r="M81" s="80" t="s">
        <v>626</v>
      </c>
      <c r="N81" s="51" t="s">
        <v>611</v>
      </c>
      <c r="O81" s="51"/>
      <c r="P81" s="14"/>
      <c r="Q81" s="69"/>
    </row>
    <row r="82">
      <c r="A82" s="136">
        <v>46023.0</v>
      </c>
      <c r="B82" s="94" t="s">
        <v>228</v>
      </c>
      <c r="C82" s="66"/>
      <c r="D82" s="94" t="s">
        <v>628</v>
      </c>
      <c r="E82" s="87">
        <v>46043.0</v>
      </c>
      <c r="F82" s="87">
        <v>46043.0</v>
      </c>
      <c r="G82" s="89" t="s">
        <v>374</v>
      </c>
      <c r="H82" s="66"/>
      <c r="I82" s="94" t="s">
        <v>625</v>
      </c>
      <c r="J82" s="96">
        <v>46051.0</v>
      </c>
      <c r="K82" s="96">
        <v>46051.0</v>
      </c>
      <c r="L82" s="110"/>
      <c r="M82" s="94"/>
      <c r="N82" s="94" t="s">
        <v>611</v>
      </c>
      <c r="O82" s="90"/>
      <c r="P82" s="14"/>
      <c r="Q82" s="69"/>
    </row>
    <row r="83">
      <c r="A83" s="136">
        <v>46023.0</v>
      </c>
      <c r="B83" s="94" t="s">
        <v>279</v>
      </c>
      <c r="C83" s="66"/>
      <c r="D83" s="94" t="s">
        <v>630</v>
      </c>
      <c r="E83" s="87">
        <v>46057.0</v>
      </c>
      <c r="F83" s="87">
        <v>46057.0</v>
      </c>
      <c r="G83" s="89" t="s">
        <v>545</v>
      </c>
      <c r="H83" s="66"/>
      <c r="I83" s="94" t="s">
        <v>631</v>
      </c>
      <c r="J83" s="96">
        <v>46125.0</v>
      </c>
      <c r="K83" s="96">
        <v>46125.0</v>
      </c>
      <c r="L83" s="91"/>
      <c r="M83" s="94"/>
      <c r="N83" s="90" t="s">
        <v>611</v>
      </c>
      <c r="O83" s="90"/>
      <c r="P83" s="14"/>
      <c r="Q83" s="69"/>
    </row>
    <row r="84">
      <c r="A84" s="136">
        <v>46023.0</v>
      </c>
      <c r="B84" s="94" t="s">
        <v>243</v>
      </c>
      <c r="C84" s="66"/>
      <c r="D84" s="94" t="s">
        <v>633</v>
      </c>
      <c r="E84" s="87">
        <v>46052.0</v>
      </c>
      <c r="F84" s="87">
        <v>46052.0</v>
      </c>
      <c r="G84" s="89" t="s">
        <v>545</v>
      </c>
      <c r="H84" s="66"/>
      <c r="I84" s="94" t="s">
        <v>634</v>
      </c>
      <c r="J84" s="87">
        <v>46052.0</v>
      </c>
      <c r="K84" s="87">
        <v>46052.0</v>
      </c>
      <c r="L84" s="91"/>
      <c r="M84" s="94" t="s">
        <v>635</v>
      </c>
      <c r="N84" s="90" t="s">
        <v>611</v>
      </c>
      <c r="O84" s="90"/>
      <c r="P84" s="14"/>
      <c r="Q84" s="69"/>
    </row>
    <row r="85">
      <c r="A85" s="136">
        <v>46023.0</v>
      </c>
      <c r="B85" s="94" t="s">
        <v>168</v>
      </c>
      <c r="C85" s="66"/>
      <c r="D85" s="94" t="s">
        <v>636</v>
      </c>
      <c r="E85" s="96">
        <v>45965.0</v>
      </c>
      <c r="F85" s="87">
        <v>46050.0</v>
      </c>
      <c r="G85" s="89" t="s">
        <v>332</v>
      </c>
      <c r="H85" s="66"/>
      <c r="I85" s="94"/>
      <c r="J85" s="87">
        <v>46050.0</v>
      </c>
      <c r="K85" s="87">
        <v>46050.0</v>
      </c>
      <c r="L85" s="91"/>
      <c r="M85" s="94" t="s">
        <v>638</v>
      </c>
      <c r="N85" s="90"/>
      <c r="O85" s="90"/>
      <c r="P85" s="14"/>
      <c r="Q85" s="69"/>
    </row>
    <row r="86">
      <c r="A86" s="136">
        <v>46023.0</v>
      </c>
      <c r="B86" s="94" t="s">
        <v>227</v>
      </c>
      <c r="C86" s="66"/>
      <c r="D86" s="94" t="s">
        <v>639</v>
      </c>
      <c r="E86" s="87">
        <v>46059.0</v>
      </c>
      <c r="F86" s="87">
        <v>46059.0</v>
      </c>
      <c r="G86" s="89" t="s">
        <v>325</v>
      </c>
      <c r="H86" s="146"/>
      <c r="I86" s="94" t="s">
        <v>640</v>
      </c>
      <c r="J86" s="96">
        <v>46059.0</v>
      </c>
      <c r="K86" s="96">
        <v>46078.0</v>
      </c>
      <c r="L86" s="91"/>
      <c r="M86" s="94" t="s">
        <v>641</v>
      </c>
      <c r="N86" s="90"/>
      <c r="O86" s="90"/>
      <c r="P86" s="14"/>
      <c r="Q86" s="74">
        <v>10.0</v>
      </c>
    </row>
    <row r="87">
      <c r="A87" s="129">
        <v>46054.0</v>
      </c>
      <c r="B87" s="94" t="s">
        <v>209</v>
      </c>
      <c r="C87" s="66"/>
      <c r="D87" s="94" t="s">
        <v>643</v>
      </c>
      <c r="E87" s="87">
        <v>46037.0</v>
      </c>
      <c r="F87" s="96">
        <v>46037.0</v>
      </c>
      <c r="G87" s="89" t="s">
        <v>374</v>
      </c>
      <c r="H87" s="146"/>
      <c r="I87" s="94" t="s">
        <v>625</v>
      </c>
      <c r="J87" s="96">
        <v>46037.0</v>
      </c>
      <c r="K87" s="96">
        <v>46037.0</v>
      </c>
      <c r="L87" s="146"/>
      <c r="M87" s="90" t="s">
        <v>644</v>
      </c>
      <c r="N87" s="90"/>
      <c r="O87" s="90"/>
      <c r="P87" s="14"/>
      <c r="Q87" s="69"/>
    </row>
    <row r="88">
      <c r="A88" s="129">
        <v>46055.0</v>
      </c>
      <c r="B88" s="94" t="s">
        <v>217</v>
      </c>
      <c r="C88" s="66"/>
      <c r="D88" s="94" t="s">
        <v>645</v>
      </c>
      <c r="E88" s="96">
        <v>46028.0</v>
      </c>
      <c r="F88" s="96">
        <v>46028.0</v>
      </c>
      <c r="G88" s="89" t="s">
        <v>374</v>
      </c>
      <c r="H88" s="66"/>
      <c r="I88" s="94" t="s">
        <v>646</v>
      </c>
      <c r="J88" s="96">
        <v>46050.0</v>
      </c>
      <c r="K88" s="96">
        <v>46050.0</v>
      </c>
      <c r="L88" s="66"/>
      <c r="M88" s="90" t="s">
        <v>647</v>
      </c>
      <c r="N88" s="90"/>
      <c r="O88" s="90" t="s">
        <v>648</v>
      </c>
      <c r="P88" s="14"/>
      <c r="Q88" s="69"/>
    </row>
    <row r="89">
      <c r="A89" s="129">
        <v>46056.0</v>
      </c>
      <c r="B89" s="94" t="s">
        <v>263</v>
      </c>
      <c r="C89" s="66"/>
      <c r="D89" s="163" t="s">
        <v>649</v>
      </c>
      <c r="E89" s="87">
        <v>46062.0</v>
      </c>
      <c r="F89" s="87">
        <v>46062.0</v>
      </c>
      <c r="G89" s="164" t="s">
        <v>374</v>
      </c>
      <c r="H89" s="66"/>
      <c r="I89" s="94" t="s">
        <v>650</v>
      </c>
      <c r="J89" s="87">
        <v>46076.0</v>
      </c>
      <c r="K89" s="87">
        <v>46076.0</v>
      </c>
      <c r="L89" s="146"/>
      <c r="M89" s="90" t="s">
        <v>651</v>
      </c>
      <c r="N89" s="90"/>
      <c r="O89" s="90"/>
      <c r="P89" s="14"/>
      <c r="Q89" s="69"/>
    </row>
    <row r="90">
      <c r="A90" s="129">
        <v>46057.0</v>
      </c>
      <c r="B90" s="94" t="s">
        <v>260</v>
      </c>
      <c r="C90" s="66"/>
      <c r="D90" s="94" t="s">
        <v>653</v>
      </c>
      <c r="E90" s="87">
        <v>46055.0</v>
      </c>
      <c r="F90" s="87">
        <v>46055.0</v>
      </c>
      <c r="G90" s="89" t="s">
        <v>374</v>
      </c>
      <c r="H90" s="66"/>
      <c r="I90" s="94" t="s">
        <v>654</v>
      </c>
      <c r="J90" s="96">
        <v>46076.0</v>
      </c>
      <c r="K90" s="96">
        <v>46076.0</v>
      </c>
      <c r="L90" s="66"/>
      <c r="M90" s="90" t="s">
        <v>655</v>
      </c>
      <c r="N90" s="145"/>
      <c r="O90" s="90"/>
      <c r="P90" s="14"/>
      <c r="Q90" s="69"/>
    </row>
    <row r="91">
      <c r="A91" s="129">
        <v>46058.0</v>
      </c>
      <c r="B91" s="80" t="s">
        <v>259</v>
      </c>
      <c r="C91" s="80"/>
      <c r="D91" s="80" t="s">
        <v>656</v>
      </c>
      <c r="E91" s="78"/>
      <c r="F91" s="78"/>
      <c r="G91" s="80"/>
      <c r="H91" s="80"/>
      <c r="I91" s="80" t="s">
        <v>657</v>
      </c>
      <c r="J91" s="120"/>
      <c r="K91" s="120"/>
      <c r="L91" s="80"/>
      <c r="M91" s="51" t="s">
        <v>658</v>
      </c>
      <c r="N91" s="51"/>
      <c r="O91" s="51"/>
      <c r="P91" s="14"/>
      <c r="Q91" s="69"/>
    </row>
    <row r="92">
      <c r="A92" s="129">
        <v>46059.0</v>
      </c>
      <c r="B92" s="94" t="s">
        <v>192</v>
      </c>
      <c r="C92" s="66"/>
      <c r="D92" s="94" t="s">
        <v>659</v>
      </c>
      <c r="E92" s="87">
        <v>46057.0</v>
      </c>
      <c r="F92" s="87">
        <v>46057.0</v>
      </c>
      <c r="G92" s="89" t="s">
        <v>660</v>
      </c>
      <c r="H92" s="66"/>
      <c r="I92" s="94" t="s">
        <v>661</v>
      </c>
      <c r="J92" s="87">
        <v>46057.0</v>
      </c>
      <c r="K92" s="87">
        <v>46057.0</v>
      </c>
      <c r="L92" s="66"/>
      <c r="M92" s="94" t="s">
        <v>658</v>
      </c>
      <c r="N92" s="90"/>
      <c r="O92" s="90"/>
      <c r="P92" s="14"/>
      <c r="Q92" s="69"/>
    </row>
    <row r="93">
      <c r="A93" s="129">
        <v>46060.0</v>
      </c>
      <c r="B93" s="80" t="s">
        <v>314</v>
      </c>
      <c r="C93" s="80"/>
      <c r="D93" s="80" t="s">
        <v>662</v>
      </c>
      <c r="E93" s="120"/>
      <c r="F93" s="120"/>
      <c r="G93" s="80"/>
      <c r="H93" s="80"/>
      <c r="I93" s="80" t="s">
        <v>663</v>
      </c>
      <c r="J93" s="120"/>
      <c r="K93" s="120"/>
      <c r="L93" s="51" t="s">
        <v>625</v>
      </c>
      <c r="M93" s="80" t="s">
        <v>658</v>
      </c>
      <c r="N93" s="51"/>
      <c r="O93" s="51"/>
      <c r="P93" s="14"/>
      <c r="Q93" s="69"/>
    </row>
    <row r="94">
      <c r="A94" s="129">
        <v>46061.0</v>
      </c>
      <c r="B94" s="94" t="s">
        <v>664</v>
      </c>
      <c r="C94" s="66"/>
      <c r="D94" s="94" t="s">
        <v>665</v>
      </c>
      <c r="E94" s="87">
        <v>46184.0</v>
      </c>
      <c r="F94" s="87">
        <v>46184.0</v>
      </c>
      <c r="G94" s="89" t="s">
        <v>666</v>
      </c>
      <c r="H94" s="146"/>
      <c r="I94" s="94" t="s">
        <v>667</v>
      </c>
      <c r="J94" s="87">
        <v>46037.0</v>
      </c>
      <c r="K94" s="87">
        <v>46037.0</v>
      </c>
      <c r="L94" s="91"/>
      <c r="M94" s="90" t="s">
        <v>668</v>
      </c>
      <c r="N94" s="90"/>
      <c r="O94" s="90"/>
      <c r="P94" s="14"/>
      <c r="Q94" s="69"/>
    </row>
    <row r="95">
      <c r="A95" s="129">
        <v>46062.0</v>
      </c>
      <c r="B95" s="94" t="s">
        <v>278</v>
      </c>
      <c r="C95" s="66"/>
      <c r="D95" s="94" t="s">
        <v>669</v>
      </c>
      <c r="E95" s="87">
        <v>46184.0</v>
      </c>
      <c r="F95" s="87">
        <v>46184.0</v>
      </c>
      <c r="G95" s="89" t="s">
        <v>271</v>
      </c>
      <c r="H95" s="66"/>
      <c r="I95" s="94" t="s">
        <v>670</v>
      </c>
      <c r="J95" s="87">
        <v>46091.0</v>
      </c>
      <c r="K95" s="87">
        <v>46091.0</v>
      </c>
      <c r="L95" s="146"/>
      <c r="M95" s="90" t="s">
        <v>671</v>
      </c>
      <c r="N95" s="90"/>
      <c r="O95" s="90"/>
      <c r="P95" s="14"/>
      <c r="Q95" s="69"/>
    </row>
    <row r="96">
      <c r="A96" s="129">
        <v>46063.0</v>
      </c>
      <c r="B96" s="94" t="s">
        <v>255</v>
      </c>
      <c r="C96" s="66"/>
      <c r="D96" s="94" t="s">
        <v>672</v>
      </c>
      <c r="E96" s="87">
        <v>46072.0</v>
      </c>
      <c r="F96" s="87">
        <v>46072.0</v>
      </c>
      <c r="G96" s="89" t="s">
        <v>271</v>
      </c>
      <c r="H96" s="66"/>
      <c r="I96" s="94" t="s">
        <v>673</v>
      </c>
      <c r="J96" s="87">
        <v>46072.0</v>
      </c>
      <c r="K96" s="87">
        <v>46072.0</v>
      </c>
      <c r="L96" s="91"/>
      <c r="M96" s="90" t="s">
        <v>674</v>
      </c>
      <c r="N96" s="90"/>
      <c r="O96" s="90"/>
      <c r="P96" s="14"/>
      <c r="Q96" s="69"/>
    </row>
    <row r="97">
      <c r="A97" s="129">
        <v>46064.0</v>
      </c>
      <c r="B97" s="94" t="s">
        <v>675</v>
      </c>
      <c r="C97" s="66"/>
      <c r="D97" s="94" t="s">
        <v>676</v>
      </c>
      <c r="E97" s="96">
        <v>46058.0</v>
      </c>
      <c r="F97" s="87">
        <v>46058.0</v>
      </c>
      <c r="G97" s="89" t="s">
        <v>271</v>
      </c>
      <c r="H97" s="66"/>
      <c r="I97" s="94" t="s">
        <v>677</v>
      </c>
      <c r="J97" s="87">
        <v>46077.0</v>
      </c>
      <c r="K97" s="87">
        <v>46077.0</v>
      </c>
      <c r="L97" s="91"/>
      <c r="M97" s="90" t="s">
        <v>678</v>
      </c>
      <c r="N97" s="90"/>
      <c r="O97" s="90"/>
      <c r="P97" s="14"/>
      <c r="Q97" s="69"/>
    </row>
    <row r="98">
      <c r="A98" s="129">
        <v>46065.0</v>
      </c>
      <c r="B98" s="94" t="s">
        <v>256</v>
      </c>
      <c r="C98" s="66"/>
      <c r="D98" s="94" t="s">
        <v>679</v>
      </c>
      <c r="E98" s="96">
        <v>46125.0</v>
      </c>
      <c r="F98" s="96">
        <v>46125.0</v>
      </c>
      <c r="G98" s="89" t="s">
        <v>271</v>
      </c>
      <c r="H98" s="66"/>
      <c r="I98" s="94" t="s">
        <v>680</v>
      </c>
      <c r="J98" s="96">
        <v>46125.0</v>
      </c>
      <c r="K98" s="96">
        <v>46125.0</v>
      </c>
      <c r="L98" s="146"/>
      <c r="M98" s="90" t="s">
        <v>681</v>
      </c>
      <c r="N98" s="90"/>
      <c r="O98" s="90"/>
      <c r="P98" s="14"/>
      <c r="Q98" s="74">
        <v>10.0</v>
      </c>
    </row>
    <row r="99">
      <c r="A99" s="136">
        <v>46082.0</v>
      </c>
      <c r="B99" s="94" t="s">
        <v>296</v>
      </c>
      <c r="C99" s="66"/>
      <c r="D99" s="94" t="s">
        <v>682</v>
      </c>
      <c r="E99" s="96">
        <v>46083.0</v>
      </c>
      <c r="F99" s="96">
        <v>46083.0</v>
      </c>
      <c r="G99" s="89" t="s">
        <v>271</v>
      </c>
      <c r="H99" s="66"/>
      <c r="I99" s="94" t="s">
        <v>683</v>
      </c>
      <c r="J99" s="96">
        <v>46092.0</v>
      </c>
      <c r="K99" s="96">
        <v>46092.0</v>
      </c>
      <c r="L99" s="110"/>
      <c r="M99" s="94" t="s">
        <v>684</v>
      </c>
      <c r="N99" s="94"/>
      <c r="O99" s="90"/>
      <c r="P99" s="14" t="s">
        <v>685</v>
      </c>
      <c r="Q99" s="69"/>
    </row>
    <row r="100">
      <c r="A100" s="136">
        <v>46082.0</v>
      </c>
      <c r="B100" s="80" t="s">
        <v>274</v>
      </c>
      <c r="C100" s="80"/>
      <c r="D100" s="80" t="s">
        <v>686</v>
      </c>
      <c r="E100" s="80"/>
      <c r="F100" s="78"/>
      <c r="G100" s="80"/>
      <c r="H100" s="80"/>
      <c r="I100" s="80" t="s">
        <v>625</v>
      </c>
      <c r="J100" s="78"/>
      <c r="K100" s="78"/>
      <c r="L100" s="51"/>
      <c r="M100" s="51" t="s">
        <v>625</v>
      </c>
      <c r="N100" s="51"/>
      <c r="O100" s="51"/>
      <c r="P100" s="14"/>
      <c r="Q100" s="69"/>
    </row>
    <row r="101">
      <c r="A101" s="136">
        <v>46082.0</v>
      </c>
      <c r="B101" s="84" t="s">
        <v>287</v>
      </c>
      <c r="C101" s="66"/>
      <c r="D101" s="94" t="s">
        <v>687</v>
      </c>
      <c r="E101" s="87">
        <v>46085.0</v>
      </c>
      <c r="F101" s="87">
        <v>46085.0</v>
      </c>
      <c r="G101" s="89" t="s">
        <v>425</v>
      </c>
      <c r="H101" s="66"/>
      <c r="I101" s="94" t="s">
        <v>649</v>
      </c>
      <c r="J101" s="87">
        <v>46085.0</v>
      </c>
      <c r="K101" s="87">
        <v>46085.0</v>
      </c>
      <c r="L101" s="146"/>
      <c r="M101" s="90" t="s">
        <v>649</v>
      </c>
      <c r="N101" s="90"/>
      <c r="O101" s="90"/>
      <c r="P101" s="14"/>
      <c r="Q101" s="69"/>
    </row>
    <row r="102">
      <c r="A102" s="136">
        <v>46082.0</v>
      </c>
      <c r="B102" s="94" t="s">
        <v>307</v>
      </c>
      <c r="C102" s="66"/>
      <c r="D102" s="94" t="s">
        <v>688</v>
      </c>
      <c r="E102" s="87">
        <v>46055.0</v>
      </c>
      <c r="F102" s="87">
        <v>46055.0</v>
      </c>
      <c r="G102" s="89" t="s">
        <v>689</v>
      </c>
      <c r="H102" s="66"/>
      <c r="I102" s="94" t="s">
        <v>690</v>
      </c>
      <c r="J102" s="96">
        <v>46118.0</v>
      </c>
      <c r="K102" s="96">
        <v>46118.0</v>
      </c>
      <c r="L102" s="146"/>
      <c r="M102" s="90" t="s">
        <v>691</v>
      </c>
      <c r="N102" s="90"/>
      <c r="O102" s="90"/>
      <c r="P102" s="14"/>
      <c r="Q102" s="69"/>
    </row>
    <row r="103">
      <c r="A103" s="136">
        <v>46082.0</v>
      </c>
      <c r="B103" s="94" t="s">
        <v>176</v>
      </c>
      <c r="C103" s="66"/>
      <c r="D103" s="94" t="s">
        <v>692</v>
      </c>
      <c r="E103" s="87">
        <v>46121.0</v>
      </c>
      <c r="F103" s="87">
        <v>46121.0</v>
      </c>
      <c r="G103" s="89" t="s">
        <v>142</v>
      </c>
      <c r="H103" s="165" t="s">
        <v>693</v>
      </c>
      <c r="I103" s="94" t="s">
        <v>692</v>
      </c>
      <c r="J103" s="87">
        <v>46121.0</v>
      </c>
      <c r="K103" s="87">
        <v>46121.0</v>
      </c>
      <c r="L103" s="146" t="s">
        <v>625</v>
      </c>
      <c r="M103" s="90" t="s">
        <v>694</v>
      </c>
      <c r="N103" s="90"/>
      <c r="O103" s="90"/>
      <c r="P103" s="14"/>
      <c r="Q103" s="69"/>
    </row>
    <row r="104">
      <c r="A104" s="136">
        <v>46082.0</v>
      </c>
      <c r="B104" s="94" t="s">
        <v>277</v>
      </c>
      <c r="C104" s="66"/>
      <c r="D104" s="163" t="s">
        <v>695</v>
      </c>
      <c r="E104" s="87">
        <v>46084.0</v>
      </c>
      <c r="F104" s="87">
        <v>46084.0</v>
      </c>
      <c r="G104" s="89" t="s">
        <v>696</v>
      </c>
      <c r="H104" s="165" t="s">
        <v>693</v>
      </c>
      <c r="I104" s="94" t="s">
        <v>697</v>
      </c>
      <c r="J104" s="87">
        <v>46084.0</v>
      </c>
      <c r="K104" s="87">
        <v>46084.0</v>
      </c>
      <c r="L104" s="66" t="s">
        <v>649</v>
      </c>
      <c r="M104" s="90" t="s">
        <v>691</v>
      </c>
      <c r="N104" s="90"/>
      <c r="O104" s="90"/>
      <c r="P104" s="14"/>
      <c r="Q104" s="69"/>
    </row>
    <row r="105">
      <c r="A105" s="136">
        <v>46082.0</v>
      </c>
      <c r="B105" s="94" t="s">
        <v>283</v>
      </c>
      <c r="C105" s="66"/>
      <c r="D105" s="94" t="s">
        <v>698</v>
      </c>
      <c r="E105" s="87">
        <v>46084.0</v>
      </c>
      <c r="F105" s="87">
        <v>46084.0</v>
      </c>
      <c r="G105" s="89" t="s">
        <v>136</v>
      </c>
      <c r="H105" s="166" t="s">
        <v>693</v>
      </c>
      <c r="I105" s="94" t="s">
        <v>699</v>
      </c>
      <c r="J105" s="87">
        <v>46084.0</v>
      </c>
      <c r="K105" s="87">
        <v>46084.0</v>
      </c>
      <c r="L105" s="146" t="s">
        <v>649</v>
      </c>
      <c r="M105" s="90" t="s">
        <v>691</v>
      </c>
      <c r="N105" s="94"/>
      <c r="O105" s="90"/>
      <c r="P105" s="14"/>
      <c r="Q105" s="74">
        <v>6.0</v>
      </c>
    </row>
    <row r="106">
      <c r="A106" s="129">
        <v>46113.0</v>
      </c>
      <c r="B106" s="94" t="s">
        <v>340</v>
      </c>
      <c r="C106" s="66"/>
      <c r="D106" s="94" t="s">
        <v>700</v>
      </c>
      <c r="E106" s="87">
        <v>46161.0</v>
      </c>
      <c r="F106" s="87">
        <v>46161.0</v>
      </c>
      <c r="G106" s="89" t="s">
        <v>146</v>
      </c>
      <c r="H106" s="66"/>
      <c r="I106" s="94" t="s">
        <v>701</v>
      </c>
      <c r="J106" s="87">
        <v>46161.0</v>
      </c>
      <c r="K106" s="87">
        <v>46161.0</v>
      </c>
      <c r="L106" s="146"/>
      <c r="M106" s="14"/>
      <c r="N106" s="14"/>
      <c r="O106" s="14"/>
      <c r="P106" s="14"/>
      <c r="Q106" s="69"/>
    </row>
    <row r="107">
      <c r="A107" s="129">
        <v>46114.0</v>
      </c>
      <c r="B107" s="94" t="s">
        <v>364</v>
      </c>
      <c r="C107" s="66"/>
      <c r="D107" s="94" t="s">
        <v>702</v>
      </c>
      <c r="E107" s="96">
        <v>46196.0</v>
      </c>
      <c r="F107" s="96">
        <v>46196.0</v>
      </c>
      <c r="G107" s="89" t="s">
        <v>136</v>
      </c>
      <c r="H107" s="66"/>
      <c r="I107" s="94" t="s">
        <v>703</v>
      </c>
      <c r="J107" s="96">
        <v>46196.0</v>
      </c>
      <c r="K107" s="96">
        <v>46196.0</v>
      </c>
      <c r="L107" s="146"/>
      <c r="M107" s="14"/>
      <c r="N107" s="14"/>
      <c r="O107" s="14"/>
      <c r="P107" s="14"/>
      <c r="Q107" s="69"/>
    </row>
    <row r="108">
      <c r="A108" s="129">
        <v>46115.0</v>
      </c>
      <c r="B108" s="94" t="s">
        <v>311</v>
      </c>
      <c r="C108" s="66"/>
      <c r="D108" s="94" t="s">
        <v>704</v>
      </c>
      <c r="E108" s="87">
        <v>46175.0</v>
      </c>
      <c r="F108" s="87">
        <v>46175.0</v>
      </c>
      <c r="G108" s="89" t="s">
        <v>527</v>
      </c>
      <c r="H108" s="66"/>
      <c r="I108" s="94" t="s">
        <v>705</v>
      </c>
      <c r="J108" s="87">
        <v>46119.0</v>
      </c>
      <c r="K108" s="87">
        <v>46119.0</v>
      </c>
      <c r="L108" s="146"/>
      <c r="M108" s="14"/>
      <c r="N108" s="14"/>
      <c r="O108" s="14"/>
      <c r="P108" s="14"/>
      <c r="Q108" s="69"/>
    </row>
    <row r="109">
      <c r="A109" s="129">
        <v>46116.0</v>
      </c>
      <c r="B109" s="94" t="s">
        <v>304</v>
      </c>
      <c r="C109" s="66"/>
      <c r="D109" s="94" t="s">
        <v>706</v>
      </c>
      <c r="E109" s="87">
        <v>46113.0</v>
      </c>
      <c r="F109" s="87">
        <v>46113.0</v>
      </c>
      <c r="G109" s="89" t="s">
        <v>271</v>
      </c>
      <c r="H109" s="146"/>
      <c r="I109" s="94" t="s">
        <v>649</v>
      </c>
      <c r="J109" s="87">
        <v>46113.0</v>
      </c>
      <c r="K109" s="87">
        <v>46113.0</v>
      </c>
      <c r="L109" s="146"/>
      <c r="M109" s="14"/>
      <c r="N109" s="14"/>
      <c r="O109" s="14"/>
      <c r="P109" s="14"/>
      <c r="Q109" s="69"/>
    </row>
    <row r="110">
      <c r="A110" s="129">
        <v>46117.0</v>
      </c>
      <c r="B110" s="84" t="s">
        <v>335</v>
      </c>
      <c r="C110" s="66"/>
      <c r="D110" s="94" t="s">
        <v>707</v>
      </c>
      <c r="E110" s="87">
        <v>46118.0</v>
      </c>
      <c r="F110" s="87">
        <v>46118.0</v>
      </c>
      <c r="G110" s="89" t="s">
        <v>179</v>
      </c>
      <c r="H110" s="66" t="s">
        <v>625</v>
      </c>
      <c r="I110" s="94"/>
      <c r="J110" s="87">
        <v>46118.0</v>
      </c>
      <c r="K110" s="87">
        <v>46118.0</v>
      </c>
      <c r="L110" s="146" t="s">
        <v>625</v>
      </c>
      <c r="M110" s="14"/>
      <c r="N110" s="14"/>
      <c r="O110" s="14"/>
      <c r="P110" s="14"/>
      <c r="Q110" s="69"/>
    </row>
    <row r="111">
      <c r="A111" s="129">
        <v>46118.0</v>
      </c>
      <c r="B111" s="94" t="s">
        <v>368</v>
      </c>
      <c r="C111" s="66"/>
      <c r="D111" s="94" t="s">
        <v>708</v>
      </c>
      <c r="E111" s="96">
        <v>46157.0</v>
      </c>
      <c r="F111" s="96">
        <v>46157.0</v>
      </c>
      <c r="G111" s="89" t="s">
        <v>179</v>
      </c>
      <c r="H111" s="66" t="s">
        <v>625</v>
      </c>
      <c r="I111" s="94" t="s">
        <v>709</v>
      </c>
      <c r="J111" s="96">
        <v>46157.0</v>
      </c>
      <c r="K111" s="96">
        <v>46157.0</v>
      </c>
      <c r="L111" s="91" t="s">
        <v>625</v>
      </c>
      <c r="M111" s="17"/>
      <c r="N111" s="14"/>
      <c r="O111" s="14"/>
      <c r="P111" s="14"/>
      <c r="Q111" s="69"/>
    </row>
    <row r="112">
      <c r="A112" s="129">
        <v>46119.0</v>
      </c>
      <c r="B112" s="94" t="s">
        <v>301</v>
      </c>
      <c r="C112" s="66"/>
      <c r="D112" s="94" t="s">
        <v>710</v>
      </c>
      <c r="E112" s="167">
        <v>46120.0</v>
      </c>
      <c r="F112" s="167">
        <v>46120.0</v>
      </c>
      <c r="G112" s="89" t="s">
        <v>271</v>
      </c>
      <c r="H112" s="165" t="s">
        <v>625</v>
      </c>
      <c r="I112" s="94" t="s">
        <v>711</v>
      </c>
      <c r="J112" s="96">
        <v>46113.0</v>
      </c>
      <c r="K112" s="96">
        <v>46113.0</v>
      </c>
      <c r="L112" s="146" t="s">
        <v>625</v>
      </c>
      <c r="M112" s="17"/>
      <c r="N112" s="14"/>
      <c r="O112" s="14"/>
      <c r="P112" s="14"/>
      <c r="Q112" s="69"/>
    </row>
    <row r="113">
      <c r="A113" s="129">
        <v>46120.0</v>
      </c>
      <c r="B113" s="94" t="s">
        <v>317</v>
      </c>
      <c r="C113" s="66"/>
      <c r="D113" s="94" t="s">
        <v>712</v>
      </c>
      <c r="E113" s="20" t="s">
        <v>713</v>
      </c>
      <c r="F113" s="87">
        <v>46119.0</v>
      </c>
      <c r="G113" s="94"/>
      <c r="H113" s="66"/>
      <c r="I113" s="94" t="s">
        <v>714</v>
      </c>
      <c r="J113" s="87">
        <v>46119.0</v>
      </c>
      <c r="K113" s="87">
        <v>46119.0</v>
      </c>
      <c r="L113" s="146"/>
      <c r="M113" s="14"/>
      <c r="N113" s="14"/>
      <c r="O113" s="14"/>
      <c r="P113" s="14"/>
      <c r="Q113" s="69"/>
    </row>
    <row r="114">
      <c r="A114" s="129">
        <v>46121.0</v>
      </c>
      <c r="B114" s="94" t="s">
        <v>315</v>
      </c>
      <c r="C114" s="66"/>
      <c r="D114" s="94" t="s">
        <v>715</v>
      </c>
      <c r="E114" s="87">
        <v>46160.0</v>
      </c>
      <c r="F114" s="87">
        <v>46120.0</v>
      </c>
      <c r="G114" s="89" t="s">
        <v>716</v>
      </c>
      <c r="H114" s="165" t="s">
        <v>693</v>
      </c>
      <c r="I114" s="94" t="s">
        <v>717</v>
      </c>
      <c r="J114" s="96">
        <v>46120.0</v>
      </c>
      <c r="K114" s="96">
        <v>46120.0</v>
      </c>
      <c r="L114" s="146" t="s">
        <v>625</v>
      </c>
      <c r="M114" s="14"/>
      <c r="N114" s="14"/>
      <c r="O114" s="14"/>
      <c r="P114" s="14"/>
      <c r="Q114" s="69"/>
    </row>
    <row r="115">
      <c r="A115" s="129">
        <v>46122.0</v>
      </c>
      <c r="B115" s="84" t="s">
        <v>322</v>
      </c>
      <c r="C115" s="66"/>
      <c r="D115" s="94" t="s">
        <v>718</v>
      </c>
      <c r="E115" s="96">
        <v>46127.0</v>
      </c>
      <c r="F115" s="96">
        <v>46127.0</v>
      </c>
      <c r="G115" s="89" t="s">
        <v>179</v>
      </c>
      <c r="H115" s="66"/>
      <c r="I115" s="94" t="s">
        <v>719</v>
      </c>
      <c r="J115" s="96">
        <v>46127.0</v>
      </c>
      <c r="K115" s="96">
        <v>46127.0</v>
      </c>
      <c r="L115" s="146"/>
      <c r="M115" s="14"/>
      <c r="N115" s="14"/>
      <c r="O115" s="14"/>
      <c r="P115" s="14"/>
      <c r="Q115" s="74">
        <v>10.0</v>
      </c>
    </row>
    <row r="116">
      <c r="A116" s="136">
        <v>46143.0</v>
      </c>
      <c r="B116" s="94" t="s">
        <v>378</v>
      </c>
      <c r="C116" s="165" t="s">
        <v>693</v>
      </c>
      <c r="D116" s="94" t="s">
        <v>720</v>
      </c>
      <c r="E116" s="45" t="s">
        <v>713</v>
      </c>
      <c r="F116" s="168">
        <v>46226.0</v>
      </c>
      <c r="G116" s="94"/>
      <c r="H116" s="169" t="s">
        <v>625</v>
      </c>
      <c r="I116" s="64" t="s">
        <v>721</v>
      </c>
      <c r="J116" s="170">
        <v>46226.0</v>
      </c>
      <c r="K116" s="170">
        <v>46226.0</v>
      </c>
      <c r="L116" s="146"/>
      <c r="M116" s="11" t="s">
        <v>722</v>
      </c>
      <c r="N116" s="14"/>
      <c r="O116" s="14"/>
      <c r="P116" s="14"/>
      <c r="Q116" s="69"/>
    </row>
    <row r="117">
      <c r="A117" s="136">
        <v>46143.0</v>
      </c>
      <c r="B117" s="94" t="s">
        <v>345</v>
      </c>
      <c r="C117" s="165" t="s">
        <v>693</v>
      </c>
      <c r="D117" s="94" t="s">
        <v>723</v>
      </c>
      <c r="E117" s="96">
        <v>46147.0</v>
      </c>
      <c r="F117" s="96">
        <v>46147.0</v>
      </c>
      <c r="G117" s="89" t="s">
        <v>179</v>
      </c>
      <c r="H117" s="169" t="s">
        <v>625</v>
      </c>
      <c r="I117" s="90"/>
      <c r="J117" s="96">
        <v>46147.0</v>
      </c>
      <c r="K117" s="96">
        <v>46147.0</v>
      </c>
      <c r="L117" s="146"/>
      <c r="M117" s="14"/>
      <c r="N117" s="14"/>
      <c r="O117" s="14"/>
      <c r="P117" s="14"/>
      <c r="Q117" s="69"/>
    </row>
    <row r="118">
      <c r="A118" s="136">
        <v>46143.0</v>
      </c>
      <c r="B118" s="94" t="s">
        <v>372</v>
      </c>
      <c r="C118" s="165" t="s">
        <v>693</v>
      </c>
      <c r="D118" s="94" t="s">
        <v>724</v>
      </c>
      <c r="E118" s="96">
        <v>46170.0</v>
      </c>
      <c r="F118" s="96">
        <v>46170.0</v>
      </c>
      <c r="G118" s="89" t="s">
        <v>146</v>
      </c>
      <c r="H118" s="169" t="s">
        <v>625</v>
      </c>
      <c r="I118" s="94" t="s">
        <v>725</v>
      </c>
      <c r="J118" s="96">
        <v>46169.0</v>
      </c>
      <c r="K118" s="96">
        <v>46169.0</v>
      </c>
      <c r="L118" s="146"/>
      <c r="M118" s="14"/>
      <c r="N118" s="14"/>
      <c r="O118" s="14"/>
      <c r="P118" s="14"/>
      <c r="Q118" s="69"/>
    </row>
    <row r="119">
      <c r="A119" s="136">
        <v>46143.0</v>
      </c>
      <c r="B119" s="94" t="s">
        <v>358</v>
      </c>
      <c r="C119" s="165" t="s">
        <v>693</v>
      </c>
      <c r="D119" s="94" t="s">
        <v>726</v>
      </c>
      <c r="E119" s="95" t="s">
        <v>727</v>
      </c>
      <c r="F119" s="87">
        <v>46148.0</v>
      </c>
      <c r="G119" s="89"/>
      <c r="H119" s="169" t="s">
        <v>649</v>
      </c>
      <c r="I119" s="90"/>
      <c r="J119" s="87">
        <v>46148.0</v>
      </c>
      <c r="K119" s="87">
        <v>46148.0</v>
      </c>
      <c r="L119" s="146"/>
      <c r="M119" s="14" t="s">
        <v>728</v>
      </c>
      <c r="N119" s="14"/>
      <c r="O119" s="14"/>
      <c r="P119" s="14"/>
      <c r="Q119" s="69"/>
    </row>
    <row r="120">
      <c r="A120" s="136">
        <v>46143.0</v>
      </c>
      <c r="B120" s="94" t="s">
        <v>375</v>
      </c>
      <c r="C120" s="165" t="s">
        <v>693</v>
      </c>
      <c r="D120" s="94" t="s">
        <v>729</v>
      </c>
      <c r="E120" s="96">
        <v>46162.0</v>
      </c>
      <c r="F120" s="96">
        <v>46162.0</v>
      </c>
      <c r="G120" s="89" t="s">
        <v>179</v>
      </c>
      <c r="H120" s="169" t="s">
        <v>649</v>
      </c>
      <c r="I120" s="94" t="s">
        <v>730</v>
      </c>
      <c r="J120" s="96">
        <v>46162.0</v>
      </c>
      <c r="K120" s="96">
        <v>46162.0</v>
      </c>
      <c r="L120" s="146"/>
      <c r="M120" s="14" t="s">
        <v>731</v>
      </c>
      <c r="N120" s="14"/>
      <c r="O120" s="14"/>
      <c r="P120" s="14"/>
      <c r="Q120" s="69"/>
    </row>
    <row r="121">
      <c r="A121" s="136">
        <v>46143.0</v>
      </c>
      <c r="B121" s="84" t="s">
        <v>394</v>
      </c>
      <c r="C121" s="165" t="s">
        <v>693</v>
      </c>
      <c r="D121" s="94" t="s">
        <v>732</v>
      </c>
      <c r="E121" s="87">
        <v>46154.0</v>
      </c>
      <c r="F121" s="87">
        <v>46154.0</v>
      </c>
      <c r="G121" s="94" t="s">
        <v>422</v>
      </c>
      <c r="H121" s="171" t="s">
        <v>649</v>
      </c>
      <c r="I121" s="94" t="s">
        <v>733</v>
      </c>
      <c r="J121" s="170">
        <v>46238.0</v>
      </c>
      <c r="K121" s="170">
        <v>46238.0</v>
      </c>
      <c r="L121" s="146"/>
      <c r="M121" s="14" t="s">
        <v>734</v>
      </c>
      <c r="N121" s="14"/>
      <c r="O121" s="14"/>
      <c r="P121" s="14"/>
      <c r="Q121" s="69"/>
    </row>
    <row r="122">
      <c r="A122" s="136">
        <v>46143.0</v>
      </c>
      <c r="B122" s="94" t="s">
        <v>336</v>
      </c>
      <c r="C122" s="165" t="s">
        <v>693</v>
      </c>
      <c r="D122" s="94" t="s">
        <v>735</v>
      </c>
      <c r="E122" s="87">
        <v>46163.0</v>
      </c>
      <c r="F122" s="87">
        <v>46163.0</v>
      </c>
      <c r="G122" s="89" t="s">
        <v>179</v>
      </c>
      <c r="H122" s="169" t="s">
        <v>736</v>
      </c>
      <c r="I122" s="90"/>
      <c r="J122" s="87">
        <v>46163.0</v>
      </c>
      <c r="K122" s="87">
        <v>46163.0</v>
      </c>
      <c r="L122" s="146"/>
      <c r="M122" s="14"/>
      <c r="N122" s="14"/>
      <c r="O122" s="14"/>
      <c r="P122" s="14"/>
      <c r="Q122" s="69"/>
    </row>
    <row r="123">
      <c r="A123" s="136">
        <v>46143.0</v>
      </c>
      <c r="B123" s="94" t="s">
        <v>337</v>
      </c>
      <c r="C123" s="169" t="s">
        <v>736</v>
      </c>
      <c r="D123" s="94" t="s">
        <v>737</v>
      </c>
      <c r="E123" s="96">
        <v>46143.0</v>
      </c>
      <c r="F123" s="96">
        <v>46143.0</v>
      </c>
      <c r="G123" s="89" t="s">
        <v>179</v>
      </c>
      <c r="H123" s="169" t="s">
        <v>736</v>
      </c>
      <c r="I123" s="94" t="s">
        <v>738</v>
      </c>
      <c r="J123" s="96">
        <v>46143.0</v>
      </c>
      <c r="K123" s="96">
        <v>46143.0</v>
      </c>
      <c r="L123" s="146"/>
      <c r="M123" s="14"/>
      <c r="N123" s="14"/>
      <c r="O123" s="14"/>
      <c r="P123" s="14"/>
      <c r="Q123" s="69"/>
    </row>
    <row r="124">
      <c r="A124" s="136">
        <v>46143.0</v>
      </c>
      <c r="B124" s="94" t="s">
        <v>327</v>
      </c>
      <c r="C124" s="169" t="s">
        <v>736</v>
      </c>
      <c r="D124" s="94" t="s">
        <v>739</v>
      </c>
      <c r="E124" s="96">
        <v>46142.0</v>
      </c>
      <c r="F124" s="96">
        <v>46142.0</v>
      </c>
      <c r="G124" s="89" t="s">
        <v>179</v>
      </c>
      <c r="H124" s="169" t="s">
        <v>736</v>
      </c>
      <c r="I124" s="90" t="s">
        <v>738</v>
      </c>
      <c r="J124" s="96">
        <v>46133.0</v>
      </c>
      <c r="K124" s="96">
        <v>46133.0</v>
      </c>
      <c r="L124" s="146"/>
      <c r="M124" s="14"/>
      <c r="N124" s="14"/>
      <c r="O124" s="14"/>
      <c r="P124" s="14"/>
      <c r="Q124" s="69"/>
    </row>
    <row r="125">
      <c r="A125" s="136">
        <v>46143.0</v>
      </c>
      <c r="B125" s="94" t="s">
        <v>341</v>
      </c>
      <c r="C125" s="165" t="s">
        <v>693</v>
      </c>
      <c r="D125" s="94" t="s">
        <v>740</v>
      </c>
      <c r="E125" s="96">
        <v>46146.0</v>
      </c>
      <c r="F125" s="96">
        <v>46146.0</v>
      </c>
      <c r="G125" s="89" t="s">
        <v>179</v>
      </c>
      <c r="H125" s="169" t="s">
        <v>625</v>
      </c>
      <c r="I125" s="94" t="s">
        <v>741</v>
      </c>
      <c r="J125" s="96">
        <v>46146.0</v>
      </c>
      <c r="K125" s="96">
        <v>46146.0</v>
      </c>
      <c r="L125" s="146"/>
      <c r="M125" s="14"/>
      <c r="N125" s="14"/>
      <c r="O125" s="14"/>
      <c r="P125" s="14"/>
      <c r="Q125" s="69"/>
    </row>
    <row r="126">
      <c r="A126" s="136">
        <v>46143.0</v>
      </c>
      <c r="B126" s="84" t="s">
        <v>362</v>
      </c>
      <c r="C126" s="169" t="s">
        <v>649</v>
      </c>
      <c r="D126" s="94" t="s">
        <v>742</v>
      </c>
      <c r="E126" s="96">
        <v>46149.0</v>
      </c>
      <c r="F126" s="96">
        <v>46149.0</v>
      </c>
      <c r="G126" s="89" t="s">
        <v>179</v>
      </c>
      <c r="H126" s="169" t="s">
        <v>649</v>
      </c>
      <c r="I126" s="94"/>
      <c r="J126" s="96">
        <v>46149.0</v>
      </c>
      <c r="K126" s="96">
        <v>46149.0</v>
      </c>
      <c r="L126" s="146"/>
      <c r="M126" s="14"/>
      <c r="N126" s="14"/>
      <c r="O126" s="14"/>
      <c r="P126" s="14"/>
      <c r="Q126" s="74">
        <v>11.0</v>
      </c>
    </row>
    <row r="127">
      <c r="A127" s="129">
        <v>46174.0</v>
      </c>
      <c r="B127" s="84" t="s">
        <v>382</v>
      </c>
      <c r="C127" s="169" t="s">
        <v>693</v>
      </c>
      <c r="D127" s="163" t="s">
        <v>743</v>
      </c>
      <c r="E127" s="87">
        <v>46191.0</v>
      </c>
      <c r="F127" s="87">
        <v>46191.0</v>
      </c>
      <c r="G127" s="89" t="s">
        <v>179</v>
      </c>
      <c r="H127" s="169" t="s">
        <v>649</v>
      </c>
      <c r="I127" s="90" t="s">
        <v>744</v>
      </c>
      <c r="J127" s="87">
        <v>46191.0</v>
      </c>
      <c r="K127" s="87">
        <v>46191.0</v>
      </c>
      <c r="L127" s="146"/>
      <c r="M127" s="14" t="s">
        <v>745</v>
      </c>
      <c r="N127" s="14"/>
      <c r="O127" s="14"/>
      <c r="P127" s="14"/>
      <c r="Q127" s="69"/>
    </row>
    <row r="128">
      <c r="A128" s="129">
        <v>46175.0</v>
      </c>
      <c r="B128" s="77" t="s">
        <v>385</v>
      </c>
      <c r="C128" s="172" t="s">
        <v>693</v>
      </c>
      <c r="D128" s="173" t="s">
        <v>746</v>
      </c>
      <c r="E128" s="78"/>
      <c r="F128" s="51"/>
      <c r="G128" s="80"/>
      <c r="H128" s="173" t="s">
        <v>649</v>
      </c>
      <c r="I128" s="51" t="s">
        <v>747</v>
      </c>
      <c r="J128" s="51"/>
      <c r="K128" s="51"/>
      <c r="L128" s="146"/>
      <c r="M128" s="17"/>
      <c r="N128" s="17"/>
      <c r="O128" s="14"/>
      <c r="P128" s="14"/>
      <c r="Q128" s="69"/>
    </row>
    <row r="129">
      <c r="A129" s="129">
        <v>46176.0</v>
      </c>
      <c r="B129" s="174" t="s">
        <v>415</v>
      </c>
      <c r="C129" s="175" t="s">
        <v>649</v>
      </c>
      <c r="D129" s="176" t="s">
        <v>748</v>
      </c>
      <c r="E129" s="177" t="s">
        <v>749</v>
      </c>
      <c r="F129" s="177" t="s">
        <v>749</v>
      </c>
      <c r="G129" s="177" t="s">
        <v>749</v>
      </c>
      <c r="H129" s="175" t="s">
        <v>649</v>
      </c>
      <c r="I129" s="178" t="s">
        <v>744</v>
      </c>
      <c r="J129" s="177" t="s">
        <v>749</v>
      </c>
      <c r="K129" s="177" t="s">
        <v>749</v>
      </c>
      <c r="L129" s="146"/>
      <c r="M129" s="17"/>
      <c r="N129" s="17"/>
      <c r="O129" s="14"/>
      <c r="P129" s="14"/>
      <c r="Q129" s="69"/>
    </row>
    <row r="130">
      <c r="A130" s="129">
        <v>46177.0</v>
      </c>
      <c r="B130" s="84" t="s">
        <v>380</v>
      </c>
      <c r="C130" s="179" t="s">
        <v>693</v>
      </c>
      <c r="D130" s="163" t="s">
        <v>750</v>
      </c>
      <c r="E130" s="87">
        <v>46178.0</v>
      </c>
      <c r="F130" s="87">
        <v>46178.0</v>
      </c>
      <c r="G130" s="89" t="s">
        <v>179</v>
      </c>
      <c r="H130" s="169" t="s">
        <v>625</v>
      </c>
      <c r="I130" s="90" t="s">
        <v>751</v>
      </c>
      <c r="J130" s="87">
        <v>46178.0</v>
      </c>
      <c r="K130" s="87">
        <v>46178.0</v>
      </c>
      <c r="L130" s="91"/>
      <c r="M130" s="17"/>
      <c r="N130" s="17"/>
      <c r="O130" s="14"/>
      <c r="P130" s="14"/>
      <c r="Q130" s="69"/>
    </row>
    <row r="131">
      <c r="A131" s="129">
        <v>46178.0</v>
      </c>
      <c r="B131" s="84" t="s">
        <v>384</v>
      </c>
      <c r="C131" s="179" t="s">
        <v>693</v>
      </c>
      <c r="D131" s="163" t="s">
        <v>752</v>
      </c>
      <c r="E131" s="87">
        <v>46188.0</v>
      </c>
      <c r="F131" s="87">
        <v>46188.0</v>
      </c>
      <c r="G131" s="89" t="s">
        <v>179</v>
      </c>
      <c r="H131" s="169" t="s">
        <v>625</v>
      </c>
      <c r="I131" s="94" t="s">
        <v>753</v>
      </c>
      <c r="J131" s="87">
        <v>46190.0</v>
      </c>
      <c r="K131" s="87">
        <v>46190.0</v>
      </c>
      <c r="L131" s="146"/>
      <c r="M131" s="17"/>
      <c r="N131" s="17"/>
      <c r="O131" s="14"/>
      <c r="P131" s="14"/>
      <c r="Q131" s="69"/>
    </row>
    <row r="132">
      <c r="A132" s="129">
        <v>46179.0</v>
      </c>
      <c r="B132" s="84" t="s">
        <v>365</v>
      </c>
      <c r="C132" s="179" t="s">
        <v>693</v>
      </c>
      <c r="D132" s="163" t="s">
        <v>754</v>
      </c>
      <c r="E132" s="87">
        <v>46155.0</v>
      </c>
      <c r="F132" s="87">
        <v>46155.0</v>
      </c>
      <c r="G132" s="89" t="s">
        <v>179</v>
      </c>
      <c r="H132" s="169" t="s">
        <v>625</v>
      </c>
      <c r="I132" s="90" t="s">
        <v>751</v>
      </c>
      <c r="J132" s="87">
        <v>46162.0</v>
      </c>
      <c r="K132" s="87">
        <v>46162.0</v>
      </c>
      <c r="L132" s="146"/>
      <c r="M132" s="17"/>
      <c r="N132" s="17"/>
      <c r="O132" s="14"/>
      <c r="P132" s="14"/>
      <c r="Q132" s="69"/>
    </row>
    <row r="133">
      <c r="A133" s="129">
        <v>46180.0</v>
      </c>
      <c r="B133" s="84" t="s">
        <v>391</v>
      </c>
      <c r="C133" s="179" t="s">
        <v>693</v>
      </c>
      <c r="D133" s="64" t="s">
        <v>755</v>
      </c>
      <c r="E133" s="168">
        <v>46261.0</v>
      </c>
      <c r="F133" s="168">
        <v>46261.0</v>
      </c>
      <c r="G133" s="180" t="s">
        <v>166</v>
      </c>
      <c r="H133" s="169" t="s">
        <v>625</v>
      </c>
      <c r="I133" s="64" t="s">
        <v>756</v>
      </c>
      <c r="J133" s="168">
        <v>46261.0</v>
      </c>
      <c r="K133" s="168">
        <v>46261.0</v>
      </c>
      <c r="L133" s="146"/>
      <c r="M133" s="17"/>
      <c r="N133" s="17"/>
      <c r="O133" s="14"/>
      <c r="P133" s="14"/>
      <c r="Q133" s="18">
        <v>5.0</v>
      </c>
    </row>
    <row r="134">
      <c r="A134" s="136">
        <v>46204.0</v>
      </c>
      <c r="B134" s="181" t="s">
        <v>448</v>
      </c>
      <c r="C134" s="179" t="s">
        <v>693</v>
      </c>
      <c r="D134" s="64" t="s">
        <v>757</v>
      </c>
      <c r="E134" s="87">
        <v>46202.0</v>
      </c>
      <c r="F134" s="87">
        <v>46202.0</v>
      </c>
      <c r="G134" s="89" t="s">
        <v>179</v>
      </c>
      <c r="H134" s="169" t="s">
        <v>649</v>
      </c>
      <c r="I134" s="153" t="s">
        <v>758</v>
      </c>
      <c r="J134" s="152">
        <v>46314.0</v>
      </c>
      <c r="K134" s="152">
        <v>46314.0</v>
      </c>
      <c r="L134" s="110"/>
      <c r="M134" s="17" t="s">
        <v>759</v>
      </c>
      <c r="N134" s="17"/>
      <c r="O134" s="14"/>
      <c r="P134" s="14"/>
      <c r="Q134" s="69"/>
    </row>
    <row r="135">
      <c r="A135" s="136">
        <v>46204.0</v>
      </c>
      <c r="B135" s="84" t="s">
        <v>424</v>
      </c>
      <c r="C135" s="179" t="s">
        <v>693</v>
      </c>
      <c r="D135" s="64" t="s">
        <v>760</v>
      </c>
      <c r="E135" s="87">
        <v>46218.0</v>
      </c>
      <c r="F135" s="87">
        <v>46218.0</v>
      </c>
      <c r="G135" s="164" t="s">
        <v>179</v>
      </c>
      <c r="H135" s="182" t="s">
        <v>625</v>
      </c>
      <c r="I135" s="64" t="s">
        <v>761</v>
      </c>
      <c r="J135" s="168">
        <v>46266.0</v>
      </c>
      <c r="K135" s="170">
        <v>46216.0</v>
      </c>
      <c r="L135" s="91"/>
      <c r="M135" s="17"/>
      <c r="N135" s="14"/>
      <c r="O135" s="14"/>
      <c r="P135" s="14"/>
      <c r="Q135" s="69"/>
    </row>
    <row r="136">
      <c r="A136" s="136">
        <v>46204.0</v>
      </c>
      <c r="B136" s="94" t="s">
        <v>348</v>
      </c>
      <c r="C136" s="169" t="s">
        <v>693</v>
      </c>
      <c r="D136" s="94" t="s">
        <v>762</v>
      </c>
      <c r="E136" s="87">
        <v>46189.0</v>
      </c>
      <c r="F136" s="87">
        <v>46189.0</v>
      </c>
      <c r="G136" s="164" t="s">
        <v>179</v>
      </c>
      <c r="H136" s="182" t="s">
        <v>625</v>
      </c>
      <c r="I136" s="90" t="s">
        <v>763</v>
      </c>
      <c r="J136" s="96">
        <v>46197.0</v>
      </c>
      <c r="K136" s="96">
        <v>46197.0</v>
      </c>
      <c r="L136" s="146"/>
      <c r="M136" s="17"/>
      <c r="N136" s="14"/>
      <c r="O136" s="14"/>
      <c r="P136" s="14"/>
      <c r="Q136" s="18">
        <v>2.0</v>
      </c>
    </row>
    <row r="137">
      <c r="A137" s="129">
        <v>46235.0</v>
      </c>
      <c r="B137" s="94" t="s">
        <v>428</v>
      </c>
      <c r="C137" s="169" t="s">
        <v>693</v>
      </c>
      <c r="D137" s="64" t="s">
        <v>764</v>
      </c>
      <c r="E137" s="170">
        <v>46265.0</v>
      </c>
      <c r="F137" s="170">
        <v>46265.0</v>
      </c>
      <c r="G137" s="180" t="s">
        <v>765</v>
      </c>
      <c r="H137" s="169" t="s">
        <v>736</v>
      </c>
      <c r="I137" s="64" t="s">
        <v>766</v>
      </c>
      <c r="J137" s="168">
        <v>46286.0</v>
      </c>
      <c r="K137" s="168">
        <v>46286.0</v>
      </c>
      <c r="L137" s="183" t="s">
        <v>767</v>
      </c>
      <c r="M137" s="17" t="s">
        <v>768</v>
      </c>
      <c r="N137" s="14"/>
      <c r="O137" s="14"/>
      <c r="P137" s="14"/>
      <c r="Q137" s="69"/>
    </row>
    <row r="138">
      <c r="A138" s="129">
        <v>46235.0</v>
      </c>
      <c r="B138" s="181" t="s">
        <v>462</v>
      </c>
      <c r="C138" s="184" t="s">
        <v>693</v>
      </c>
      <c r="D138" s="153" t="s">
        <v>769</v>
      </c>
      <c r="E138" s="161">
        <v>46315.0</v>
      </c>
      <c r="F138" s="161">
        <v>46315.0</v>
      </c>
      <c r="G138" s="185" t="s">
        <v>179</v>
      </c>
      <c r="H138" s="186" t="s">
        <v>736</v>
      </c>
      <c r="I138" s="153" t="s">
        <v>770</v>
      </c>
      <c r="J138" s="161">
        <v>46315.0</v>
      </c>
      <c r="K138" s="161">
        <v>46315.0</v>
      </c>
      <c r="L138" s="183" t="s">
        <v>771</v>
      </c>
      <c r="M138" s="17"/>
      <c r="N138" s="17"/>
      <c r="O138" s="14"/>
      <c r="P138" s="14"/>
      <c r="Q138" s="69"/>
    </row>
    <row r="139">
      <c r="A139" s="129">
        <v>46235.0</v>
      </c>
      <c r="B139" s="94" t="s">
        <v>406</v>
      </c>
      <c r="C139" s="169" t="s">
        <v>693</v>
      </c>
      <c r="D139" s="94" t="s">
        <v>772</v>
      </c>
      <c r="E139" s="87">
        <v>46245.0</v>
      </c>
      <c r="F139" s="87">
        <v>46245.0</v>
      </c>
      <c r="G139" s="164" t="s">
        <v>179</v>
      </c>
      <c r="H139" s="182" t="s">
        <v>625</v>
      </c>
      <c r="I139" s="94" t="s">
        <v>773</v>
      </c>
      <c r="J139" s="96">
        <v>46259.0</v>
      </c>
      <c r="K139" s="96">
        <v>46259.0</v>
      </c>
      <c r="L139" s="146"/>
      <c r="M139" s="17"/>
      <c r="N139" s="14"/>
      <c r="O139" s="14"/>
      <c r="P139" s="14"/>
      <c r="Q139" s="69"/>
    </row>
    <row r="140">
      <c r="A140" s="129">
        <v>46235.0</v>
      </c>
      <c r="B140" s="94" t="s">
        <v>416</v>
      </c>
      <c r="C140" s="169" t="s">
        <v>693</v>
      </c>
      <c r="D140" s="64" t="s">
        <v>774</v>
      </c>
      <c r="E140" s="96">
        <v>46260.0</v>
      </c>
      <c r="F140" s="87">
        <v>46260.0</v>
      </c>
      <c r="G140" s="89" t="s">
        <v>179</v>
      </c>
      <c r="H140" s="169" t="s">
        <v>625</v>
      </c>
      <c r="I140" s="94" t="s">
        <v>775</v>
      </c>
      <c r="J140" s="87">
        <v>46260.0</v>
      </c>
      <c r="K140" s="87">
        <v>46260.0</v>
      </c>
      <c r="L140" s="66"/>
      <c r="M140" s="17"/>
      <c r="N140" s="14"/>
      <c r="O140" s="14"/>
      <c r="P140" s="14"/>
      <c r="Q140" s="69"/>
    </row>
    <row r="141">
      <c r="A141" s="129">
        <v>46235.0</v>
      </c>
      <c r="B141" s="94" t="s">
        <v>402</v>
      </c>
      <c r="C141" s="169" t="s">
        <v>693</v>
      </c>
      <c r="D141" s="64" t="s">
        <v>776</v>
      </c>
      <c r="E141" s="170">
        <v>46247.0</v>
      </c>
      <c r="F141" s="170">
        <v>46247.0</v>
      </c>
      <c r="G141" s="89" t="s">
        <v>179</v>
      </c>
      <c r="H141" s="184" t="s">
        <v>625</v>
      </c>
      <c r="I141" s="94"/>
      <c r="J141" s="87">
        <v>46244.0</v>
      </c>
      <c r="K141" s="87">
        <v>46244.0</v>
      </c>
      <c r="L141" s="146"/>
      <c r="M141" s="17"/>
      <c r="N141" s="14"/>
      <c r="O141" s="14"/>
      <c r="P141" s="14"/>
      <c r="Q141" s="69"/>
    </row>
    <row r="142">
      <c r="A142" s="129">
        <v>46235.0</v>
      </c>
      <c r="B142" s="174" t="s">
        <v>437</v>
      </c>
      <c r="C142" s="169" t="s">
        <v>693</v>
      </c>
      <c r="D142" s="187" t="s">
        <v>777</v>
      </c>
      <c r="E142" s="177" t="s">
        <v>749</v>
      </c>
      <c r="F142" s="177" t="s">
        <v>749</v>
      </c>
      <c r="G142" s="177" t="s">
        <v>749</v>
      </c>
      <c r="H142" s="184" t="s">
        <v>736</v>
      </c>
      <c r="I142" s="188"/>
      <c r="J142" s="177" t="s">
        <v>749</v>
      </c>
      <c r="K142" s="177" t="s">
        <v>749</v>
      </c>
      <c r="L142" s="146"/>
      <c r="M142" s="14"/>
      <c r="N142" s="14"/>
      <c r="O142" s="14"/>
      <c r="P142" s="14"/>
      <c r="Q142" s="18">
        <v>4.0</v>
      </c>
    </row>
    <row r="143">
      <c r="A143" s="136">
        <v>46266.0</v>
      </c>
      <c r="B143" s="50" t="s">
        <v>407</v>
      </c>
      <c r="C143" s="184" t="s">
        <v>736</v>
      </c>
      <c r="D143" s="189" t="s">
        <v>778</v>
      </c>
      <c r="E143" s="161">
        <v>46342.0</v>
      </c>
      <c r="F143" s="161">
        <v>46342.0</v>
      </c>
      <c r="G143" s="185" t="s">
        <v>179</v>
      </c>
      <c r="H143" s="184" t="s">
        <v>736</v>
      </c>
      <c r="I143" s="190" t="s">
        <v>779</v>
      </c>
      <c r="J143" s="191" t="s">
        <v>749</v>
      </c>
      <c r="K143" s="191" t="s">
        <v>749</v>
      </c>
      <c r="L143" s="146"/>
      <c r="M143" s="11" t="s">
        <v>780</v>
      </c>
      <c r="N143" s="14"/>
      <c r="O143" s="14"/>
      <c r="P143" s="14"/>
      <c r="Q143" s="69"/>
    </row>
    <row r="144">
      <c r="A144" s="136">
        <v>46266.0</v>
      </c>
      <c r="B144" s="94" t="s">
        <v>400</v>
      </c>
      <c r="C144" s="184" t="s">
        <v>625</v>
      </c>
      <c r="D144" s="64" t="s">
        <v>781</v>
      </c>
      <c r="E144" s="170">
        <v>46239.0</v>
      </c>
      <c r="F144" s="170">
        <v>46239.0</v>
      </c>
      <c r="G144" s="64" t="s">
        <v>179</v>
      </c>
      <c r="H144" s="184" t="s">
        <v>625</v>
      </c>
      <c r="I144" s="64" t="s">
        <v>782</v>
      </c>
      <c r="J144" s="170">
        <v>46239.0</v>
      </c>
      <c r="K144" s="170">
        <v>46239.0</v>
      </c>
      <c r="L144" s="146"/>
      <c r="M144" s="14"/>
      <c r="N144" s="14"/>
      <c r="O144" s="14"/>
      <c r="P144" s="14"/>
      <c r="Q144" s="69"/>
    </row>
    <row r="145">
      <c r="A145" s="136">
        <v>46266.0</v>
      </c>
      <c r="B145" s="94" t="s">
        <v>431</v>
      </c>
      <c r="C145" s="169" t="s">
        <v>693</v>
      </c>
      <c r="D145" s="64" t="s">
        <v>783</v>
      </c>
      <c r="E145" s="170">
        <v>46302.0</v>
      </c>
      <c r="F145" s="170">
        <v>46302.0</v>
      </c>
      <c r="G145" s="89" t="s">
        <v>179</v>
      </c>
      <c r="H145" s="184" t="s">
        <v>736</v>
      </c>
      <c r="I145" s="180" t="s">
        <v>784</v>
      </c>
      <c r="J145" s="170">
        <v>46288.0</v>
      </c>
      <c r="K145" s="170">
        <v>46288.0</v>
      </c>
      <c r="L145" s="146"/>
      <c r="M145" s="14"/>
      <c r="N145" s="14"/>
      <c r="O145" s="14"/>
      <c r="P145" s="14"/>
      <c r="Q145" s="69"/>
    </row>
    <row r="146">
      <c r="A146" s="136">
        <v>46266.0</v>
      </c>
      <c r="B146" s="94" t="s">
        <v>410</v>
      </c>
      <c r="C146" s="184" t="s">
        <v>693</v>
      </c>
      <c r="D146" s="64" t="s">
        <v>785</v>
      </c>
      <c r="E146" s="170">
        <v>46304.0</v>
      </c>
      <c r="F146" s="170">
        <v>46304.0</v>
      </c>
      <c r="G146" s="180" t="s">
        <v>786</v>
      </c>
      <c r="H146" s="184" t="s">
        <v>625</v>
      </c>
      <c r="I146" s="64" t="s">
        <v>787</v>
      </c>
      <c r="J146" s="180" t="s">
        <v>24</v>
      </c>
      <c r="K146" s="168">
        <v>46259.0</v>
      </c>
      <c r="L146" s="146"/>
      <c r="M146" s="14"/>
      <c r="N146" s="14"/>
      <c r="O146" s="14"/>
      <c r="P146" s="14"/>
      <c r="Q146" s="69"/>
    </row>
    <row r="147">
      <c r="A147" s="136">
        <v>46266.0</v>
      </c>
      <c r="B147" s="50" t="s">
        <v>482</v>
      </c>
      <c r="C147" s="169" t="s">
        <v>693</v>
      </c>
      <c r="D147" s="153" t="s">
        <v>788</v>
      </c>
      <c r="E147" s="152">
        <v>46317.0</v>
      </c>
      <c r="F147" s="152">
        <v>46317.0</v>
      </c>
      <c r="G147" s="192" t="s">
        <v>179</v>
      </c>
      <c r="H147" s="193" t="s">
        <v>736</v>
      </c>
      <c r="I147" s="194" t="s">
        <v>789</v>
      </c>
      <c r="J147" s="152">
        <v>46317.0</v>
      </c>
      <c r="K147" s="152">
        <v>46317.0</v>
      </c>
      <c r="L147" s="146"/>
      <c r="M147" s="14"/>
      <c r="N147" s="14"/>
      <c r="O147" s="14"/>
      <c r="P147" s="14"/>
      <c r="Q147" s="69"/>
    </row>
    <row r="148">
      <c r="A148" s="136">
        <v>46266.0</v>
      </c>
      <c r="B148" s="94" t="s">
        <v>434</v>
      </c>
      <c r="C148" s="169" t="s">
        <v>693</v>
      </c>
      <c r="D148" s="64" t="s">
        <v>790</v>
      </c>
      <c r="E148" s="170">
        <v>46294.0</v>
      </c>
      <c r="F148" s="170">
        <v>46294.0</v>
      </c>
      <c r="G148" s="164" t="s">
        <v>179</v>
      </c>
      <c r="H148" s="184" t="s">
        <v>736</v>
      </c>
      <c r="I148" s="64" t="s">
        <v>789</v>
      </c>
      <c r="J148" s="170">
        <v>46294.0</v>
      </c>
      <c r="K148" s="170">
        <v>46294.0</v>
      </c>
      <c r="L148" s="146"/>
      <c r="M148" s="14"/>
      <c r="N148" s="14"/>
      <c r="O148" s="14"/>
      <c r="P148" s="14"/>
      <c r="Q148" s="69"/>
    </row>
    <row r="149">
      <c r="A149" s="136">
        <v>46266.0</v>
      </c>
      <c r="B149" s="94" t="s">
        <v>454</v>
      </c>
      <c r="C149" s="184" t="s">
        <v>693</v>
      </c>
      <c r="D149" s="64" t="s">
        <v>791</v>
      </c>
      <c r="E149" s="170">
        <v>46293.0</v>
      </c>
      <c r="F149" s="170">
        <v>46293.0</v>
      </c>
      <c r="G149" s="180" t="s">
        <v>166</v>
      </c>
      <c r="H149" s="184" t="s">
        <v>736</v>
      </c>
      <c r="I149" s="90"/>
      <c r="J149" s="170">
        <v>46293.0</v>
      </c>
      <c r="K149" s="170">
        <v>46293.0</v>
      </c>
      <c r="L149" s="146"/>
      <c r="M149" s="14"/>
      <c r="N149" s="14"/>
      <c r="O149" s="14"/>
      <c r="P149" s="14"/>
      <c r="Q149" s="69"/>
    </row>
    <row r="150">
      <c r="A150" s="136">
        <v>46266.0</v>
      </c>
      <c r="B150" s="50" t="s">
        <v>493</v>
      </c>
      <c r="C150" s="184" t="s">
        <v>693</v>
      </c>
      <c r="D150" s="153" t="s">
        <v>792</v>
      </c>
      <c r="E150" s="161">
        <v>46345.0</v>
      </c>
      <c r="F150" s="161">
        <v>46345.0</v>
      </c>
      <c r="G150" s="195" t="s">
        <v>637</v>
      </c>
      <c r="H150" s="184" t="s">
        <v>736</v>
      </c>
      <c r="I150" s="153" t="s">
        <v>793</v>
      </c>
      <c r="J150" s="161">
        <v>46310.0</v>
      </c>
      <c r="K150" s="168">
        <v>46289.0</v>
      </c>
      <c r="L150" s="146"/>
      <c r="M150" s="14"/>
      <c r="N150" s="14"/>
      <c r="O150" s="14"/>
      <c r="P150" s="14"/>
      <c r="Q150" s="18">
        <v>4.0</v>
      </c>
    </row>
    <row r="151">
      <c r="A151" s="129">
        <v>46296.0</v>
      </c>
      <c r="B151" s="50" t="s">
        <v>496</v>
      </c>
      <c r="C151" s="184" t="s">
        <v>693</v>
      </c>
      <c r="D151" s="64" t="s">
        <v>794</v>
      </c>
      <c r="E151" s="170">
        <v>46303.0</v>
      </c>
      <c r="F151" s="170">
        <v>46303.0</v>
      </c>
      <c r="G151" s="164" t="s">
        <v>179</v>
      </c>
      <c r="H151" s="184" t="s">
        <v>736</v>
      </c>
      <c r="I151" s="153" t="s">
        <v>795</v>
      </c>
      <c r="J151" s="152">
        <v>46310.0</v>
      </c>
      <c r="K151" s="170">
        <v>46303.0</v>
      </c>
      <c r="L151" s="146"/>
      <c r="M151" s="11" t="s">
        <v>796</v>
      </c>
      <c r="N151" s="14"/>
      <c r="O151" s="14"/>
      <c r="P151" s="14"/>
      <c r="Q151" s="69"/>
    </row>
    <row r="152">
      <c r="A152" s="129">
        <v>46296.0</v>
      </c>
      <c r="B152" s="94" t="s">
        <v>438</v>
      </c>
      <c r="C152" s="184" t="s">
        <v>693</v>
      </c>
      <c r="D152" s="64" t="s">
        <v>797</v>
      </c>
      <c r="E152" s="170">
        <v>46296.0</v>
      </c>
      <c r="F152" s="170">
        <v>46296.0</v>
      </c>
      <c r="G152" s="64" t="s">
        <v>179</v>
      </c>
      <c r="H152" s="184" t="s">
        <v>736</v>
      </c>
      <c r="I152" s="90"/>
      <c r="J152" s="170">
        <v>46296.0</v>
      </c>
      <c r="K152" s="170">
        <v>46296.0</v>
      </c>
      <c r="L152" s="146"/>
      <c r="M152" s="14"/>
      <c r="N152" s="14"/>
      <c r="O152" s="14"/>
      <c r="P152" s="14"/>
      <c r="Q152" s="18">
        <v>1.0</v>
      </c>
    </row>
    <row r="153">
      <c r="A153" s="196">
        <v>46327.0</v>
      </c>
      <c r="B153" s="160" t="s">
        <v>485</v>
      </c>
      <c r="C153" s="169" t="s">
        <v>693</v>
      </c>
      <c r="D153" s="197" t="s">
        <v>798</v>
      </c>
      <c r="E153" s="159">
        <v>46325.0</v>
      </c>
      <c r="F153" s="159">
        <v>46325.0</v>
      </c>
      <c r="G153" s="153" t="s">
        <v>179</v>
      </c>
      <c r="H153" s="198" t="s">
        <v>736</v>
      </c>
      <c r="I153" s="153" t="s">
        <v>795</v>
      </c>
      <c r="J153" s="159">
        <v>46325.0</v>
      </c>
      <c r="K153" s="159">
        <v>46325.0</v>
      </c>
      <c r="L153" s="199"/>
      <c r="M153" s="16" t="s">
        <v>799</v>
      </c>
      <c r="Q153" s="69"/>
    </row>
    <row r="154">
      <c r="A154" s="196">
        <v>46327.0</v>
      </c>
      <c r="B154" s="200" t="s">
        <v>502</v>
      </c>
      <c r="C154" s="184" t="s">
        <v>693</v>
      </c>
      <c r="D154" s="201" t="s">
        <v>800</v>
      </c>
      <c r="E154" s="202">
        <v>46309.0</v>
      </c>
      <c r="F154" s="202">
        <v>46309.0</v>
      </c>
      <c r="G154" s="203" t="s">
        <v>637</v>
      </c>
      <c r="H154" s="198" t="s">
        <v>736</v>
      </c>
      <c r="I154" s="47" t="s">
        <v>801</v>
      </c>
      <c r="J154" s="3"/>
      <c r="K154" s="3"/>
      <c r="L154" s="199"/>
      <c r="Q154" s="69"/>
    </row>
    <row r="155">
      <c r="A155" s="196">
        <v>46327.0</v>
      </c>
      <c r="B155" s="105" t="s">
        <v>505</v>
      </c>
      <c r="C155" s="169" t="s">
        <v>693</v>
      </c>
      <c r="D155" s="16" t="s">
        <v>802</v>
      </c>
      <c r="E155" s="132" t="s">
        <v>24</v>
      </c>
      <c r="F155" s="3"/>
      <c r="G155" s="3"/>
      <c r="H155" s="198" t="s">
        <v>736</v>
      </c>
      <c r="I155" s="142"/>
      <c r="J155" s="3"/>
      <c r="K155" s="3"/>
      <c r="L155" s="199"/>
      <c r="Q155" s="69"/>
    </row>
    <row r="156">
      <c r="A156" s="196">
        <v>46327.0</v>
      </c>
      <c r="B156" s="160" t="s">
        <v>507</v>
      </c>
      <c r="C156" s="169" t="s">
        <v>693</v>
      </c>
      <c r="D156" s="189" t="s">
        <v>803</v>
      </c>
      <c r="E156" s="159">
        <v>46349.0</v>
      </c>
      <c r="F156" s="159">
        <v>46349.0</v>
      </c>
      <c r="G156" s="153" t="s">
        <v>179</v>
      </c>
      <c r="H156" s="198" t="s">
        <v>736</v>
      </c>
      <c r="I156" s="160" t="s">
        <v>804</v>
      </c>
      <c r="J156" s="159">
        <v>46349.0</v>
      </c>
      <c r="K156" s="159">
        <v>46349.0</v>
      </c>
      <c r="L156" s="199"/>
      <c r="Q156" s="69"/>
    </row>
    <row r="157">
      <c r="A157" s="196">
        <v>46327.0</v>
      </c>
      <c r="B157" s="105" t="s">
        <v>509</v>
      </c>
      <c r="C157" s="184" t="s">
        <v>693</v>
      </c>
      <c r="D157" s="16" t="s">
        <v>805</v>
      </c>
      <c r="E157" s="132" t="s">
        <v>24</v>
      </c>
      <c r="F157" s="3"/>
      <c r="G157" s="3"/>
      <c r="H157" s="198" t="s">
        <v>736</v>
      </c>
      <c r="I157" s="142"/>
      <c r="J157" s="3"/>
      <c r="K157" s="3"/>
      <c r="L157" s="199"/>
      <c r="Q157" s="69"/>
    </row>
    <row r="158">
      <c r="A158" s="196">
        <v>46327.0</v>
      </c>
      <c r="B158" s="160" t="s">
        <v>474</v>
      </c>
      <c r="C158" s="184" t="s">
        <v>693</v>
      </c>
      <c r="D158" s="189" t="s">
        <v>806</v>
      </c>
      <c r="E158" s="162">
        <v>46331.0</v>
      </c>
      <c r="F158" s="162">
        <v>46331.0</v>
      </c>
      <c r="G158" s="153" t="s">
        <v>179</v>
      </c>
      <c r="H158" s="198" t="s">
        <v>736</v>
      </c>
      <c r="I158" s="47" t="s">
        <v>807</v>
      </c>
      <c r="J158" s="3"/>
      <c r="K158" s="3"/>
      <c r="L158" s="199"/>
      <c r="Q158" s="69"/>
    </row>
    <row r="159">
      <c r="A159" s="204">
        <v>46327.0</v>
      </c>
      <c r="B159" s="189" t="s">
        <v>517</v>
      </c>
      <c r="C159" s="184" t="s">
        <v>693</v>
      </c>
      <c r="D159" s="189" t="s">
        <v>808</v>
      </c>
      <c r="E159" s="162">
        <v>46332.0</v>
      </c>
      <c r="F159" s="162">
        <v>46332.0</v>
      </c>
      <c r="G159" s="153" t="s">
        <v>179</v>
      </c>
      <c r="H159" s="198" t="s">
        <v>736</v>
      </c>
      <c r="I159" s="47" t="s">
        <v>807</v>
      </c>
      <c r="J159" s="3"/>
      <c r="K159" s="3"/>
      <c r="L159" s="199"/>
      <c r="Q159" s="69"/>
    </row>
    <row r="160">
      <c r="A160" s="196">
        <v>46327.0</v>
      </c>
      <c r="B160" s="160" t="s">
        <v>520</v>
      </c>
      <c r="C160" s="184" t="s">
        <v>693</v>
      </c>
      <c r="D160" s="189" t="s">
        <v>809</v>
      </c>
      <c r="E160" s="159">
        <v>46346.0</v>
      </c>
      <c r="F160" s="159">
        <v>46346.0</v>
      </c>
      <c r="G160" s="153" t="s">
        <v>179</v>
      </c>
      <c r="H160" s="198" t="s">
        <v>736</v>
      </c>
      <c r="I160" s="160" t="s">
        <v>810</v>
      </c>
      <c r="J160" s="159">
        <v>46346.0</v>
      </c>
      <c r="K160" s="159">
        <v>46346.0</v>
      </c>
      <c r="L160" s="199"/>
      <c r="Q160" s="18">
        <v>0.0</v>
      </c>
    </row>
    <row r="161">
      <c r="A161" s="205">
        <v>46357.0</v>
      </c>
      <c r="B161" s="139" t="s">
        <v>475</v>
      </c>
      <c r="C161" s="198" t="s">
        <v>693</v>
      </c>
      <c r="D161" s="189" t="s">
        <v>811</v>
      </c>
      <c r="E161" s="206">
        <v>46374.0</v>
      </c>
      <c r="F161" s="206">
        <v>46374.0</v>
      </c>
      <c r="G161" s="153" t="s">
        <v>179</v>
      </c>
      <c r="H161" s="207"/>
      <c r="I161" s="160" t="s">
        <v>810</v>
      </c>
      <c r="J161" s="206">
        <v>46374.0</v>
      </c>
      <c r="K161" s="206">
        <v>46374.0</v>
      </c>
      <c r="L161" s="199"/>
      <c r="M161" s="16" t="s">
        <v>812</v>
      </c>
      <c r="N161" s="16" t="s">
        <v>813</v>
      </c>
      <c r="Q161" s="69"/>
    </row>
    <row r="162">
      <c r="A162" s="208">
        <v>46357.0</v>
      </c>
      <c r="B162" s="102" t="s">
        <v>528</v>
      </c>
      <c r="C162" s="184" t="s">
        <v>693</v>
      </c>
      <c r="D162" s="16" t="s">
        <v>814</v>
      </c>
      <c r="E162" s="3"/>
      <c r="F162" s="3"/>
      <c r="G162" s="3"/>
      <c r="H162" s="207"/>
      <c r="I162" s="142"/>
      <c r="J162" s="3"/>
      <c r="K162" s="3"/>
      <c r="L162" s="199"/>
      <c r="Q162" s="69"/>
    </row>
    <row r="163">
      <c r="A163" s="208">
        <v>45997.0</v>
      </c>
      <c r="B163" s="102" t="s">
        <v>530</v>
      </c>
      <c r="C163" s="184" t="s">
        <v>693</v>
      </c>
      <c r="D163" s="16" t="s">
        <v>815</v>
      </c>
      <c r="E163" s="3"/>
      <c r="F163" s="3"/>
      <c r="G163" s="3"/>
      <c r="H163" s="207"/>
      <c r="I163" s="142"/>
      <c r="J163" s="3"/>
      <c r="K163" s="3"/>
      <c r="L163" s="199"/>
      <c r="Q163" s="18">
        <v>0.0</v>
      </c>
    </row>
    <row r="164">
      <c r="A164" s="196">
        <v>46388.0</v>
      </c>
      <c r="B164" s="105" t="s">
        <v>536</v>
      </c>
      <c r="C164" s="207"/>
      <c r="D164" s="209" t="s">
        <v>816</v>
      </c>
      <c r="E164" s="3"/>
      <c r="F164" s="3"/>
      <c r="G164" s="3"/>
      <c r="H164" s="207"/>
      <c r="I164" s="142"/>
      <c r="J164" s="3"/>
      <c r="K164" s="3"/>
      <c r="L164" s="199"/>
      <c r="Q164" s="69"/>
    </row>
    <row r="165">
      <c r="A165" s="196">
        <v>46409.0</v>
      </c>
      <c r="B165" s="105" t="s">
        <v>533</v>
      </c>
      <c r="C165" s="207"/>
      <c r="E165" s="3"/>
      <c r="F165" s="3"/>
      <c r="G165" s="3"/>
      <c r="H165" s="207"/>
      <c r="I165" s="142"/>
      <c r="J165" s="3"/>
      <c r="K165" s="3"/>
      <c r="L165" s="199"/>
      <c r="Q165" s="69"/>
    </row>
    <row r="166">
      <c r="A166" s="196">
        <v>46388.0</v>
      </c>
      <c r="B166" s="105" t="s">
        <v>518</v>
      </c>
      <c r="C166" s="207"/>
      <c r="E166" s="3"/>
      <c r="F166" s="3"/>
      <c r="G166" s="3"/>
      <c r="H166" s="207"/>
      <c r="I166" s="142"/>
      <c r="J166" s="3"/>
      <c r="K166" s="3"/>
      <c r="L166" s="199"/>
      <c r="Q166" s="69"/>
    </row>
    <row r="167">
      <c r="A167" s="196">
        <v>46409.0</v>
      </c>
      <c r="B167" s="105" t="s">
        <v>537</v>
      </c>
      <c r="C167" s="207"/>
      <c r="E167" s="3"/>
      <c r="F167" s="3"/>
      <c r="G167" s="3"/>
      <c r="H167" s="207"/>
      <c r="I167" s="142"/>
      <c r="J167" s="3"/>
      <c r="K167" s="3"/>
      <c r="L167" s="199"/>
      <c r="Q167" s="69"/>
    </row>
    <row r="168">
      <c r="A168" s="196">
        <v>46388.0</v>
      </c>
      <c r="B168" s="105" t="s">
        <v>538</v>
      </c>
      <c r="C168" s="207"/>
      <c r="E168" s="3"/>
      <c r="F168" s="3"/>
      <c r="G168" s="3"/>
      <c r="H168" s="207"/>
      <c r="I168" s="142"/>
      <c r="J168" s="3"/>
      <c r="K168" s="3"/>
      <c r="L168" s="199"/>
      <c r="Q168" s="69"/>
    </row>
    <row r="169">
      <c r="A169" s="196">
        <v>46409.0</v>
      </c>
      <c r="B169" s="105" t="s">
        <v>540</v>
      </c>
      <c r="C169" s="207"/>
      <c r="E169" s="3"/>
      <c r="F169" s="3"/>
      <c r="G169" s="3"/>
      <c r="H169" s="207"/>
      <c r="I169" s="142"/>
      <c r="J169" s="3"/>
      <c r="K169" s="3"/>
      <c r="L169" s="199"/>
      <c r="Q169" s="18">
        <v>0.0</v>
      </c>
    </row>
    <row r="170">
      <c r="A170" s="205">
        <v>46419.0</v>
      </c>
      <c r="B170" s="54" t="s">
        <v>542</v>
      </c>
      <c r="C170" s="207"/>
      <c r="D170" s="209" t="s">
        <v>816</v>
      </c>
      <c r="E170" s="3"/>
      <c r="F170" s="3"/>
      <c r="G170" s="3"/>
      <c r="H170" s="207"/>
      <c r="I170" s="142"/>
      <c r="J170" s="3"/>
      <c r="K170" s="3"/>
      <c r="L170" s="199"/>
      <c r="Q170" s="69"/>
    </row>
    <row r="171">
      <c r="A171" s="205">
        <v>46419.0</v>
      </c>
      <c r="B171" s="54" t="s">
        <v>551</v>
      </c>
      <c r="C171" s="207"/>
      <c r="E171" s="3"/>
      <c r="F171" s="3"/>
      <c r="G171" s="3"/>
      <c r="H171" s="207"/>
      <c r="I171" s="142"/>
      <c r="J171" s="3"/>
      <c r="K171" s="3"/>
      <c r="L171" s="199"/>
      <c r="Q171" s="69"/>
    </row>
    <row r="172">
      <c r="A172" s="205">
        <v>46419.0</v>
      </c>
      <c r="B172" s="102" t="s">
        <v>553</v>
      </c>
      <c r="C172" s="207"/>
      <c r="E172" s="3"/>
      <c r="F172" s="3"/>
      <c r="G172" s="3"/>
      <c r="H172" s="207"/>
      <c r="I172" s="142"/>
      <c r="J172" s="3"/>
      <c r="K172" s="3"/>
      <c r="L172" s="199"/>
      <c r="Q172" s="69"/>
    </row>
    <row r="173">
      <c r="A173" s="205">
        <v>46419.0</v>
      </c>
      <c r="B173" s="102" t="s">
        <v>557</v>
      </c>
      <c r="C173" s="207"/>
      <c r="E173" s="3"/>
      <c r="F173" s="3"/>
      <c r="G173" s="3"/>
      <c r="H173" s="207"/>
      <c r="I173" s="142"/>
      <c r="J173" s="3"/>
      <c r="K173" s="3"/>
      <c r="L173" s="199"/>
      <c r="Q173" s="69"/>
    </row>
    <row r="174">
      <c r="A174" s="205">
        <v>46419.0</v>
      </c>
      <c r="B174" s="54" t="s">
        <v>555</v>
      </c>
      <c r="C174" s="207"/>
      <c r="E174" s="3"/>
      <c r="F174" s="3"/>
      <c r="G174" s="3"/>
      <c r="H174" s="207"/>
      <c r="I174" s="142"/>
      <c r="J174" s="3"/>
      <c r="K174" s="3"/>
      <c r="L174" s="199"/>
      <c r="Q174" s="18">
        <v>0.0</v>
      </c>
    </row>
    <row r="175">
      <c r="A175" s="47" t="s">
        <v>819</v>
      </c>
      <c r="C175" s="207"/>
      <c r="E175" s="3"/>
      <c r="F175" s="3"/>
      <c r="G175" s="3"/>
      <c r="H175" s="207"/>
      <c r="I175" s="142"/>
      <c r="J175" s="3"/>
      <c r="K175" s="3"/>
      <c r="L175" s="199"/>
      <c r="Q175" s="69">
        <f>SUM(Q2:Q174)</f>
        <v>126</v>
      </c>
    </row>
    <row r="176">
      <c r="A176" s="3"/>
      <c r="C176" s="207"/>
      <c r="E176" s="3"/>
      <c r="F176" s="3"/>
      <c r="G176" s="3"/>
      <c r="H176" s="207"/>
      <c r="I176" s="142"/>
      <c r="J176" s="3"/>
      <c r="K176" s="3"/>
      <c r="L176" s="199"/>
      <c r="Q176" s="69"/>
    </row>
    <row r="177">
      <c r="A177" s="3"/>
      <c r="C177" s="207"/>
      <c r="E177" s="3"/>
      <c r="F177" s="3"/>
      <c r="G177" s="3"/>
      <c r="H177" s="207"/>
      <c r="I177" s="142"/>
      <c r="J177" s="3"/>
      <c r="K177" s="3"/>
      <c r="L177" s="199"/>
      <c r="Q177" s="69"/>
    </row>
    <row r="178">
      <c r="A178" s="3"/>
      <c r="C178" s="207"/>
      <c r="E178" s="3"/>
      <c r="F178" s="3"/>
      <c r="G178" s="3"/>
      <c r="H178" s="207"/>
      <c r="I178" s="142"/>
      <c r="J178" s="3"/>
      <c r="K178" s="3"/>
      <c r="L178" s="199"/>
      <c r="Q178" s="69"/>
    </row>
    <row r="179">
      <c r="A179" s="3"/>
      <c r="C179" s="207"/>
      <c r="E179" s="3"/>
      <c r="F179" s="3"/>
      <c r="G179" s="3"/>
      <c r="H179" s="207"/>
      <c r="I179" s="142"/>
      <c r="J179" s="3"/>
      <c r="K179" s="3"/>
      <c r="L179" s="199"/>
      <c r="Q179" s="69"/>
    </row>
    <row r="180">
      <c r="A180" s="3"/>
      <c r="C180" s="207"/>
      <c r="E180" s="3"/>
      <c r="F180" s="3"/>
      <c r="G180" s="3"/>
      <c r="H180" s="207"/>
      <c r="I180" s="142"/>
      <c r="J180" s="3"/>
      <c r="K180" s="3"/>
      <c r="L180" s="199"/>
      <c r="Q180" s="69"/>
    </row>
    <row r="181">
      <c r="A181" s="3"/>
      <c r="C181" s="207"/>
      <c r="E181" s="3"/>
      <c r="F181" s="3"/>
      <c r="G181" s="3"/>
      <c r="H181" s="207"/>
      <c r="I181" s="142"/>
      <c r="J181" s="3"/>
      <c r="K181" s="3"/>
      <c r="L181" s="199"/>
      <c r="Q181" s="69"/>
    </row>
    <row r="182">
      <c r="A182" s="3"/>
      <c r="C182" s="207"/>
      <c r="E182" s="3"/>
      <c r="F182" s="3"/>
      <c r="G182" s="3"/>
      <c r="H182" s="207"/>
      <c r="I182" s="142"/>
      <c r="J182" s="3"/>
      <c r="K182" s="3"/>
      <c r="L182" s="199"/>
      <c r="Q182" s="69"/>
    </row>
    <row r="183">
      <c r="A183" s="3"/>
      <c r="C183" s="207"/>
      <c r="E183" s="3"/>
      <c r="F183" s="3"/>
      <c r="G183" s="3"/>
      <c r="H183" s="207"/>
      <c r="I183" s="142"/>
      <c r="J183" s="3"/>
      <c r="K183" s="3"/>
      <c r="L183" s="199"/>
      <c r="Q183" s="69"/>
    </row>
    <row r="184">
      <c r="A184" s="3"/>
      <c r="C184" s="207"/>
      <c r="E184" s="3"/>
      <c r="F184" s="3"/>
      <c r="G184" s="3"/>
      <c r="H184" s="207"/>
      <c r="I184" s="142"/>
      <c r="J184" s="3"/>
      <c r="K184" s="3"/>
      <c r="L184" s="199"/>
      <c r="Q184" s="69"/>
    </row>
    <row r="185">
      <c r="A185" s="3"/>
      <c r="C185" s="207"/>
      <c r="E185" s="3"/>
      <c r="F185" s="3"/>
      <c r="G185" s="3"/>
      <c r="H185" s="207"/>
      <c r="I185" s="142"/>
      <c r="J185" s="3"/>
      <c r="K185" s="3"/>
      <c r="L185" s="199"/>
      <c r="Q185" s="69"/>
    </row>
    <row r="186">
      <c r="A186" s="3"/>
      <c r="C186" s="207"/>
      <c r="E186" s="3"/>
      <c r="F186" s="3"/>
      <c r="G186" s="3"/>
      <c r="H186" s="207"/>
      <c r="I186" s="142"/>
      <c r="J186" s="3"/>
      <c r="K186" s="3"/>
      <c r="L186" s="199"/>
      <c r="Q186" s="69"/>
    </row>
    <row r="187">
      <c r="A187" s="3"/>
      <c r="C187" s="207"/>
      <c r="E187" s="3"/>
      <c r="F187" s="3"/>
      <c r="G187" s="3"/>
      <c r="H187" s="207"/>
      <c r="I187" s="142"/>
      <c r="J187" s="3"/>
      <c r="K187" s="3"/>
      <c r="L187" s="199"/>
      <c r="Q187" s="69"/>
    </row>
    <row r="188">
      <c r="A188" s="3"/>
      <c r="C188" s="207"/>
      <c r="E188" s="3"/>
      <c r="F188" s="3"/>
      <c r="G188" s="3"/>
      <c r="H188" s="207"/>
      <c r="I188" s="142"/>
      <c r="J188" s="3"/>
      <c r="K188" s="3"/>
      <c r="L188" s="199"/>
      <c r="Q188" s="69"/>
    </row>
    <row r="189">
      <c r="A189" s="3"/>
      <c r="C189" s="207"/>
      <c r="E189" s="3"/>
      <c r="F189" s="3"/>
      <c r="G189" s="3"/>
      <c r="H189" s="207"/>
      <c r="I189" s="142"/>
      <c r="J189" s="3"/>
      <c r="K189" s="3"/>
      <c r="L189" s="199"/>
      <c r="Q189" s="69"/>
    </row>
    <row r="190">
      <c r="A190" s="3"/>
      <c r="C190" s="207"/>
      <c r="E190" s="3"/>
      <c r="F190" s="3"/>
      <c r="G190" s="3"/>
      <c r="H190" s="207"/>
      <c r="I190" s="142"/>
      <c r="J190" s="3"/>
      <c r="K190" s="3"/>
      <c r="L190" s="199"/>
      <c r="Q190" s="69"/>
    </row>
    <row r="191">
      <c r="A191" s="3"/>
      <c r="C191" s="207"/>
      <c r="E191" s="3"/>
      <c r="F191" s="3"/>
      <c r="G191" s="3"/>
      <c r="H191" s="207"/>
      <c r="I191" s="142"/>
      <c r="J191" s="3"/>
      <c r="K191" s="3"/>
      <c r="L191" s="199"/>
      <c r="Q191" s="69"/>
    </row>
    <row r="192">
      <c r="A192" s="3"/>
      <c r="C192" s="207"/>
      <c r="E192" s="3"/>
      <c r="F192" s="3"/>
      <c r="G192" s="3"/>
      <c r="H192" s="207"/>
      <c r="I192" s="142"/>
      <c r="J192" s="3"/>
      <c r="K192" s="3"/>
      <c r="L192" s="199"/>
      <c r="Q192" s="69"/>
    </row>
    <row r="193">
      <c r="A193" s="3"/>
      <c r="C193" s="207"/>
      <c r="E193" s="3"/>
      <c r="F193" s="3"/>
      <c r="G193" s="3"/>
      <c r="H193" s="207"/>
      <c r="I193" s="142"/>
      <c r="J193" s="3"/>
      <c r="K193" s="3"/>
      <c r="L193" s="199"/>
      <c r="Q193" s="69"/>
    </row>
    <row r="194">
      <c r="A194" s="3"/>
      <c r="C194" s="207"/>
      <c r="E194" s="3"/>
      <c r="F194" s="3"/>
      <c r="G194" s="3"/>
      <c r="H194" s="207"/>
      <c r="I194" s="142"/>
      <c r="J194" s="3"/>
      <c r="K194" s="3"/>
      <c r="L194" s="199"/>
      <c r="Q194" s="69"/>
    </row>
    <row r="195">
      <c r="A195" s="3"/>
      <c r="C195" s="207"/>
      <c r="E195" s="3"/>
      <c r="F195" s="3"/>
      <c r="G195" s="3"/>
      <c r="H195" s="207"/>
      <c r="I195" s="142"/>
      <c r="J195" s="3"/>
      <c r="K195" s="3"/>
      <c r="L195" s="199"/>
      <c r="Q195" s="69"/>
    </row>
    <row r="196">
      <c r="A196" s="3"/>
      <c r="C196" s="207"/>
      <c r="E196" s="3"/>
      <c r="F196" s="3"/>
      <c r="G196" s="3"/>
      <c r="H196" s="207"/>
      <c r="I196" s="142"/>
      <c r="J196" s="3"/>
      <c r="K196" s="3"/>
      <c r="L196" s="199"/>
      <c r="Q196" s="69"/>
    </row>
    <row r="197">
      <c r="A197" s="3"/>
      <c r="C197" s="207"/>
      <c r="E197" s="3"/>
      <c r="F197" s="3"/>
      <c r="G197" s="3"/>
      <c r="H197" s="207"/>
      <c r="I197" s="142"/>
      <c r="J197" s="3"/>
      <c r="K197" s="3"/>
      <c r="L197" s="199"/>
      <c r="Q197" s="69"/>
    </row>
    <row r="198">
      <c r="A198" s="3"/>
      <c r="C198" s="207"/>
      <c r="E198" s="3"/>
      <c r="F198" s="3"/>
      <c r="G198" s="3"/>
      <c r="H198" s="207"/>
      <c r="I198" s="142"/>
      <c r="J198" s="3"/>
      <c r="K198" s="3"/>
      <c r="L198" s="199"/>
      <c r="Q198" s="69"/>
    </row>
    <row r="199">
      <c r="A199" s="3"/>
      <c r="C199" s="207"/>
      <c r="E199" s="3"/>
      <c r="F199" s="3"/>
      <c r="G199" s="3"/>
      <c r="H199" s="207"/>
      <c r="I199" s="142"/>
      <c r="J199" s="3"/>
      <c r="K199" s="3"/>
      <c r="L199" s="199"/>
      <c r="Q199" s="69"/>
    </row>
    <row r="200">
      <c r="A200" s="3"/>
      <c r="C200" s="207"/>
      <c r="E200" s="3"/>
      <c r="F200" s="3"/>
      <c r="G200" s="3"/>
      <c r="H200" s="207"/>
      <c r="I200" s="142"/>
      <c r="J200" s="3"/>
      <c r="K200" s="3"/>
      <c r="L200" s="199"/>
      <c r="Q200" s="69"/>
    </row>
    <row r="201">
      <c r="A201" s="3"/>
      <c r="C201" s="207"/>
      <c r="E201" s="3"/>
      <c r="F201" s="3"/>
      <c r="G201" s="3"/>
      <c r="H201" s="207"/>
      <c r="I201" s="142"/>
      <c r="J201" s="3"/>
      <c r="K201" s="3"/>
      <c r="L201" s="199"/>
      <c r="Q201" s="69"/>
    </row>
    <row r="202">
      <c r="A202" s="3"/>
      <c r="C202" s="207"/>
      <c r="E202" s="3"/>
      <c r="F202" s="3"/>
      <c r="G202" s="3"/>
      <c r="H202" s="207"/>
      <c r="I202" s="142"/>
      <c r="J202" s="3"/>
      <c r="K202" s="3"/>
      <c r="L202" s="199"/>
      <c r="Q202" s="69"/>
    </row>
    <row r="203">
      <c r="A203" s="3"/>
      <c r="C203" s="207"/>
      <c r="E203" s="3"/>
      <c r="F203" s="3"/>
      <c r="G203" s="3"/>
      <c r="H203" s="207"/>
      <c r="I203" s="142"/>
      <c r="J203" s="3"/>
      <c r="K203" s="3"/>
      <c r="L203" s="199"/>
      <c r="Q203" s="69"/>
    </row>
    <row r="204">
      <c r="A204" s="3"/>
      <c r="C204" s="207"/>
      <c r="E204" s="3"/>
      <c r="F204" s="3"/>
      <c r="G204" s="3"/>
      <c r="H204" s="207"/>
      <c r="I204" s="142"/>
      <c r="J204" s="3"/>
      <c r="K204" s="3"/>
      <c r="L204" s="199"/>
      <c r="Q204" s="69"/>
    </row>
    <row r="205">
      <c r="A205" s="3"/>
      <c r="C205" s="207"/>
      <c r="E205" s="3"/>
      <c r="F205" s="3"/>
      <c r="G205" s="3"/>
      <c r="H205" s="207"/>
      <c r="I205" s="142"/>
      <c r="J205" s="3"/>
      <c r="K205" s="3"/>
      <c r="L205" s="199"/>
      <c r="Q205" s="69"/>
    </row>
    <row r="206">
      <c r="A206" s="3"/>
      <c r="C206" s="207"/>
      <c r="E206" s="3"/>
      <c r="F206" s="3"/>
      <c r="G206" s="3"/>
      <c r="H206" s="207"/>
      <c r="I206" s="142"/>
      <c r="J206" s="3"/>
      <c r="K206" s="3"/>
      <c r="L206" s="199"/>
      <c r="Q206" s="69"/>
    </row>
    <row r="207">
      <c r="A207" s="3"/>
      <c r="C207" s="207"/>
      <c r="E207" s="3"/>
      <c r="F207" s="3"/>
      <c r="G207" s="3"/>
      <c r="H207" s="207"/>
      <c r="I207" s="142"/>
      <c r="J207" s="3"/>
      <c r="K207" s="3"/>
      <c r="L207" s="199"/>
      <c r="Q207" s="69"/>
    </row>
    <row r="208">
      <c r="A208" s="3"/>
      <c r="C208" s="207"/>
      <c r="E208" s="3"/>
      <c r="F208" s="3"/>
      <c r="G208" s="3"/>
      <c r="H208" s="207"/>
      <c r="I208" s="142"/>
      <c r="J208" s="3"/>
      <c r="K208" s="3"/>
      <c r="L208" s="199"/>
      <c r="Q208" s="69"/>
    </row>
    <row r="209">
      <c r="A209" s="3"/>
      <c r="C209" s="207"/>
      <c r="E209" s="3"/>
      <c r="F209" s="3"/>
      <c r="G209" s="3"/>
      <c r="H209" s="207"/>
      <c r="I209" s="142"/>
      <c r="J209" s="3"/>
      <c r="K209" s="3"/>
      <c r="L209" s="199"/>
      <c r="Q209" s="69"/>
    </row>
    <row r="210">
      <c r="A210" s="3"/>
      <c r="C210" s="207"/>
      <c r="E210" s="3"/>
      <c r="F210" s="3"/>
      <c r="G210" s="3"/>
      <c r="H210" s="207"/>
      <c r="I210" s="142"/>
      <c r="J210" s="3"/>
      <c r="K210" s="3"/>
      <c r="L210" s="199"/>
      <c r="Q210" s="69"/>
    </row>
    <row r="211">
      <c r="A211" s="3"/>
      <c r="C211" s="207"/>
      <c r="E211" s="3"/>
      <c r="F211" s="3"/>
      <c r="G211" s="3"/>
      <c r="H211" s="207"/>
      <c r="I211" s="142"/>
      <c r="J211" s="3"/>
      <c r="K211" s="3"/>
      <c r="L211" s="199"/>
      <c r="Q211" s="69"/>
    </row>
    <row r="212">
      <c r="A212" s="3"/>
      <c r="C212" s="207"/>
      <c r="E212" s="3"/>
      <c r="F212" s="3"/>
      <c r="G212" s="3"/>
      <c r="H212" s="207"/>
      <c r="I212" s="142"/>
      <c r="J212" s="3"/>
      <c r="K212" s="3"/>
      <c r="L212" s="199"/>
      <c r="Q212" s="69"/>
    </row>
    <row r="213">
      <c r="A213" s="3"/>
      <c r="C213" s="207"/>
      <c r="E213" s="3"/>
      <c r="F213" s="3"/>
      <c r="G213" s="3"/>
      <c r="H213" s="207"/>
      <c r="I213" s="142"/>
      <c r="J213" s="3"/>
      <c r="K213" s="3"/>
      <c r="L213" s="199"/>
      <c r="Q213" s="69"/>
    </row>
    <row r="214">
      <c r="A214" s="3"/>
      <c r="C214" s="207"/>
      <c r="E214" s="3"/>
      <c r="F214" s="3"/>
      <c r="G214" s="3"/>
      <c r="H214" s="207"/>
      <c r="I214" s="142"/>
      <c r="J214" s="3"/>
      <c r="K214" s="3"/>
      <c r="L214" s="199"/>
      <c r="Q214" s="69"/>
    </row>
    <row r="215">
      <c r="A215" s="3"/>
      <c r="C215" s="207"/>
      <c r="E215" s="3"/>
      <c r="F215" s="3"/>
      <c r="G215" s="3"/>
      <c r="H215" s="207"/>
      <c r="I215" s="142"/>
      <c r="J215" s="3"/>
      <c r="K215" s="3"/>
      <c r="L215" s="199"/>
      <c r="Q215" s="69"/>
    </row>
    <row r="216">
      <c r="A216" s="3"/>
      <c r="C216" s="207"/>
      <c r="E216" s="3"/>
      <c r="F216" s="3"/>
      <c r="G216" s="3"/>
      <c r="H216" s="207"/>
      <c r="I216" s="142"/>
      <c r="J216" s="3"/>
      <c r="K216" s="3"/>
      <c r="L216" s="199"/>
      <c r="Q216" s="69"/>
    </row>
    <row r="217">
      <c r="A217" s="3"/>
      <c r="C217" s="207"/>
      <c r="E217" s="3"/>
      <c r="F217" s="3"/>
      <c r="G217" s="3"/>
      <c r="H217" s="207"/>
      <c r="I217" s="142"/>
      <c r="J217" s="3"/>
      <c r="K217" s="3"/>
      <c r="L217" s="199"/>
      <c r="Q217" s="69"/>
    </row>
    <row r="218">
      <c r="A218" s="3"/>
      <c r="C218" s="207"/>
      <c r="E218" s="3"/>
      <c r="F218" s="3"/>
      <c r="G218" s="3"/>
      <c r="H218" s="207"/>
      <c r="I218" s="142"/>
      <c r="J218" s="3"/>
      <c r="K218" s="3"/>
      <c r="L218" s="199"/>
      <c r="Q218" s="69"/>
    </row>
    <row r="219">
      <c r="A219" s="3"/>
      <c r="C219" s="207"/>
      <c r="E219" s="3"/>
      <c r="F219" s="3"/>
      <c r="G219" s="3"/>
      <c r="H219" s="207"/>
      <c r="I219" s="142"/>
      <c r="J219" s="3"/>
      <c r="K219" s="3"/>
      <c r="L219" s="199"/>
      <c r="Q219" s="69"/>
    </row>
    <row r="220">
      <c r="A220" s="3"/>
      <c r="C220" s="207"/>
      <c r="E220" s="3"/>
      <c r="F220" s="3"/>
      <c r="G220" s="3"/>
      <c r="H220" s="207"/>
      <c r="I220" s="142"/>
      <c r="J220" s="3"/>
      <c r="K220" s="3"/>
      <c r="L220" s="199"/>
      <c r="Q220" s="69"/>
    </row>
    <row r="221">
      <c r="A221" s="3"/>
      <c r="C221" s="207"/>
      <c r="E221" s="3"/>
      <c r="F221" s="3"/>
      <c r="G221" s="3"/>
      <c r="H221" s="207"/>
      <c r="I221" s="142"/>
      <c r="J221" s="3"/>
      <c r="K221" s="3"/>
      <c r="L221" s="199"/>
      <c r="Q221" s="69"/>
    </row>
    <row r="222">
      <c r="A222" s="3"/>
      <c r="C222" s="207"/>
      <c r="E222" s="3"/>
      <c r="F222" s="3"/>
      <c r="G222" s="3"/>
      <c r="H222" s="207"/>
      <c r="I222" s="142"/>
      <c r="J222" s="3"/>
      <c r="K222" s="3"/>
      <c r="L222" s="199"/>
      <c r="Q222" s="69"/>
    </row>
    <row r="223">
      <c r="A223" s="3"/>
      <c r="C223" s="207"/>
      <c r="E223" s="3"/>
      <c r="F223" s="3"/>
      <c r="G223" s="3"/>
      <c r="H223" s="207"/>
      <c r="I223" s="142"/>
      <c r="J223" s="3"/>
      <c r="K223" s="3"/>
      <c r="L223" s="199"/>
      <c r="Q223" s="69"/>
    </row>
    <row r="224">
      <c r="A224" s="3"/>
      <c r="C224" s="207"/>
      <c r="E224" s="3"/>
      <c r="F224" s="3"/>
      <c r="G224" s="3"/>
      <c r="H224" s="207"/>
      <c r="I224" s="142"/>
      <c r="J224" s="3"/>
      <c r="K224" s="3"/>
      <c r="L224" s="199"/>
      <c r="Q224" s="69"/>
    </row>
    <row r="225">
      <c r="A225" s="3"/>
      <c r="C225" s="207"/>
      <c r="E225" s="3"/>
      <c r="F225" s="3"/>
      <c r="G225" s="3"/>
      <c r="H225" s="207"/>
      <c r="I225" s="142"/>
      <c r="J225" s="3"/>
      <c r="K225" s="3"/>
      <c r="L225" s="199"/>
      <c r="Q225" s="69"/>
    </row>
    <row r="226">
      <c r="A226" s="3"/>
      <c r="C226" s="207"/>
      <c r="E226" s="3"/>
      <c r="F226" s="3"/>
      <c r="G226" s="3"/>
      <c r="H226" s="207"/>
      <c r="I226" s="142"/>
      <c r="J226" s="3"/>
      <c r="K226" s="3"/>
      <c r="L226" s="199"/>
      <c r="Q226" s="69"/>
    </row>
    <row r="227">
      <c r="A227" s="3"/>
      <c r="C227" s="207"/>
      <c r="E227" s="3"/>
      <c r="F227" s="3"/>
      <c r="G227" s="3"/>
      <c r="H227" s="207"/>
      <c r="I227" s="142"/>
      <c r="J227" s="3"/>
      <c r="K227" s="3"/>
      <c r="L227" s="199"/>
      <c r="Q227" s="69"/>
    </row>
    <row r="228">
      <c r="A228" s="3"/>
      <c r="C228" s="207"/>
      <c r="E228" s="3"/>
      <c r="F228" s="3"/>
      <c r="G228" s="3"/>
      <c r="H228" s="207"/>
      <c r="I228" s="142"/>
      <c r="J228" s="3"/>
      <c r="K228" s="3"/>
      <c r="L228" s="199"/>
      <c r="Q228" s="69"/>
    </row>
    <row r="229">
      <c r="A229" s="3"/>
      <c r="C229" s="207"/>
      <c r="E229" s="3"/>
      <c r="F229" s="3"/>
      <c r="G229" s="3"/>
      <c r="H229" s="207"/>
      <c r="I229" s="142"/>
      <c r="J229" s="3"/>
      <c r="K229" s="3"/>
      <c r="L229" s="199"/>
      <c r="Q229" s="69"/>
    </row>
    <row r="230">
      <c r="A230" s="3"/>
      <c r="C230" s="207"/>
      <c r="E230" s="3"/>
      <c r="F230" s="3"/>
      <c r="G230" s="3"/>
      <c r="H230" s="207"/>
      <c r="I230" s="142"/>
      <c r="J230" s="3"/>
      <c r="K230" s="3"/>
      <c r="L230" s="199"/>
      <c r="Q230" s="69"/>
    </row>
    <row r="231">
      <c r="A231" s="3"/>
      <c r="C231" s="207"/>
      <c r="E231" s="3"/>
      <c r="F231" s="3"/>
      <c r="G231" s="3"/>
      <c r="H231" s="207"/>
      <c r="I231" s="142"/>
      <c r="J231" s="3"/>
      <c r="K231" s="3"/>
      <c r="L231" s="199"/>
      <c r="Q231" s="69"/>
    </row>
    <row r="232">
      <c r="A232" s="3"/>
      <c r="C232" s="207"/>
      <c r="E232" s="3"/>
      <c r="F232" s="3"/>
      <c r="G232" s="3"/>
      <c r="H232" s="207"/>
      <c r="I232" s="142"/>
      <c r="J232" s="3"/>
      <c r="K232" s="3"/>
      <c r="L232" s="199"/>
      <c r="Q232" s="69"/>
    </row>
    <row r="233">
      <c r="A233" s="3"/>
      <c r="C233" s="207"/>
      <c r="E233" s="3"/>
      <c r="F233" s="3"/>
      <c r="G233" s="3"/>
      <c r="H233" s="207"/>
      <c r="I233" s="142"/>
      <c r="J233" s="3"/>
      <c r="K233" s="3"/>
      <c r="L233" s="199"/>
      <c r="Q233" s="69"/>
    </row>
    <row r="234">
      <c r="A234" s="3"/>
      <c r="C234" s="207"/>
      <c r="E234" s="3"/>
      <c r="F234" s="3"/>
      <c r="G234" s="3"/>
      <c r="H234" s="207"/>
      <c r="I234" s="142"/>
      <c r="J234" s="3"/>
      <c r="K234" s="3"/>
      <c r="L234" s="199"/>
      <c r="Q234" s="69"/>
    </row>
    <row r="235">
      <c r="A235" s="3"/>
      <c r="C235" s="207"/>
      <c r="E235" s="3"/>
      <c r="F235" s="3"/>
      <c r="G235" s="3"/>
      <c r="H235" s="207"/>
      <c r="I235" s="142"/>
      <c r="J235" s="3"/>
      <c r="K235" s="3"/>
      <c r="L235" s="199"/>
      <c r="Q235" s="69"/>
    </row>
    <row r="236">
      <c r="A236" s="3"/>
      <c r="C236" s="207"/>
      <c r="E236" s="3"/>
      <c r="F236" s="3"/>
      <c r="G236" s="3"/>
      <c r="H236" s="207"/>
      <c r="I236" s="142"/>
      <c r="J236" s="3"/>
      <c r="K236" s="3"/>
      <c r="L236" s="199"/>
      <c r="Q236" s="69"/>
    </row>
    <row r="237">
      <c r="A237" s="3"/>
      <c r="C237" s="207"/>
      <c r="E237" s="3"/>
      <c r="F237" s="3"/>
      <c r="G237" s="3"/>
      <c r="H237" s="207"/>
      <c r="I237" s="142"/>
      <c r="J237" s="3"/>
      <c r="K237" s="3"/>
      <c r="L237" s="199"/>
      <c r="Q237" s="69"/>
    </row>
    <row r="238">
      <c r="A238" s="3"/>
      <c r="C238" s="207"/>
      <c r="E238" s="3"/>
      <c r="F238" s="3"/>
      <c r="G238" s="3"/>
      <c r="H238" s="207"/>
      <c r="I238" s="142"/>
      <c r="J238" s="3"/>
      <c r="K238" s="3"/>
      <c r="L238" s="199"/>
      <c r="Q238" s="69"/>
    </row>
    <row r="239">
      <c r="A239" s="3"/>
      <c r="C239" s="207"/>
      <c r="E239" s="3"/>
      <c r="F239" s="3"/>
      <c r="G239" s="3"/>
      <c r="H239" s="207"/>
      <c r="I239" s="142"/>
      <c r="J239" s="3"/>
      <c r="K239" s="3"/>
      <c r="L239" s="199"/>
      <c r="Q239" s="69"/>
    </row>
    <row r="240">
      <c r="A240" s="3"/>
      <c r="C240" s="207"/>
      <c r="E240" s="3"/>
      <c r="F240" s="3"/>
      <c r="G240" s="3"/>
      <c r="H240" s="207"/>
      <c r="I240" s="142"/>
      <c r="J240" s="3"/>
      <c r="K240" s="3"/>
      <c r="L240" s="199"/>
      <c r="Q240" s="69"/>
    </row>
    <row r="241">
      <c r="A241" s="3"/>
      <c r="C241" s="207"/>
      <c r="E241" s="3"/>
      <c r="F241" s="3"/>
      <c r="G241" s="3"/>
      <c r="H241" s="207"/>
      <c r="I241" s="142"/>
      <c r="J241" s="3"/>
      <c r="K241" s="3"/>
      <c r="L241" s="199"/>
      <c r="Q241" s="69"/>
    </row>
    <row r="242">
      <c r="A242" s="3"/>
      <c r="C242" s="207"/>
      <c r="E242" s="3"/>
      <c r="F242" s="3"/>
      <c r="G242" s="3"/>
      <c r="H242" s="207"/>
      <c r="I242" s="142"/>
      <c r="J242" s="3"/>
      <c r="K242" s="3"/>
      <c r="L242" s="199"/>
      <c r="Q242" s="69"/>
    </row>
    <row r="243">
      <c r="A243" s="3"/>
      <c r="C243" s="207"/>
      <c r="E243" s="3"/>
      <c r="F243" s="3"/>
      <c r="G243" s="3"/>
      <c r="H243" s="207"/>
      <c r="I243" s="142"/>
      <c r="J243" s="3"/>
      <c r="K243" s="3"/>
      <c r="L243" s="199"/>
      <c r="Q243" s="69"/>
    </row>
    <row r="244">
      <c r="A244" s="3"/>
      <c r="C244" s="207"/>
      <c r="E244" s="3"/>
      <c r="F244" s="3"/>
      <c r="G244" s="3"/>
      <c r="H244" s="207"/>
      <c r="I244" s="142"/>
      <c r="J244" s="3"/>
      <c r="K244" s="3"/>
      <c r="L244" s="199"/>
      <c r="Q244" s="69"/>
    </row>
    <row r="245">
      <c r="A245" s="3"/>
      <c r="C245" s="207"/>
      <c r="E245" s="3"/>
      <c r="F245" s="3"/>
      <c r="G245" s="3"/>
      <c r="H245" s="207"/>
      <c r="I245" s="142"/>
      <c r="J245" s="3"/>
      <c r="K245" s="3"/>
      <c r="L245" s="199"/>
      <c r="Q245" s="69"/>
    </row>
    <row r="246">
      <c r="A246" s="3"/>
      <c r="C246" s="207"/>
      <c r="E246" s="3"/>
      <c r="F246" s="3"/>
      <c r="G246" s="3"/>
      <c r="H246" s="207"/>
      <c r="I246" s="142"/>
      <c r="J246" s="3"/>
      <c r="K246" s="3"/>
      <c r="L246" s="199"/>
      <c r="Q246" s="69"/>
    </row>
    <row r="247">
      <c r="A247" s="3"/>
      <c r="C247" s="207"/>
      <c r="E247" s="3"/>
      <c r="F247" s="3"/>
      <c r="G247" s="3"/>
      <c r="H247" s="207"/>
      <c r="I247" s="142"/>
      <c r="J247" s="3"/>
      <c r="K247" s="3"/>
      <c r="L247" s="199"/>
      <c r="Q247" s="69"/>
    </row>
    <row r="248">
      <c r="A248" s="3"/>
      <c r="C248" s="207"/>
      <c r="E248" s="3"/>
      <c r="F248" s="3"/>
      <c r="G248" s="3"/>
      <c r="H248" s="207"/>
      <c r="I248" s="142"/>
      <c r="J248" s="3"/>
      <c r="K248" s="3"/>
      <c r="L248" s="199"/>
      <c r="Q248" s="69"/>
    </row>
    <row r="249">
      <c r="A249" s="3"/>
      <c r="C249" s="207"/>
      <c r="E249" s="3"/>
      <c r="F249" s="3"/>
      <c r="G249" s="3"/>
      <c r="H249" s="207"/>
      <c r="I249" s="142"/>
      <c r="J249" s="3"/>
      <c r="K249" s="3"/>
      <c r="L249" s="199"/>
      <c r="Q249" s="69"/>
    </row>
    <row r="250">
      <c r="A250" s="3"/>
      <c r="C250" s="207"/>
      <c r="E250" s="3"/>
      <c r="F250" s="3"/>
      <c r="G250" s="3"/>
      <c r="H250" s="207"/>
      <c r="I250" s="142"/>
      <c r="J250" s="3"/>
      <c r="K250" s="3"/>
      <c r="L250" s="199"/>
      <c r="Q250" s="69"/>
    </row>
    <row r="251">
      <c r="A251" s="3"/>
      <c r="C251" s="207"/>
      <c r="E251" s="3"/>
      <c r="F251" s="3"/>
      <c r="G251" s="3"/>
      <c r="H251" s="207"/>
      <c r="I251" s="142"/>
      <c r="J251" s="3"/>
      <c r="K251" s="3"/>
      <c r="L251" s="199"/>
      <c r="Q251" s="69"/>
    </row>
    <row r="252">
      <c r="A252" s="3"/>
      <c r="C252" s="207"/>
      <c r="E252" s="3"/>
      <c r="F252" s="3"/>
      <c r="G252" s="3"/>
      <c r="H252" s="207"/>
      <c r="I252" s="142"/>
      <c r="J252" s="3"/>
      <c r="K252" s="3"/>
      <c r="L252" s="199"/>
      <c r="Q252" s="69"/>
    </row>
    <row r="253">
      <c r="A253" s="3"/>
      <c r="C253" s="207"/>
      <c r="E253" s="3"/>
      <c r="F253" s="3"/>
      <c r="G253" s="3"/>
      <c r="H253" s="207"/>
      <c r="I253" s="142"/>
      <c r="J253" s="3"/>
      <c r="K253" s="3"/>
      <c r="L253" s="199"/>
      <c r="Q253" s="69"/>
    </row>
    <row r="254">
      <c r="A254" s="3"/>
      <c r="C254" s="207"/>
      <c r="E254" s="3"/>
      <c r="F254" s="3"/>
      <c r="G254" s="3"/>
      <c r="H254" s="207"/>
      <c r="I254" s="142"/>
      <c r="J254" s="3"/>
      <c r="K254" s="3"/>
      <c r="L254" s="199"/>
      <c r="Q254" s="69"/>
    </row>
    <row r="255">
      <c r="A255" s="3"/>
      <c r="C255" s="207"/>
      <c r="E255" s="3"/>
      <c r="F255" s="3"/>
      <c r="G255" s="3"/>
      <c r="H255" s="207"/>
      <c r="I255" s="142"/>
      <c r="J255" s="3"/>
      <c r="K255" s="3"/>
      <c r="L255" s="199"/>
      <c r="Q255" s="69"/>
    </row>
    <row r="256">
      <c r="A256" s="3"/>
      <c r="C256" s="207"/>
      <c r="E256" s="3"/>
      <c r="F256" s="3"/>
      <c r="G256" s="3"/>
      <c r="H256" s="207"/>
      <c r="I256" s="142"/>
      <c r="J256" s="3"/>
      <c r="K256" s="3"/>
      <c r="L256" s="199"/>
      <c r="Q256" s="69"/>
    </row>
    <row r="257">
      <c r="A257" s="3"/>
      <c r="C257" s="207"/>
      <c r="E257" s="3"/>
      <c r="F257" s="3"/>
      <c r="G257" s="3"/>
      <c r="H257" s="207"/>
      <c r="I257" s="142"/>
      <c r="J257" s="3"/>
      <c r="K257" s="3"/>
      <c r="L257" s="199"/>
      <c r="Q257" s="69"/>
    </row>
    <row r="258">
      <c r="A258" s="3"/>
      <c r="C258" s="207"/>
      <c r="E258" s="3"/>
      <c r="F258" s="3"/>
      <c r="G258" s="3"/>
      <c r="H258" s="207"/>
      <c r="I258" s="142"/>
      <c r="J258" s="3"/>
      <c r="K258" s="3"/>
      <c r="L258" s="199"/>
      <c r="Q258" s="69"/>
    </row>
    <row r="259">
      <c r="A259" s="3"/>
      <c r="C259" s="207"/>
      <c r="E259" s="3"/>
      <c r="F259" s="3"/>
      <c r="G259" s="3"/>
      <c r="H259" s="207"/>
      <c r="I259" s="142"/>
      <c r="J259" s="3"/>
      <c r="K259" s="3"/>
      <c r="L259" s="199"/>
      <c r="Q259" s="69"/>
    </row>
    <row r="260">
      <c r="A260" s="3"/>
      <c r="C260" s="207"/>
      <c r="E260" s="3"/>
      <c r="F260" s="3"/>
      <c r="G260" s="3"/>
      <c r="H260" s="207"/>
      <c r="I260" s="142"/>
      <c r="J260" s="3"/>
      <c r="K260" s="3"/>
      <c r="L260" s="199"/>
      <c r="Q260" s="69"/>
    </row>
    <row r="261">
      <c r="A261" s="3"/>
      <c r="C261" s="207"/>
      <c r="E261" s="3"/>
      <c r="F261" s="3"/>
      <c r="G261" s="3"/>
      <c r="H261" s="207"/>
      <c r="I261" s="142"/>
      <c r="J261" s="3"/>
      <c r="K261" s="3"/>
      <c r="L261" s="199"/>
      <c r="Q261" s="69"/>
    </row>
    <row r="262">
      <c r="A262" s="3"/>
      <c r="C262" s="207"/>
      <c r="E262" s="3"/>
      <c r="F262" s="3"/>
      <c r="G262" s="3"/>
      <c r="H262" s="207"/>
      <c r="I262" s="142"/>
      <c r="J262" s="3"/>
      <c r="K262" s="3"/>
      <c r="L262" s="199"/>
      <c r="Q262" s="69"/>
    </row>
    <row r="263">
      <c r="A263" s="3"/>
      <c r="C263" s="207"/>
      <c r="E263" s="3"/>
      <c r="F263" s="3"/>
      <c r="G263" s="3"/>
      <c r="H263" s="207"/>
      <c r="I263" s="142"/>
      <c r="J263" s="3"/>
      <c r="K263" s="3"/>
      <c r="L263" s="199"/>
      <c r="Q263" s="69"/>
    </row>
    <row r="264">
      <c r="A264" s="3"/>
      <c r="C264" s="207"/>
      <c r="E264" s="3"/>
      <c r="F264" s="3"/>
      <c r="G264" s="3"/>
      <c r="H264" s="207"/>
      <c r="I264" s="142"/>
      <c r="J264" s="3"/>
      <c r="K264" s="3"/>
      <c r="L264" s="199"/>
      <c r="Q264" s="69"/>
    </row>
    <row r="265">
      <c r="A265" s="3"/>
      <c r="C265" s="207"/>
      <c r="E265" s="3"/>
      <c r="F265" s="3"/>
      <c r="G265" s="3"/>
      <c r="H265" s="207"/>
      <c r="I265" s="142"/>
      <c r="J265" s="3"/>
      <c r="K265" s="3"/>
      <c r="L265" s="199"/>
      <c r="Q265" s="69"/>
    </row>
    <row r="266">
      <c r="A266" s="3"/>
      <c r="C266" s="207"/>
      <c r="E266" s="3"/>
      <c r="F266" s="3"/>
      <c r="G266" s="3"/>
      <c r="H266" s="207"/>
      <c r="I266" s="142"/>
      <c r="J266" s="3"/>
      <c r="K266" s="3"/>
      <c r="L266" s="199"/>
      <c r="Q266" s="69"/>
    </row>
    <row r="267">
      <c r="A267" s="3"/>
      <c r="C267" s="207"/>
      <c r="E267" s="3"/>
      <c r="F267" s="3"/>
      <c r="G267" s="3"/>
      <c r="H267" s="207"/>
      <c r="I267" s="142"/>
      <c r="J267" s="3"/>
      <c r="K267" s="3"/>
      <c r="L267" s="199"/>
      <c r="Q267" s="69"/>
    </row>
    <row r="268">
      <c r="A268" s="3"/>
      <c r="C268" s="207"/>
      <c r="E268" s="3"/>
      <c r="F268" s="3"/>
      <c r="G268" s="3"/>
      <c r="H268" s="207"/>
      <c r="I268" s="142"/>
      <c r="J268" s="3"/>
      <c r="K268" s="3"/>
      <c r="L268" s="199"/>
      <c r="Q268" s="69"/>
    </row>
    <row r="269">
      <c r="A269" s="3"/>
      <c r="C269" s="207"/>
      <c r="E269" s="3"/>
      <c r="F269" s="3"/>
      <c r="G269" s="3"/>
      <c r="H269" s="207"/>
      <c r="I269" s="142"/>
      <c r="J269" s="3"/>
      <c r="K269" s="3"/>
      <c r="L269" s="199"/>
      <c r="Q269" s="69"/>
    </row>
    <row r="270">
      <c r="A270" s="3"/>
      <c r="C270" s="207"/>
      <c r="E270" s="3"/>
      <c r="F270" s="3"/>
      <c r="G270" s="3"/>
      <c r="H270" s="207"/>
      <c r="I270" s="142"/>
      <c r="J270" s="3"/>
      <c r="K270" s="3"/>
      <c r="L270" s="199"/>
      <c r="Q270" s="69"/>
    </row>
    <row r="271">
      <c r="A271" s="3"/>
      <c r="C271" s="207"/>
      <c r="E271" s="3"/>
      <c r="F271" s="3"/>
      <c r="G271" s="3"/>
      <c r="H271" s="207"/>
      <c r="I271" s="142"/>
      <c r="J271" s="3"/>
      <c r="K271" s="3"/>
      <c r="L271" s="199"/>
      <c r="Q271" s="69"/>
    </row>
    <row r="272">
      <c r="A272" s="3"/>
      <c r="C272" s="207"/>
      <c r="E272" s="3"/>
      <c r="F272" s="3"/>
      <c r="G272" s="3"/>
      <c r="H272" s="207"/>
      <c r="I272" s="142"/>
      <c r="J272" s="3"/>
      <c r="K272" s="3"/>
      <c r="L272" s="199"/>
      <c r="Q272" s="69"/>
    </row>
    <row r="273">
      <c r="A273" s="3"/>
      <c r="C273" s="207"/>
      <c r="E273" s="3"/>
      <c r="F273" s="3"/>
      <c r="G273" s="3"/>
      <c r="H273" s="207"/>
      <c r="I273" s="142"/>
      <c r="J273" s="3"/>
      <c r="K273" s="3"/>
      <c r="L273" s="199"/>
      <c r="Q273" s="69"/>
    </row>
    <row r="274">
      <c r="A274" s="3"/>
      <c r="C274" s="207"/>
      <c r="E274" s="3"/>
      <c r="F274" s="3"/>
      <c r="G274" s="3"/>
      <c r="H274" s="207"/>
      <c r="I274" s="142"/>
      <c r="J274" s="3"/>
      <c r="K274" s="3"/>
      <c r="L274" s="199"/>
      <c r="Q274" s="69"/>
    </row>
    <row r="275">
      <c r="A275" s="3"/>
      <c r="C275" s="207"/>
      <c r="E275" s="3"/>
      <c r="F275" s="3"/>
      <c r="G275" s="3"/>
      <c r="H275" s="207"/>
      <c r="I275" s="142"/>
      <c r="J275" s="3"/>
      <c r="K275" s="3"/>
      <c r="L275" s="199"/>
      <c r="Q275" s="69"/>
    </row>
    <row r="276">
      <c r="A276" s="3"/>
      <c r="C276" s="207"/>
      <c r="E276" s="3"/>
      <c r="F276" s="3"/>
      <c r="G276" s="3"/>
      <c r="H276" s="207"/>
      <c r="I276" s="142"/>
      <c r="J276" s="3"/>
      <c r="K276" s="3"/>
      <c r="L276" s="199"/>
      <c r="Q276" s="69"/>
    </row>
    <row r="277">
      <c r="A277" s="3"/>
      <c r="C277" s="207"/>
      <c r="E277" s="3"/>
      <c r="F277" s="3"/>
      <c r="G277" s="3"/>
      <c r="H277" s="207"/>
      <c r="I277" s="142"/>
      <c r="J277" s="3"/>
      <c r="K277" s="3"/>
      <c r="L277" s="199"/>
      <c r="Q277" s="69"/>
    </row>
    <row r="278">
      <c r="A278" s="3"/>
      <c r="C278" s="207"/>
      <c r="E278" s="3"/>
      <c r="F278" s="3"/>
      <c r="G278" s="3"/>
      <c r="H278" s="207"/>
      <c r="I278" s="142"/>
      <c r="J278" s="3"/>
      <c r="K278" s="3"/>
      <c r="L278" s="199"/>
      <c r="Q278" s="69"/>
    </row>
    <row r="279">
      <c r="A279" s="3"/>
      <c r="C279" s="207"/>
      <c r="E279" s="3"/>
      <c r="F279" s="3"/>
      <c r="G279" s="3"/>
      <c r="H279" s="207"/>
      <c r="I279" s="142"/>
      <c r="J279" s="3"/>
      <c r="K279" s="3"/>
      <c r="L279" s="199"/>
      <c r="Q279" s="69"/>
    </row>
    <row r="280">
      <c r="A280" s="3"/>
      <c r="C280" s="207"/>
      <c r="E280" s="3"/>
      <c r="F280" s="3"/>
      <c r="G280" s="3"/>
      <c r="H280" s="207"/>
      <c r="I280" s="142"/>
      <c r="J280" s="3"/>
      <c r="K280" s="3"/>
      <c r="L280" s="199"/>
      <c r="Q280" s="69"/>
    </row>
    <row r="281">
      <c r="A281" s="3"/>
      <c r="C281" s="207"/>
      <c r="E281" s="3"/>
      <c r="F281" s="3"/>
      <c r="G281" s="3"/>
      <c r="H281" s="207"/>
      <c r="I281" s="142"/>
      <c r="J281" s="3"/>
      <c r="K281" s="3"/>
      <c r="L281" s="199"/>
      <c r="Q281" s="69"/>
    </row>
    <row r="282">
      <c r="A282" s="3"/>
      <c r="C282" s="207"/>
      <c r="E282" s="3"/>
      <c r="F282" s="3"/>
      <c r="G282" s="3"/>
      <c r="H282" s="207"/>
      <c r="I282" s="142"/>
      <c r="J282" s="3"/>
      <c r="K282" s="3"/>
      <c r="L282" s="199"/>
      <c r="Q282" s="69"/>
    </row>
    <row r="283">
      <c r="A283" s="3"/>
      <c r="C283" s="207"/>
      <c r="E283" s="3"/>
      <c r="F283" s="3"/>
      <c r="G283" s="3"/>
      <c r="H283" s="207"/>
      <c r="I283" s="142"/>
      <c r="J283" s="3"/>
      <c r="K283" s="3"/>
      <c r="L283" s="199"/>
      <c r="Q283" s="69"/>
    </row>
    <row r="284">
      <c r="A284" s="3"/>
      <c r="C284" s="207"/>
      <c r="E284" s="3"/>
      <c r="F284" s="3"/>
      <c r="G284" s="3"/>
      <c r="H284" s="207"/>
      <c r="I284" s="142"/>
      <c r="J284" s="3"/>
      <c r="K284" s="3"/>
      <c r="L284" s="199"/>
      <c r="Q284" s="69"/>
    </row>
    <row r="285">
      <c r="A285" s="3"/>
      <c r="C285" s="207"/>
      <c r="E285" s="3"/>
      <c r="F285" s="3"/>
      <c r="G285" s="3"/>
      <c r="H285" s="207"/>
      <c r="I285" s="142"/>
      <c r="J285" s="3"/>
      <c r="K285" s="3"/>
      <c r="L285" s="199"/>
      <c r="Q285" s="69"/>
    </row>
    <row r="286">
      <c r="A286" s="3"/>
      <c r="C286" s="207"/>
      <c r="E286" s="3"/>
      <c r="F286" s="3"/>
      <c r="G286" s="3"/>
      <c r="H286" s="207"/>
      <c r="I286" s="142"/>
      <c r="J286" s="3"/>
      <c r="K286" s="3"/>
      <c r="L286" s="199"/>
      <c r="Q286" s="69"/>
    </row>
    <row r="287">
      <c r="A287" s="3"/>
      <c r="C287" s="207"/>
      <c r="E287" s="3"/>
      <c r="F287" s="3"/>
      <c r="G287" s="3"/>
      <c r="H287" s="207"/>
      <c r="I287" s="142"/>
      <c r="J287" s="3"/>
      <c r="K287" s="3"/>
      <c r="L287" s="199"/>
      <c r="Q287" s="69"/>
    </row>
    <row r="288">
      <c r="A288" s="3"/>
      <c r="C288" s="207"/>
      <c r="E288" s="3"/>
      <c r="F288" s="3"/>
      <c r="G288" s="3"/>
      <c r="H288" s="207"/>
      <c r="I288" s="142"/>
      <c r="J288" s="3"/>
      <c r="K288" s="3"/>
      <c r="L288" s="199"/>
      <c r="Q288" s="69"/>
    </row>
    <row r="289">
      <c r="A289" s="3"/>
      <c r="C289" s="207"/>
      <c r="E289" s="3"/>
      <c r="F289" s="3"/>
      <c r="G289" s="3"/>
      <c r="H289" s="207"/>
      <c r="I289" s="142"/>
      <c r="J289" s="3"/>
      <c r="K289" s="3"/>
      <c r="L289" s="199"/>
      <c r="Q289" s="69"/>
    </row>
    <row r="290">
      <c r="A290" s="3"/>
      <c r="C290" s="207"/>
      <c r="E290" s="3"/>
      <c r="F290" s="3"/>
      <c r="G290" s="3"/>
      <c r="H290" s="207"/>
      <c r="I290" s="142"/>
      <c r="J290" s="3"/>
      <c r="K290" s="3"/>
      <c r="L290" s="199"/>
      <c r="Q290" s="69"/>
    </row>
    <row r="291">
      <c r="A291" s="3"/>
      <c r="C291" s="207"/>
      <c r="E291" s="3"/>
      <c r="F291" s="3"/>
      <c r="G291" s="3"/>
      <c r="H291" s="207"/>
      <c r="I291" s="142"/>
      <c r="J291" s="3"/>
      <c r="K291" s="3"/>
      <c r="L291" s="199"/>
      <c r="Q291" s="69"/>
    </row>
    <row r="292">
      <c r="A292" s="3"/>
      <c r="C292" s="207"/>
      <c r="E292" s="3"/>
      <c r="F292" s="3"/>
      <c r="G292" s="3"/>
      <c r="H292" s="207"/>
      <c r="I292" s="142"/>
      <c r="J292" s="3"/>
      <c r="K292" s="3"/>
      <c r="L292" s="199"/>
      <c r="Q292" s="69"/>
    </row>
    <row r="293">
      <c r="A293" s="3"/>
      <c r="C293" s="207"/>
      <c r="E293" s="3"/>
      <c r="F293" s="3"/>
      <c r="G293" s="3"/>
      <c r="H293" s="207"/>
      <c r="I293" s="142"/>
      <c r="J293" s="3"/>
      <c r="K293" s="3"/>
      <c r="L293" s="199"/>
      <c r="Q293" s="69"/>
    </row>
    <row r="294">
      <c r="A294" s="3"/>
      <c r="C294" s="207"/>
      <c r="E294" s="3"/>
      <c r="F294" s="3"/>
      <c r="G294" s="3"/>
      <c r="H294" s="207"/>
      <c r="I294" s="142"/>
      <c r="J294" s="3"/>
      <c r="K294" s="3"/>
      <c r="L294" s="199"/>
      <c r="Q294" s="69"/>
    </row>
    <row r="295">
      <c r="A295" s="3"/>
      <c r="C295" s="207"/>
      <c r="E295" s="3"/>
      <c r="F295" s="3"/>
      <c r="G295" s="3"/>
      <c r="H295" s="207"/>
      <c r="I295" s="142"/>
      <c r="J295" s="3"/>
      <c r="K295" s="3"/>
      <c r="L295" s="199"/>
      <c r="Q295" s="69"/>
    </row>
    <row r="296">
      <c r="A296" s="3"/>
      <c r="C296" s="207"/>
      <c r="E296" s="3"/>
      <c r="F296" s="3"/>
      <c r="G296" s="3"/>
      <c r="H296" s="207"/>
      <c r="I296" s="142"/>
      <c r="J296" s="3"/>
      <c r="K296" s="3"/>
      <c r="L296" s="199"/>
      <c r="Q296" s="69"/>
    </row>
    <row r="297">
      <c r="A297" s="3"/>
      <c r="C297" s="207"/>
      <c r="E297" s="3"/>
      <c r="F297" s="3"/>
      <c r="G297" s="3"/>
      <c r="H297" s="207"/>
      <c r="I297" s="142"/>
      <c r="J297" s="3"/>
      <c r="K297" s="3"/>
      <c r="L297" s="199"/>
      <c r="Q297" s="69"/>
    </row>
    <row r="298">
      <c r="A298" s="3"/>
      <c r="C298" s="207"/>
      <c r="E298" s="3"/>
      <c r="F298" s="3"/>
      <c r="G298" s="3"/>
      <c r="H298" s="207"/>
      <c r="I298" s="142"/>
      <c r="J298" s="3"/>
      <c r="K298" s="3"/>
      <c r="L298" s="199"/>
      <c r="Q298" s="69"/>
    </row>
    <row r="299">
      <c r="A299" s="3"/>
      <c r="C299" s="207"/>
      <c r="E299" s="3"/>
      <c r="F299" s="3"/>
      <c r="G299" s="3"/>
      <c r="H299" s="207"/>
      <c r="I299" s="142"/>
      <c r="J299" s="3"/>
      <c r="K299" s="3"/>
      <c r="L299" s="199"/>
      <c r="Q299" s="69"/>
    </row>
    <row r="300">
      <c r="A300" s="3"/>
      <c r="C300" s="207"/>
      <c r="E300" s="3"/>
      <c r="F300" s="3"/>
      <c r="G300" s="3"/>
      <c r="H300" s="207"/>
      <c r="I300" s="142"/>
      <c r="J300" s="3"/>
      <c r="K300" s="3"/>
      <c r="L300" s="199"/>
      <c r="Q300" s="69"/>
    </row>
    <row r="301">
      <c r="A301" s="3"/>
      <c r="C301" s="207"/>
      <c r="E301" s="3"/>
      <c r="F301" s="3"/>
      <c r="G301" s="3"/>
      <c r="H301" s="207"/>
      <c r="I301" s="142"/>
      <c r="J301" s="3"/>
      <c r="K301" s="3"/>
      <c r="L301" s="199"/>
      <c r="Q301" s="69"/>
    </row>
    <row r="302">
      <c r="A302" s="3"/>
      <c r="C302" s="207"/>
      <c r="E302" s="3"/>
      <c r="F302" s="3"/>
      <c r="G302" s="3"/>
      <c r="H302" s="207"/>
      <c r="I302" s="142"/>
      <c r="J302" s="3"/>
      <c r="K302" s="3"/>
      <c r="L302" s="199"/>
      <c r="Q302" s="69"/>
    </row>
    <row r="303">
      <c r="A303" s="3"/>
      <c r="C303" s="207"/>
      <c r="E303" s="3"/>
      <c r="F303" s="3"/>
      <c r="G303" s="3"/>
      <c r="H303" s="207"/>
      <c r="I303" s="142"/>
      <c r="J303" s="3"/>
      <c r="K303" s="3"/>
      <c r="L303" s="199"/>
      <c r="Q303" s="69"/>
    </row>
    <row r="304">
      <c r="A304" s="3"/>
      <c r="C304" s="207"/>
      <c r="E304" s="3"/>
      <c r="F304" s="3"/>
      <c r="G304" s="3"/>
      <c r="H304" s="207"/>
      <c r="I304" s="142"/>
      <c r="J304" s="3"/>
      <c r="K304" s="3"/>
      <c r="L304" s="199"/>
      <c r="Q304" s="69"/>
    </row>
    <row r="305">
      <c r="A305" s="3"/>
      <c r="C305" s="207"/>
      <c r="E305" s="3"/>
      <c r="F305" s="3"/>
      <c r="G305" s="3"/>
      <c r="H305" s="207"/>
      <c r="I305" s="142"/>
      <c r="J305" s="3"/>
      <c r="K305" s="3"/>
      <c r="L305" s="199"/>
      <c r="Q305" s="69"/>
    </row>
    <row r="306">
      <c r="A306" s="3"/>
      <c r="C306" s="207"/>
      <c r="E306" s="3"/>
      <c r="F306" s="3"/>
      <c r="G306" s="3"/>
      <c r="H306" s="207"/>
      <c r="I306" s="142"/>
      <c r="J306" s="3"/>
      <c r="K306" s="3"/>
      <c r="L306" s="199"/>
      <c r="Q306" s="69"/>
    </row>
    <row r="307">
      <c r="A307" s="3"/>
      <c r="C307" s="207"/>
      <c r="E307" s="3"/>
      <c r="F307" s="3"/>
      <c r="G307" s="3"/>
      <c r="H307" s="207"/>
      <c r="I307" s="142"/>
      <c r="J307" s="3"/>
      <c r="K307" s="3"/>
      <c r="L307" s="199"/>
      <c r="Q307" s="69"/>
    </row>
    <row r="308">
      <c r="A308" s="3"/>
      <c r="C308" s="207"/>
      <c r="E308" s="3"/>
      <c r="F308" s="3"/>
      <c r="G308" s="3"/>
      <c r="H308" s="207"/>
      <c r="I308" s="142"/>
      <c r="J308" s="3"/>
      <c r="K308" s="3"/>
      <c r="L308" s="199"/>
      <c r="Q308" s="69"/>
    </row>
    <row r="309">
      <c r="A309" s="3"/>
      <c r="C309" s="207"/>
      <c r="E309" s="3"/>
      <c r="F309" s="3"/>
      <c r="G309" s="3"/>
      <c r="H309" s="207"/>
      <c r="I309" s="142"/>
      <c r="J309" s="3"/>
      <c r="K309" s="3"/>
      <c r="L309" s="199"/>
      <c r="Q309" s="69"/>
    </row>
    <row r="310">
      <c r="A310" s="3"/>
      <c r="C310" s="207"/>
      <c r="E310" s="3"/>
      <c r="F310" s="3"/>
      <c r="G310" s="3"/>
      <c r="H310" s="207"/>
      <c r="I310" s="142"/>
      <c r="J310" s="3"/>
      <c r="K310" s="3"/>
      <c r="L310" s="199"/>
      <c r="Q310" s="69"/>
    </row>
    <row r="311">
      <c r="A311" s="3"/>
      <c r="C311" s="207"/>
      <c r="E311" s="3"/>
      <c r="F311" s="3"/>
      <c r="G311" s="3"/>
      <c r="H311" s="207"/>
      <c r="I311" s="142"/>
      <c r="J311" s="3"/>
      <c r="K311" s="3"/>
      <c r="L311" s="199"/>
      <c r="Q311" s="69"/>
    </row>
    <row r="312">
      <c r="A312" s="3"/>
      <c r="C312" s="207"/>
      <c r="E312" s="3"/>
      <c r="F312" s="3"/>
      <c r="G312" s="3"/>
      <c r="H312" s="207"/>
      <c r="I312" s="142"/>
      <c r="J312" s="3"/>
      <c r="K312" s="3"/>
      <c r="L312" s="199"/>
      <c r="Q312" s="69"/>
    </row>
    <row r="313">
      <c r="A313" s="3"/>
      <c r="C313" s="207"/>
      <c r="E313" s="3"/>
      <c r="F313" s="3"/>
      <c r="G313" s="3"/>
      <c r="H313" s="207"/>
      <c r="I313" s="142"/>
      <c r="J313" s="3"/>
      <c r="K313" s="3"/>
      <c r="L313" s="199"/>
      <c r="Q313" s="69"/>
    </row>
    <row r="314">
      <c r="A314" s="3"/>
      <c r="C314" s="207"/>
      <c r="E314" s="3"/>
      <c r="F314" s="3"/>
      <c r="G314" s="3"/>
      <c r="H314" s="207"/>
      <c r="I314" s="142"/>
      <c r="J314" s="3"/>
      <c r="K314" s="3"/>
      <c r="L314" s="199"/>
      <c r="Q314" s="69"/>
    </row>
    <row r="315">
      <c r="A315" s="3"/>
      <c r="C315" s="207"/>
      <c r="E315" s="3"/>
      <c r="F315" s="3"/>
      <c r="G315" s="3"/>
      <c r="H315" s="207"/>
      <c r="I315" s="142"/>
      <c r="J315" s="3"/>
      <c r="K315" s="3"/>
      <c r="L315" s="199"/>
      <c r="Q315" s="69"/>
    </row>
    <row r="316">
      <c r="A316" s="3"/>
      <c r="C316" s="207"/>
      <c r="E316" s="3"/>
      <c r="F316" s="3"/>
      <c r="G316" s="3"/>
      <c r="H316" s="207"/>
      <c r="I316" s="142"/>
      <c r="J316" s="3"/>
      <c r="K316" s="3"/>
      <c r="L316" s="199"/>
      <c r="Q316" s="69"/>
    </row>
    <row r="317">
      <c r="A317" s="3"/>
      <c r="C317" s="207"/>
      <c r="E317" s="3"/>
      <c r="F317" s="3"/>
      <c r="G317" s="3"/>
      <c r="H317" s="207"/>
      <c r="I317" s="142"/>
      <c r="J317" s="3"/>
      <c r="K317" s="3"/>
      <c r="L317" s="199"/>
      <c r="Q317" s="69"/>
    </row>
    <row r="318">
      <c r="A318" s="3"/>
      <c r="C318" s="207"/>
      <c r="E318" s="3"/>
      <c r="F318" s="3"/>
      <c r="G318" s="3"/>
      <c r="H318" s="207"/>
      <c r="I318" s="142"/>
      <c r="J318" s="3"/>
      <c r="K318" s="3"/>
      <c r="L318" s="199"/>
      <c r="Q318" s="69"/>
    </row>
    <row r="319">
      <c r="A319" s="3"/>
      <c r="C319" s="207"/>
      <c r="E319" s="3"/>
      <c r="F319" s="3"/>
      <c r="G319" s="3"/>
      <c r="H319" s="207"/>
      <c r="I319" s="142"/>
      <c r="J319" s="3"/>
      <c r="K319" s="3"/>
      <c r="L319" s="199"/>
      <c r="Q319" s="69"/>
    </row>
    <row r="320">
      <c r="A320" s="3"/>
      <c r="C320" s="207"/>
      <c r="E320" s="3"/>
      <c r="F320" s="3"/>
      <c r="G320" s="3"/>
      <c r="H320" s="207"/>
      <c r="I320" s="142"/>
      <c r="J320" s="3"/>
      <c r="K320" s="3"/>
      <c r="L320" s="199"/>
      <c r="Q320" s="69"/>
    </row>
    <row r="321">
      <c r="A321" s="3"/>
      <c r="C321" s="207"/>
      <c r="E321" s="3"/>
      <c r="F321" s="3"/>
      <c r="G321" s="3"/>
      <c r="H321" s="207"/>
      <c r="I321" s="142"/>
      <c r="J321" s="3"/>
      <c r="K321" s="3"/>
      <c r="L321" s="199"/>
      <c r="Q321" s="69"/>
    </row>
    <row r="322">
      <c r="A322" s="3"/>
      <c r="C322" s="207"/>
      <c r="E322" s="3"/>
      <c r="F322" s="3"/>
      <c r="G322" s="3"/>
      <c r="H322" s="207"/>
      <c r="I322" s="142"/>
      <c r="J322" s="3"/>
      <c r="K322" s="3"/>
      <c r="L322" s="199"/>
      <c r="Q322" s="69"/>
    </row>
    <row r="323">
      <c r="A323" s="3"/>
      <c r="C323" s="207"/>
      <c r="E323" s="3"/>
      <c r="F323" s="3"/>
      <c r="G323" s="3"/>
      <c r="H323" s="207"/>
      <c r="I323" s="142"/>
      <c r="J323" s="3"/>
      <c r="K323" s="3"/>
      <c r="L323" s="199"/>
      <c r="Q323" s="69"/>
    </row>
    <row r="324">
      <c r="A324" s="3"/>
      <c r="C324" s="207"/>
      <c r="E324" s="3"/>
      <c r="F324" s="3"/>
      <c r="G324" s="3"/>
      <c r="H324" s="207"/>
      <c r="I324" s="142"/>
      <c r="J324" s="3"/>
      <c r="K324" s="3"/>
      <c r="L324" s="199"/>
      <c r="Q324" s="69"/>
    </row>
    <row r="325">
      <c r="A325" s="3"/>
      <c r="C325" s="207"/>
      <c r="E325" s="3"/>
      <c r="F325" s="3"/>
      <c r="G325" s="3"/>
      <c r="H325" s="207"/>
      <c r="I325" s="142"/>
      <c r="J325" s="3"/>
      <c r="K325" s="3"/>
      <c r="L325" s="199"/>
      <c r="Q325" s="69"/>
    </row>
    <row r="326">
      <c r="A326" s="3"/>
      <c r="C326" s="207"/>
      <c r="E326" s="3"/>
      <c r="F326" s="3"/>
      <c r="G326" s="3"/>
      <c r="H326" s="207"/>
      <c r="I326" s="142"/>
      <c r="J326" s="3"/>
      <c r="K326" s="3"/>
      <c r="L326" s="199"/>
      <c r="Q326" s="69"/>
    </row>
    <row r="327">
      <c r="A327" s="3"/>
      <c r="C327" s="207"/>
      <c r="E327" s="3"/>
      <c r="F327" s="3"/>
      <c r="G327" s="3"/>
      <c r="H327" s="207"/>
      <c r="I327" s="142"/>
      <c r="J327" s="3"/>
      <c r="K327" s="3"/>
      <c r="L327" s="199"/>
      <c r="Q327" s="69"/>
    </row>
    <row r="328">
      <c r="A328" s="3"/>
      <c r="C328" s="207"/>
      <c r="E328" s="3"/>
      <c r="F328" s="3"/>
      <c r="G328" s="3"/>
      <c r="H328" s="207"/>
      <c r="I328" s="142"/>
      <c r="J328" s="3"/>
      <c r="K328" s="3"/>
      <c r="L328" s="199"/>
      <c r="Q328" s="69"/>
    </row>
    <row r="329">
      <c r="A329" s="3"/>
      <c r="C329" s="207"/>
      <c r="E329" s="3"/>
      <c r="F329" s="3"/>
      <c r="G329" s="3"/>
      <c r="H329" s="207"/>
      <c r="I329" s="142"/>
      <c r="J329" s="3"/>
      <c r="K329" s="3"/>
      <c r="L329" s="199"/>
      <c r="Q329" s="69"/>
    </row>
    <row r="330">
      <c r="A330" s="3"/>
      <c r="C330" s="207"/>
      <c r="E330" s="3"/>
      <c r="F330" s="3"/>
      <c r="G330" s="3"/>
      <c r="H330" s="207"/>
      <c r="I330" s="142"/>
      <c r="J330" s="3"/>
      <c r="K330" s="3"/>
      <c r="L330" s="199"/>
      <c r="Q330" s="69"/>
    </row>
    <row r="331">
      <c r="A331" s="3"/>
      <c r="C331" s="207"/>
      <c r="E331" s="3"/>
      <c r="F331" s="3"/>
      <c r="G331" s="3"/>
      <c r="H331" s="207"/>
      <c r="I331" s="142"/>
      <c r="J331" s="3"/>
      <c r="K331" s="3"/>
      <c r="L331" s="199"/>
      <c r="Q331" s="69"/>
    </row>
    <row r="332">
      <c r="A332" s="3"/>
      <c r="C332" s="207"/>
      <c r="E332" s="3"/>
      <c r="F332" s="3"/>
      <c r="G332" s="3"/>
      <c r="H332" s="207"/>
      <c r="I332" s="142"/>
      <c r="J332" s="3"/>
      <c r="K332" s="3"/>
      <c r="L332" s="199"/>
      <c r="Q332" s="69"/>
    </row>
    <row r="333">
      <c r="A333" s="3"/>
      <c r="C333" s="207"/>
      <c r="E333" s="3"/>
      <c r="F333" s="3"/>
      <c r="G333" s="3"/>
      <c r="H333" s="207"/>
      <c r="I333" s="142"/>
      <c r="J333" s="3"/>
      <c r="K333" s="3"/>
      <c r="L333" s="199"/>
      <c r="Q333" s="69"/>
    </row>
    <row r="334">
      <c r="A334" s="3"/>
      <c r="C334" s="207"/>
      <c r="E334" s="3"/>
      <c r="F334" s="3"/>
      <c r="G334" s="3"/>
      <c r="H334" s="207"/>
      <c r="I334" s="142"/>
      <c r="J334" s="3"/>
      <c r="K334" s="3"/>
      <c r="L334" s="199"/>
      <c r="Q334" s="69"/>
    </row>
    <row r="335">
      <c r="A335" s="3"/>
      <c r="C335" s="207"/>
      <c r="E335" s="3"/>
      <c r="F335" s="3"/>
      <c r="G335" s="3"/>
      <c r="H335" s="207"/>
      <c r="I335" s="142"/>
      <c r="J335" s="3"/>
      <c r="K335" s="3"/>
      <c r="L335" s="199"/>
      <c r="Q335" s="69"/>
    </row>
    <row r="336">
      <c r="A336" s="3"/>
      <c r="C336" s="207"/>
      <c r="E336" s="3"/>
      <c r="F336" s="3"/>
      <c r="G336" s="3"/>
      <c r="H336" s="207"/>
      <c r="I336" s="142"/>
      <c r="J336" s="3"/>
      <c r="K336" s="3"/>
      <c r="L336" s="199"/>
      <c r="Q336" s="69"/>
    </row>
    <row r="337">
      <c r="A337" s="3"/>
      <c r="C337" s="207"/>
      <c r="E337" s="3"/>
      <c r="F337" s="3"/>
      <c r="G337" s="3"/>
      <c r="H337" s="207"/>
      <c r="I337" s="142"/>
      <c r="J337" s="3"/>
      <c r="K337" s="3"/>
      <c r="L337" s="199"/>
      <c r="Q337" s="69"/>
    </row>
    <row r="338">
      <c r="A338" s="3"/>
      <c r="C338" s="207"/>
      <c r="E338" s="3"/>
      <c r="F338" s="3"/>
      <c r="G338" s="3"/>
      <c r="H338" s="207"/>
      <c r="I338" s="142"/>
      <c r="J338" s="3"/>
      <c r="K338" s="3"/>
      <c r="L338" s="199"/>
      <c r="Q338" s="69"/>
    </row>
    <row r="339">
      <c r="A339" s="3"/>
      <c r="C339" s="207"/>
      <c r="E339" s="3"/>
      <c r="F339" s="3"/>
      <c r="G339" s="3"/>
      <c r="H339" s="207"/>
      <c r="I339" s="142"/>
      <c r="J339" s="3"/>
      <c r="K339" s="3"/>
      <c r="L339" s="199"/>
      <c r="Q339" s="69"/>
    </row>
    <row r="340">
      <c r="A340" s="3"/>
      <c r="C340" s="207"/>
      <c r="E340" s="3"/>
      <c r="F340" s="3"/>
      <c r="G340" s="3"/>
      <c r="H340" s="207"/>
      <c r="I340" s="142"/>
      <c r="J340" s="3"/>
      <c r="K340" s="3"/>
      <c r="L340" s="199"/>
      <c r="Q340" s="69"/>
    </row>
    <row r="341">
      <c r="A341" s="3"/>
      <c r="C341" s="207"/>
      <c r="E341" s="3"/>
      <c r="F341" s="3"/>
      <c r="G341" s="3"/>
      <c r="H341" s="207"/>
      <c r="I341" s="142"/>
      <c r="J341" s="3"/>
      <c r="K341" s="3"/>
      <c r="L341" s="199"/>
      <c r="Q341" s="69"/>
    </row>
    <row r="342">
      <c r="A342" s="3"/>
      <c r="C342" s="207"/>
      <c r="E342" s="3"/>
      <c r="F342" s="3"/>
      <c r="G342" s="3"/>
      <c r="H342" s="207"/>
      <c r="I342" s="142"/>
      <c r="J342" s="3"/>
      <c r="K342" s="3"/>
      <c r="L342" s="199"/>
      <c r="Q342" s="69"/>
    </row>
    <row r="343">
      <c r="A343" s="3"/>
      <c r="C343" s="207"/>
      <c r="E343" s="3"/>
      <c r="F343" s="3"/>
      <c r="G343" s="3"/>
      <c r="H343" s="207"/>
      <c r="I343" s="142"/>
      <c r="J343" s="3"/>
      <c r="K343" s="3"/>
      <c r="L343" s="199"/>
      <c r="Q343" s="69"/>
    </row>
    <row r="344">
      <c r="A344" s="3"/>
      <c r="C344" s="207"/>
      <c r="E344" s="3"/>
      <c r="F344" s="3"/>
      <c r="G344" s="3"/>
      <c r="H344" s="207"/>
      <c r="I344" s="142"/>
      <c r="J344" s="3"/>
      <c r="K344" s="3"/>
      <c r="L344" s="199"/>
      <c r="Q344" s="69"/>
    </row>
    <row r="345">
      <c r="A345" s="3"/>
      <c r="C345" s="207"/>
      <c r="E345" s="3"/>
      <c r="F345" s="3"/>
      <c r="G345" s="3"/>
      <c r="H345" s="207"/>
      <c r="I345" s="142"/>
      <c r="J345" s="3"/>
      <c r="K345" s="3"/>
      <c r="L345" s="199"/>
      <c r="Q345" s="69"/>
    </row>
    <row r="346">
      <c r="A346" s="3"/>
      <c r="C346" s="207"/>
      <c r="E346" s="3"/>
      <c r="F346" s="3"/>
      <c r="G346" s="3"/>
      <c r="H346" s="207"/>
      <c r="I346" s="142"/>
      <c r="J346" s="3"/>
      <c r="K346" s="3"/>
      <c r="L346" s="199"/>
      <c r="Q346" s="69"/>
    </row>
    <row r="347">
      <c r="A347" s="3"/>
      <c r="C347" s="207"/>
      <c r="E347" s="3"/>
      <c r="F347" s="3"/>
      <c r="G347" s="3"/>
      <c r="H347" s="207"/>
      <c r="I347" s="142"/>
      <c r="J347" s="3"/>
      <c r="K347" s="3"/>
      <c r="L347" s="199"/>
      <c r="Q347" s="69"/>
    </row>
    <row r="348">
      <c r="A348" s="3"/>
      <c r="C348" s="207"/>
      <c r="E348" s="3"/>
      <c r="F348" s="3"/>
      <c r="G348" s="3"/>
      <c r="H348" s="207"/>
      <c r="I348" s="142"/>
      <c r="J348" s="3"/>
      <c r="K348" s="3"/>
      <c r="L348" s="199"/>
      <c r="Q348" s="69"/>
    </row>
    <row r="349">
      <c r="A349" s="3"/>
      <c r="C349" s="207"/>
      <c r="E349" s="3"/>
      <c r="F349" s="3"/>
      <c r="G349" s="3"/>
      <c r="H349" s="207"/>
      <c r="I349" s="142"/>
      <c r="J349" s="3"/>
      <c r="K349" s="3"/>
      <c r="L349" s="199"/>
      <c r="Q349" s="69"/>
    </row>
    <row r="350">
      <c r="A350" s="3"/>
      <c r="C350" s="207"/>
      <c r="E350" s="3"/>
      <c r="F350" s="3"/>
      <c r="G350" s="3"/>
      <c r="H350" s="207"/>
      <c r="I350" s="142"/>
      <c r="J350" s="3"/>
      <c r="K350" s="3"/>
      <c r="L350" s="199"/>
      <c r="Q350" s="69"/>
    </row>
    <row r="351">
      <c r="A351" s="3"/>
      <c r="C351" s="207"/>
      <c r="E351" s="3"/>
      <c r="F351" s="3"/>
      <c r="G351" s="3"/>
      <c r="H351" s="207"/>
      <c r="I351" s="142"/>
      <c r="J351" s="3"/>
      <c r="K351" s="3"/>
      <c r="L351" s="199"/>
      <c r="Q351" s="69"/>
    </row>
    <row r="352">
      <c r="A352" s="3"/>
      <c r="C352" s="207"/>
      <c r="E352" s="3"/>
      <c r="F352" s="3"/>
      <c r="G352" s="3"/>
      <c r="H352" s="207"/>
      <c r="I352" s="142"/>
      <c r="J352" s="3"/>
      <c r="K352" s="3"/>
      <c r="L352" s="199"/>
      <c r="Q352" s="69"/>
    </row>
    <row r="353">
      <c r="A353" s="3"/>
      <c r="C353" s="207"/>
      <c r="E353" s="3"/>
      <c r="F353" s="3"/>
      <c r="G353" s="3"/>
      <c r="H353" s="207"/>
      <c r="I353" s="142"/>
      <c r="J353" s="3"/>
      <c r="K353" s="3"/>
      <c r="L353" s="199"/>
      <c r="Q353" s="69"/>
    </row>
    <row r="354">
      <c r="A354" s="3"/>
      <c r="C354" s="207"/>
      <c r="E354" s="3"/>
      <c r="F354" s="3"/>
      <c r="G354" s="3"/>
      <c r="H354" s="207"/>
      <c r="I354" s="142"/>
      <c r="J354" s="3"/>
      <c r="K354" s="3"/>
      <c r="L354" s="199"/>
      <c r="Q354" s="69"/>
    </row>
    <row r="355">
      <c r="A355" s="3"/>
      <c r="C355" s="207"/>
      <c r="E355" s="3"/>
      <c r="F355" s="3"/>
      <c r="G355" s="3"/>
      <c r="H355" s="207"/>
      <c r="I355" s="142"/>
      <c r="J355" s="3"/>
      <c r="K355" s="3"/>
      <c r="L355" s="199"/>
      <c r="Q355" s="69"/>
    </row>
    <row r="356">
      <c r="A356" s="3"/>
      <c r="C356" s="207"/>
      <c r="E356" s="3"/>
      <c r="F356" s="3"/>
      <c r="G356" s="3"/>
      <c r="H356" s="207"/>
      <c r="I356" s="142"/>
      <c r="J356" s="3"/>
      <c r="K356" s="3"/>
      <c r="L356" s="199"/>
      <c r="Q356" s="69"/>
    </row>
    <row r="357">
      <c r="A357" s="3"/>
      <c r="C357" s="207"/>
      <c r="E357" s="3"/>
      <c r="F357" s="3"/>
      <c r="G357" s="3"/>
      <c r="H357" s="207"/>
      <c r="I357" s="142"/>
      <c r="J357" s="3"/>
      <c r="K357" s="3"/>
      <c r="L357" s="199"/>
      <c r="Q357" s="69"/>
    </row>
    <row r="358">
      <c r="A358" s="3"/>
      <c r="C358" s="207"/>
      <c r="E358" s="3"/>
      <c r="F358" s="3"/>
      <c r="G358" s="3"/>
      <c r="H358" s="207"/>
      <c r="I358" s="142"/>
      <c r="J358" s="3"/>
      <c r="K358" s="3"/>
      <c r="L358" s="199"/>
      <c r="Q358" s="69"/>
    </row>
    <row r="359">
      <c r="A359" s="3"/>
      <c r="C359" s="207"/>
      <c r="E359" s="3"/>
      <c r="F359" s="3"/>
      <c r="G359" s="3"/>
      <c r="H359" s="207"/>
      <c r="I359" s="142"/>
      <c r="J359" s="3"/>
      <c r="K359" s="3"/>
      <c r="L359" s="199"/>
      <c r="Q359" s="69"/>
    </row>
    <row r="360">
      <c r="A360" s="3"/>
      <c r="C360" s="207"/>
      <c r="E360" s="3"/>
      <c r="F360" s="3"/>
      <c r="G360" s="3"/>
      <c r="H360" s="207"/>
      <c r="I360" s="142"/>
      <c r="J360" s="3"/>
      <c r="K360" s="3"/>
      <c r="L360" s="199"/>
      <c r="Q360" s="69"/>
    </row>
    <row r="361">
      <c r="A361" s="3"/>
      <c r="C361" s="207"/>
      <c r="E361" s="3"/>
      <c r="F361" s="3"/>
      <c r="G361" s="3"/>
      <c r="H361" s="207"/>
      <c r="I361" s="142"/>
      <c r="J361" s="3"/>
      <c r="K361" s="3"/>
      <c r="L361" s="199"/>
      <c r="Q361" s="69"/>
    </row>
    <row r="362">
      <c r="A362" s="3"/>
      <c r="C362" s="207"/>
      <c r="E362" s="3"/>
      <c r="F362" s="3"/>
      <c r="G362" s="3"/>
      <c r="H362" s="207"/>
      <c r="I362" s="142"/>
      <c r="J362" s="3"/>
      <c r="K362" s="3"/>
      <c r="L362" s="199"/>
      <c r="Q362" s="69"/>
    </row>
    <row r="363">
      <c r="A363" s="3"/>
      <c r="C363" s="207"/>
      <c r="E363" s="3"/>
      <c r="F363" s="3"/>
      <c r="G363" s="3"/>
      <c r="H363" s="207"/>
      <c r="I363" s="142"/>
      <c r="J363" s="3"/>
      <c r="K363" s="3"/>
      <c r="L363" s="199"/>
      <c r="Q363" s="69"/>
    </row>
    <row r="364">
      <c r="A364" s="3"/>
      <c r="C364" s="207"/>
      <c r="E364" s="3"/>
      <c r="F364" s="3"/>
      <c r="G364" s="3"/>
      <c r="H364" s="207"/>
      <c r="I364" s="142"/>
      <c r="J364" s="3"/>
      <c r="K364" s="3"/>
      <c r="L364" s="199"/>
      <c r="Q364" s="69"/>
    </row>
    <row r="365">
      <c r="A365" s="3"/>
      <c r="C365" s="207"/>
      <c r="E365" s="3"/>
      <c r="F365" s="3"/>
      <c r="G365" s="3"/>
      <c r="H365" s="207"/>
      <c r="I365" s="142"/>
      <c r="J365" s="3"/>
      <c r="K365" s="3"/>
      <c r="L365" s="199"/>
      <c r="Q365" s="69"/>
    </row>
    <row r="366">
      <c r="A366" s="3"/>
      <c r="C366" s="207"/>
      <c r="E366" s="3"/>
      <c r="F366" s="3"/>
      <c r="G366" s="3"/>
      <c r="H366" s="207"/>
      <c r="I366" s="142"/>
      <c r="J366" s="3"/>
      <c r="K366" s="3"/>
      <c r="L366" s="199"/>
      <c r="Q366" s="69"/>
    </row>
    <row r="367">
      <c r="A367" s="3"/>
      <c r="C367" s="207"/>
      <c r="E367" s="3"/>
      <c r="F367" s="3"/>
      <c r="G367" s="3"/>
      <c r="H367" s="207"/>
      <c r="I367" s="142"/>
      <c r="J367" s="3"/>
      <c r="K367" s="3"/>
      <c r="L367" s="199"/>
      <c r="Q367" s="69"/>
    </row>
    <row r="368">
      <c r="A368" s="3"/>
      <c r="C368" s="207"/>
      <c r="E368" s="3"/>
      <c r="F368" s="3"/>
      <c r="G368" s="3"/>
      <c r="H368" s="207"/>
      <c r="I368" s="142"/>
      <c r="J368" s="3"/>
      <c r="K368" s="3"/>
      <c r="L368" s="199"/>
      <c r="Q368" s="69"/>
    </row>
    <row r="369">
      <c r="A369" s="3"/>
      <c r="C369" s="207"/>
      <c r="E369" s="3"/>
      <c r="F369" s="3"/>
      <c r="G369" s="3"/>
      <c r="H369" s="207"/>
      <c r="I369" s="142"/>
      <c r="J369" s="3"/>
      <c r="K369" s="3"/>
      <c r="L369" s="199"/>
      <c r="Q369" s="69"/>
    </row>
    <row r="370">
      <c r="A370" s="3"/>
      <c r="C370" s="207"/>
      <c r="E370" s="3"/>
      <c r="F370" s="3"/>
      <c r="G370" s="3"/>
      <c r="H370" s="207"/>
      <c r="I370" s="142"/>
      <c r="J370" s="3"/>
      <c r="K370" s="3"/>
      <c r="L370" s="199"/>
      <c r="Q370" s="69"/>
    </row>
    <row r="371">
      <c r="A371" s="3"/>
      <c r="C371" s="207"/>
      <c r="E371" s="3"/>
      <c r="F371" s="3"/>
      <c r="G371" s="3"/>
      <c r="H371" s="207"/>
      <c r="I371" s="142"/>
      <c r="J371" s="3"/>
      <c r="K371" s="3"/>
      <c r="L371" s="199"/>
      <c r="Q371" s="69"/>
    </row>
    <row r="372">
      <c r="A372" s="3"/>
      <c r="C372" s="207"/>
      <c r="E372" s="3"/>
      <c r="F372" s="3"/>
      <c r="G372" s="3"/>
      <c r="H372" s="207"/>
      <c r="I372" s="142"/>
      <c r="J372" s="3"/>
      <c r="K372" s="3"/>
      <c r="L372" s="199"/>
      <c r="Q372" s="69"/>
    </row>
    <row r="373">
      <c r="A373" s="3"/>
      <c r="C373" s="207"/>
      <c r="E373" s="3"/>
      <c r="F373" s="3"/>
      <c r="G373" s="3"/>
      <c r="H373" s="207"/>
      <c r="I373" s="142"/>
      <c r="J373" s="3"/>
      <c r="K373" s="3"/>
      <c r="L373" s="199"/>
      <c r="Q373" s="69"/>
    </row>
    <row r="374">
      <c r="A374" s="3"/>
      <c r="C374" s="207"/>
      <c r="E374" s="3"/>
      <c r="F374" s="3"/>
      <c r="G374" s="3"/>
      <c r="H374" s="207"/>
      <c r="I374" s="142"/>
      <c r="J374" s="3"/>
      <c r="K374" s="3"/>
      <c r="L374" s="199"/>
      <c r="Q374" s="69"/>
    </row>
    <row r="375">
      <c r="A375" s="3"/>
      <c r="C375" s="207"/>
      <c r="E375" s="3"/>
      <c r="F375" s="3"/>
      <c r="G375" s="3"/>
      <c r="H375" s="207"/>
      <c r="I375" s="142"/>
      <c r="J375" s="3"/>
      <c r="K375" s="3"/>
      <c r="L375" s="199"/>
      <c r="Q375" s="69"/>
    </row>
    <row r="376">
      <c r="A376" s="3"/>
      <c r="C376" s="207"/>
      <c r="E376" s="3"/>
      <c r="F376" s="3"/>
      <c r="G376" s="3"/>
      <c r="H376" s="207"/>
      <c r="I376" s="142"/>
      <c r="J376" s="3"/>
      <c r="K376" s="3"/>
      <c r="L376" s="199"/>
      <c r="Q376" s="69"/>
    </row>
    <row r="377">
      <c r="A377" s="3"/>
      <c r="C377" s="207"/>
      <c r="E377" s="3"/>
      <c r="F377" s="3"/>
      <c r="G377" s="3"/>
      <c r="H377" s="207"/>
      <c r="I377" s="142"/>
      <c r="J377" s="3"/>
      <c r="K377" s="3"/>
      <c r="L377" s="199"/>
      <c r="Q377" s="69"/>
    </row>
    <row r="378">
      <c r="A378" s="3"/>
      <c r="C378" s="207"/>
      <c r="E378" s="3"/>
      <c r="F378" s="3"/>
      <c r="G378" s="3"/>
      <c r="H378" s="207"/>
      <c r="I378" s="142"/>
      <c r="J378" s="3"/>
      <c r="K378" s="3"/>
      <c r="L378" s="199"/>
      <c r="Q378" s="69"/>
    </row>
    <row r="379">
      <c r="A379" s="3"/>
      <c r="C379" s="207"/>
      <c r="E379" s="3"/>
      <c r="F379" s="3"/>
      <c r="G379" s="3"/>
      <c r="H379" s="207"/>
      <c r="I379" s="142"/>
      <c r="J379" s="3"/>
      <c r="K379" s="3"/>
      <c r="L379" s="199"/>
      <c r="Q379" s="69"/>
    </row>
    <row r="380">
      <c r="A380" s="3"/>
      <c r="C380" s="207"/>
      <c r="E380" s="3"/>
      <c r="F380" s="3"/>
      <c r="G380" s="3"/>
      <c r="H380" s="207"/>
      <c r="I380" s="142"/>
      <c r="J380" s="3"/>
      <c r="K380" s="3"/>
      <c r="L380" s="199"/>
      <c r="Q380" s="69"/>
    </row>
    <row r="381">
      <c r="A381" s="3"/>
      <c r="C381" s="207"/>
      <c r="E381" s="3"/>
      <c r="F381" s="3"/>
      <c r="G381" s="3"/>
      <c r="H381" s="207"/>
      <c r="I381" s="142"/>
      <c r="J381" s="3"/>
      <c r="K381" s="3"/>
      <c r="L381" s="199"/>
      <c r="Q381" s="69"/>
    </row>
    <row r="382">
      <c r="A382" s="3"/>
      <c r="C382" s="207"/>
      <c r="E382" s="3"/>
      <c r="F382" s="3"/>
      <c r="G382" s="3"/>
      <c r="H382" s="207"/>
      <c r="I382" s="142"/>
      <c r="J382" s="3"/>
      <c r="K382" s="3"/>
      <c r="L382" s="199"/>
      <c r="Q382" s="69"/>
    </row>
    <row r="383">
      <c r="A383" s="3"/>
      <c r="C383" s="207"/>
      <c r="E383" s="3"/>
      <c r="F383" s="3"/>
      <c r="G383" s="3"/>
      <c r="H383" s="207"/>
      <c r="I383" s="142"/>
      <c r="J383" s="3"/>
      <c r="K383" s="3"/>
      <c r="L383" s="199"/>
      <c r="Q383" s="69"/>
    </row>
    <row r="384">
      <c r="A384" s="3"/>
      <c r="C384" s="207"/>
      <c r="E384" s="3"/>
      <c r="F384" s="3"/>
      <c r="G384" s="3"/>
      <c r="H384" s="207"/>
      <c r="I384" s="142"/>
      <c r="J384" s="3"/>
      <c r="K384" s="3"/>
      <c r="L384" s="199"/>
      <c r="Q384" s="69"/>
    </row>
    <row r="385">
      <c r="A385" s="3"/>
      <c r="C385" s="207"/>
      <c r="E385" s="3"/>
      <c r="F385" s="3"/>
      <c r="G385" s="3"/>
      <c r="H385" s="207"/>
      <c r="I385" s="142"/>
      <c r="J385" s="3"/>
      <c r="K385" s="3"/>
      <c r="L385" s="199"/>
      <c r="Q385" s="69"/>
    </row>
    <row r="386">
      <c r="A386" s="3"/>
      <c r="C386" s="207"/>
      <c r="E386" s="3"/>
      <c r="F386" s="3"/>
      <c r="G386" s="3"/>
      <c r="H386" s="207"/>
      <c r="I386" s="142"/>
      <c r="J386" s="3"/>
      <c r="K386" s="3"/>
      <c r="L386" s="199"/>
      <c r="Q386" s="69"/>
    </row>
    <row r="387">
      <c r="A387" s="3"/>
      <c r="C387" s="207"/>
      <c r="E387" s="3"/>
      <c r="F387" s="3"/>
      <c r="G387" s="3"/>
      <c r="H387" s="207"/>
      <c r="I387" s="142"/>
      <c r="J387" s="3"/>
      <c r="K387" s="3"/>
      <c r="L387" s="199"/>
      <c r="Q387" s="69"/>
    </row>
    <row r="388">
      <c r="A388" s="3"/>
      <c r="C388" s="207"/>
      <c r="E388" s="3"/>
      <c r="F388" s="3"/>
      <c r="G388" s="3"/>
      <c r="H388" s="207"/>
      <c r="I388" s="142"/>
      <c r="J388" s="3"/>
      <c r="K388" s="3"/>
      <c r="L388" s="199"/>
      <c r="Q388" s="69"/>
    </row>
    <row r="389">
      <c r="A389" s="3"/>
      <c r="C389" s="207"/>
      <c r="E389" s="3"/>
      <c r="F389" s="3"/>
      <c r="G389" s="3"/>
      <c r="H389" s="207"/>
      <c r="I389" s="142"/>
      <c r="J389" s="3"/>
      <c r="K389" s="3"/>
      <c r="L389" s="199"/>
      <c r="Q389" s="69"/>
    </row>
    <row r="390">
      <c r="A390" s="3"/>
      <c r="C390" s="207"/>
      <c r="E390" s="3"/>
      <c r="F390" s="3"/>
      <c r="G390" s="3"/>
      <c r="H390" s="207"/>
      <c r="I390" s="142"/>
      <c r="J390" s="3"/>
      <c r="K390" s="3"/>
      <c r="L390" s="199"/>
      <c r="Q390" s="69"/>
    </row>
    <row r="391">
      <c r="A391" s="3"/>
      <c r="C391" s="207"/>
      <c r="E391" s="3"/>
      <c r="F391" s="3"/>
      <c r="G391" s="3"/>
      <c r="H391" s="207"/>
      <c r="I391" s="142"/>
      <c r="J391" s="3"/>
      <c r="K391" s="3"/>
      <c r="L391" s="199"/>
      <c r="Q391" s="69"/>
    </row>
    <row r="392">
      <c r="A392" s="3"/>
      <c r="C392" s="207"/>
      <c r="E392" s="3"/>
      <c r="F392" s="3"/>
      <c r="G392" s="3"/>
      <c r="H392" s="207"/>
      <c r="I392" s="142"/>
      <c r="J392" s="3"/>
      <c r="K392" s="3"/>
      <c r="L392" s="199"/>
      <c r="Q392" s="69"/>
    </row>
    <row r="393">
      <c r="A393" s="3"/>
      <c r="C393" s="207"/>
      <c r="E393" s="3"/>
      <c r="F393" s="3"/>
      <c r="G393" s="3"/>
      <c r="H393" s="207"/>
      <c r="I393" s="142"/>
      <c r="J393" s="3"/>
      <c r="K393" s="3"/>
      <c r="L393" s="199"/>
      <c r="Q393" s="69"/>
    </row>
    <row r="394">
      <c r="A394" s="3"/>
      <c r="C394" s="207"/>
      <c r="E394" s="3"/>
      <c r="F394" s="3"/>
      <c r="G394" s="3"/>
      <c r="H394" s="207"/>
      <c r="I394" s="142"/>
      <c r="J394" s="3"/>
      <c r="K394" s="3"/>
      <c r="L394" s="199"/>
      <c r="Q394" s="69"/>
    </row>
    <row r="395">
      <c r="A395" s="3"/>
      <c r="C395" s="207"/>
      <c r="E395" s="3"/>
      <c r="F395" s="3"/>
      <c r="G395" s="3"/>
      <c r="H395" s="207"/>
      <c r="I395" s="142"/>
      <c r="J395" s="3"/>
      <c r="K395" s="3"/>
      <c r="L395" s="199"/>
      <c r="Q395" s="69"/>
    </row>
    <row r="396">
      <c r="A396" s="3"/>
      <c r="C396" s="207"/>
      <c r="E396" s="3"/>
      <c r="F396" s="3"/>
      <c r="G396" s="3"/>
      <c r="H396" s="207"/>
      <c r="I396" s="142"/>
      <c r="J396" s="3"/>
      <c r="K396" s="3"/>
      <c r="L396" s="199"/>
      <c r="Q396" s="69"/>
    </row>
    <row r="397">
      <c r="A397" s="3"/>
      <c r="C397" s="207"/>
      <c r="E397" s="3"/>
      <c r="F397" s="3"/>
      <c r="G397" s="3"/>
      <c r="H397" s="207"/>
      <c r="I397" s="142"/>
      <c r="J397" s="3"/>
      <c r="K397" s="3"/>
      <c r="L397" s="199"/>
      <c r="Q397" s="69"/>
    </row>
    <row r="398">
      <c r="A398" s="3"/>
      <c r="C398" s="207"/>
      <c r="E398" s="3"/>
      <c r="F398" s="3"/>
      <c r="G398" s="3"/>
      <c r="H398" s="207"/>
      <c r="I398" s="142"/>
      <c r="J398" s="3"/>
      <c r="K398" s="3"/>
      <c r="L398" s="199"/>
      <c r="Q398" s="69"/>
    </row>
    <row r="399">
      <c r="A399" s="3"/>
      <c r="C399" s="207"/>
      <c r="E399" s="3"/>
      <c r="F399" s="3"/>
      <c r="G399" s="3"/>
      <c r="H399" s="207"/>
      <c r="I399" s="142"/>
      <c r="J399" s="3"/>
      <c r="K399" s="3"/>
      <c r="L399" s="199"/>
      <c r="Q399" s="69"/>
    </row>
    <row r="400">
      <c r="A400" s="3"/>
      <c r="C400" s="207"/>
      <c r="E400" s="3"/>
      <c r="F400" s="3"/>
      <c r="G400" s="3"/>
      <c r="H400" s="207"/>
      <c r="I400" s="142"/>
      <c r="J400" s="3"/>
      <c r="K400" s="3"/>
      <c r="L400" s="199"/>
      <c r="Q400" s="69"/>
    </row>
    <row r="401">
      <c r="A401" s="3"/>
      <c r="C401" s="207"/>
      <c r="E401" s="3"/>
      <c r="F401" s="3"/>
      <c r="G401" s="3"/>
      <c r="H401" s="207"/>
      <c r="I401" s="142"/>
      <c r="J401" s="3"/>
      <c r="K401" s="3"/>
      <c r="L401" s="199"/>
      <c r="Q401" s="69"/>
    </row>
    <row r="402">
      <c r="A402" s="3"/>
      <c r="C402" s="207"/>
      <c r="E402" s="3"/>
      <c r="F402" s="3"/>
      <c r="G402" s="3"/>
      <c r="H402" s="207"/>
      <c r="I402" s="142"/>
      <c r="J402" s="3"/>
      <c r="K402" s="3"/>
      <c r="L402" s="199"/>
      <c r="Q402" s="69"/>
    </row>
    <row r="403">
      <c r="A403" s="3"/>
      <c r="C403" s="207"/>
      <c r="E403" s="3"/>
      <c r="F403" s="3"/>
      <c r="G403" s="3"/>
      <c r="H403" s="207"/>
      <c r="I403" s="142"/>
      <c r="J403" s="3"/>
      <c r="K403" s="3"/>
      <c r="L403" s="199"/>
      <c r="Q403" s="69"/>
    </row>
    <row r="404">
      <c r="A404" s="3"/>
      <c r="C404" s="207"/>
      <c r="E404" s="3"/>
      <c r="F404" s="3"/>
      <c r="G404" s="3"/>
      <c r="H404" s="207"/>
      <c r="I404" s="142"/>
      <c r="J404" s="3"/>
      <c r="K404" s="3"/>
      <c r="L404" s="199"/>
      <c r="Q404" s="69"/>
    </row>
    <row r="405">
      <c r="A405" s="3"/>
      <c r="C405" s="207"/>
      <c r="E405" s="3"/>
      <c r="F405" s="3"/>
      <c r="G405" s="3"/>
      <c r="H405" s="207"/>
      <c r="I405" s="142"/>
      <c r="J405" s="3"/>
      <c r="K405" s="3"/>
      <c r="L405" s="199"/>
      <c r="Q405" s="69"/>
    </row>
    <row r="406">
      <c r="A406" s="3"/>
      <c r="C406" s="207"/>
      <c r="E406" s="3"/>
      <c r="F406" s="3"/>
      <c r="G406" s="3"/>
      <c r="H406" s="207"/>
      <c r="I406" s="142"/>
      <c r="J406" s="3"/>
      <c r="K406" s="3"/>
      <c r="L406" s="199"/>
      <c r="Q406" s="69"/>
    </row>
    <row r="407">
      <c r="A407" s="3"/>
      <c r="C407" s="207"/>
      <c r="E407" s="3"/>
      <c r="F407" s="3"/>
      <c r="G407" s="3"/>
      <c r="H407" s="207"/>
      <c r="I407" s="142"/>
      <c r="J407" s="3"/>
      <c r="K407" s="3"/>
      <c r="L407" s="199"/>
      <c r="Q407" s="69"/>
    </row>
    <row r="408">
      <c r="A408" s="3"/>
      <c r="C408" s="207"/>
      <c r="E408" s="3"/>
      <c r="F408" s="3"/>
      <c r="G408" s="3"/>
      <c r="H408" s="207"/>
      <c r="I408" s="142"/>
      <c r="J408" s="3"/>
      <c r="K408" s="3"/>
      <c r="L408" s="199"/>
      <c r="Q408" s="69"/>
    </row>
    <row r="409">
      <c r="A409" s="3"/>
      <c r="C409" s="207"/>
      <c r="E409" s="3"/>
      <c r="F409" s="3"/>
      <c r="G409" s="3"/>
      <c r="H409" s="207"/>
      <c r="I409" s="142"/>
      <c r="J409" s="3"/>
      <c r="K409" s="3"/>
      <c r="L409" s="199"/>
      <c r="Q409" s="69"/>
    </row>
    <row r="410">
      <c r="A410" s="3"/>
      <c r="C410" s="207"/>
      <c r="E410" s="3"/>
      <c r="F410" s="3"/>
      <c r="G410" s="3"/>
      <c r="H410" s="207"/>
      <c r="I410" s="142"/>
      <c r="J410" s="3"/>
      <c r="K410" s="3"/>
      <c r="L410" s="199"/>
      <c r="Q410" s="69"/>
    </row>
    <row r="411">
      <c r="A411" s="3"/>
      <c r="C411" s="207"/>
      <c r="E411" s="3"/>
      <c r="F411" s="3"/>
      <c r="G411" s="3"/>
      <c r="H411" s="207"/>
      <c r="I411" s="142"/>
      <c r="J411" s="3"/>
      <c r="K411" s="3"/>
      <c r="L411" s="199"/>
      <c r="Q411" s="69"/>
    </row>
    <row r="412">
      <c r="A412" s="3"/>
      <c r="C412" s="207"/>
      <c r="E412" s="3"/>
      <c r="F412" s="3"/>
      <c r="G412" s="3"/>
      <c r="H412" s="207"/>
      <c r="I412" s="142"/>
      <c r="J412" s="3"/>
      <c r="K412" s="3"/>
      <c r="L412" s="199"/>
      <c r="Q412" s="69"/>
    </row>
    <row r="413">
      <c r="A413" s="3"/>
      <c r="C413" s="207"/>
      <c r="E413" s="3"/>
      <c r="F413" s="3"/>
      <c r="G413" s="3"/>
      <c r="H413" s="207"/>
      <c r="I413" s="142"/>
      <c r="J413" s="3"/>
      <c r="K413" s="3"/>
      <c r="L413" s="199"/>
      <c r="Q413" s="69"/>
    </row>
    <row r="414">
      <c r="A414" s="3"/>
      <c r="C414" s="207"/>
      <c r="E414" s="3"/>
      <c r="F414" s="3"/>
      <c r="G414" s="3"/>
      <c r="H414" s="207"/>
      <c r="I414" s="142"/>
      <c r="J414" s="3"/>
      <c r="K414" s="3"/>
      <c r="L414" s="199"/>
      <c r="Q414" s="69"/>
    </row>
    <row r="415">
      <c r="A415" s="3"/>
      <c r="C415" s="207"/>
      <c r="E415" s="3"/>
      <c r="F415" s="3"/>
      <c r="G415" s="3"/>
      <c r="H415" s="207"/>
      <c r="I415" s="142"/>
      <c r="J415" s="3"/>
      <c r="K415" s="3"/>
      <c r="L415" s="199"/>
      <c r="Q415" s="69"/>
    </row>
    <row r="416">
      <c r="A416" s="3"/>
      <c r="C416" s="207"/>
      <c r="E416" s="3"/>
      <c r="F416" s="3"/>
      <c r="G416" s="3"/>
      <c r="H416" s="207"/>
      <c r="I416" s="142"/>
      <c r="J416" s="3"/>
      <c r="K416" s="3"/>
      <c r="L416" s="199"/>
      <c r="Q416" s="69"/>
    </row>
    <row r="417">
      <c r="A417" s="3"/>
      <c r="C417" s="207"/>
      <c r="E417" s="3"/>
      <c r="F417" s="3"/>
      <c r="G417" s="3"/>
      <c r="H417" s="207"/>
      <c r="I417" s="142"/>
      <c r="J417" s="3"/>
      <c r="K417" s="3"/>
      <c r="L417" s="199"/>
      <c r="Q417" s="69"/>
    </row>
    <row r="418">
      <c r="A418" s="3"/>
      <c r="C418" s="207"/>
      <c r="E418" s="3"/>
      <c r="F418" s="3"/>
      <c r="G418" s="3"/>
      <c r="H418" s="207"/>
      <c r="I418" s="142"/>
      <c r="J418" s="3"/>
      <c r="K418" s="3"/>
      <c r="L418" s="199"/>
      <c r="Q418" s="69"/>
    </row>
    <row r="419">
      <c r="A419" s="3"/>
      <c r="C419" s="207"/>
      <c r="E419" s="3"/>
      <c r="F419" s="3"/>
      <c r="G419" s="3"/>
      <c r="H419" s="207"/>
      <c r="I419" s="142"/>
      <c r="J419" s="3"/>
      <c r="K419" s="3"/>
      <c r="L419" s="199"/>
      <c r="Q419" s="69"/>
    </row>
    <row r="420">
      <c r="A420" s="3"/>
      <c r="C420" s="207"/>
      <c r="E420" s="3"/>
      <c r="F420" s="3"/>
      <c r="G420" s="3"/>
      <c r="H420" s="207"/>
      <c r="I420" s="142"/>
      <c r="J420" s="3"/>
      <c r="K420" s="3"/>
      <c r="L420" s="199"/>
      <c r="Q420" s="69"/>
    </row>
    <row r="421">
      <c r="A421" s="3"/>
      <c r="C421" s="207"/>
      <c r="E421" s="3"/>
      <c r="F421" s="3"/>
      <c r="G421" s="3"/>
      <c r="H421" s="207"/>
      <c r="I421" s="142"/>
      <c r="J421" s="3"/>
      <c r="K421" s="3"/>
      <c r="L421" s="199"/>
      <c r="Q421" s="69"/>
    </row>
    <row r="422">
      <c r="A422" s="3"/>
      <c r="C422" s="207"/>
      <c r="E422" s="3"/>
      <c r="F422" s="3"/>
      <c r="G422" s="3"/>
      <c r="H422" s="207"/>
      <c r="I422" s="142"/>
      <c r="J422" s="3"/>
      <c r="K422" s="3"/>
      <c r="L422" s="199"/>
      <c r="Q422" s="69"/>
    </row>
    <row r="423">
      <c r="A423" s="3"/>
      <c r="C423" s="207"/>
      <c r="E423" s="3"/>
      <c r="F423" s="3"/>
      <c r="G423" s="3"/>
      <c r="H423" s="207"/>
      <c r="I423" s="142"/>
      <c r="J423" s="3"/>
      <c r="K423" s="3"/>
      <c r="L423" s="199"/>
      <c r="Q423" s="69"/>
    </row>
    <row r="424">
      <c r="A424" s="3"/>
      <c r="C424" s="207"/>
      <c r="E424" s="3"/>
      <c r="F424" s="3"/>
      <c r="G424" s="3"/>
      <c r="H424" s="207"/>
      <c r="I424" s="142"/>
      <c r="J424" s="3"/>
      <c r="K424" s="3"/>
      <c r="L424" s="199"/>
      <c r="Q424" s="69"/>
    </row>
    <row r="425">
      <c r="A425" s="3"/>
      <c r="C425" s="207"/>
      <c r="E425" s="3"/>
      <c r="F425" s="3"/>
      <c r="G425" s="3"/>
      <c r="H425" s="207"/>
      <c r="I425" s="142"/>
      <c r="J425" s="3"/>
      <c r="K425" s="3"/>
      <c r="L425" s="199"/>
      <c r="Q425" s="69"/>
    </row>
    <row r="426">
      <c r="A426" s="3"/>
      <c r="C426" s="207"/>
      <c r="E426" s="3"/>
      <c r="F426" s="3"/>
      <c r="G426" s="3"/>
      <c r="H426" s="207"/>
      <c r="I426" s="142"/>
      <c r="J426" s="3"/>
      <c r="K426" s="3"/>
      <c r="L426" s="199"/>
      <c r="Q426" s="69"/>
    </row>
    <row r="427">
      <c r="A427" s="3"/>
      <c r="C427" s="207"/>
      <c r="E427" s="3"/>
      <c r="F427" s="3"/>
      <c r="G427" s="3"/>
      <c r="H427" s="207"/>
      <c r="I427" s="142"/>
      <c r="J427" s="3"/>
      <c r="K427" s="3"/>
      <c r="L427" s="199"/>
      <c r="Q427" s="69"/>
    </row>
    <row r="428">
      <c r="A428" s="3"/>
      <c r="C428" s="207"/>
      <c r="E428" s="3"/>
      <c r="F428" s="3"/>
      <c r="G428" s="3"/>
      <c r="H428" s="207"/>
      <c r="I428" s="142"/>
      <c r="J428" s="3"/>
      <c r="K428" s="3"/>
      <c r="L428" s="199"/>
      <c r="Q428" s="69"/>
    </row>
    <row r="429">
      <c r="A429" s="3"/>
      <c r="C429" s="207"/>
      <c r="E429" s="3"/>
      <c r="F429" s="3"/>
      <c r="G429" s="3"/>
      <c r="H429" s="207"/>
      <c r="I429" s="142"/>
      <c r="J429" s="3"/>
      <c r="K429" s="3"/>
      <c r="L429" s="199"/>
      <c r="Q429" s="69"/>
    </row>
    <row r="430">
      <c r="A430" s="3"/>
      <c r="C430" s="207"/>
      <c r="E430" s="3"/>
      <c r="F430" s="3"/>
      <c r="G430" s="3"/>
      <c r="H430" s="207"/>
      <c r="I430" s="142"/>
      <c r="J430" s="3"/>
      <c r="K430" s="3"/>
      <c r="L430" s="199"/>
      <c r="Q430" s="69"/>
    </row>
    <row r="431">
      <c r="A431" s="3"/>
      <c r="C431" s="207"/>
      <c r="E431" s="3"/>
      <c r="F431" s="3"/>
      <c r="G431" s="3"/>
      <c r="H431" s="207"/>
      <c r="I431" s="142"/>
      <c r="J431" s="3"/>
      <c r="K431" s="3"/>
      <c r="L431" s="199"/>
      <c r="Q431" s="69"/>
    </row>
    <row r="432">
      <c r="A432" s="3"/>
      <c r="C432" s="207"/>
      <c r="E432" s="3"/>
      <c r="F432" s="3"/>
      <c r="G432" s="3"/>
      <c r="H432" s="207"/>
      <c r="I432" s="142"/>
      <c r="J432" s="3"/>
      <c r="K432" s="3"/>
      <c r="L432" s="199"/>
      <c r="Q432" s="69"/>
    </row>
    <row r="433">
      <c r="A433" s="3"/>
      <c r="C433" s="207"/>
      <c r="E433" s="3"/>
      <c r="F433" s="3"/>
      <c r="G433" s="3"/>
      <c r="H433" s="207"/>
      <c r="I433" s="142"/>
      <c r="J433" s="3"/>
      <c r="K433" s="3"/>
      <c r="L433" s="199"/>
      <c r="Q433" s="69"/>
    </row>
    <row r="434">
      <c r="A434" s="3"/>
      <c r="C434" s="207"/>
      <c r="E434" s="3"/>
      <c r="F434" s="3"/>
      <c r="G434" s="3"/>
      <c r="H434" s="207"/>
      <c r="I434" s="142"/>
      <c r="J434" s="3"/>
      <c r="K434" s="3"/>
      <c r="L434" s="199"/>
      <c r="Q434" s="69"/>
    </row>
    <row r="435">
      <c r="A435" s="3"/>
      <c r="C435" s="207"/>
      <c r="E435" s="3"/>
      <c r="F435" s="3"/>
      <c r="G435" s="3"/>
      <c r="H435" s="207"/>
      <c r="I435" s="142"/>
      <c r="J435" s="3"/>
      <c r="K435" s="3"/>
      <c r="L435" s="199"/>
      <c r="Q435" s="69"/>
    </row>
    <row r="436">
      <c r="A436" s="3"/>
      <c r="C436" s="207"/>
      <c r="E436" s="3"/>
      <c r="F436" s="3"/>
      <c r="G436" s="3"/>
      <c r="H436" s="207"/>
      <c r="I436" s="142"/>
      <c r="J436" s="3"/>
      <c r="K436" s="3"/>
      <c r="L436" s="199"/>
      <c r="Q436" s="69"/>
    </row>
    <row r="437">
      <c r="A437" s="3"/>
      <c r="C437" s="207"/>
      <c r="E437" s="3"/>
      <c r="F437" s="3"/>
      <c r="G437" s="3"/>
      <c r="H437" s="207"/>
      <c r="I437" s="142"/>
      <c r="J437" s="3"/>
      <c r="K437" s="3"/>
      <c r="L437" s="199"/>
      <c r="Q437" s="69"/>
    </row>
    <row r="438">
      <c r="A438" s="3"/>
      <c r="C438" s="207"/>
      <c r="E438" s="3"/>
      <c r="F438" s="3"/>
      <c r="G438" s="3"/>
      <c r="H438" s="207"/>
      <c r="I438" s="142"/>
      <c r="J438" s="3"/>
      <c r="K438" s="3"/>
      <c r="L438" s="199"/>
      <c r="Q438" s="69"/>
    </row>
    <row r="439">
      <c r="A439" s="3"/>
      <c r="C439" s="207"/>
      <c r="E439" s="3"/>
      <c r="F439" s="3"/>
      <c r="G439" s="3"/>
      <c r="H439" s="207"/>
      <c r="I439" s="142"/>
      <c r="J439" s="3"/>
      <c r="K439" s="3"/>
      <c r="L439" s="199"/>
      <c r="Q439" s="69"/>
    </row>
    <row r="440">
      <c r="A440" s="3"/>
      <c r="C440" s="207"/>
      <c r="E440" s="3"/>
      <c r="F440" s="3"/>
      <c r="G440" s="3"/>
      <c r="H440" s="207"/>
      <c r="I440" s="142"/>
      <c r="J440" s="3"/>
      <c r="K440" s="3"/>
      <c r="L440" s="199"/>
      <c r="Q440" s="69"/>
    </row>
    <row r="441">
      <c r="A441" s="3"/>
      <c r="C441" s="207"/>
      <c r="E441" s="3"/>
      <c r="F441" s="3"/>
      <c r="G441" s="3"/>
      <c r="H441" s="207"/>
      <c r="I441" s="142"/>
      <c r="J441" s="3"/>
      <c r="K441" s="3"/>
      <c r="L441" s="199"/>
      <c r="Q441" s="69"/>
    </row>
    <row r="442">
      <c r="A442" s="3"/>
      <c r="C442" s="207"/>
      <c r="E442" s="3"/>
      <c r="F442" s="3"/>
      <c r="G442" s="3"/>
      <c r="H442" s="207"/>
      <c r="I442" s="142"/>
      <c r="J442" s="3"/>
      <c r="K442" s="3"/>
      <c r="L442" s="199"/>
      <c r="Q442" s="69"/>
    </row>
    <row r="443">
      <c r="A443" s="3"/>
      <c r="C443" s="207"/>
      <c r="E443" s="3"/>
      <c r="F443" s="3"/>
      <c r="G443" s="3"/>
      <c r="H443" s="207"/>
      <c r="I443" s="142"/>
      <c r="J443" s="3"/>
      <c r="K443" s="3"/>
      <c r="L443" s="199"/>
      <c r="Q443" s="69"/>
    </row>
    <row r="444">
      <c r="A444" s="3"/>
      <c r="C444" s="207"/>
      <c r="E444" s="3"/>
      <c r="F444" s="3"/>
      <c r="G444" s="3"/>
      <c r="H444" s="207"/>
      <c r="I444" s="142"/>
      <c r="J444" s="3"/>
      <c r="K444" s="3"/>
      <c r="L444" s="199"/>
      <c r="Q444" s="69"/>
    </row>
    <row r="445">
      <c r="A445" s="3"/>
      <c r="C445" s="207"/>
      <c r="E445" s="3"/>
      <c r="F445" s="3"/>
      <c r="G445" s="3"/>
      <c r="H445" s="207"/>
      <c r="I445" s="142"/>
      <c r="J445" s="3"/>
      <c r="K445" s="3"/>
      <c r="L445" s="199"/>
      <c r="Q445" s="69"/>
    </row>
    <row r="446">
      <c r="A446" s="3"/>
      <c r="C446" s="207"/>
      <c r="E446" s="3"/>
      <c r="F446" s="3"/>
      <c r="G446" s="3"/>
      <c r="H446" s="207"/>
      <c r="I446" s="142"/>
      <c r="J446" s="3"/>
      <c r="K446" s="3"/>
      <c r="L446" s="199"/>
      <c r="Q446" s="69"/>
    </row>
    <row r="447">
      <c r="A447" s="3"/>
      <c r="C447" s="207"/>
      <c r="E447" s="3"/>
      <c r="F447" s="3"/>
      <c r="G447" s="3"/>
      <c r="H447" s="207"/>
      <c r="I447" s="142"/>
      <c r="J447" s="3"/>
      <c r="K447" s="3"/>
      <c r="L447" s="199"/>
      <c r="Q447" s="69"/>
    </row>
    <row r="448">
      <c r="A448" s="3"/>
      <c r="C448" s="207"/>
      <c r="E448" s="3"/>
      <c r="F448" s="3"/>
      <c r="G448" s="3"/>
      <c r="H448" s="207"/>
      <c r="I448" s="142"/>
      <c r="J448" s="3"/>
      <c r="K448" s="3"/>
      <c r="L448" s="199"/>
      <c r="Q448" s="69"/>
    </row>
    <row r="449">
      <c r="A449" s="3"/>
      <c r="C449" s="207"/>
      <c r="E449" s="3"/>
      <c r="F449" s="3"/>
      <c r="G449" s="3"/>
      <c r="H449" s="207"/>
      <c r="I449" s="142"/>
      <c r="J449" s="3"/>
      <c r="K449" s="3"/>
      <c r="L449" s="199"/>
      <c r="Q449" s="69"/>
    </row>
    <row r="450">
      <c r="A450" s="3"/>
      <c r="C450" s="207"/>
      <c r="E450" s="3"/>
      <c r="F450" s="3"/>
      <c r="G450" s="3"/>
      <c r="H450" s="207"/>
      <c r="I450" s="142"/>
      <c r="J450" s="3"/>
      <c r="K450" s="3"/>
      <c r="L450" s="199"/>
      <c r="Q450" s="69"/>
    </row>
    <row r="451">
      <c r="A451" s="3"/>
      <c r="C451" s="207"/>
      <c r="E451" s="3"/>
      <c r="F451" s="3"/>
      <c r="G451" s="3"/>
      <c r="H451" s="207"/>
      <c r="I451" s="142"/>
      <c r="J451" s="3"/>
      <c r="K451" s="3"/>
      <c r="L451" s="199"/>
      <c r="Q451" s="69"/>
    </row>
    <row r="452">
      <c r="A452" s="3"/>
      <c r="C452" s="207"/>
      <c r="E452" s="3"/>
      <c r="F452" s="3"/>
      <c r="G452" s="3"/>
      <c r="H452" s="207"/>
      <c r="I452" s="142"/>
      <c r="J452" s="3"/>
      <c r="K452" s="3"/>
      <c r="L452" s="199"/>
      <c r="Q452" s="69"/>
    </row>
    <row r="453">
      <c r="A453" s="3"/>
      <c r="C453" s="207"/>
      <c r="E453" s="3"/>
      <c r="F453" s="3"/>
      <c r="G453" s="3"/>
      <c r="H453" s="207"/>
      <c r="I453" s="142"/>
      <c r="J453" s="3"/>
      <c r="K453" s="3"/>
      <c r="L453" s="199"/>
      <c r="Q453" s="69"/>
    </row>
    <row r="454">
      <c r="A454" s="3"/>
      <c r="C454" s="207"/>
      <c r="E454" s="3"/>
      <c r="F454" s="3"/>
      <c r="G454" s="3"/>
      <c r="H454" s="207"/>
      <c r="I454" s="142"/>
      <c r="J454" s="3"/>
      <c r="K454" s="3"/>
      <c r="L454" s="199"/>
      <c r="Q454" s="69"/>
    </row>
    <row r="455">
      <c r="A455" s="3"/>
      <c r="C455" s="207"/>
      <c r="E455" s="3"/>
      <c r="F455" s="3"/>
      <c r="G455" s="3"/>
      <c r="H455" s="207"/>
      <c r="I455" s="142"/>
      <c r="J455" s="3"/>
      <c r="K455" s="3"/>
      <c r="L455" s="199"/>
      <c r="Q455" s="69"/>
    </row>
    <row r="456">
      <c r="A456" s="3"/>
      <c r="C456" s="207"/>
      <c r="E456" s="3"/>
      <c r="F456" s="3"/>
      <c r="G456" s="3"/>
      <c r="H456" s="207"/>
      <c r="I456" s="142"/>
      <c r="J456" s="3"/>
      <c r="K456" s="3"/>
      <c r="L456" s="199"/>
      <c r="Q456" s="69"/>
    </row>
    <row r="457">
      <c r="A457" s="3"/>
      <c r="C457" s="207"/>
      <c r="E457" s="3"/>
      <c r="F457" s="3"/>
      <c r="G457" s="3"/>
      <c r="H457" s="207"/>
      <c r="I457" s="142"/>
      <c r="J457" s="3"/>
      <c r="K457" s="3"/>
      <c r="L457" s="199"/>
      <c r="Q457" s="69"/>
    </row>
    <row r="458">
      <c r="A458" s="3"/>
      <c r="C458" s="207"/>
      <c r="E458" s="3"/>
      <c r="F458" s="3"/>
      <c r="G458" s="3"/>
      <c r="H458" s="207"/>
      <c r="I458" s="142"/>
      <c r="J458" s="3"/>
      <c r="K458" s="3"/>
      <c r="L458" s="199"/>
      <c r="Q458" s="69"/>
    </row>
    <row r="459">
      <c r="A459" s="3"/>
      <c r="C459" s="207"/>
      <c r="E459" s="3"/>
      <c r="F459" s="3"/>
      <c r="G459" s="3"/>
      <c r="H459" s="207"/>
      <c r="I459" s="142"/>
      <c r="J459" s="3"/>
      <c r="K459" s="3"/>
      <c r="L459" s="199"/>
      <c r="Q459" s="69"/>
    </row>
    <row r="460">
      <c r="A460" s="3"/>
      <c r="C460" s="207"/>
      <c r="E460" s="3"/>
      <c r="F460" s="3"/>
      <c r="G460" s="3"/>
      <c r="H460" s="207"/>
      <c r="I460" s="142"/>
      <c r="J460" s="3"/>
      <c r="K460" s="3"/>
      <c r="L460" s="199"/>
      <c r="Q460" s="69"/>
    </row>
    <row r="461">
      <c r="A461" s="3"/>
      <c r="C461" s="207"/>
      <c r="E461" s="3"/>
      <c r="F461" s="3"/>
      <c r="G461" s="3"/>
      <c r="H461" s="207"/>
      <c r="I461" s="142"/>
      <c r="J461" s="3"/>
      <c r="K461" s="3"/>
      <c r="L461" s="199"/>
      <c r="Q461" s="69"/>
    </row>
    <row r="462">
      <c r="A462" s="3"/>
      <c r="C462" s="207"/>
      <c r="E462" s="3"/>
      <c r="F462" s="3"/>
      <c r="G462" s="3"/>
      <c r="H462" s="207"/>
      <c r="I462" s="142"/>
      <c r="J462" s="3"/>
      <c r="K462" s="3"/>
      <c r="L462" s="199"/>
      <c r="Q462" s="69"/>
    </row>
    <row r="463">
      <c r="A463" s="3"/>
      <c r="C463" s="207"/>
      <c r="E463" s="3"/>
      <c r="F463" s="3"/>
      <c r="G463" s="3"/>
      <c r="H463" s="207"/>
      <c r="I463" s="142"/>
      <c r="J463" s="3"/>
      <c r="K463" s="3"/>
      <c r="L463" s="199"/>
      <c r="Q463" s="69"/>
    </row>
    <row r="464">
      <c r="A464" s="3"/>
      <c r="C464" s="207"/>
      <c r="E464" s="3"/>
      <c r="F464" s="3"/>
      <c r="G464" s="3"/>
      <c r="H464" s="207"/>
      <c r="I464" s="142"/>
      <c r="J464" s="3"/>
      <c r="K464" s="3"/>
      <c r="L464" s="199"/>
      <c r="Q464" s="69"/>
    </row>
    <row r="465">
      <c r="A465" s="3"/>
      <c r="C465" s="207"/>
      <c r="E465" s="3"/>
      <c r="F465" s="3"/>
      <c r="G465" s="3"/>
      <c r="H465" s="207"/>
      <c r="I465" s="142"/>
      <c r="J465" s="3"/>
      <c r="K465" s="3"/>
      <c r="L465" s="199"/>
      <c r="Q465" s="69"/>
    </row>
    <row r="466">
      <c r="A466" s="3"/>
      <c r="C466" s="207"/>
      <c r="E466" s="3"/>
      <c r="F466" s="3"/>
      <c r="G466" s="3"/>
      <c r="H466" s="207"/>
      <c r="I466" s="142"/>
      <c r="J466" s="3"/>
      <c r="K466" s="3"/>
      <c r="L466" s="199"/>
      <c r="Q466" s="69"/>
    </row>
    <row r="467">
      <c r="A467" s="3"/>
      <c r="C467" s="207"/>
      <c r="E467" s="3"/>
      <c r="F467" s="3"/>
      <c r="G467" s="3"/>
      <c r="H467" s="207"/>
      <c r="I467" s="142"/>
      <c r="J467" s="3"/>
      <c r="K467" s="3"/>
      <c r="L467" s="199"/>
      <c r="Q467" s="69"/>
    </row>
    <row r="468">
      <c r="A468" s="3"/>
      <c r="C468" s="207"/>
      <c r="E468" s="3"/>
      <c r="F468" s="3"/>
      <c r="G468" s="3"/>
      <c r="H468" s="207"/>
      <c r="I468" s="142"/>
      <c r="J468" s="3"/>
      <c r="K468" s="3"/>
      <c r="L468" s="199"/>
      <c r="Q468" s="69"/>
    </row>
    <row r="469">
      <c r="A469" s="3"/>
      <c r="C469" s="207"/>
      <c r="E469" s="3"/>
      <c r="F469" s="3"/>
      <c r="G469" s="3"/>
      <c r="H469" s="207"/>
      <c r="I469" s="142"/>
      <c r="J469" s="3"/>
      <c r="K469" s="3"/>
      <c r="L469" s="199"/>
      <c r="Q469" s="69"/>
    </row>
    <row r="470">
      <c r="A470" s="3"/>
      <c r="C470" s="207"/>
      <c r="E470" s="3"/>
      <c r="F470" s="3"/>
      <c r="G470" s="3"/>
      <c r="H470" s="207"/>
      <c r="I470" s="142"/>
      <c r="J470" s="3"/>
      <c r="K470" s="3"/>
      <c r="L470" s="199"/>
      <c r="Q470" s="69"/>
    </row>
    <row r="471">
      <c r="A471" s="3"/>
      <c r="C471" s="207"/>
      <c r="E471" s="3"/>
      <c r="F471" s="3"/>
      <c r="G471" s="3"/>
      <c r="H471" s="207"/>
      <c r="I471" s="142"/>
      <c r="J471" s="3"/>
      <c r="K471" s="3"/>
      <c r="L471" s="199"/>
      <c r="Q471" s="69"/>
    </row>
    <row r="472">
      <c r="A472" s="3"/>
      <c r="C472" s="207"/>
      <c r="E472" s="3"/>
      <c r="F472" s="3"/>
      <c r="G472" s="3"/>
      <c r="H472" s="207"/>
      <c r="I472" s="142"/>
      <c r="J472" s="3"/>
      <c r="K472" s="3"/>
      <c r="L472" s="199"/>
      <c r="Q472" s="69"/>
    </row>
    <row r="473">
      <c r="A473" s="3"/>
      <c r="C473" s="207"/>
      <c r="E473" s="3"/>
      <c r="F473" s="3"/>
      <c r="G473" s="3"/>
      <c r="H473" s="207"/>
      <c r="I473" s="142"/>
      <c r="J473" s="3"/>
      <c r="K473" s="3"/>
      <c r="L473" s="199"/>
      <c r="Q473" s="69"/>
    </row>
    <row r="474">
      <c r="A474" s="3"/>
      <c r="C474" s="207"/>
      <c r="E474" s="3"/>
      <c r="F474" s="3"/>
      <c r="G474" s="3"/>
      <c r="H474" s="207"/>
      <c r="I474" s="142"/>
      <c r="J474" s="3"/>
      <c r="K474" s="3"/>
      <c r="L474" s="199"/>
      <c r="Q474" s="69"/>
    </row>
    <row r="475">
      <c r="A475" s="3"/>
      <c r="C475" s="207"/>
      <c r="E475" s="3"/>
      <c r="F475" s="3"/>
      <c r="G475" s="3"/>
      <c r="H475" s="207"/>
      <c r="I475" s="142"/>
      <c r="J475" s="3"/>
      <c r="K475" s="3"/>
      <c r="L475" s="199"/>
      <c r="Q475" s="69"/>
    </row>
    <row r="476">
      <c r="A476" s="3"/>
      <c r="C476" s="207"/>
      <c r="E476" s="3"/>
      <c r="F476" s="3"/>
      <c r="G476" s="3"/>
      <c r="H476" s="207"/>
      <c r="I476" s="142"/>
      <c r="J476" s="3"/>
      <c r="K476" s="3"/>
      <c r="L476" s="199"/>
      <c r="Q476" s="69"/>
    </row>
    <row r="477">
      <c r="A477" s="3"/>
      <c r="C477" s="207"/>
      <c r="E477" s="3"/>
      <c r="F477" s="3"/>
      <c r="G477" s="3"/>
      <c r="H477" s="207"/>
      <c r="I477" s="142"/>
      <c r="J477" s="3"/>
      <c r="K477" s="3"/>
      <c r="L477" s="199"/>
      <c r="Q477" s="69"/>
    </row>
    <row r="478">
      <c r="A478" s="3"/>
      <c r="C478" s="207"/>
      <c r="E478" s="3"/>
      <c r="F478" s="3"/>
      <c r="G478" s="3"/>
      <c r="H478" s="207"/>
      <c r="I478" s="142"/>
      <c r="J478" s="3"/>
      <c r="K478" s="3"/>
      <c r="L478" s="199"/>
      <c r="Q478" s="69"/>
    </row>
    <row r="479">
      <c r="A479" s="3"/>
      <c r="C479" s="207"/>
      <c r="E479" s="3"/>
      <c r="F479" s="3"/>
      <c r="G479" s="3"/>
      <c r="H479" s="207"/>
      <c r="I479" s="142"/>
      <c r="J479" s="3"/>
      <c r="K479" s="3"/>
      <c r="L479" s="199"/>
      <c r="Q479" s="69"/>
    </row>
    <row r="480">
      <c r="A480" s="3"/>
      <c r="C480" s="207"/>
      <c r="E480" s="3"/>
      <c r="F480" s="3"/>
      <c r="G480" s="3"/>
      <c r="H480" s="207"/>
      <c r="I480" s="142"/>
      <c r="J480" s="3"/>
      <c r="K480" s="3"/>
      <c r="L480" s="199"/>
      <c r="Q480" s="69"/>
    </row>
    <row r="481">
      <c r="A481" s="3"/>
      <c r="C481" s="207"/>
      <c r="E481" s="3"/>
      <c r="F481" s="3"/>
      <c r="G481" s="3"/>
      <c r="H481" s="207"/>
      <c r="I481" s="142"/>
      <c r="J481" s="3"/>
      <c r="K481" s="3"/>
      <c r="L481" s="199"/>
      <c r="Q481" s="69"/>
    </row>
    <row r="482">
      <c r="A482" s="3"/>
      <c r="C482" s="207"/>
      <c r="E482" s="3"/>
      <c r="F482" s="3"/>
      <c r="G482" s="3"/>
      <c r="H482" s="207"/>
      <c r="I482" s="142"/>
      <c r="J482" s="3"/>
      <c r="K482" s="3"/>
      <c r="L482" s="199"/>
      <c r="Q482" s="69"/>
    </row>
    <row r="483">
      <c r="A483" s="3"/>
      <c r="C483" s="207"/>
      <c r="E483" s="3"/>
      <c r="F483" s="3"/>
      <c r="G483" s="3"/>
      <c r="H483" s="207"/>
      <c r="I483" s="142"/>
      <c r="J483" s="3"/>
      <c r="K483" s="3"/>
      <c r="L483" s="199"/>
      <c r="Q483" s="69"/>
    </row>
    <row r="484">
      <c r="A484" s="3"/>
      <c r="C484" s="207"/>
      <c r="E484" s="3"/>
      <c r="F484" s="3"/>
      <c r="G484" s="3"/>
      <c r="H484" s="207"/>
      <c r="I484" s="142"/>
      <c r="J484" s="3"/>
      <c r="K484" s="3"/>
      <c r="L484" s="199"/>
      <c r="Q484" s="69"/>
    </row>
    <row r="485">
      <c r="A485" s="3"/>
      <c r="C485" s="207"/>
      <c r="E485" s="3"/>
      <c r="F485" s="3"/>
      <c r="G485" s="3"/>
      <c r="H485" s="207"/>
      <c r="I485" s="142"/>
      <c r="J485" s="3"/>
      <c r="K485" s="3"/>
      <c r="L485" s="199"/>
      <c r="Q485" s="69"/>
    </row>
    <row r="486">
      <c r="A486" s="3"/>
      <c r="C486" s="207"/>
      <c r="E486" s="3"/>
      <c r="F486" s="3"/>
      <c r="G486" s="3"/>
      <c r="H486" s="207"/>
      <c r="I486" s="142"/>
      <c r="J486" s="3"/>
      <c r="K486" s="3"/>
      <c r="L486" s="199"/>
      <c r="Q486" s="69"/>
    </row>
    <row r="487">
      <c r="A487" s="3"/>
      <c r="C487" s="207"/>
      <c r="E487" s="3"/>
      <c r="F487" s="3"/>
      <c r="G487" s="3"/>
      <c r="H487" s="207"/>
      <c r="I487" s="142"/>
      <c r="J487" s="3"/>
      <c r="K487" s="3"/>
      <c r="L487" s="199"/>
      <c r="Q487" s="69"/>
    </row>
    <row r="488">
      <c r="A488" s="3"/>
      <c r="C488" s="207"/>
      <c r="E488" s="3"/>
      <c r="F488" s="3"/>
      <c r="G488" s="3"/>
      <c r="H488" s="207"/>
      <c r="I488" s="142"/>
      <c r="J488" s="3"/>
      <c r="K488" s="3"/>
      <c r="L488" s="199"/>
      <c r="Q488" s="69"/>
    </row>
    <row r="489">
      <c r="A489" s="3"/>
      <c r="C489" s="207"/>
      <c r="E489" s="3"/>
      <c r="F489" s="3"/>
      <c r="G489" s="3"/>
      <c r="H489" s="207"/>
      <c r="I489" s="142"/>
      <c r="J489" s="3"/>
      <c r="K489" s="3"/>
      <c r="L489" s="199"/>
      <c r="Q489" s="69"/>
    </row>
    <row r="490">
      <c r="A490" s="3"/>
      <c r="C490" s="207"/>
      <c r="E490" s="3"/>
      <c r="F490" s="3"/>
      <c r="G490" s="3"/>
      <c r="H490" s="207"/>
      <c r="I490" s="142"/>
      <c r="J490" s="3"/>
      <c r="K490" s="3"/>
      <c r="L490" s="199"/>
      <c r="Q490" s="69"/>
    </row>
    <row r="491">
      <c r="A491" s="3"/>
      <c r="C491" s="207"/>
      <c r="E491" s="3"/>
      <c r="F491" s="3"/>
      <c r="G491" s="3"/>
      <c r="H491" s="207"/>
      <c r="I491" s="142"/>
      <c r="J491" s="3"/>
      <c r="K491" s="3"/>
      <c r="L491" s="199"/>
      <c r="Q491" s="69"/>
    </row>
    <row r="492">
      <c r="A492" s="3"/>
      <c r="C492" s="207"/>
      <c r="E492" s="3"/>
      <c r="F492" s="3"/>
      <c r="G492" s="3"/>
      <c r="H492" s="207"/>
      <c r="I492" s="142"/>
      <c r="J492" s="3"/>
      <c r="K492" s="3"/>
      <c r="L492" s="199"/>
      <c r="Q492" s="69"/>
    </row>
    <row r="493">
      <c r="A493" s="3"/>
      <c r="C493" s="207"/>
      <c r="E493" s="3"/>
      <c r="F493" s="3"/>
      <c r="G493" s="3"/>
      <c r="H493" s="207"/>
      <c r="I493" s="142"/>
      <c r="J493" s="3"/>
      <c r="K493" s="3"/>
      <c r="L493" s="199"/>
      <c r="Q493" s="69"/>
    </row>
    <row r="494">
      <c r="A494" s="3"/>
      <c r="C494" s="207"/>
      <c r="E494" s="3"/>
      <c r="F494" s="3"/>
      <c r="G494" s="3"/>
      <c r="H494" s="207"/>
      <c r="I494" s="142"/>
      <c r="J494" s="3"/>
      <c r="K494" s="3"/>
      <c r="L494" s="199"/>
      <c r="Q494" s="69"/>
    </row>
    <row r="495">
      <c r="A495" s="3"/>
      <c r="C495" s="207"/>
      <c r="E495" s="3"/>
      <c r="F495" s="3"/>
      <c r="G495" s="3"/>
      <c r="H495" s="207"/>
      <c r="I495" s="142"/>
      <c r="J495" s="3"/>
      <c r="K495" s="3"/>
      <c r="L495" s="199"/>
      <c r="Q495" s="69"/>
    </row>
    <row r="496">
      <c r="A496" s="3"/>
      <c r="C496" s="207"/>
      <c r="E496" s="3"/>
      <c r="F496" s="3"/>
      <c r="G496" s="3"/>
      <c r="H496" s="207"/>
      <c r="I496" s="142"/>
      <c r="J496" s="3"/>
      <c r="K496" s="3"/>
      <c r="L496" s="199"/>
      <c r="Q496" s="69"/>
    </row>
    <row r="497">
      <c r="A497" s="3"/>
      <c r="C497" s="207"/>
      <c r="E497" s="3"/>
      <c r="F497" s="3"/>
      <c r="G497" s="3"/>
      <c r="H497" s="207"/>
      <c r="I497" s="142"/>
      <c r="J497" s="3"/>
      <c r="K497" s="3"/>
      <c r="L497" s="199"/>
      <c r="Q497" s="69"/>
    </row>
    <row r="498">
      <c r="A498" s="3"/>
      <c r="C498" s="207"/>
      <c r="E498" s="3"/>
      <c r="F498" s="3"/>
      <c r="G498" s="3"/>
      <c r="H498" s="207"/>
      <c r="I498" s="142"/>
      <c r="J498" s="3"/>
      <c r="K498" s="3"/>
      <c r="L498" s="199"/>
      <c r="Q498" s="69"/>
    </row>
    <row r="499">
      <c r="A499" s="3"/>
      <c r="C499" s="207"/>
      <c r="E499" s="3"/>
      <c r="F499" s="3"/>
      <c r="G499" s="3"/>
      <c r="H499" s="207"/>
      <c r="I499" s="142"/>
      <c r="J499" s="3"/>
      <c r="K499" s="3"/>
      <c r="L499" s="199"/>
      <c r="Q499" s="69"/>
    </row>
    <row r="500">
      <c r="A500" s="3"/>
      <c r="C500" s="207"/>
      <c r="E500" s="3"/>
      <c r="F500" s="3"/>
      <c r="G500" s="3"/>
      <c r="H500" s="207"/>
      <c r="I500" s="142"/>
      <c r="J500" s="3"/>
      <c r="K500" s="3"/>
      <c r="L500" s="199"/>
      <c r="Q500" s="69"/>
    </row>
    <row r="501">
      <c r="A501" s="3"/>
      <c r="C501" s="207"/>
      <c r="E501" s="3"/>
      <c r="F501" s="3"/>
      <c r="G501" s="3"/>
      <c r="H501" s="207"/>
      <c r="I501" s="142"/>
      <c r="J501" s="3"/>
      <c r="K501" s="3"/>
      <c r="L501" s="199"/>
      <c r="Q501" s="69"/>
    </row>
    <row r="502">
      <c r="A502" s="3"/>
      <c r="C502" s="207"/>
      <c r="E502" s="3"/>
      <c r="F502" s="3"/>
      <c r="G502" s="3"/>
      <c r="H502" s="207"/>
      <c r="I502" s="142"/>
      <c r="J502" s="3"/>
      <c r="K502" s="3"/>
      <c r="L502" s="199"/>
      <c r="Q502" s="69"/>
    </row>
    <row r="503">
      <c r="A503" s="3"/>
      <c r="C503" s="207"/>
      <c r="E503" s="3"/>
      <c r="F503" s="3"/>
      <c r="G503" s="3"/>
      <c r="H503" s="207"/>
      <c r="I503" s="142"/>
      <c r="J503" s="3"/>
      <c r="K503" s="3"/>
      <c r="L503" s="199"/>
      <c r="Q503" s="69"/>
    </row>
    <row r="504">
      <c r="A504" s="3"/>
      <c r="C504" s="207"/>
      <c r="E504" s="3"/>
      <c r="F504" s="3"/>
      <c r="G504" s="3"/>
      <c r="H504" s="207"/>
      <c r="I504" s="142"/>
      <c r="J504" s="3"/>
      <c r="K504" s="3"/>
      <c r="L504" s="199"/>
      <c r="Q504" s="69"/>
    </row>
    <row r="505">
      <c r="A505" s="3"/>
      <c r="C505" s="207"/>
      <c r="E505" s="3"/>
      <c r="F505" s="3"/>
      <c r="G505" s="3"/>
      <c r="H505" s="207"/>
      <c r="I505" s="142"/>
      <c r="J505" s="3"/>
      <c r="K505" s="3"/>
      <c r="L505" s="199"/>
      <c r="Q505" s="69"/>
    </row>
    <row r="506">
      <c r="A506" s="3"/>
      <c r="C506" s="207"/>
      <c r="E506" s="3"/>
      <c r="F506" s="3"/>
      <c r="G506" s="3"/>
      <c r="H506" s="207"/>
      <c r="I506" s="142"/>
      <c r="J506" s="3"/>
      <c r="K506" s="3"/>
      <c r="L506" s="199"/>
      <c r="Q506" s="69"/>
    </row>
    <row r="507">
      <c r="A507" s="3"/>
      <c r="C507" s="207"/>
      <c r="E507" s="3"/>
      <c r="F507" s="3"/>
      <c r="G507" s="3"/>
      <c r="H507" s="207"/>
      <c r="I507" s="142"/>
      <c r="J507" s="3"/>
      <c r="K507" s="3"/>
      <c r="L507" s="199"/>
      <c r="Q507" s="69"/>
    </row>
    <row r="508">
      <c r="A508" s="3"/>
      <c r="C508" s="207"/>
      <c r="E508" s="3"/>
      <c r="F508" s="3"/>
      <c r="G508" s="3"/>
      <c r="H508" s="207"/>
      <c r="I508" s="142"/>
      <c r="J508" s="3"/>
      <c r="K508" s="3"/>
      <c r="L508" s="199"/>
      <c r="Q508" s="69"/>
    </row>
    <row r="509">
      <c r="A509" s="3"/>
      <c r="C509" s="207"/>
      <c r="E509" s="3"/>
      <c r="F509" s="3"/>
      <c r="G509" s="3"/>
      <c r="H509" s="207"/>
      <c r="I509" s="142"/>
      <c r="J509" s="3"/>
      <c r="K509" s="3"/>
      <c r="L509" s="199"/>
      <c r="Q509" s="69"/>
    </row>
    <row r="510">
      <c r="A510" s="3"/>
      <c r="C510" s="207"/>
      <c r="E510" s="3"/>
      <c r="F510" s="3"/>
      <c r="G510" s="3"/>
      <c r="H510" s="207"/>
      <c r="I510" s="142"/>
      <c r="J510" s="3"/>
      <c r="K510" s="3"/>
      <c r="L510" s="199"/>
      <c r="Q510" s="69"/>
    </row>
    <row r="511">
      <c r="A511" s="3"/>
      <c r="C511" s="207"/>
      <c r="E511" s="3"/>
      <c r="F511" s="3"/>
      <c r="G511" s="3"/>
      <c r="H511" s="207"/>
      <c r="I511" s="142"/>
      <c r="J511" s="3"/>
      <c r="K511" s="3"/>
      <c r="L511" s="199"/>
      <c r="Q511" s="69"/>
    </row>
    <row r="512">
      <c r="A512" s="3"/>
      <c r="C512" s="207"/>
      <c r="E512" s="3"/>
      <c r="F512" s="3"/>
      <c r="G512" s="3"/>
      <c r="H512" s="207"/>
      <c r="I512" s="142"/>
      <c r="J512" s="3"/>
      <c r="K512" s="3"/>
      <c r="L512" s="199"/>
      <c r="Q512" s="69"/>
    </row>
    <row r="513">
      <c r="A513" s="3"/>
      <c r="C513" s="207"/>
      <c r="E513" s="3"/>
      <c r="F513" s="3"/>
      <c r="G513" s="3"/>
      <c r="H513" s="207"/>
      <c r="I513" s="142"/>
      <c r="J513" s="3"/>
      <c r="K513" s="3"/>
      <c r="L513" s="199"/>
      <c r="Q513" s="69"/>
    </row>
    <row r="514">
      <c r="A514" s="3"/>
      <c r="C514" s="207"/>
      <c r="E514" s="3"/>
      <c r="F514" s="3"/>
      <c r="G514" s="3"/>
      <c r="H514" s="207"/>
      <c r="I514" s="142"/>
      <c r="J514" s="3"/>
      <c r="K514" s="3"/>
      <c r="L514" s="199"/>
      <c r="Q514" s="69"/>
    </row>
    <row r="515">
      <c r="A515" s="3"/>
      <c r="C515" s="207"/>
      <c r="E515" s="3"/>
      <c r="F515" s="3"/>
      <c r="G515" s="3"/>
      <c r="H515" s="207"/>
      <c r="I515" s="142"/>
      <c r="J515" s="3"/>
      <c r="K515" s="3"/>
      <c r="L515" s="199"/>
      <c r="Q515" s="69"/>
    </row>
    <row r="516">
      <c r="A516" s="3"/>
      <c r="C516" s="207"/>
      <c r="E516" s="3"/>
      <c r="F516" s="3"/>
      <c r="G516" s="3"/>
      <c r="H516" s="207"/>
      <c r="I516" s="142"/>
      <c r="J516" s="3"/>
      <c r="K516" s="3"/>
      <c r="L516" s="199"/>
      <c r="Q516" s="69"/>
    </row>
    <row r="517">
      <c r="A517" s="3"/>
      <c r="C517" s="207"/>
      <c r="E517" s="3"/>
      <c r="F517" s="3"/>
      <c r="G517" s="3"/>
      <c r="H517" s="207"/>
      <c r="I517" s="142"/>
      <c r="J517" s="3"/>
      <c r="K517" s="3"/>
      <c r="L517" s="199"/>
      <c r="Q517" s="69"/>
    </row>
    <row r="518">
      <c r="A518" s="3"/>
      <c r="C518" s="207"/>
      <c r="E518" s="3"/>
      <c r="F518" s="3"/>
      <c r="G518" s="3"/>
      <c r="H518" s="207"/>
      <c r="I518" s="142"/>
      <c r="J518" s="3"/>
      <c r="K518" s="3"/>
      <c r="L518" s="199"/>
      <c r="Q518" s="69"/>
    </row>
    <row r="519">
      <c r="A519" s="3"/>
      <c r="C519" s="207"/>
      <c r="E519" s="3"/>
      <c r="F519" s="3"/>
      <c r="G519" s="3"/>
      <c r="H519" s="207"/>
      <c r="I519" s="142"/>
      <c r="J519" s="3"/>
      <c r="K519" s="3"/>
      <c r="L519" s="199"/>
      <c r="Q519" s="69"/>
    </row>
    <row r="520">
      <c r="A520" s="3"/>
      <c r="C520" s="207"/>
      <c r="E520" s="3"/>
      <c r="F520" s="3"/>
      <c r="G520" s="3"/>
      <c r="H520" s="207"/>
      <c r="I520" s="142"/>
      <c r="J520" s="3"/>
      <c r="K520" s="3"/>
      <c r="L520" s="199"/>
      <c r="Q520" s="69"/>
    </row>
    <row r="521">
      <c r="A521" s="3"/>
      <c r="C521" s="207"/>
      <c r="E521" s="3"/>
      <c r="F521" s="3"/>
      <c r="G521" s="3"/>
      <c r="H521" s="207"/>
      <c r="I521" s="142"/>
      <c r="J521" s="3"/>
      <c r="K521" s="3"/>
      <c r="L521" s="199"/>
      <c r="Q521" s="69"/>
    </row>
    <row r="522">
      <c r="A522" s="3"/>
      <c r="C522" s="207"/>
      <c r="E522" s="3"/>
      <c r="F522" s="3"/>
      <c r="G522" s="3"/>
      <c r="H522" s="207"/>
      <c r="I522" s="142"/>
      <c r="J522" s="3"/>
      <c r="K522" s="3"/>
      <c r="L522" s="199"/>
      <c r="Q522" s="69"/>
    </row>
    <row r="523">
      <c r="A523" s="3"/>
      <c r="C523" s="207"/>
      <c r="E523" s="3"/>
      <c r="F523" s="3"/>
      <c r="G523" s="3"/>
      <c r="H523" s="207"/>
      <c r="I523" s="142"/>
      <c r="J523" s="3"/>
      <c r="K523" s="3"/>
      <c r="L523" s="199"/>
      <c r="Q523" s="69"/>
    </row>
    <row r="524">
      <c r="A524" s="3"/>
      <c r="C524" s="207"/>
      <c r="E524" s="3"/>
      <c r="F524" s="3"/>
      <c r="G524" s="3"/>
      <c r="H524" s="207"/>
      <c r="I524" s="142"/>
      <c r="J524" s="3"/>
      <c r="K524" s="3"/>
      <c r="L524" s="199"/>
      <c r="Q524" s="69"/>
    </row>
    <row r="525">
      <c r="A525" s="3"/>
      <c r="C525" s="207"/>
      <c r="E525" s="3"/>
      <c r="F525" s="3"/>
      <c r="G525" s="3"/>
      <c r="H525" s="207"/>
      <c r="I525" s="142"/>
      <c r="J525" s="3"/>
      <c r="K525" s="3"/>
      <c r="L525" s="199"/>
      <c r="Q525" s="69"/>
    </row>
    <row r="526">
      <c r="A526" s="3"/>
      <c r="C526" s="207"/>
      <c r="E526" s="3"/>
      <c r="F526" s="3"/>
      <c r="G526" s="3"/>
      <c r="H526" s="207"/>
      <c r="I526" s="142"/>
      <c r="J526" s="3"/>
      <c r="K526" s="3"/>
      <c r="L526" s="199"/>
      <c r="Q526" s="69"/>
    </row>
    <row r="527">
      <c r="A527" s="3"/>
      <c r="C527" s="207"/>
      <c r="E527" s="3"/>
      <c r="F527" s="3"/>
      <c r="G527" s="3"/>
      <c r="H527" s="207"/>
      <c r="I527" s="142"/>
      <c r="J527" s="3"/>
      <c r="K527" s="3"/>
      <c r="L527" s="199"/>
      <c r="Q527" s="69"/>
    </row>
    <row r="528">
      <c r="A528" s="3"/>
      <c r="C528" s="207"/>
      <c r="E528" s="3"/>
      <c r="F528" s="3"/>
      <c r="G528" s="3"/>
      <c r="H528" s="207"/>
      <c r="I528" s="142"/>
      <c r="J528" s="3"/>
      <c r="K528" s="3"/>
      <c r="L528" s="199"/>
      <c r="Q528" s="69"/>
    </row>
    <row r="529">
      <c r="A529" s="3"/>
      <c r="C529" s="207"/>
      <c r="E529" s="3"/>
      <c r="F529" s="3"/>
      <c r="G529" s="3"/>
      <c r="H529" s="207"/>
      <c r="I529" s="142"/>
      <c r="J529" s="3"/>
      <c r="K529" s="3"/>
      <c r="L529" s="199"/>
      <c r="Q529" s="69"/>
    </row>
    <row r="530">
      <c r="A530" s="3"/>
      <c r="C530" s="207"/>
      <c r="E530" s="3"/>
      <c r="F530" s="3"/>
      <c r="G530" s="3"/>
      <c r="H530" s="207"/>
      <c r="I530" s="142"/>
      <c r="J530" s="3"/>
      <c r="K530" s="3"/>
      <c r="L530" s="199"/>
      <c r="Q530" s="69"/>
    </row>
    <row r="531">
      <c r="A531" s="3"/>
      <c r="C531" s="207"/>
      <c r="E531" s="3"/>
      <c r="F531" s="3"/>
      <c r="G531" s="3"/>
      <c r="H531" s="207"/>
      <c r="I531" s="142"/>
      <c r="J531" s="3"/>
      <c r="K531" s="3"/>
      <c r="L531" s="199"/>
      <c r="Q531" s="69"/>
    </row>
    <row r="532">
      <c r="A532" s="3"/>
      <c r="C532" s="207"/>
      <c r="E532" s="3"/>
      <c r="F532" s="3"/>
      <c r="G532" s="3"/>
      <c r="H532" s="207"/>
      <c r="I532" s="142"/>
      <c r="J532" s="3"/>
      <c r="K532" s="3"/>
      <c r="L532" s="199"/>
      <c r="Q532" s="69"/>
    </row>
    <row r="533">
      <c r="A533" s="3"/>
      <c r="C533" s="207"/>
      <c r="E533" s="3"/>
      <c r="F533" s="3"/>
      <c r="G533" s="3"/>
      <c r="H533" s="207"/>
      <c r="I533" s="142"/>
      <c r="J533" s="3"/>
      <c r="K533" s="3"/>
      <c r="L533" s="199"/>
      <c r="Q533" s="69"/>
    </row>
    <row r="534">
      <c r="A534" s="3"/>
      <c r="C534" s="207"/>
      <c r="E534" s="3"/>
      <c r="F534" s="3"/>
      <c r="G534" s="3"/>
      <c r="H534" s="207"/>
      <c r="I534" s="142"/>
      <c r="J534" s="3"/>
      <c r="K534" s="3"/>
      <c r="L534" s="199"/>
      <c r="Q534" s="69"/>
    </row>
    <row r="535">
      <c r="A535" s="3"/>
      <c r="C535" s="207"/>
      <c r="E535" s="3"/>
      <c r="F535" s="3"/>
      <c r="G535" s="3"/>
      <c r="H535" s="207"/>
      <c r="I535" s="142"/>
      <c r="J535" s="3"/>
      <c r="K535" s="3"/>
      <c r="L535" s="199"/>
      <c r="Q535" s="69"/>
    </row>
    <row r="536">
      <c r="A536" s="3"/>
      <c r="C536" s="207"/>
      <c r="E536" s="3"/>
      <c r="F536" s="3"/>
      <c r="G536" s="3"/>
      <c r="H536" s="207"/>
      <c r="I536" s="142"/>
      <c r="J536" s="3"/>
      <c r="K536" s="3"/>
      <c r="L536" s="199"/>
      <c r="Q536" s="69"/>
    </row>
    <row r="537">
      <c r="A537" s="3"/>
      <c r="C537" s="207"/>
      <c r="E537" s="3"/>
      <c r="F537" s="3"/>
      <c r="G537" s="3"/>
      <c r="H537" s="207"/>
      <c r="I537" s="142"/>
      <c r="J537" s="3"/>
      <c r="K537" s="3"/>
      <c r="L537" s="199"/>
      <c r="Q537" s="69"/>
    </row>
    <row r="538">
      <c r="A538" s="3"/>
      <c r="C538" s="207"/>
      <c r="E538" s="3"/>
      <c r="F538" s="3"/>
      <c r="G538" s="3"/>
      <c r="H538" s="207"/>
      <c r="I538" s="142"/>
      <c r="J538" s="3"/>
      <c r="K538" s="3"/>
      <c r="L538" s="199"/>
      <c r="Q538" s="69"/>
    </row>
    <row r="539">
      <c r="A539" s="3"/>
      <c r="C539" s="207"/>
      <c r="E539" s="3"/>
      <c r="F539" s="3"/>
      <c r="G539" s="3"/>
      <c r="H539" s="207"/>
      <c r="I539" s="142"/>
      <c r="J539" s="3"/>
      <c r="K539" s="3"/>
      <c r="L539" s="199"/>
      <c r="Q539" s="69"/>
    </row>
    <row r="540">
      <c r="A540" s="3"/>
      <c r="C540" s="207"/>
      <c r="E540" s="3"/>
      <c r="F540" s="3"/>
      <c r="G540" s="3"/>
      <c r="H540" s="207"/>
      <c r="I540" s="142"/>
      <c r="J540" s="3"/>
      <c r="K540" s="3"/>
      <c r="L540" s="199"/>
      <c r="Q540" s="69"/>
    </row>
    <row r="541">
      <c r="A541" s="3"/>
      <c r="C541" s="207"/>
      <c r="E541" s="3"/>
      <c r="F541" s="3"/>
      <c r="G541" s="3"/>
      <c r="H541" s="207"/>
      <c r="I541" s="142"/>
      <c r="J541" s="3"/>
      <c r="K541" s="3"/>
      <c r="L541" s="199"/>
      <c r="Q541" s="69"/>
    </row>
    <row r="542">
      <c r="A542" s="3"/>
      <c r="C542" s="207"/>
      <c r="E542" s="3"/>
      <c r="F542" s="3"/>
      <c r="G542" s="3"/>
      <c r="H542" s="207"/>
      <c r="I542" s="142"/>
      <c r="J542" s="3"/>
      <c r="K542" s="3"/>
      <c r="L542" s="199"/>
      <c r="Q542" s="69"/>
    </row>
    <row r="543">
      <c r="A543" s="3"/>
      <c r="C543" s="207"/>
      <c r="E543" s="3"/>
      <c r="F543" s="3"/>
      <c r="G543" s="3"/>
      <c r="H543" s="207"/>
      <c r="I543" s="142"/>
      <c r="J543" s="3"/>
      <c r="K543" s="3"/>
      <c r="L543" s="199"/>
      <c r="Q543" s="69"/>
    </row>
    <row r="544">
      <c r="A544" s="3"/>
      <c r="C544" s="207"/>
      <c r="E544" s="3"/>
      <c r="F544" s="3"/>
      <c r="G544" s="3"/>
      <c r="H544" s="207"/>
      <c r="I544" s="142"/>
      <c r="J544" s="3"/>
      <c r="K544" s="3"/>
      <c r="L544" s="199"/>
      <c r="Q544" s="69"/>
    </row>
    <row r="545">
      <c r="A545" s="3"/>
      <c r="C545" s="207"/>
      <c r="E545" s="3"/>
      <c r="F545" s="3"/>
      <c r="G545" s="3"/>
      <c r="H545" s="207"/>
      <c r="I545" s="142"/>
      <c r="J545" s="3"/>
      <c r="K545" s="3"/>
      <c r="L545" s="199"/>
      <c r="Q545" s="69"/>
    </row>
    <row r="546">
      <c r="A546" s="3"/>
      <c r="C546" s="207"/>
      <c r="E546" s="3"/>
      <c r="F546" s="3"/>
      <c r="G546" s="3"/>
      <c r="H546" s="207"/>
      <c r="I546" s="142"/>
      <c r="J546" s="3"/>
      <c r="K546" s="3"/>
      <c r="L546" s="199"/>
      <c r="Q546" s="69"/>
    </row>
    <row r="547">
      <c r="A547" s="3"/>
      <c r="C547" s="207"/>
      <c r="E547" s="3"/>
      <c r="F547" s="3"/>
      <c r="G547" s="3"/>
      <c r="H547" s="207"/>
      <c r="I547" s="142"/>
      <c r="J547" s="3"/>
      <c r="K547" s="3"/>
      <c r="L547" s="199"/>
      <c r="Q547" s="69"/>
    </row>
    <row r="548">
      <c r="A548" s="3"/>
      <c r="C548" s="207"/>
      <c r="E548" s="3"/>
      <c r="F548" s="3"/>
      <c r="G548" s="3"/>
      <c r="H548" s="207"/>
      <c r="I548" s="142"/>
      <c r="J548" s="3"/>
      <c r="K548" s="3"/>
      <c r="L548" s="199"/>
      <c r="Q548" s="69"/>
    </row>
    <row r="549">
      <c r="A549" s="3"/>
      <c r="C549" s="207"/>
      <c r="E549" s="3"/>
      <c r="F549" s="3"/>
      <c r="G549" s="3"/>
      <c r="H549" s="207"/>
      <c r="I549" s="142"/>
      <c r="J549" s="3"/>
      <c r="K549" s="3"/>
      <c r="L549" s="199"/>
      <c r="Q549" s="69"/>
    </row>
    <row r="550">
      <c r="A550" s="3"/>
      <c r="C550" s="207"/>
      <c r="E550" s="3"/>
      <c r="F550" s="3"/>
      <c r="G550" s="3"/>
      <c r="H550" s="207"/>
      <c r="I550" s="142"/>
      <c r="J550" s="3"/>
      <c r="K550" s="3"/>
      <c r="L550" s="199"/>
      <c r="Q550" s="69"/>
    </row>
    <row r="551">
      <c r="A551" s="3"/>
      <c r="C551" s="207"/>
      <c r="E551" s="3"/>
      <c r="F551" s="3"/>
      <c r="G551" s="3"/>
      <c r="H551" s="207"/>
      <c r="I551" s="142"/>
      <c r="J551" s="3"/>
      <c r="K551" s="3"/>
      <c r="L551" s="199"/>
      <c r="Q551" s="69"/>
    </row>
    <row r="552">
      <c r="A552" s="3"/>
      <c r="C552" s="207"/>
      <c r="E552" s="3"/>
      <c r="F552" s="3"/>
      <c r="G552" s="3"/>
      <c r="H552" s="207"/>
      <c r="I552" s="142"/>
      <c r="J552" s="3"/>
      <c r="K552" s="3"/>
      <c r="L552" s="199"/>
      <c r="Q552" s="69"/>
    </row>
    <row r="553">
      <c r="A553" s="3"/>
      <c r="C553" s="207"/>
      <c r="E553" s="3"/>
      <c r="F553" s="3"/>
      <c r="G553" s="3"/>
      <c r="H553" s="207"/>
      <c r="I553" s="142"/>
      <c r="J553" s="3"/>
      <c r="K553" s="3"/>
      <c r="L553" s="199"/>
      <c r="Q553" s="69"/>
    </row>
    <row r="554">
      <c r="A554" s="3"/>
      <c r="C554" s="207"/>
      <c r="E554" s="3"/>
      <c r="F554" s="3"/>
      <c r="G554" s="3"/>
      <c r="H554" s="207"/>
      <c r="I554" s="142"/>
      <c r="J554" s="3"/>
      <c r="K554" s="3"/>
      <c r="L554" s="199"/>
      <c r="Q554" s="69"/>
    </row>
    <row r="555">
      <c r="A555" s="3"/>
      <c r="C555" s="207"/>
      <c r="E555" s="3"/>
      <c r="F555" s="3"/>
      <c r="G555" s="3"/>
      <c r="H555" s="207"/>
      <c r="I555" s="142"/>
      <c r="J555" s="3"/>
      <c r="K555" s="3"/>
      <c r="L555" s="199"/>
      <c r="Q555" s="69"/>
    </row>
    <row r="556">
      <c r="A556" s="3"/>
      <c r="C556" s="207"/>
      <c r="E556" s="3"/>
      <c r="F556" s="3"/>
      <c r="G556" s="3"/>
      <c r="H556" s="207"/>
      <c r="I556" s="142"/>
      <c r="J556" s="3"/>
      <c r="K556" s="3"/>
      <c r="L556" s="199"/>
      <c r="Q556" s="69"/>
    </row>
    <row r="557">
      <c r="A557" s="3"/>
      <c r="C557" s="207"/>
      <c r="E557" s="3"/>
      <c r="F557" s="3"/>
      <c r="G557" s="3"/>
      <c r="H557" s="207"/>
      <c r="I557" s="142"/>
      <c r="J557" s="3"/>
      <c r="K557" s="3"/>
      <c r="L557" s="199"/>
      <c r="Q557" s="69"/>
    </row>
    <row r="558">
      <c r="A558" s="3"/>
      <c r="C558" s="207"/>
      <c r="E558" s="3"/>
      <c r="F558" s="3"/>
      <c r="G558" s="3"/>
      <c r="H558" s="207"/>
      <c r="I558" s="142"/>
      <c r="J558" s="3"/>
      <c r="K558" s="3"/>
      <c r="L558" s="199"/>
      <c r="Q558" s="69"/>
    </row>
    <row r="559">
      <c r="A559" s="3"/>
      <c r="C559" s="207"/>
      <c r="E559" s="3"/>
      <c r="F559" s="3"/>
      <c r="G559" s="3"/>
      <c r="H559" s="207"/>
      <c r="I559" s="142"/>
      <c r="J559" s="3"/>
      <c r="K559" s="3"/>
      <c r="L559" s="199"/>
      <c r="Q559" s="69"/>
    </row>
    <row r="560">
      <c r="A560" s="3"/>
      <c r="C560" s="207"/>
      <c r="E560" s="3"/>
      <c r="F560" s="3"/>
      <c r="G560" s="3"/>
      <c r="H560" s="207"/>
      <c r="I560" s="142"/>
      <c r="J560" s="3"/>
      <c r="K560" s="3"/>
      <c r="L560" s="199"/>
      <c r="Q560" s="69"/>
    </row>
    <row r="561">
      <c r="A561" s="3"/>
      <c r="C561" s="207"/>
      <c r="E561" s="3"/>
      <c r="F561" s="3"/>
      <c r="G561" s="3"/>
      <c r="H561" s="207"/>
      <c r="I561" s="142"/>
      <c r="J561" s="3"/>
      <c r="K561" s="3"/>
      <c r="L561" s="199"/>
      <c r="Q561" s="69"/>
    </row>
    <row r="562">
      <c r="A562" s="3"/>
      <c r="C562" s="207"/>
      <c r="E562" s="3"/>
      <c r="F562" s="3"/>
      <c r="G562" s="3"/>
      <c r="H562" s="207"/>
      <c r="I562" s="142"/>
      <c r="J562" s="3"/>
      <c r="K562" s="3"/>
      <c r="L562" s="199"/>
      <c r="Q562" s="69"/>
    </row>
    <row r="563">
      <c r="A563" s="3"/>
      <c r="C563" s="207"/>
      <c r="E563" s="3"/>
      <c r="F563" s="3"/>
      <c r="G563" s="3"/>
      <c r="H563" s="207"/>
      <c r="I563" s="142"/>
      <c r="J563" s="3"/>
      <c r="K563" s="3"/>
      <c r="L563" s="199"/>
      <c r="Q563" s="69"/>
    </row>
    <row r="564">
      <c r="A564" s="3"/>
      <c r="C564" s="207"/>
      <c r="E564" s="3"/>
      <c r="F564" s="3"/>
      <c r="G564" s="3"/>
      <c r="H564" s="207"/>
      <c r="I564" s="142"/>
      <c r="J564" s="3"/>
      <c r="K564" s="3"/>
      <c r="L564" s="199"/>
      <c r="Q564" s="69"/>
    </row>
    <row r="565">
      <c r="A565" s="3"/>
      <c r="C565" s="207"/>
      <c r="E565" s="3"/>
      <c r="F565" s="3"/>
      <c r="G565" s="3"/>
      <c r="H565" s="207"/>
      <c r="I565" s="142"/>
      <c r="J565" s="3"/>
      <c r="K565" s="3"/>
      <c r="L565" s="199"/>
      <c r="Q565" s="69"/>
    </row>
    <row r="566">
      <c r="A566" s="3"/>
      <c r="C566" s="207"/>
      <c r="E566" s="3"/>
      <c r="F566" s="3"/>
      <c r="G566" s="3"/>
      <c r="H566" s="207"/>
      <c r="I566" s="142"/>
      <c r="J566" s="3"/>
      <c r="K566" s="3"/>
      <c r="L566" s="199"/>
      <c r="Q566" s="69"/>
    </row>
    <row r="567">
      <c r="A567" s="3"/>
      <c r="C567" s="207"/>
      <c r="E567" s="3"/>
      <c r="F567" s="3"/>
      <c r="G567" s="3"/>
      <c r="H567" s="207"/>
      <c r="I567" s="142"/>
      <c r="J567" s="3"/>
      <c r="K567" s="3"/>
      <c r="L567" s="199"/>
      <c r="Q567" s="69"/>
    </row>
    <row r="568">
      <c r="A568" s="3"/>
      <c r="C568" s="207"/>
      <c r="E568" s="3"/>
      <c r="F568" s="3"/>
      <c r="G568" s="3"/>
      <c r="H568" s="207"/>
      <c r="I568" s="142"/>
      <c r="J568" s="3"/>
      <c r="K568" s="3"/>
      <c r="L568" s="199"/>
      <c r="Q568" s="69"/>
    </row>
    <row r="569">
      <c r="A569" s="3"/>
      <c r="C569" s="207"/>
      <c r="E569" s="3"/>
      <c r="F569" s="3"/>
      <c r="G569" s="3"/>
      <c r="H569" s="207"/>
      <c r="I569" s="142"/>
      <c r="J569" s="3"/>
      <c r="K569" s="3"/>
      <c r="L569" s="199"/>
      <c r="Q569" s="69"/>
    </row>
    <row r="570">
      <c r="A570" s="3"/>
      <c r="C570" s="207"/>
      <c r="E570" s="3"/>
      <c r="F570" s="3"/>
      <c r="G570" s="3"/>
      <c r="H570" s="207"/>
      <c r="I570" s="142"/>
      <c r="J570" s="3"/>
      <c r="K570" s="3"/>
      <c r="L570" s="199"/>
      <c r="Q570" s="69"/>
    </row>
    <row r="571">
      <c r="A571" s="3"/>
      <c r="C571" s="207"/>
      <c r="E571" s="3"/>
      <c r="F571" s="3"/>
      <c r="G571" s="3"/>
      <c r="H571" s="207"/>
      <c r="I571" s="142"/>
      <c r="J571" s="3"/>
      <c r="K571" s="3"/>
      <c r="L571" s="199"/>
      <c r="Q571" s="69"/>
    </row>
    <row r="572">
      <c r="A572" s="3"/>
      <c r="C572" s="207"/>
      <c r="E572" s="3"/>
      <c r="F572" s="3"/>
      <c r="G572" s="3"/>
      <c r="H572" s="207"/>
      <c r="I572" s="142"/>
      <c r="J572" s="3"/>
      <c r="K572" s="3"/>
      <c r="L572" s="199"/>
      <c r="Q572" s="69"/>
    </row>
    <row r="573">
      <c r="A573" s="3"/>
      <c r="C573" s="207"/>
      <c r="E573" s="3"/>
      <c r="F573" s="3"/>
      <c r="G573" s="3"/>
      <c r="H573" s="207"/>
      <c r="I573" s="142"/>
      <c r="J573" s="3"/>
      <c r="K573" s="3"/>
      <c r="L573" s="199"/>
      <c r="Q573" s="69"/>
    </row>
    <row r="574">
      <c r="A574" s="3"/>
      <c r="C574" s="207"/>
      <c r="E574" s="3"/>
      <c r="F574" s="3"/>
      <c r="G574" s="3"/>
      <c r="H574" s="207"/>
      <c r="I574" s="142"/>
      <c r="J574" s="3"/>
      <c r="K574" s="3"/>
      <c r="L574" s="199"/>
      <c r="Q574" s="69"/>
    </row>
    <row r="575">
      <c r="A575" s="3"/>
      <c r="C575" s="207"/>
      <c r="E575" s="3"/>
      <c r="F575" s="3"/>
      <c r="G575" s="3"/>
      <c r="H575" s="207"/>
      <c r="I575" s="142"/>
      <c r="J575" s="3"/>
      <c r="K575" s="3"/>
      <c r="L575" s="199"/>
      <c r="Q575" s="69"/>
    </row>
    <row r="576">
      <c r="A576" s="3"/>
      <c r="C576" s="207"/>
      <c r="E576" s="3"/>
      <c r="F576" s="3"/>
      <c r="G576" s="3"/>
      <c r="H576" s="207"/>
      <c r="I576" s="142"/>
      <c r="J576" s="3"/>
      <c r="K576" s="3"/>
      <c r="L576" s="199"/>
      <c r="Q576" s="69"/>
    </row>
    <row r="577">
      <c r="A577" s="3"/>
      <c r="C577" s="207"/>
      <c r="E577" s="3"/>
      <c r="F577" s="3"/>
      <c r="G577" s="3"/>
      <c r="H577" s="207"/>
      <c r="I577" s="142"/>
      <c r="J577" s="3"/>
      <c r="K577" s="3"/>
      <c r="L577" s="199"/>
      <c r="Q577" s="69"/>
    </row>
    <row r="578">
      <c r="A578" s="3"/>
      <c r="C578" s="207"/>
      <c r="E578" s="3"/>
      <c r="F578" s="3"/>
      <c r="G578" s="3"/>
      <c r="H578" s="207"/>
      <c r="I578" s="142"/>
      <c r="J578" s="3"/>
      <c r="K578" s="3"/>
      <c r="L578" s="199"/>
      <c r="Q578" s="69"/>
    </row>
    <row r="579">
      <c r="A579" s="3"/>
      <c r="C579" s="207"/>
      <c r="E579" s="3"/>
      <c r="F579" s="3"/>
      <c r="G579" s="3"/>
      <c r="H579" s="207"/>
      <c r="I579" s="142"/>
      <c r="J579" s="3"/>
      <c r="K579" s="3"/>
      <c r="L579" s="199"/>
      <c r="Q579" s="69"/>
    </row>
    <row r="580">
      <c r="A580" s="3"/>
      <c r="C580" s="207"/>
      <c r="E580" s="3"/>
      <c r="F580" s="3"/>
      <c r="G580" s="3"/>
      <c r="H580" s="207"/>
      <c r="I580" s="142"/>
      <c r="J580" s="3"/>
      <c r="K580" s="3"/>
      <c r="L580" s="199"/>
      <c r="Q580" s="69"/>
    </row>
    <row r="581">
      <c r="A581" s="3"/>
      <c r="C581" s="207"/>
      <c r="E581" s="3"/>
      <c r="F581" s="3"/>
      <c r="G581" s="3"/>
      <c r="H581" s="207"/>
      <c r="I581" s="142"/>
      <c r="J581" s="3"/>
      <c r="K581" s="3"/>
      <c r="L581" s="199"/>
      <c r="Q581" s="69"/>
    </row>
    <row r="582">
      <c r="A582" s="3"/>
      <c r="C582" s="207"/>
      <c r="E582" s="3"/>
      <c r="F582" s="3"/>
      <c r="G582" s="3"/>
      <c r="H582" s="207"/>
      <c r="I582" s="142"/>
      <c r="J582" s="3"/>
      <c r="K582" s="3"/>
      <c r="L582" s="199"/>
      <c r="Q582" s="69"/>
    </row>
    <row r="583">
      <c r="A583" s="3"/>
      <c r="C583" s="207"/>
      <c r="E583" s="3"/>
      <c r="F583" s="3"/>
      <c r="G583" s="3"/>
      <c r="H583" s="207"/>
      <c r="I583" s="142"/>
      <c r="J583" s="3"/>
      <c r="K583" s="3"/>
      <c r="L583" s="199"/>
      <c r="Q583" s="69"/>
    </row>
    <row r="584">
      <c r="A584" s="3"/>
      <c r="C584" s="207"/>
      <c r="E584" s="3"/>
      <c r="F584" s="3"/>
      <c r="G584" s="3"/>
      <c r="H584" s="207"/>
      <c r="I584" s="142"/>
      <c r="J584" s="3"/>
      <c r="K584" s="3"/>
      <c r="L584" s="199"/>
      <c r="Q584" s="69"/>
    </row>
    <row r="585">
      <c r="A585" s="3"/>
      <c r="C585" s="207"/>
      <c r="E585" s="3"/>
      <c r="F585" s="3"/>
      <c r="G585" s="3"/>
      <c r="H585" s="207"/>
      <c r="I585" s="142"/>
      <c r="J585" s="3"/>
      <c r="K585" s="3"/>
      <c r="L585" s="199"/>
      <c r="Q585" s="69"/>
    </row>
    <row r="586">
      <c r="A586" s="3"/>
      <c r="C586" s="207"/>
      <c r="E586" s="3"/>
      <c r="F586" s="3"/>
      <c r="G586" s="3"/>
      <c r="H586" s="207"/>
      <c r="I586" s="142"/>
      <c r="J586" s="3"/>
      <c r="K586" s="3"/>
      <c r="L586" s="199"/>
      <c r="Q586" s="69"/>
    </row>
    <row r="587">
      <c r="A587" s="3"/>
      <c r="C587" s="207"/>
      <c r="E587" s="3"/>
      <c r="F587" s="3"/>
      <c r="G587" s="3"/>
      <c r="H587" s="207"/>
      <c r="I587" s="142"/>
      <c r="J587" s="3"/>
      <c r="K587" s="3"/>
      <c r="L587" s="199"/>
      <c r="Q587" s="69"/>
    </row>
    <row r="588">
      <c r="A588" s="3"/>
      <c r="C588" s="207"/>
      <c r="E588" s="3"/>
      <c r="F588" s="3"/>
      <c r="G588" s="3"/>
      <c r="H588" s="207"/>
      <c r="I588" s="142"/>
      <c r="J588" s="3"/>
      <c r="K588" s="3"/>
      <c r="L588" s="199"/>
      <c r="Q588" s="69"/>
    </row>
    <row r="589">
      <c r="A589" s="3"/>
      <c r="C589" s="207"/>
      <c r="E589" s="3"/>
      <c r="F589" s="3"/>
      <c r="G589" s="3"/>
      <c r="H589" s="207"/>
      <c r="I589" s="142"/>
      <c r="J589" s="3"/>
      <c r="K589" s="3"/>
      <c r="L589" s="199"/>
      <c r="Q589" s="69"/>
    </row>
    <row r="590">
      <c r="A590" s="3"/>
      <c r="C590" s="207"/>
      <c r="E590" s="3"/>
      <c r="F590" s="3"/>
      <c r="G590" s="3"/>
      <c r="H590" s="207"/>
      <c r="I590" s="142"/>
      <c r="J590" s="3"/>
      <c r="K590" s="3"/>
      <c r="L590" s="199"/>
      <c r="Q590" s="69"/>
    </row>
    <row r="591">
      <c r="A591" s="3"/>
      <c r="C591" s="207"/>
      <c r="E591" s="3"/>
      <c r="F591" s="3"/>
      <c r="G591" s="3"/>
      <c r="H591" s="207"/>
      <c r="I591" s="142"/>
      <c r="J591" s="3"/>
      <c r="K591" s="3"/>
      <c r="L591" s="199"/>
      <c r="Q591" s="69"/>
    </row>
    <row r="592">
      <c r="A592" s="3"/>
      <c r="C592" s="207"/>
      <c r="E592" s="3"/>
      <c r="F592" s="3"/>
      <c r="G592" s="3"/>
      <c r="H592" s="207"/>
      <c r="I592" s="142"/>
      <c r="J592" s="3"/>
      <c r="K592" s="3"/>
      <c r="L592" s="199"/>
      <c r="Q592" s="69"/>
    </row>
    <row r="593">
      <c r="A593" s="3"/>
      <c r="C593" s="207"/>
      <c r="E593" s="3"/>
      <c r="F593" s="3"/>
      <c r="G593" s="3"/>
      <c r="H593" s="207"/>
      <c r="I593" s="142"/>
      <c r="J593" s="3"/>
      <c r="K593" s="3"/>
      <c r="L593" s="199"/>
      <c r="Q593" s="69"/>
    </row>
    <row r="594">
      <c r="A594" s="3"/>
      <c r="C594" s="207"/>
      <c r="E594" s="3"/>
      <c r="F594" s="3"/>
      <c r="G594" s="3"/>
      <c r="H594" s="207"/>
      <c r="I594" s="142"/>
      <c r="J594" s="3"/>
      <c r="K594" s="3"/>
      <c r="L594" s="199"/>
      <c r="Q594" s="69"/>
    </row>
    <row r="595">
      <c r="A595" s="3"/>
      <c r="C595" s="207"/>
      <c r="E595" s="3"/>
      <c r="F595" s="3"/>
      <c r="G595" s="3"/>
      <c r="H595" s="207"/>
      <c r="I595" s="142"/>
      <c r="J595" s="3"/>
      <c r="K595" s="3"/>
      <c r="L595" s="199"/>
      <c r="Q595" s="69"/>
    </row>
    <row r="596">
      <c r="A596" s="3"/>
      <c r="C596" s="207"/>
      <c r="E596" s="3"/>
      <c r="F596" s="3"/>
      <c r="G596" s="3"/>
      <c r="H596" s="207"/>
      <c r="I596" s="142"/>
      <c r="J596" s="3"/>
      <c r="K596" s="3"/>
      <c r="L596" s="199"/>
      <c r="Q596" s="69"/>
    </row>
    <row r="597">
      <c r="A597" s="3"/>
      <c r="C597" s="207"/>
      <c r="E597" s="3"/>
      <c r="F597" s="3"/>
      <c r="G597" s="3"/>
      <c r="H597" s="207"/>
      <c r="I597" s="142"/>
      <c r="J597" s="3"/>
      <c r="K597" s="3"/>
      <c r="L597" s="199"/>
      <c r="Q597" s="69"/>
    </row>
    <row r="598">
      <c r="A598" s="3"/>
      <c r="C598" s="207"/>
      <c r="E598" s="3"/>
      <c r="F598" s="3"/>
      <c r="G598" s="3"/>
      <c r="H598" s="207"/>
      <c r="I598" s="142"/>
      <c r="J598" s="3"/>
      <c r="K598" s="3"/>
      <c r="L598" s="199"/>
      <c r="Q598" s="69"/>
    </row>
    <row r="599">
      <c r="A599" s="3"/>
      <c r="C599" s="207"/>
      <c r="E599" s="3"/>
      <c r="F599" s="3"/>
      <c r="G599" s="3"/>
      <c r="H599" s="207"/>
      <c r="I599" s="142"/>
      <c r="J599" s="3"/>
      <c r="K599" s="3"/>
      <c r="L599" s="199"/>
      <c r="Q599" s="69"/>
    </row>
    <row r="600">
      <c r="A600" s="3"/>
      <c r="C600" s="207"/>
      <c r="E600" s="3"/>
      <c r="F600" s="3"/>
      <c r="G600" s="3"/>
      <c r="H600" s="207"/>
      <c r="I600" s="142"/>
      <c r="J600" s="3"/>
      <c r="K600" s="3"/>
      <c r="L600" s="199"/>
      <c r="Q600" s="69"/>
    </row>
    <row r="601">
      <c r="A601" s="3"/>
      <c r="C601" s="207"/>
      <c r="E601" s="3"/>
      <c r="F601" s="3"/>
      <c r="G601" s="3"/>
      <c r="H601" s="207"/>
      <c r="I601" s="142"/>
      <c r="J601" s="3"/>
      <c r="K601" s="3"/>
      <c r="L601" s="199"/>
      <c r="Q601" s="69"/>
    </row>
    <row r="602">
      <c r="A602" s="3"/>
      <c r="C602" s="207"/>
      <c r="E602" s="3"/>
      <c r="F602" s="3"/>
      <c r="G602" s="3"/>
      <c r="H602" s="207"/>
      <c r="I602" s="142"/>
      <c r="J602" s="3"/>
      <c r="K602" s="3"/>
      <c r="L602" s="199"/>
      <c r="Q602" s="69"/>
    </row>
    <row r="603">
      <c r="A603" s="3"/>
      <c r="C603" s="207"/>
      <c r="E603" s="3"/>
      <c r="F603" s="3"/>
      <c r="G603" s="3"/>
      <c r="H603" s="207"/>
      <c r="I603" s="142"/>
      <c r="J603" s="3"/>
      <c r="K603" s="3"/>
      <c r="L603" s="199"/>
      <c r="Q603" s="69"/>
    </row>
    <row r="604">
      <c r="A604" s="3"/>
      <c r="C604" s="207"/>
      <c r="E604" s="3"/>
      <c r="F604" s="3"/>
      <c r="G604" s="3"/>
      <c r="H604" s="207"/>
      <c r="I604" s="142"/>
      <c r="J604" s="3"/>
      <c r="K604" s="3"/>
      <c r="L604" s="199"/>
      <c r="Q604" s="69"/>
    </row>
    <row r="605">
      <c r="A605" s="3"/>
      <c r="C605" s="207"/>
      <c r="E605" s="3"/>
      <c r="F605" s="3"/>
      <c r="G605" s="3"/>
      <c r="H605" s="207"/>
      <c r="I605" s="142"/>
      <c r="J605" s="3"/>
      <c r="K605" s="3"/>
      <c r="L605" s="199"/>
      <c r="Q605" s="69"/>
    </row>
    <row r="606">
      <c r="A606" s="3"/>
      <c r="C606" s="207"/>
      <c r="E606" s="3"/>
      <c r="F606" s="3"/>
      <c r="G606" s="3"/>
      <c r="H606" s="207"/>
      <c r="I606" s="142"/>
      <c r="J606" s="3"/>
      <c r="K606" s="3"/>
      <c r="L606" s="199"/>
      <c r="Q606" s="69"/>
    </row>
    <row r="607">
      <c r="A607" s="3"/>
      <c r="C607" s="207"/>
      <c r="E607" s="3"/>
      <c r="F607" s="3"/>
      <c r="G607" s="3"/>
      <c r="H607" s="207"/>
      <c r="I607" s="142"/>
      <c r="J607" s="3"/>
      <c r="K607" s="3"/>
      <c r="L607" s="199"/>
      <c r="Q607" s="69"/>
    </row>
    <row r="608">
      <c r="A608" s="3"/>
      <c r="C608" s="207"/>
      <c r="E608" s="3"/>
      <c r="F608" s="3"/>
      <c r="G608" s="3"/>
      <c r="H608" s="207"/>
      <c r="I608" s="142"/>
      <c r="J608" s="3"/>
      <c r="K608" s="3"/>
      <c r="L608" s="199"/>
      <c r="Q608" s="69"/>
    </row>
    <row r="609">
      <c r="A609" s="3"/>
      <c r="C609" s="207"/>
      <c r="E609" s="3"/>
      <c r="F609" s="3"/>
      <c r="G609" s="3"/>
      <c r="H609" s="207"/>
      <c r="I609" s="142"/>
      <c r="J609" s="3"/>
      <c r="K609" s="3"/>
      <c r="L609" s="199"/>
      <c r="Q609" s="69"/>
    </row>
    <row r="610">
      <c r="A610" s="3"/>
      <c r="C610" s="207"/>
      <c r="E610" s="3"/>
      <c r="F610" s="3"/>
      <c r="G610" s="3"/>
      <c r="H610" s="207"/>
      <c r="I610" s="142"/>
      <c r="J610" s="3"/>
      <c r="K610" s="3"/>
      <c r="L610" s="199"/>
      <c r="Q610" s="69"/>
    </row>
    <row r="611">
      <c r="A611" s="3"/>
      <c r="C611" s="207"/>
      <c r="E611" s="3"/>
      <c r="F611" s="3"/>
      <c r="G611" s="3"/>
      <c r="H611" s="207"/>
      <c r="I611" s="142"/>
      <c r="J611" s="3"/>
      <c r="K611" s="3"/>
      <c r="L611" s="199"/>
      <c r="Q611" s="69"/>
    </row>
    <row r="612">
      <c r="A612" s="3"/>
      <c r="C612" s="207"/>
      <c r="E612" s="3"/>
      <c r="F612" s="3"/>
      <c r="G612" s="3"/>
      <c r="H612" s="207"/>
      <c r="I612" s="142"/>
      <c r="J612" s="3"/>
      <c r="K612" s="3"/>
      <c r="L612" s="199"/>
      <c r="Q612" s="69"/>
    </row>
    <row r="613">
      <c r="A613" s="3"/>
      <c r="C613" s="207"/>
      <c r="E613" s="3"/>
      <c r="F613" s="3"/>
      <c r="G613" s="3"/>
      <c r="H613" s="207"/>
      <c r="I613" s="142"/>
      <c r="J613" s="3"/>
      <c r="K613" s="3"/>
      <c r="L613" s="199"/>
      <c r="Q613" s="69"/>
    </row>
    <row r="614">
      <c r="A614" s="3"/>
      <c r="C614" s="207"/>
      <c r="E614" s="3"/>
      <c r="F614" s="3"/>
      <c r="G614" s="3"/>
      <c r="H614" s="207"/>
      <c r="I614" s="142"/>
      <c r="J614" s="3"/>
      <c r="K614" s="3"/>
      <c r="L614" s="199"/>
      <c r="Q614" s="69"/>
    </row>
    <row r="615">
      <c r="A615" s="3"/>
      <c r="C615" s="207"/>
      <c r="E615" s="3"/>
      <c r="F615" s="3"/>
      <c r="G615" s="3"/>
      <c r="H615" s="207"/>
      <c r="I615" s="142"/>
      <c r="J615" s="3"/>
      <c r="K615" s="3"/>
      <c r="L615" s="199"/>
      <c r="Q615" s="69"/>
    </row>
    <row r="616">
      <c r="A616" s="3"/>
      <c r="C616" s="207"/>
      <c r="E616" s="3"/>
      <c r="F616" s="3"/>
      <c r="G616" s="3"/>
      <c r="H616" s="207"/>
      <c r="I616" s="142"/>
      <c r="J616" s="3"/>
      <c r="K616" s="3"/>
      <c r="L616" s="199"/>
      <c r="Q616" s="69"/>
    </row>
    <row r="617">
      <c r="A617" s="3"/>
      <c r="C617" s="207"/>
      <c r="E617" s="3"/>
      <c r="F617" s="3"/>
      <c r="G617" s="3"/>
      <c r="H617" s="207"/>
      <c r="I617" s="142"/>
      <c r="J617" s="3"/>
      <c r="K617" s="3"/>
      <c r="L617" s="199"/>
      <c r="Q617" s="69"/>
    </row>
    <row r="618">
      <c r="A618" s="3"/>
      <c r="C618" s="207"/>
      <c r="E618" s="3"/>
      <c r="F618" s="3"/>
      <c r="G618" s="3"/>
      <c r="H618" s="207"/>
      <c r="I618" s="142"/>
      <c r="J618" s="3"/>
      <c r="K618" s="3"/>
      <c r="L618" s="199"/>
      <c r="Q618" s="69"/>
    </row>
    <row r="619">
      <c r="A619" s="3"/>
      <c r="C619" s="207"/>
      <c r="E619" s="3"/>
      <c r="F619" s="3"/>
      <c r="G619" s="3"/>
      <c r="H619" s="207"/>
      <c r="I619" s="142"/>
      <c r="J619" s="3"/>
      <c r="K619" s="3"/>
      <c r="L619" s="199"/>
      <c r="Q619" s="69"/>
    </row>
    <row r="620">
      <c r="A620" s="3"/>
      <c r="C620" s="207"/>
      <c r="E620" s="3"/>
      <c r="F620" s="3"/>
      <c r="G620" s="3"/>
      <c r="H620" s="207"/>
      <c r="I620" s="142"/>
      <c r="J620" s="3"/>
      <c r="K620" s="3"/>
      <c r="L620" s="199"/>
      <c r="Q620" s="69"/>
    </row>
    <row r="621">
      <c r="A621" s="3"/>
      <c r="C621" s="207"/>
      <c r="E621" s="3"/>
      <c r="F621" s="3"/>
      <c r="G621" s="3"/>
      <c r="H621" s="207"/>
      <c r="I621" s="142"/>
      <c r="J621" s="3"/>
      <c r="K621" s="3"/>
      <c r="L621" s="199"/>
      <c r="Q621" s="69"/>
    </row>
    <row r="622">
      <c r="A622" s="3"/>
      <c r="C622" s="207"/>
      <c r="E622" s="3"/>
      <c r="F622" s="3"/>
      <c r="G622" s="3"/>
      <c r="H622" s="207"/>
      <c r="I622" s="142"/>
      <c r="J622" s="3"/>
      <c r="K622" s="3"/>
      <c r="L622" s="199"/>
      <c r="Q622" s="69"/>
    </row>
    <row r="623">
      <c r="A623" s="3"/>
      <c r="C623" s="207"/>
      <c r="E623" s="3"/>
      <c r="F623" s="3"/>
      <c r="G623" s="3"/>
      <c r="H623" s="207"/>
      <c r="I623" s="142"/>
      <c r="J623" s="3"/>
      <c r="K623" s="3"/>
      <c r="L623" s="199"/>
      <c r="Q623" s="69"/>
    </row>
    <row r="624">
      <c r="A624" s="3"/>
      <c r="C624" s="207"/>
      <c r="E624" s="3"/>
      <c r="F624" s="3"/>
      <c r="G624" s="3"/>
      <c r="H624" s="207"/>
      <c r="I624" s="142"/>
      <c r="J624" s="3"/>
      <c r="K624" s="3"/>
      <c r="L624" s="199"/>
      <c r="Q624" s="69"/>
    </row>
    <row r="625">
      <c r="A625" s="3"/>
      <c r="C625" s="207"/>
      <c r="E625" s="3"/>
      <c r="F625" s="3"/>
      <c r="G625" s="3"/>
      <c r="H625" s="207"/>
      <c r="I625" s="142"/>
      <c r="J625" s="3"/>
      <c r="K625" s="3"/>
      <c r="L625" s="199"/>
      <c r="Q625" s="69"/>
    </row>
    <row r="626">
      <c r="A626" s="3"/>
      <c r="C626" s="207"/>
      <c r="E626" s="3"/>
      <c r="F626" s="3"/>
      <c r="G626" s="3"/>
      <c r="H626" s="207"/>
      <c r="I626" s="142"/>
      <c r="J626" s="3"/>
      <c r="K626" s="3"/>
      <c r="L626" s="199"/>
      <c r="Q626" s="69"/>
    </row>
    <row r="627">
      <c r="A627" s="3"/>
      <c r="C627" s="207"/>
      <c r="E627" s="3"/>
      <c r="F627" s="3"/>
      <c r="G627" s="3"/>
      <c r="H627" s="207"/>
      <c r="I627" s="142"/>
      <c r="J627" s="3"/>
      <c r="K627" s="3"/>
      <c r="L627" s="199"/>
      <c r="Q627" s="69"/>
    </row>
    <row r="628">
      <c r="A628" s="3"/>
      <c r="C628" s="207"/>
      <c r="E628" s="3"/>
      <c r="F628" s="3"/>
      <c r="G628" s="3"/>
      <c r="H628" s="207"/>
      <c r="I628" s="142"/>
      <c r="J628" s="3"/>
      <c r="K628" s="3"/>
      <c r="L628" s="199"/>
      <c r="Q628" s="69"/>
    </row>
    <row r="629">
      <c r="A629" s="3"/>
      <c r="C629" s="207"/>
      <c r="E629" s="3"/>
      <c r="F629" s="3"/>
      <c r="G629" s="3"/>
      <c r="H629" s="207"/>
      <c r="I629" s="142"/>
      <c r="J629" s="3"/>
      <c r="K629" s="3"/>
      <c r="L629" s="199"/>
      <c r="Q629" s="69"/>
    </row>
    <row r="630">
      <c r="A630" s="3"/>
      <c r="C630" s="207"/>
      <c r="E630" s="3"/>
      <c r="F630" s="3"/>
      <c r="G630" s="3"/>
      <c r="H630" s="207"/>
      <c r="I630" s="142"/>
      <c r="J630" s="3"/>
      <c r="K630" s="3"/>
      <c r="L630" s="199"/>
      <c r="Q630" s="69"/>
    </row>
    <row r="631">
      <c r="A631" s="3"/>
      <c r="C631" s="207"/>
      <c r="E631" s="3"/>
      <c r="F631" s="3"/>
      <c r="G631" s="3"/>
      <c r="H631" s="207"/>
      <c r="I631" s="142"/>
      <c r="J631" s="3"/>
      <c r="K631" s="3"/>
      <c r="L631" s="199"/>
      <c r="Q631" s="69"/>
    </row>
    <row r="632">
      <c r="A632" s="3"/>
      <c r="C632" s="207"/>
      <c r="E632" s="3"/>
      <c r="F632" s="3"/>
      <c r="G632" s="3"/>
      <c r="H632" s="207"/>
      <c r="I632" s="142"/>
      <c r="J632" s="3"/>
      <c r="K632" s="3"/>
      <c r="L632" s="199"/>
      <c r="Q632" s="69"/>
    </row>
    <row r="633">
      <c r="A633" s="3"/>
      <c r="C633" s="207"/>
      <c r="E633" s="3"/>
      <c r="F633" s="3"/>
      <c r="G633" s="3"/>
      <c r="H633" s="207"/>
      <c r="I633" s="142"/>
      <c r="J633" s="3"/>
      <c r="K633" s="3"/>
      <c r="L633" s="199"/>
      <c r="Q633" s="69"/>
    </row>
    <row r="634">
      <c r="A634" s="3"/>
      <c r="C634" s="207"/>
      <c r="E634" s="3"/>
      <c r="F634" s="3"/>
      <c r="G634" s="3"/>
      <c r="H634" s="207"/>
      <c r="I634" s="142"/>
      <c r="J634" s="3"/>
      <c r="K634" s="3"/>
      <c r="L634" s="199"/>
      <c r="Q634" s="69"/>
    </row>
    <row r="635">
      <c r="A635" s="3"/>
      <c r="C635" s="207"/>
      <c r="E635" s="3"/>
      <c r="F635" s="3"/>
      <c r="G635" s="3"/>
      <c r="H635" s="207"/>
      <c r="I635" s="142"/>
      <c r="J635" s="3"/>
      <c r="K635" s="3"/>
      <c r="L635" s="199"/>
      <c r="Q635" s="69"/>
    </row>
    <row r="636">
      <c r="A636" s="3"/>
      <c r="C636" s="207"/>
      <c r="E636" s="3"/>
      <c r="F636" s="3"/>
      <c r="G636" s="3"/>
      <c r="H636" s="207"/>
      <c r="I636" s="142"/>
      <c r="J636" s="3"/>
      <c r="K636" s="3"/>
      <c r="L636" s="199"/>
      <c r="Q636" s="69"/>
    </row>
    <row r="637">
      <c r="A637" s="3"/>
      <c r="C637" s="207"/>
      <c r="E637" s="3"/>
      <c r="F637" s="3"/>
      <c r="G637" s="3"/>
      <c r="H637" s="207"/>
      <c r="I637" s="142"/>
      <c r="J637" s="3"/>
      <c r="K637" s="3"/>
      <c r="L637" s="199"/>
      <c r="Q637" s="69"/>
    </row>
    <row r="638">
      <c r="A638" s="3"/>
      <c r="C638" s="207"/>
      <c r="E638" s="3"/>
      <c r="F638" s="3"/>
      <c r="G638" s="3"/>
      <c r="H638" s="207"/>
      <c r="I638" s="142"/>
      <c r="J638" s="3"/>
      <c r="K638" s="3"/>
      <c r="L638" s="199"/>
      <c r="Q638" s="69"/>
    </row>
    <row r="639">
      <c r="A639" s="3"/>
      <c r="C639" s="207"/>
      <c r="E639" s="3"/>
      <c r="F639" s="3"/>
      <c r="G639" s="3"/>
      <c r="H639" s="207"/>
      <c r="I639" s="142"/>
      <c r="J639" s="3"/>
      <c r="K639" s="3"/>
      <c r="L639" s="199"/>
      <c r="Q639" s="69"/>
    </row>
    <row r="640">
      <c r="A640" s="3"/>
      <c r="C640" s="207"/>
      <c r="E640" s="3"/>
      <c r="F640" s="3"/>
      <c r="G640" s="3"/>
      <c r="H640" s="207"/>
      <c r="I640" s="142"/>
      <c r="J640" s="3"/>
      <c r="K640" s="3"/>
      <c r="L640" s="199"/>
      <c r="Q640" s="69"/>
    </row>
    <row r="641">
      <c r="A641" s="3"/>
      <c r="C641" s="207"/>
      <c r="E641" s="3"/>
      <c r="F641" s="3"/>
      <c r="G641" s="3"/>
      <c r="H641" s="207"/>
      <c r="I641" s="142"/>
      <c r="J641" s="3"/>
      <c r="K641" s="3"/>
      <c r="L641" s="199"/>
      <c r="Q641" s="69"/>
    </row>
    <row r="642">
      <c r="A642" s="3"/>
      <c r="C642" s="207"/>
      <c r="E642" s="3"/>
      <c r="F642" s="3"/>
      <c r="G642" s="3"/>
      <c r="H642" s="207"/>
      <c r="I642" s="142"/>
      <c r="J642" s="3"/>
      <c r="K642" s="3"/>
      <c r="L642" s="199"/>
      <c r="Q642" s="69"/>
    </row>
    <row r="643">
      <c r="A643" s="3"/>
      <c r="C643" s="207"/>
      <c r="E643" s="3"/>
      <c r="F643" s="3"/>
      <c r="G643" s="3"/>
      <c r="H643" s="207"/>
      <c r="I643" s="142"/>
      <c r="J643" s="3"/>
      <c r="K643" s="3"/>
      <c r="L643" s="199"/>
      <c r="Q643" s="69"/>
    </row>
    <row r="644">
      <c r="A644" s="3"/>
      <c r="C644" s="207"/>
      <c r="E644" s="3"/>
      <c r="F644" s="3"/>
      <c r="G644" s="3"/>
      <c r="H644" s="207"/>
      <c r="I644" s="142"/>
      <c r="J644" s="3"/>
      <c r="K644" s="3"/>
      <c r="L644" s="199"/>
      <c r="Q644" s="69"/>
    </row>
    <row r="645">
      <c r="A645" s="3"/>
      <c r="C645" s="207"/>
      <c r="E645" s="3"/>
      <c r="F645" s="3"/>
      <c r="G645" s="3"/>
      <c r="H645" s="207"/>
      <c r="I645" s="142"/>
      <c r="J645" s="3"/>
      <c r="K645" s="3"/>
      <c r="L645" s="199"/>
      <c r="Q645" s="69"/>
    </row>
    <row r="646">
      <c r="A646" s="3"/>
      <c r="C646" s="207"/>
      <c r="E646" s="3"/>
      <c r="F646" s="3"/>
      <c r="G646" s="3"/>
      <c r="H646" s="207"/>
      <c r="I646" s="142"/>
      <c r="J646" s="3"/>
      <c r="K646" s="3"/>
      <c r="L646" s="199"/>
      <c r="Q646" s="69"/>
    </row>
    <row r="647">
      <c r="A647" s="3"/>
      <c r="C647" s="207"/>
      <c r="E647" s="3"/>
      <c r="F647" s="3"/>
      <c r="G647" s="3"/>
      <c r="H647" s="207"/>
      <c r="I647" s="142"/>
      <c r="J647" s="3"/>
      <c r="K647" s="3"/>
      <c r="L647" s="199"/>
      <c r="Q647" s="69"/>
    </row>
    <row r="648">
      <c r="A648" s="3"/>
      <c r="C648" s="207"/>
      <c r="E648" s="3"/>
      <c r="F648" s="3"/>
      <c r="G648" s="3"/>
      <c r="H648" s="207"/>
      <c r="I648" s="142"/>
      <c r="J648" s="3"/>
      <c r="K648" s="3"/>
      <c r="L648" s="199"/>
      <c r="Q648" s="69"/>
    </row>
    <row r="649">
      <c r="A649" s="3"/>
      <c r="C649" s="207"/>
      <c r="E649" s="3"/>
      <c r="F649" s="3"/>
      <c r="G649" s="3"/>
      <c r="H649" s="207"/>
      <c r="I649" s="142"/>
      <c r="J649" s="3"/>
      <c r="K649" s="3"/>
      <c r="L649" s="199"/>
      <c r="Q649" s="69"/>
    </row>
    <row r="650">
      <c r="A650" s="3"/>
      <c r="C650" s="207"/>
      <c r="E650" s="3"/>
      <c r="F650" s="3"/>
      <c r="G650" s="3"/>
      <c r="H650" s="207"/>
      <c r="I650" s="142"/>
      <c r="J650" s="3"/>
      <c r="K650" s="3"/>
      <c r="L650" s="199"/>
      <c r="Q650" s="69"/>
    </row>
    <row r="651">
      <c r="A651" s="3"/>
      <c r="C651" s="207"/>
      <c r="E651" s="3"/>
      <c r="F651" s="3"/>
      <c r="G651" s="3"/>
      <c r="H651" s="207"/>
      <c r="I651" s="142"/>
      <c r="J651" s="3"/>
      <c r="K651" s="3"/>
      <c r="L651" s="199"/>
      <c r="Q651" s="69"/>
    </row>
    <row r="652">
      <c r="A652" s="3"/>
      <c r="C652" s="207"/>
      <c r="E652" s="3"/>
      <c r="F652" s="3"/>
      <c r="G652" s="3"/>
      <c r="H652" s="207"/>
      <c r="I652" s="142"/>
      <c r="J652" s="3"/>
      <c r="K652" s="3"/>
      <c r="L652" s="199"/>
      <c r="Q652" s="69"/>
    </row>
    <row r="653">
      <c r="A653" s="3"/>
      <c r="C653" s="207"/>
      <c r="E653" s="3"/>
      <c r="F653" s="3"/>
      <c r="G653" s="3"/>
      <c r="H653" s="207"/>
      <c r="I653" s="142"/>
      <c r="J653" s="3"/>
      <c r="K653" s="3"/>
      <c r="L653" s="199"/>
      <c r="Q653" s="69"/>
    </row>
    <row r="654">
      <c r="A654" s="3"/>
      <c r="C654" s="207"/>
      <c r="E654" s="3"/>
      <c r="F654" s="3"/>
      <c r="G654" s="3"/>
      <c r="H654" s="207"/>
      <c r="I654" s="142"/>
      <c r="J654" s="3"/>
      <c r="K654" s="3"/>
      <c r="L654" s="199"/>
      <c r="Q654" s="69"/>
    </row>
    <row r="655">
      <c r="A655" s="3"/>
      <c r="C655" s="207"/>
      <c r="E655" s="3"/>
      <c r="F655" s="3"/>
      <c r="G655" s="3"/>
      <c r="H655" s="207"/>
      <c r="I655" s="142"/>
      <c r="J655" s="3"/>
      <c r="K655" s="3"/>
      <c r="L655" s="199"/>
      <c r="Q655" s="69"/>
    </row>
    <row r="656">
      <c r="A656" s="3"/>
      <c r="C656" s="207"/>
      <c r="E656" s="3"/>
      <c r="F656" s="3"/>
      <c r="G656" s="3"/>
      <c r="H656" s="207"/>
      <c r="I656" s="142"/>
      <c r="J656" s="3"/>
      <c r="K656" s="3"/>
      <c r="L656" s="199"/>
      <c r="Q656" s="69"/>
    </row>
    <row r="657">
      <c r="A657" s="3"/>
      <c r="C657" s="207"/>
      <c r="E657" s="3"/>
      <c r="F657" s="3"/>
      <c r="G657" s="3"/>
      <c r="H657" s="207"/>
      <c r="I657" s="142"/>
      <c r="J657" s="3"/>
      <c r="K657" s="3"/>
      <c r="L657" s="199"/>
      <c r="Q657" s="69"/>
    </row>
    <row r="658">
      <c r="A658" s="3"/>
      <c r="C658" s="207"/>
      <c r="E658" s="3"/>
      <c r="F658" s="3"/>
      <c r="G658" s="3"/>
      <c r="H658" s="207"/>
      <c r="I658" s="142"/>
      <c r="J658" s="3"/>
      <c r="K658" s="3"/>
      <c r="L658" s="199"/>
      <c r="Q658" s="69"/>
    </row>
    <row r="659">
      <c r="A659" s="3"/>
      <c r="C659" s="207"/>
      <c r="E659" s="3"/>
      <c r="F659" s="3"/>
      <c r="G659" s="3"/>
      <c r="H659" s="207"/>
      <c r="I659" s="142"/>
      <c r="J659" s="3"/>
      <c r="K659" s="3"/>
      <c r="L659" s="199"/>
      <c r="Q659" s="69"/>
    </row>
    <row r="660">
      <c r="A660" s="3"/>
      <c r="C660" s="207"/>
      <c r="E660" s="3"/>
      <c r="F660" s="3"/>
      <c r="G660" s="3"/>
      <c r="H660" s="207"/>
      <c r="I660" s="142"/>
      <c r="J660" s="3"/>
      <c r="K660" s="3"/>
      <c r="L660" s="199"/>
      <c r="Q660" s="69"/>
    </row>
    <row r="661">
      <c r="A661" s="3"/>
      <c r="C661" s="207"/>
      <c r="E661" s="3"/>
      <c r="F661" s="3"/>
      <c r="G661" s="3"/>
      <c r="H661" s="207"/>
      <c r="I661" s="142"/>
      <c r="J661" s="3"/>
      <c r="K661" s="3"/>
      <c r="L661" s="199"/>
      <c r="Q661" s="69"/>
    </row>
    <row r="662">
      <c r="A662" s="3"/>
      <c r="C662" s="207"/>
      <c r="E662" s="3"/>
      <c r="F662" s="3"/>
      <c r="G662" s="3"/>
      <c r="H662" s="207"/>
      <c r="I662" s="142"/>
      <c r="J662" s="3"/>
      <c r="K662" s="3"/>
      <c r="L662" s="199"/>
      <c r="Q662" s="69"/>
    </row>
    <row r="663">
      <c r="A663" s="3"/>
      <c r="C663" s="207"/>
      <c r="E663" s="3"/>
      <c r="F663" s="3"/>
      <c r="G663" s="3"/>
      <c r="H663" s="207"/>
      <c r="I663" s="142"/>
      <c r="J663" s="3"/>
      <c r="K663" s="3"/>
      <c r="L663" s="199"/>
      <c r="Q663" s="69"/>
    </row>
    <row r="664">
      <c r="A664" s="3"/>
      <c r="C664" s="207"/>
      <c r="E664" s="3"/>
      <c r="F664" s="3"/>
      <c r="G664" s="3"/>
      <c r="H664" s="207"/>
      <c r="I664" s="142"/>
      <c r="J664" s="3"/>
      <c r="K664" s="3"/>
      <c r="L664" s="199"/>
      <c r="Q664" s="69"/>
    </row>
    <row r="665">
      <c r="A665" s="3"/>
      <c r="C665" s="207"/>
      <c r="E665" s="3"/>
      <c r="F665" s="3"/>
      <c r="G665" s="3"/>
      <c r="H665" s="207"/>
      <c r="I665" s="142"/>
      <c r="J665" s="3"/>
      <c r="K665" s="3"/>
      <c r="L665" s="199"/>
      <c r="Q665" s="69"/>
    </row>
    <row r="666">
      <c r="A666" s="3"/>
      <c r="C666" s="207"/>
      <c r="E666" s="3"/>
      <c r="F666" s="3"/>
      <c r="G666" s="3"/>
      <c r="H666" s="207"/>
      <c r="I666" s="142"/>
      <c r="J666" s="3"/>
      <c r="K666" s="3"/>
      <c r="L666" s="199"/>
      <c r="Q666" s="69"/>
    </row>
    <row r="667">
      <c r="A667" s="3"/>
      <c r="C667" s="207"/>
      <c r="E667" s="3"/>
      <c r="F667" s="3"/>
      <c r="G667" s="3"/>
      <c r="H667" s="207"/>
      <c r="I667" s="142"/>
      <c r="J667" s="3"/>
      <c r="K667" s="3"/>
      <c r="L667" s="199"/>
      <c r="Q667" s="69"/>
    </row>
    <row r="668">
      <c r="A668" s="3"/>
      <c r="C668" s="207"/>
      <c r="E668" s="3"/>
      <c r="F668" s="3"/>
      <c r="G668" s="3"/>
      <c r="H668" s="207"/>
      <c r="I668" s="142"/>
      <c r="J668" s="3"/>
      <c r="K668" s="3"/>
      <c r="L668" s="199"/>
      <c r="Q668" s="69"/>
    </row>
    <row r="669">
      <c r="A669" s="3"/>
      <c r="C669" s="207"/>
      <c r="E669" s="3"/>
      <c r="F669" s="3"/>
      <c r="G669" s="3"/>
      <c r="H669" s="207"/>
      <c r="I669" s="142"/>
      <c r="J669" s="3"/>
      <c r="K669" s="3"/>
      <c r="L669" s="199"/>
      <c r="Q669" s="69"/>
    </row>
    <row r="670">
      <c r="A670" s="3"/>
      <c r="C670" s="207"/>
      <c r="E670" s="3"/>
      <c r="F670" s="3"/>
      <c r="G670" s="3"/>
      <c r="H670" s="207"/>
      <c r="I670" s="142"/>
      <c r="J670" s="3"/>
      <c r="K670" s="3"/>
      <c r="L670" s="199"/>
      <c r="Q670" s="69"/>
    </row>
    <row r="671">
      <c r="A671" s="3"/>
      <c r="C671" s="207"/>
      <c r="E671" s="3"/>
      <c r="F671" s="3"/>
      <c r="G671" s="3"/>
      <c r="H671" s="207"/>
      <c r="I671" s="142"/>
      <c r="J671" s="3"/>
      <c r="K671" s="3"/>
      <c r="L671" s="199"/>
      <c r="Q671" s="69"/>
    </row>
    <row r="672">
      <c r="A672" s="3"/>
      <c r="C672" s="207"/>
      <c r="E672" s="3"/>
      <c r="F672" s="3"/>
      <c r="G672" s="3"/>
      <c r="H672" s="207"/>
      <c r="I672" s="142"/>
      <c r="J672" s="3"/>
      <c r="K672" s="3"/>
      <c r="L672" s="199"/>
      <c r="Q672" s="69"/>
    </row>
    <row r="673">
      <c r="A673" s="3"/>
      <c r="C673" s="207"/>
      <c r="E673" s="3"/>
      <c r="F673" s="3"/>
      <c r="G673" s="3"/>
      <c r="H673" s="207"/>
      <c r="I673" s="142"/>
      <c r="J673" s="3"/>
      <c r="K673" s="3"/>
      <c r="L673" s="199"/>
      <c r="Q673" s="69"/>
    </row>
    <row r="674">
      <c r="A674" s="3"/>
      <c r="C674" s="207"/>
      <c r="E674" s="3"/>
      <c r="F674" s="3"/>
      <c r="G674" s="3"/>
      <c r="H674" s="207"/>
      <c r="I674" s="142"/>
      <c r="J674" s="3"/>
      <c r="K674" s="3"/>
      <c r="L674" s="199"/>
      <c r="Q674" s="69"/>
    </row>
    <row r="675">
      <c r="A675" s="3"/>
      <c r="C675" s="207"/>
      <c r="E675" s="3"/>
      <c r="F675" s="3"/>
      <c r="G675" s="3"/>
      <c r="H675" s="207"/>
      <c r="I675" s="142"/>
      <c r="J675" s="3"/>
      <c r="K675" s="3"/>
      <c r="L675" s="199"/>
      <c r="Q675" s="69"/>
    </row>
    <row r="676">
      <c r="A676" s="3"/>
      <c r="C676" s="207"/>
      <c r="E676" s="3"/>
      <c r="F676" s="3"/>
      <c r="G676" s="3"/>
      <c r="H676" s="207"/>
      <c r="I676" s="142"/>
      <c r="J676" s="3"/>
      <c r="K676" s="3"/>
      <c r="L676" s="199"/>
      <c r="Q676" s="69"/>
    </row>
    <row r="677">
      <c r="A677" s="3"/>
      <c r="C677" s="207"/>
      <c r="E677" s="3"/>
      <c r="F677" s="3"/>
      <c r="G677" s="3"/>
      <c r="H677" s="207"/>
      <c r="I677" s="142"/>
      <c r="J677" s="3"/>
      <c r="K677" s="3"/>
      <c r="L677" s="199"/>
      <c r="Q677" s="69"/>
    </row>
    <row r="678">
      <c r="A678" s="3"/>
      <c r="C678" s="207"/>
      <c r="E678" s="3"/>
      <c r="F678" s="3"/>
      <c r="G678" s="3"/>
      <c r="H678" s="207"/>
      <c r="I678" s="142"/>
      <c r="J678" s="3"/>
      <c r="K678" s="3"/>
      <c r="L678" s="199"/>
      <c r="Q678" s="69"/>
    </row>
    <row r="679">
      <c r="A679" s="3"/>
      <c r="C679" s="207"/>
      <c r="E679" s="3"/>
      <c r="F679" s="3"/>
      <c r="G679" s="3"/>
      <c r="H679" s="207"/>
      <c r="I679" s="142"/>
      <c r="J679" s="3"/>
      <c r="K679" s="3"/>
      <c r="L679" s="199"/>
      <c r="Q679" s="69"/>
    </row>
    <row r="680">
      <c r="A680" s="3"/>
      <c r="C680" s="207"/>
      <c r="E680" s="3"/>
      <c r="F680" s="3"/>
      <c r="G680" s="3"/>
      <c r="H680" s="207"/>
      <c r="I680" s="142"/>
      <c r="J680" s="3"/>
      <c r="K680" s="3"/>
      <c r="L680" s="199"/>
      <c r="Q680" s="69"/>
    </row>
    <row r="681">
      <c r="A681" s="3"/>
      <c r="C681" s="207"/>
      <c r="E681" s="3"/>
      <c r="F681" s="3"/>
      <c r="G681" s="3"/>
      <c r="H681" s="207"/>
      <c r="I681" s="142"/>
      <c r="J681" s="3"/>
      <c r="K681" s="3"/>
      <c r="L681" s="199"/>
      <c r="Q681" s="69"/>
    </row>
    <row r="682">
      <c r="A682" s="3"/>
      <c r="C682" s="207"/>
      <c r="E682" s="3"/>
      <c r="F682" s="3"/>
      <c r="G682" s="3"/>
      <c r="H682" s="207"/>
      <c r="I682" s="142"/>
      <c r="J682" s="3"/>
      <c r="K682" s="3"/>
      <c r="L682" s="199"/>
      <c r="Q682" s="69"/>
    </row>
    <row r="683">
      <c r="A683" s="3"/>
      <c r="C683" s="207"/>
      <c r="E683" s="3"/>
      <c r="F683" s="3"/>
      <c r="G683" s="3"/>
      <c r="H683" s="207"/>
      <c r="I683" s="142"/>
      <c r="J683" s="3"/>
      <c r="K683" s="3"/>
      <c r="L683" s="199"/>
      <c r="Q683" s="69"/>
    </row>
    <row r="684">
      <c r="A684" s="3"/>
      <c r="C684" s="207"/>
      <c r="E684" s="3"/>
      <c r="F684" s="3"/>
      <c r="G684" s="3"/>
      <c r="H684" s="207"/>
      <c r="I684" s="142"/>
      <c r="J684" s="3"/>
      <c r="K684" s="3"/>
      <c r="L684" s="199"/>
      <c r="Q684" s="69"/>
    </row>
    <row r="685">
      <c r="A685" s="3"/>
      <c r="C685" s="207"/>
      <c r="E685" s="3"/>
      <c r="F685" s="3"/>
      <c r="G685" s="3"/>
      <c r="H685" s="207"/>
      <c r="I685" s="142"/>
      <c r="J685" s="3"/>
      <c r="K685" s="3"/>
      <c r="L685" s="199"/>
      <c r="Q685" s="69"/>
    </row>
    <row r="686">
      <c r="A686" s="3"/>
      <c r="C686" s="207"/>
      <c r="E686" s="3"/>
      <c r="F686" s="3"/>
      <c r="G686" s="3"/>
      <c r="H686" s="207"/>
      <c r="I686" s="142"/>
      <c r="J686" s="3"/>
      <c r="K686" s="3"/>
      <c r="L686" s="199"/>
      <c r="Q686" s="69"/>
    </row>
    <row r="687">
      <c r="A687" s="3"/>
      <c r="C687" s="207"/>
      <c r="E687" s="3"/>
      <c r="F687" s="3"/>
      <c r="G687" s="3"/>
      <c r="H687" s="207"/>
      <c r="I687" s="142"/>
      <c r="J687" s="3"/>
      <c r="K687" s="3"/>
      <c r="L687" s="199"/>
      <c r="Q687" s="69"/>
    </row>
    <row r="688">
      <c r="A688" s="3"/>
      <c r="C688" s="207"/>
      <c r="E688" s="3"/>
      <c r="F688" s="3"/>
      <c r="G688" s="3"/>
      <c r="H688" s="207"/>
      <c r="I688" s="142"/>
      <c r="J688" s="3"/>
      <c r="K688" s="3"/>
      <c r="L688" s="199"/>
      <c r="Q688" s="69"/>
    </row>
    <row r="689">
      <c r="A689" s="3"/>
      <c r="C689" s="207"/>
      <c r="E689" s="3"/>
      <c r="F689" s="3"/>
      <c r="G689" s="3"/>
      <c r="H689" s="207"/>
      <c r="I689" s="142"/>
      <c r="J689" s="3"/>
      <c r="K689" s="3"/>
      <c r="L689" s="199"/>
      <c r="Q689" s="69"/>
    </row>
    <row r="690">
      <c r="A690" s="3"/>
      <c r="C690" s="207"/>
      <c r="E690" s="3"/>
      <c r="F690" s="3"/>
      <c r="G690" s="3"/>
      <c r="H690" s="207"/>
      <c r="I690" s="142"/>
      <c r="J690" s="3"/>
      <c r="K690" s="3"/>
      <c r="L690" s="199"/>
      <c r="Q690" s="69"/>
    </row>
    <row r="691">
      <c r="A691" s="3"/>
      <c r="C691" s="207"/>
      <c r="E691" s="3"/>
      <c r="F691" s="3"/>
      <c r="G691" s="3"/>
      <c r="H691" s="207"/>
      <c r="I691" s="142"/>
      <c r="J691" s="3"/>
      <c r="K691" s="3"/>
      <c r="L691" s="199"/>
      <c r="Q691" s="69"/>
    </row>
    <row r="692">
      <c r="A692" s="3"/>
      <c r="C692" s="207"/>
      <c r="E692" s="3"/>
      <c r="F692" s="3"/>
      <c r="G692" s="3"/>
      <c r="H692" s="207"/>
      <c r="I692" s="142"/>
      <c r="J692" s="3"/>
      <c r="K692" s="3"/>
      <c r="L692" s="199"/>
      <c r="Q692" s="69"/>
    </row>
    <row r="693">
      <c r="A693" s="3"/>
      <c r="C693" s="207"/>
      <c r="E693" s="3"/>
      <c r="F693" s="3"/>
      <c r="G693" s="3"/>
      <c r="H693" s="207"/>
      <c r="I693" s="142"/>
      <c r="J693" s="3"/>
      <c r="K693" s="3"/>
      <c r="L693" s="199"/>
      <c r="Q693" s="69"/>
    </row>
    <row r="694">
      <c r="A694" s="3"/>
      <c r="C694" s="207"/>
      <c r="E694" s="3"/>
      <c r="F694" s="3"/>
      <c r="G694" s="3"/>
      <c r="H694" s="207"/>
      <c r="I694" s="142"/>
      <c r="J694" s="3"/>
      <c r="K694" s="3"/>
      <c r="L694" s="199"/>
      <c r="Q694" s="69"/>
    </row>
    <row r="695">
      <c r="A695" s="3"/>
      <c r="C695" s="207"/>
      <c r="E695" s="3"/>
      <c r="F695" s="3"/>
      <c r="G695" s="3"/>
      <c r="H695" s="207"/>
      <c r="I695" s="142"/>
      <c r="J695" s="3"/>
      <c r="K695" s="3"/>
      <c r="L695" s="199"/>
      <c r="Q695" s="69"/>
    </row>
    <row r="696">
      <c r="A696" s="3"/>
      <c r="C696" s="207"/>
      <c r="E696" s="3"/>
      <c r="F696" s="3"/>
      <c r="G696" s="3"/>
      <c r="H696" s="207"/>
      <c r="I696" s="142"/>
      <c r="J696" s="3"/>
      <c r="K696" s="3"/>
      <c r="L696" s="199"/>
      <c r="Q696" s="69"/>
    </row>
    <row r="697">
      <c r="A697" s="3"/>
      <c r="C697" s="207"/>
      <c r="E697" s="3"/>
      <c r="F697" s="3"/>
      <c r="G697" s="3"/>
      <c r="H697" s="207"/>
      <c r="I697" s="142"/>
      <c r="J697" s="3"/>
      <c r="K697" s="3"/>
      <c r="L697" s="199"/>
      <c r="Q697" s="69"/>
    </row>
    <row r="698">
      <c r="A698" s="3"/>
      <c r="C698" s="207"/>
      <c r="E698" s="3"/>
      <c r="F698" s="3"/>
      <c r="G698" s="3"/>
      <c r="H698" s="207"/>
      <c r="I698" s="142"/>
      <c r="J698" s="3"/>
      <c r="K698" s="3"/>
      <c r="L698" s="199"/>
      <c r="Q698" s="69"/>
    </row>
    <row r="699">
      <c r="A699" s="3"/>
      <c r="C699" s="207"/>
      <c r="E699" s="3"/>
      <c r="F699" s="3"/>
      <c r="G699" s="3"/>
      <c r="H699" s="207"/>
      <c r="I699" s="142"/>
      <c r="J699" s="3"/>
      <c r="K699" s="3"/>
      <c r="L699" s="199"/>
      <c r="Q699" s="69"/>
    </row>
    <row r="700">
      <c r="A700" s="3"/>
      <c r="C700" s="207"/>
      <c r="E700" s="3"/>
      <c r="F700" s="3"/>
      <c r="G700" s="3"/>
      <c r="H700" s="207"/>
      <c r="I700" s="142"/>
      <c r="J700" s="3"/>
      <c r="K700" s="3"/>
      <c r="L700" s="199"/>
      <c r="Q700" s="69"/>
    </row>
    <row r="701">
      <c r="A701" s="3"/>
      <c r="C701" s="207"/>
      <c r="E701" s="3"/>
      <c r="F701" s="3"/>
      <c r="G701" s="3"/>
      <c r="H701" s="207"/>
      <c r="I701" s="142"/>
      <c r="J701" s="3"/>
      <c r="K701" s="3"/>
      <c r="L701" s="199"/>
      <c r="Q701" s="69"/>
    </row>
    <row r="702">
      <c r="A702" s="3"/>
      <c r="C702" s="207"/>
      <c r="E702" s="3"/>
      <c r="F702" s="3"/>
      <c r="G702" s="3"/>
      <c r="H702" s="207"/>
      <c r="I702" s="142"/>
      <c r="J702" s="3"/>
      <c r="K702" s="3"/>
      <c r="L702" s="199"/>
      <c r="Q702" s="69"/>
    </row>
    <row r="703">
      <c r="A703" s="3"/>
      <c r="C703" s="207"/>
      <c r="E703" s="3"/>
      <c r="F703" s="3"/>
      <c r="G703" s="3"/>
      <c r="H703" s="207"/>
      <c r="I703" s="142"/>
      <c r="J703" s="3"/>
      <c r="K703" s="3"/>
      <c r="L703" s="199"/>
      <c r="Q703" s="69"/>
    </row>
    <row r="704">
      <c r="A704" s="3"/>
      <c r="C704" s="207"/>
      <c r="E704" s="3"/>
      <c r="F704" s="3"/>
      <c r="G704" s="3"/>
      <c r="H704" s="207"/>
      <c r="I704" s="142"/>
      <c r="J704" s="3"/>
      <c r="K704" s="3"/>
      <c r="L704" s="199"/>
      <c r="Q704" s="69"/>
    </row>
    <row r="705">
      <c r="A705" s="3"/>
      <c r="C705" s="207"/>
      <c r="E705" s="3"/>
      <c r="F705" s="3"/>
      <c r="G705" s="3"/>
      <c r="H705" s="207"/>
      <c r="I705" s="142"/>
      <c r="J705" s="3"/>
      <c r="K705" s="3"/>
      <c r="L705" s="199"/>
      <c r="Q705" s="69"/>
    </row>
    <row r="706">
      <c r="A706" s="3"/>
      <c r="C706" s="207"/>
      <c r="E706" s="3"/>
      <c r="F706" s="3"/>
      <c r="G706" s="3"/>
      <c r="H706" s="207"/>
      <c r="I706" s="142"/>
      <c r="J706" s="3"/>
      <c r="K706" s="3"/>
      <c r="L706" s="199"/>
      <c r="Q706" s="69"/>
    </row>
    <row r="707">
      <c r="A707" s="3"/>
      <c r="C707" s="207"/>
      <c r="E707" s="3"/>
      <c r="F707" s="3"/>
      <c r="G707" s="3"/>
      <c r="H707" s="207"/>
      <c r="I707" s="142"/>
      <c r="J707" s="3"/>
      <c r="K707" s="3"/>
      <c r="L707" s="199"/>
      <c r="Q707" s="69"/>
    </row>
    <row r="708">
      <c r="A708" s="3"/>
      <c r="C708" s="207"/>
      <c r="E708" s="3"/>
      <c r="F708" s="3"/>
      <c r="G708" s="3"/>
      <c r="H708" s="207"/>
      <c r="I708" s="142"/>
      <c r="J708" s="3"/>
      <c r="K708" s="3"/>
      <c r="L708" s="199"/>
      <c r="Q708" s="69"/>
    </row>
    <row r="709">
      <c r="A709" s="3"/>
      <c r="C709" s="207"/>
      <c r="E709" s="3"/>
      <c r="F709" s="3"/>
      <c r="G709" s="3"/>
      <c r="H709" s="207"/>
      <c r="I709" s="142"/>
      <c r="J709" s="3"/>
      <c r="K709" s="3"/>
      <c r="L709" s="199"/>
      <c r="Q709" s="69"/>
    </row>
    <row r="710">
      <c r="A710" s="3"/>
      <c r="C710" s="207"/>
      <c r="E710" s="3"/>
      <c r="F710" s="3"/>
      <c r="G710" s="3"/>
      <c r="H710" s="207"/>
      <c r="I710" s="142"/>
      <c r="J710" s="3"/>
      <c r="K710" s="3"/>
      <c r="L710" s="199"/>
      <c r="Q710" s="69"/>
    </row>
    <row r="711">
      <c r="A711" s="3"/>
      <c r="C711" s="207"/>
      <c r="E711" s="3"/>
      <c r="F711" s="3"/>
      <c r="G711" s="3"/>
      <c r="H711" s="207"/>
      <c r="I711" s="142"/>
      <c r="J711" s="3"/>
      <c r="K711" s="3"/>
      <c r="L711" s="199"/>
      <c r="Q711" s="69"/>
    </row>
    <row r="712">
      <c r="A712" s="3"/>
      <c r="C712" s="207"/>
      <c r="E712" s="3"/>
      <c r="F712" s="3"/>
      <c r="G712" s="3"/>
      <c r="H712" s="207"/>
      <c r="I712" s="142"/>
      <c r="J712" s="3"/>
      <c r="K712" s="3"/>
      <c r="L712" s="199"/>
      <c r="Q712" s="69"/>
    </row>
    <row r="713">
      <c r="A713" s="3"/>
      <c r="C713" s="207"/>
      <c r="E713" s="3"/>
      <c r="F713" s="3"/>
      <c r="G713" s="3"/>
      <c r="H713" s="207"/>
      <c r="I713" s="142"/>
      <c r="J713" s="3"/>
      <c r="K713" s="3"/>
      <c r="L713" s="199"/>
      <c r="Q713" s="69"/>
    </row>
    <row r="714">
      <c r="A714" s="3"/>
      <c r="C714" s="207"/>
      <c r="E714" s="3"/>
      <c r="F714" s="3"/>
      <c r="G714" s="3"/>
      <c r="H714" s="207"/>
      <c r="I714" s="142"/>
      <c r="J714" s="3"/>
      <c r="K714" s="3"/>
      <c r="L714" s="199"/>
      <c r="Q714" s="69"/>
    </row>
    <row r="715">
      <c r="A715" s="3"/>
      <c r="C715" s="207"/>
      <c r="E715" s="3"/>
      <c r="F715" s="3"/>
      <c r="G715" s="3"/>
      <c r="H715" s="207"/>
      <c r="I715" s="142"/>
      <c r="J715" s="3"/>
      <c r="K715" s="3"/>
      <c r="L715" s="199"/>
      <c r="Q715" s="69"/>
    </row>
    <row r="716">
      <c r="A716" s="3"/>
      <c r="C716" s="207"/>
      <c r="E716" s="3"/>
      <c r="F716" s="3"/>
      <c r="G716" s="3"/>
      <c r="H716" s="207"/>
      <c r="I716" s="142"/>
      <c r="J716" s="3"/>
      <c r="K716" s="3"/>
      <c r="L716" s="199"/>
      <c r="Q716" s="69"/>
    </row>
    <row r="717">
      <c r="A717" s="3"/>
      <c r="C717" s="207"/>
      <c r="E717" s="3"/>
      <c r="F717" s="3"/>
      <c r="G717" s="3"/>
      <c r="H717" s="207"/>
      <c r="I717" s="142"/>
      <c r="J717" s="3"/>
      <c r="K717" s="3"/>
      <c r="L717" s="199"/>
      <c r="Q717" s="69"/>
    </row>
    <row r="718">
      <c r="A718" s="3"/>
      <c r="C718" s="207"/>
      <c r="E718" s="3"/>
      <c r="F718" s="3"/>
      <c r="G718" s="3"/>
      <c r="H718" s="207"/>
      <c r="I718" s="142"/>
      <c r="J718" s="3"/>
      <c r="K718" s="3"/>
      <c r="L718" s="199"/>
      <c r="Q718" s="69"/>
    </row>
    <row r="719">
      <c r="A719" s="3"/>
      <c r="C719" s="207"/>
      <c r="E719" s="3"/>
      <c r="F719" s="3"/>
      <c r="G719" s="3"/>
      <c r="H719" s="207"/>
      <c r="I719" s="142"/>
      <c r="J719" s="3"/>
      <c r="K719" s="3"/>
      <c r="L719" s="199"/>
      <c r="Q719" s="69"/>
    </row>
    <row r="720">
      <c r="A720" s="3"/>
      <c r="C720" s="207"/>
      <c r="E720" s="3"/>
      <c r="F720" s="3"/>
      <c r="G720" s="3"/>
      <c r="H720" s="207"/>
      <c r="I720" s="142"/>
      <c r="J720" s="3"/>
      <c r="K720" s="3"/>
      <c r="L720" s="199"/>
      <c r="Q720" s="69"/>
    </row>
    <row r="721">
      <c r="A721" s="3"/>
      <c r="C721" s="207"/>
      <c r="E721" s="3"/>
      <c r="F721" s="3"/>
      <c r="G721" s="3"/>
      <c r="H721" s="207"/>
      <c r="I721" s="142"/>
      <c r="J721" s="3"/>
      <c r="K721" s="3"/>
      <c r="L721" s="199"/>
      <c r="Q721" s="69"/>
    </row>
    <row r="722">
      <c r="A722" s="3"/>
      <c r="C722" s="207"/>
      <c r="E722" s="3"/>
      <c r="F722" s="3"/>
      <c r="G722" s="3"/>
      <c r="H722" s="207"/>
      <c r="I722" s="142"/>
      <c r="J722" s="3"/>
      <c r="K722" s="3"/>
      <c r="L722" s="199"/>
      <c r="Q722" s="69"/>
    </row>
    <row r="723">
      <c r="A723" s="3"/>
      <c r="C723" s="207"/>
      <c r="E723" s="3"/>
      <c r="F723" s="3"/>
      <c r="G723" s="3"/>
      <c r="H723" s="207"/>
      <c r="I723" s="142"/>
      <c r="J723" s="3"/>
      <c r="K723" s="3"/>
      <c r="L723" s="199"/>
      <c r="Q723" s="69"/>
    </row>
    <row r="724">
      <c r="A724" s="3"/>
      <c r="C724" s="207"/>
      <c r="E724" s="3"/>
      <c r="F724" s="3"/>
      <c r="G724" s="3"/>
      <c r="H724" s="207"/>
      <c r="I724" s="142"/>
      <c r="J724" s="3"/>
      <c r="K724" s="3"/>
      <c r="L724" s="199"/>
      <c r="Q724" s="69"/>
    </row>
    <row r="725">
      <c r="A725" s="3"/>
      <c r="C725" s="207"/>
      <c r="E725" s="3"/>
      <c r="F725" s="3"/>
      <c r="G725" s="3"/>
      <c r="H725" s="207"/>
      <c r="I725" s="142"/>
      <c r="J725" s="3"/>
      <c r="K725" s="3"/>
      <c r="L725" s="199"/>
      <c r="Q725" s="69"/>
    </row>
    <row r="726">
      <c r="A726" s="3"/>
      <c r="C726" s="207"/>
      <c r="E726" s="3"/>
      <c r="F726" s="3"/>
      <c r="G726" s="3"/>
      <c r="H726" s="207"/>
      <c r="I726" s="142"/>
      <c r="J726" s="3"/>
      <c r="K726" s="3"/>
      <c r="L726" s="199"/>
      <c r="Q726" s="69"/>
    </row>
    <row r="727">
      <c r="A727" s="3"/>
      <c r="C727" s="207"/>
      <c r="E727" s="3"/>
      <c r="F727" s="3"/>
      <c r="G727" s="3"/>
      <c r="H727" s="207"/>
      <c r="I727" s="142"/>
      <c r="J727" s="3"/>
      <c r="K727" s="3"/>
      <c r="L727" s="199"/>
      <c r="Q727" s="69"/>
    </row>
    <row r="728">
      <c r="A728" s="3"/>
      <c r="C728" s="207"/>
      <c r="E728" s="3"/>
      <c r="F728" s="3"/>
      <c r="G728" s="3"/>
      <c r="H728" s="207"/>
      <c r="I728" s="142"/>
      <c r="J728" s="3"/>
      <c r="K728" s="3"/>
      <c r="L728" s="199"/>
      <c r="Q728" s="69"/>
    </row>
    <row r="729">
      <c r="A729" s="3"/>
      <c r="C729" s="207"/>
      <c r="E729" s="3"/>
      <c r="F729" s="3"/>
      <c r="G729" s="3"/>
      <c r="H729" s="207"/>
      <c r="I729" s="142"/>
      <c r="J729" s="3"/>
      <c r="K729" s="3"/>
      <c r="L729" s="199"/>
      <c r="Q729" s="69"/>
    </row>
    <row r="730">
      <c r="A730" s="3"/>
      <c r="C730" s="207"/>
      <c r="E730" s="3"/>
      <c r="F730" s="3"/>
      <c r="G730" s="3"/>
      <c r="H730" s="207"/>
      <c r="I730" s="142"/>
      <c r="J730" s="3"/>
      <c r="K730" s="3"/>
      <c r="L730" s="199"/>
      <c r="Q730" s="69"/>
    </row>
    <row r="731">
      <c r="A731" s="3"/>
      <c r="C731" s="207"/>
      <c r="E731" s="3"/>
      <c r="F731" s="3"/>
      <c r="G731" s="3"/>
      <c r="H731" s="207"/>
      <c r="I731" s="142"/>
      <c r="J731" s="3"/>
      <c r="K731" s="3"/>
      <c r="L731" s="199"/>
      <c r="Q731" s="69"/>
    </row>
    <row r="732">
      <c r="A732" s="3"/>
      <c r="C732" s="207"/>
      <c r="E732" s="3"/>
      <c r="F732" s="3"/>
      <c r="G732" s="3"/>
      <c r="H732" s="207"/>
      <c r="I732" s="142"/>
      <c r="J732" s="3"/>
      <c r="K732" s="3"/>
      <c r="L732" s="199"/>
      <c r="Q732" s="69"/>
    </row>
    <row r="733">
      <c r="A733" s="3"/>
      <c r="C733" s="207"/>
      <c r="E733" s="3"/>
      <c r="F733" s="3"/>
      <c r="G733" s="3"/>
      <c r="H733" s="207"/>
      <c r="I733" s="142"/>
      <c r="J733" s="3"/>
      <c r="K733" s="3"/>
      <c r="L733" s="199"/>
      <c r="Q733" s="69"/>
    </row>
    <row r="734">
      <c r="A734" s="3"/>
      <c r="C734" s="207"/>
      <c r="E734" s="3"/>
      <c r="F734" s="3"/>
      <c r="G734" s="3"/>
      <c r="H734" s="207"/>
      <c r="I734" s="142"/>
      <c r="J734" s="3"/>
      <c r="K734" s="3"/>
      <c r="L734" s="199"/>
      <c r="Q734" s="69"/>
    </row>
    <row r="735">
      <c r="A735" s="3"/>
      <c r="C735" s="207"/>
      <c r="E735" s="3"/>
      <c r="F735" s="3"/>
      <c r="G735" s="3"/>
      <c r="H735" s="207"/>
      <c r="I735" s="142"/>
      <c r="J735" s="3"/>
      <c r="K735" s="3"/>
      <c r="L735" s="199"/>
      <c r="Q735" s="69"/>
    </row>
    <row r="736">
      <c r="A736" s="3"/>
      <c r="C736" s="207"/>
      <c r="E736" s="3"/>
      <c r="F736" s="3"/>
      <c r="G736" s="3"/>
      <c r="H736" s="207"/>
      <c r="I736" s="142"/>
      <c r="J736" s="3"/>
      <c r="K736" s="3"/>
      <c r="L736" s="199"/>
      <c r="Q736" s="69"/>
    </row>
    <row r="737">
      <c r="A737" s="3"/>
      <c r="C737" s="207"/>
      <c r="E737" s="3"/>
      <c r="F737" s="3"/>
      <c r="G737" s="3"/>
      <c r="H737" s="207"/>
      <c r="I737" s="142"/>
      <c r="J737" s="3"/>
      <c r="K737" s="3"/>
      <c r="L737" s="199"/>
      <c r="Q737" s="69"/>
    </row>
    <row r="738">
      <c r="A738" s="3"/>
      <c r="C738" s="207"/>
      <c r="E738" s="3"/>
      <c r="F738" s="3"/>
      <c r="G738" s="3"/>
      <c r="H738" s="207"/>
      <c r="I738" s="142"/>
      <c r="J738" s="3"/>
      <c r="K738" s="3"/>
      <c r="L738" s="199"/>
      <c r="Q738" s="69"/>
    </row>
    <row r="739">
      <c r="A739" s="3"/>
      <c r="C739" s="207"/>
      <c r="E739" s="3"/>
      <c r="F739" s="3"/>
      <c r="G739" s="3"/>
      <c r="H739" s="207"/>
      <c r="I739" s="142"/>
      <c r="J739" s="3"/>
      <c r="K739" s="3"/>
      <c r="L739" s="199"/>
      <c r="Q739" s="69"/>
    </row>
    <row r="740">
      <c r="A740" s="3"/>
      <c r="C740" s="207"/>
      <c r="E740" s="3"/>
      <c r="F740" s="3"/>
      <c r="G740" s="3"/>
      <c r="H740" s="207"/>
      <c r="I740" s="142"/>
      <c r="J740" s="3"/>
      <c r="K740" s="3"/>
      <c r="L740" s="199"/>
      <c r="Q740" s="69"/>
    </row>
    <row r="741">
      <c r="A741" s="3"/>
      <c r="C741" s="207"/>
      <c r="E741" s="3"/>
      <c r="F741" s="3"/>
      <c r="G741" s="3"/>
      <c r="H741" s="207"/>
      <c r="I741" s="142"/>
      <c r="J741" s="3"/>
      <c r="K741" s="3"/>
      <c r="L741" s="199"/>
      <c r="Q741" s="69"/>
    </row>
    <row r="742">
      <c r="A742" s="3"/>
      <c r="C742" s="207"/>
      <c r="E742" s="3"/>
      <c r="F742" s="3"/>
      <c r="G742" s="3"/>
      <c r="H742" s="207"/>
      <c r="I742" s="142"/>
      <c r="J742" s="3"/>
      <c r="K742" s="3"/>
      <c r="L742" s="199"/>
      <c r="Q742" s="69"/>
    </row>
    <row r="743">
      <c r="A743" s="3"/>
      <c r="C743" s="207"/>
      <c r="E743" s="3"/>
      <c r="F743" s="3"/>
      <c r="G743" s="3"/>
      <c r="H743" s="207"/>
      <c r="I743" s="142"/>
      <c r="J743" s="3"/>
      <c r="K743" s="3"/>
      <c r="L743" s="199"/>
      <c r="Q743" s="69"/>
    </row>
    <row r="744">
      <c r="A744" s="3"/>
      <c r="C744" s="207"/>
      <c r="E744" s="3"/>
      <c r="F744" s="3"/>
      <c r="G744" s="3"/>
      <c r="H744" s="207"/>
      <c r="I744" s="142"/>
      <c r="J744" s="3"/>
      <c r="K744" s="3"/>
      <c r="L744" s="199"/>
      <c r="Q744" s="69"/>
    </row>
    <row r="745">
      <c r="A745" s="3"/>
      <c r="C745" s="207"/>
      <c r="E745" s="3"/>
      <c r="F745" s="3"/>
      <c r="G745" s="3"/>
      <c r="H745" s="207"/>
      <c r="I745" s="142"/>
      <c r="J745" s="3"/>
      <c r="K745" s="3"/>
      <c r="L745" s="199"/>
      <c r="Q745" s="69"/>
    </row>
    <row r="746">
      <c r="A746" s="3"/>
      <c r="C746" s="207"/>
      <c r="E746" s="3"/>
      <c r="F746" s="3"/>
      <c r="G746" s="3"/>
      <c r="H746" s="207"/>
      <c r="I746" s="142"/>
      <c r="J746" s="3"/>
      <c r="K746" s="3"/>
      <c r="L746" s="199"/>
      <c r="Q746" s="69"/>
    </row>
    <row r="747">
      <c r="A747" s="3"/>
      <c r="C747" s="207"/>
      <c r="E747" s="3"/>
      <c r="F747" s="3"/>
      <c r="G747" s="3"/>
      <c r="H747" s="207"/>
      <c r="I747" s="142"/>
      <c r="J747" s="3"/>
      <c r="K747" s="3"/>
      <c r="L747" s="199"/>
      <c r="Q747" s="69"/>
    </row>
    <row r="748">
      <c r="A748" s="3"/>
      <c r="C748" s="207"/>
      <c r="E748" s="3"/>
      <c r="F748" s="3"/>
      <c r="G748" s="3"/>
      <c r="H748" s="207"/>
      <c r="I748" s="142"/>
      <c r="J748" s="3"/>
      <c r="K748" s="3"/>
      <c r="L748" s="199"/>
      <c r="Q748" s="69"/>
    </row>
    <row r="749">
      <c r="A749" s="3"/>
      <c r="C749" s="207"/>
      <c r="E749" s="3"/>
      <c r="F749" s="3"/>
      <c r="G749" s="3"/>
      <c r="H749" s="207"/>
      <c r="I749" s="142"/>
      <c r="J749" s="3"/>
      <c r="K749" s="3"/>
      <c r="L749" s="199"/>
      <c r="Q749" s="69"/>
    </row>
    <row r="750">
      <c r="A750" s="3"/>
      <c r="C750" s="207"/>
      <c r="E750" s="3"/>
      <c r="F750" s="3"/>
      <c r="G750" s="3"/>
      <c r="H750" s="207"/>
      <c r="I750" s="142"/>
      <c r="J750" s="3"/>
      <c r="K750" s="3"/>
      <c r="L750" s="199"/>
      <c r="Q750" s="69"/>
    </row>
    <row r="751">
      <c r="A751" s="3"/>
      <c r="C751" s="207"/>
      <c r="E751" s="3"/>
      <c r="F751" s="3"/>
      <c r="G751" s="3"/>
      <c r="H751" s="207"/>
      <c r="I751" s="142"/>
      <c r="J751" s="3"/>
      <c r="K751" s="3"/>
      <c r="L751" s="199"/>
      <c r="Q751" s="69"/>
    </row>
    <row r="752">
      <c r="A752" s="3"/>
      <c r="C752" s="207"/>
      <c r="E752" s="3"/>
      <c r="F752" s="3"/>
      <c r="G752" s="3"/>
      <c r="H752" s="207"/>
      <c r="I752" s="142"/>
      <c r="J752" s="3"/>
      <c r="K752" s="3"/>
      <c r="L752" s="199"/>
      <c r="Q752" s="69"/>
    </row>
    <row r="753">
      <c r="A753" s="3"/>
      <c r="C753" s="207"/>
      <c r="E753" s="3"/>
      <c r="F753" s="3"/>
      <c r="G753" s="3"/>
      <c r="H753" s="207"/>
      <c r="I753" s="142"/>
      <c r="J753" s="3"/>
      <c r="K753" s="3"/>
      <c r="L753" s="199"/>
      <c r="Q753" s="69"/>
    </row>
    <row r="754">
      <c r="A754" s="3"/>
      <c r="C754" s="207"/>
      <c r="E754" s="3"/>
      <c r="F754" s="3"/>
      <c r="G754" s="3"/>
      <c r="H754" s="207"/>
      <c r="I754" s="142"/>
      <c r="J754" s="3"/>
      <c r="K754" s="3"/>
      <c r="L754" s="199"/>
      <c r="Q754" s="69"/>
    </row>
    <row r="755">
      <c r="A755" s="3"/>
      <c r="C755" s="207"/>
      <c r="E755" s="3"/>
      <c r="F755" s="3"/>
      <c r="G755" s="3"/>
      <c r="H755" s="207"/>
      <c r="I755" s="142"/>
      <c r="J755" s="3"/>
      <c r="K755" s="3"/>
      <c r="L755" s="199"/>
      <c r="Q755" s="69"/>
    </row>
    <row r="756">
      <c r="A756" s="3"/>
      <c r="C756" s="207"/>
      <c r="E756" s="3"/>
      <c r="F756" s="3"/>
      <c r="G756" s="3"/>
      <c r="H756" s="207"/>
      <c r="I756" s="142"/>
      <c r="J756" s="3"/>
      <c r="K756" s="3"/>
      <c r="L756" s="199"/>
      <c r="Q756" s="69"/>
    </row>
    <row r="757">
      <c r="A757" s="3"/>
      <c r="C757" s="207"/>
      <c r="E757" s="3"/>
      <c r="F757" s="3"/>
      <c r="G757" s="3"/>
      <c r="H757" s="207"/>
      <c r="I757" s="142"/>
      <c r="J757" s="3"/>
      <c r="K757" s="3"/>
      <c r="L757" s="199"/>
      <c r="Q757" s="69"/>
    </row>
    <row r="758">
      <c r="A758" s="3"/>
      <c r="C758" s="207"/>
      <c r="E758" s="3"/>
      <c r="F758" s="3"/>
      <c r="G758" s="3"/>
      <c r="H758" s="207"/>
      <c r="I758" s="142"/>
      <c r="J758" s="3"/>
      <c r="K758" s="3"/>
      <c r="L758" s="199"/>
      <c r="Q758" s="69"/>
    </row>
    <row r="759">
      <c r="A759" s="3"/>
      <c r="C759" s="207"/>
      <c r="E759" s="3"/>
      <c r="F759" s="3"/>
      <c r="G759" s="3"/>
      <c r="H759" s="207"/>
      <c r="I759" s="142"/>
      <c r="J759" s="3"/>
      <c r="K759" s="3"/>
      <c r="L759" s="199"/>
      <c r="Q759" s="69"/>
    </row>
    <row r="760">
      <c r="A760" s="3"/>
      <c r="C760" s="207"/>
      <c r="E760" s="3"/>
      <c r="F760" s="3"/>
      <c r="G760" s="3"/>
      <c r="H760" s="207"/>
      <c r="I760" s="142"/>
      <c r="J760" s="3"/>
      <c r="K760" s="3"/>
      <c r="L760" s="199"/>
      <c r="Q760" s="69"/>
    </row>
    <row r="761">
      <c r="A761" s="3"/>
      <c r="C761" s="207"/>
      <c r="E761" s="3"/>
      <c r="F761" s="3"/>
      <c r="G761" s="3"/>
      <c r="H761" s="207"/>
      <c r="I761" s="142"/>
      <c r="J761" s="3"/>
      <c r="K761" s="3"/>
      <c r="L761" s="199"/>
      <c r="Q761" s="69"/>
    </row>
    <row r="762">
      <c r="A762" s="3"/>
      <c r="C762" s="207"/>
      <c r="E762" s="3"/>
      <c r="F762" s="3"/>
      <c r="G762" s="3"/>
      <c r="H762" s="207"/>
      <c r="I762" s="142"/>
      <c r="J762" s="3"/>
      <c r="K762" s="3"/>
      <c r="L762" s="199"/>
      <c r="Q762" s="69"/>
    </row>
    <row r="763">
      <c r="A763" s="3"/>
      <c r="C763" s="207"/>
      <c r="E763" s="3"/>
      <c r="F763" s="3"/>
      <c r="G763" s="3"/>
      <c r="H763" s="207"/>
      <c r="I763" s="142"/>
      <c r="J763" s="3"/>
      <c r="K763" s="3"/>
      <c r="L763" s="199"/>
      <c r="Q763" s="69"/>
    </row>
    <row r="764">
      <c r="A764" s="3"/>
      <c r="C764" s="207"/>
      <c r="E764" s="3"/>
      <c r="F764" s="3"/>
      <c r="G764" s="3"/>
      <c r="H764" s="207"/>
      <c r="I764" s="142"/>
      <c r="J764" s="3"/>
      <c r="K764" s="3"/>
      <c r="L764" s="199"/>
      <c r="Q764" s="69"/>
    </row>
    <row r="765">
      <c r="A765" s="3"/>
      <c r="C765" s="207"/>
      <c r="E765" s="3"/>
      <c r="F765" s="3"/>
      <c r="G765" s="3"/>
      <c r="H765" s="207"/>
      <c r="I765" s="142"/>
      <c r="J765" s="3"/>
      <c r="K765" s="3"/>
      <c r="L765" s="199"/>
      <c r="Q765" s="69"/>
    </row>
    <row r="766">
      <c r="A766" s="3"/>
      <c r="C766" s="207"/>
      <c r="E766" s="3"/>
      <c r="F766" s="3"/>
      <c r="G766" s="3"/>
      <c r="H766" s="207"/>
      <c r="I766" s="142"/>
      <c r="J766" s="3"/>
      <c r="K766" s="3"/>
      <c r="L766" s="199"/>
      <c r="Q766" s="69"/>
    </row>
    <row r="767">
      <c r="A767" s="3"/>
      <c r="C767" s="207"/>
      <c r="E767" s="3"/>
      <c r="F767" s="3"/>
      <c r="G767" s="3"/>
      <c r="H767" s="207"/>
      <c r="I767" s="142"/>
      <c r="J767" s="3"/>
      <c r="K767" s="3"/>
      <c r="L767" s="199"/>
      <c r="Q767" s="69"/>
    </row>
    <row r="768">
      <c r="A768" s="3"/>
      <c r="C768" s="207"/>
      <c r="E768" s="3"/>
      <c r="F768" s="3"/>
      <c r="G768" s="3"/>
      <c r="H768" s="207"/>
      <c r="I768" s="142"/>
      <c r="J768" s="3"/>
      <c r="K768" s="3"/>
      <c r="L768" s="199"/>
      <c r="Q768" s="69"/>
    </row>
    <row r="769">
      <c r="A769" s="3"/>
      <c r="C769" s="207"/>
      <c r="E769" s="3"/>
      <c r="F769" s="3"/>
      <c r="G769" s="3"/>
      <c r="H769" s="207"/>
      <c r="I769" s="142"/>
      <c r="J769" s="3"/>
      <c r="K769" s="3"/>
      <c r="L769" s="199"/>
      <c r="Q769" s="69"/>
    </row>
    <row r="770">
      <c r="A770" s="3"/>
      <c r="C770" s="207"/>
      <c r="E770" s="3"/>
      <c r="F770" s="3"/>
      <c r="G770" s="3"/>
      <c r="H770" s="207"/>
      <c r="I770" s="142"/>
      <c r="J770" s="3"/>
      <c r="K770" s="3"/>
      <c r="L770" s="199"/>
      <c r="Q770" s="69"/>
    </row>
    <row r="771">
      <c r="A771" s="3"/>
      <c r="C771" s="207"/>
      <c r="E771" s="3"/>
      <c r="F771" s="3"/>
      <c r="G771" s="3"/>
      <c r="H771" s="207"/>
      <c r="I771" s="142"/>
      <c r="J771" s="3"/>
      <c r="K771" s="3"/>
      <c r="L771" s="199"/>
      <c r="Q771" s="69"/>
    </row>
    <row r="772">
      <c r="A772" s="3"/>
      <c r="C772" s="207"/>
      <c r="E772" s="3"/>
      <c r="F772" s="3"/>
      <c r="G772" s="3"/>
      <c r="H772" s="207"/>
      <c r="I772" s="142"/>
      <c r="J772" s="3"/>
      <c r="K772" s="3"/>
      <c r="L772" s="199"/>
      <c r="Q772" s="69"/>
    </row>
    <row r="773">
      <c r="A773" s="3"/>
      <c r="C773" s="207"/>
      <c r="E773" s="3"/>
      <c r="F773" s="3"/>
      <c r="G773" s="3"/>
      <c r="H773" s="207"/>
      <c r="I773" s="142"/>
      <c r="J773" s="3"/>
      <c r="K773" s="3"/>
      <c r="L773" s="199"/>
      <c r="Q773" s="69"/>
    </row>
    <row r="774">
      <c r="A774" s="3"/>
      <c r="C774" s="207"/>
      <c r="E774" s="3"/>
      <c r="F774" s="3"/>
      <c r="G774" s="3"/>
      <c r="H774" s="207"/>
      <c r="I774" s="142"/>
      <c r="J774" s="3"/>
      <c r="K774" s="3"/>
      <c r="L774" s="199"/>
      <c r="Q774" s="69"/>
    </row>
    <row r="775">
      <c r="A775" s="3"/>
      <c r="C775" s="207"/>
      <c r="E775" s="3"/>
      <c r="F775" s="3"/>
      <c r="G775" s="3"/>
      <c r="H775" s="207"/>
      <c r="I775" s="142"/>
      <c r="J775" s="3"/>
      <c r="K775" s="3"/>
      <c r="L775" s="199"/>
      <c r="Q775" s="69"/>
    </row>
    <row r="776">
      <c r="A776" s="3"/>
      <c r="C776" s="207"/>
      <c r="E776" s="3"/>
      <c r="F776" s="3"/>
      <c r="G776" s="3"/>
      <c r="H776" s="207"/>
      <c r="I776" s="142"/>
      <c r="J776" s="3"/>
      <c r="K776" s="3"/>
      <c r="L776" s="199"/>
      <c r="Q776" s="69"/>
    </row>
    <row r="777">
      <c r="A777" s="3"/>
      <c r="C777" s="207"/>
      <c r="E777" s="3"/>
      <c r="F777" s="3"/>
      <c r="G777" s="3"/>
      <c r="H777" s="207"/>
      <c r="I777" s="142"/>
      <c r="J777" s="3"/>
      <c r="K777" s="3"/>
      <c r="L777" s="199"/>
      <c r="Q777" s="69"/>
    </row>
    <row r="778">
      <c r="A778" s="3"/>
      <c r="C778" s="207"/>
      <c r="E778" s="3"/>
      <c r="F778" s="3"/>
      <c r="G778" s="3"/>
      <c r="H778" s="207"/>
      <c r="I778" s="142"/>
      <c r="J778" s="3"/>
      <c r="K778" s="3"/>
      <c r="L778" s="199"/>
      <c r="Q778" s="69"/>
    </row>
    <row r="779">
      <c r="A779" s="3"/>
      <c r="C779" s="207"/>
      <c r="E779" s="3"/>
      <c r="F779" s="3"/>
      <c r="G779" s="3"/>
      <c r="H779" s="207"/>
      <c r="I779" s="142"/>
      <c r="J779" s="3"/>
      <c r="K779" s="3"/>
      <c r="L779" s="199"/>
      <c r="Q779" s="69"/>
    </row>
    <row r="780">
      <c r="A780" s="3"/>
      <c r="C780" s="207"/>
      <c r="E780" s="3"/>
      <c r="F780" s="3"/>
      <c r="G780" s="3"/>
      <c r="H780" s="207"/>
      <c r="I780" s="142"/>
      <c r="J780" s="3"/>
      <c r="K780" s="3"/>
      <c r="L780" s="199"/>
      <c r="Q780" s="69"/>
    </row>
    <row r="781">
      <c r="A781" s="3"/>
      <c r="C781" s="207"/>
      <c r="E781" s="3"/>
      <c r="F781" s="3"/>
      <c r="G781" s="3"/>
      <c r="H781" s="207"/>
      <c r="I781" s="142"/>
      <c r="J781" s="3"/>
      <c r="K781" s="3"/>
      <c r="L781" s="199"/>
      <c r="Q781" s="69"/>
    </row>
    <row r="782">
      <c r="A782" s="3"/>
      <c r="C782" s="207"/>
      <c r="E782" s="3"/>
      <c r="F782" s="3"/>
      <c r="G782" s="3"/>
      <c r="H782" s="207"/>
      <c r="I782" s="142"/>
      <c r="J782" s="3"/>
      <c r="K782" s="3"/>
      <c r="L782" s="199"/>
      <c r="Q782" s="69"/>
    </row>
    <row r="783">
      <c r="A783" s="3"/>
      <c r="C783" s="207"/>
      <c r="E783" s="3"/>
      <c r="F783" s="3"/>
      <c r="G783" s="3"/>
      <c r="H783" s="207"/>
      <c r="I783" s="142"/>
      <c r="J783" s="3"/>
      <c r="K783" s="3"/>
      <c r="L783" s="199"/>
      <c r="Q783" s="69"/>
    </row>
    <row r="784">
      <c r="A784" s="3"/>
      <c r="C784" s="207"/>
      <c r="E784" s="3"/>
      <c r="F784" s="3"/>
      <c r="G784" s="3"/>
      <c r="H784" s="207"/>
      <c r="I784" s="142"/>
      <c r="J784" s="3"/>
      <c r="K784" s="3"/>
      <c r="L784" s="199"/>
      <c r="Q784" s="69"/>
    </row>
    <row r="785">
      <c r="A785" s="3"/>
      <c r="C785" s="207"/>
      <c r="E785" s="3"/>
      <c r="F785" s="3"/>
      <c r="G785" s="3"/>
      <c r="H785" s="207"/>
      <c r="I785" s="142"/>
      <c r="J785" s="3"/>
      <c r="K785" s="3"/>
      <c r="L785" s="199"/>
      <c r="Q785" s="69"/>
    </row>
    <row r="786">
      <c r="A786" s="3"/>
      <c r="C786" s="207"/>
      <c r="E786" s="3"/>
      <c r="F786" s="3"/>
      <c r="G786" s="3"/>
      <c r="H786" s="207"/>
      <c r="I786" s="142"/>
      <c r="J786" s="3"/>
      <c r="K786" s="3"/>
      <c r="L786" s="199"/>
      <c r="Q786" s="69"/>
    </row>
    <row r="787">
      <c r="A787" s="3"/>
      <c r="C787" s="207"/>
      <c r="E787" s="3"/>
      <c r="F787" s="3"/>
      <c r="G787" s="3"/>
      <c r="H787" s="207"/>
      <c r="I787" s="142"/>
      <c r="J787" s="3"/>
      <c r="K787" s="3"/>
      <c r="L787" s="199"/>
      <c r="Q787" s="69"/>
    </row>
    <row r="788">
      <c r="A788" s="3"/>
      <c r="C788" s="207"/>
      <c r="E788" s="3"/>
      <c r="F788" s="3"/>
      <c r="G788" s="3"/>
      <c r="H788" s="207"/>
      <c r="I788" s="142"/>
      <c r="J788" s="3"/>
      <c r="K788" s="3"/>
      <c r="L788" s="199"/>
      <c r="Q788" s="69"/>
    </row>
    <row r="789">
      <c r="A789" s="3"/>
      <c r="C789" s="207"/>
      <c r="E789" s="3"/>
      <c r="F789" s="3"/>
      <c r="G789" s="3"/>
      <c r="H789" s="207"/>
      <c r="I789" s="142"/>
      <c r="J789" s="3"/>
      <c r="K789" s="3"/>
      <c r="L789" s="199"/>
      <c r="Q789" s="69"/>
    </row>
    <row r="790">
      <c r="A790" s="3"/>
      <c r="C790" s="207"/>
      <c r="E790" s="3"/>
      <c r="F790" s="3"/>
      <c r="G790" s="3"/>
      <c r="H790" s="207"/>
      <c r="I790" s="142"/>
      <c r="J790" s="3"/>
      <c r="K790" s="3"/>
      <c r="L790" s="199"/>
      <c r="Q790" s="69"/>
    </row>
    <row r="791">
      <c r="A791" s="3"/>
      <c r="C791" s="207"/>
      <c r="E791" s="3"/>
      <c r="F791" s="3"/>
      <c r="G791" s="3"/>
      <c r="H791" s="207"/>
      <c r="I791" s="142"/>
      <c r="J791" s="3"/>
      <c r="K791" s="3"/>
      <c r="L791" s="199"/>
      <c r="Q791" s="69"/>
    </row>
    <row r="792">
      <c r="A792" s="3"/>
      <c r="C792" s="207"/>
      <c r="E792" s="3"/>
      <c r="F792" s="3"/>
      <c r="G792" s="3"/>
      <c r="H792" s="207"/>
      <c r="I792" s="142"/>
      <c r="J792" s="3"/>
      <c r="K792" s="3"/>
      <c r="L792" s="199"/>
      <c r="Q792" s="69"/>
    </row>
    <row r="793">
      <c r="A793" s="3"/>
      <c r="C793" s="207"/>
      <c r="E793" s="3"/>
      <c r="F793" s="3"/>
      <c r="G793" s="3"/>
      <c r="H793" s="207"/>
      <c r="I793" s="142"/>
      <c r="J793" s="3"/>
      <c r="K793" s="3"/>
      <c r="L793" s="199"/>
      <c r="Q793" s="69"/>
    </row>
    <row r="794">
      <c r="A794" s="3"/>
      <c r="C794" s="207"/>
      <c r="E794" s="3"/>
      <c r="F794" s="3"/>
      <c r="G794" s="3"/>
      <c r="H794" s="207"/>
      <c r="I794" s="142"/>
      <c r="J794" s="3"/>
      <c r="K794" s="3"/>
      <c r="L794" s="199"/>
      <c r="Q794" s="69"/>
    </row>
    <row r="795">
      <c r="A795" s="3"/>
      <c r="C795" s="207"/>
      <c r="E795" s="3"/>
      <c r="F795" s="3"/>
      <c r="G795" s="3"/>
      <c r="H795" s="207"/>
      <c r="I795" s="142"/>
      <c r="J795" s="3"/>
      <c r="K795" s="3"/>
      <c r="L795" s="199"/>
      <c r="Q795" s="69"/>
    </row>
    <row r="796">
      <c r="A796" s="3"/>
      <c r="C796" s="207"/>
      <c r="E796" s="3"/>
      <c r="F796" s="3"/>
      <c r="G796" s="3"/>
      <c r="H796" s="207"/>
      <c r="I796" s="142"/>
      <c r="J796" s="3"/>
      <c r="K796" s="3"/>
      <c r="L796" s="199"/>
      <c r="Q796" s="69"/>
    </row>
    <row r="797">
      <c r="A797" s="3"/>
      <c r="C797" s="207"/>
      <c r="E797" s="3"/>
      <c r="F797" s="3"/>
      <c r="G797" s="3"/>
      <c r="H797" s="207"/>
      <c r="I797" s="142"/>
      <c r="J797" s="3"/>
      <c r="K797" s="3"/>
      <c r="L797" s="199"/>
      <c r="Q797" s="69"/>
    </row>
    <row r="798">
      <c r="A798" s="3"/>
      <c r="C798" s="207"/>
      <c r="E798" s="3"/>
      <c r="F798" s="3"/>
      <c r="G798" s="3"/>
      <c r="H798" s="207"/>
      <c r="I798" s="142"/>
      <c r="J798" s="3"/>
      <c r="K798" s="3"/>
      <c r="L798" s="199"/>
      <c r="Q798" s="69"/>
    </row>
    <row r="799">
      <c r="A799" s="3"/>
      <c r="C799" s="207"/>
      <c r="E799" s="3"/>
      <c r="F799" s="3"/>
      <c r="G799" s="3"/>
      <c r="H799" s="207"/>
      <c r="I799" s="142"/>
      <c r="J799" s="3"/>
      <c r="K799" s="3"/>
      <c r="L799" s="199"/>
      <c r="Q799" s="69"/>
    </row>
    <row r="800">
      <c r="A800" s="3"/>
      <c r="C800" s="207"/>
      <c r="E800" s="3"/>
      <c r="F800" s="3"/>
      <c r="G800" s="3"/>
      <c r="H800" s="207"/>
      <c r="I800" s="142"/>
      <c r="J800" s="3"/>
      <c r="K800" s="3"/>
      <c r="L800" s="199"/>
      <c r="Q800" s="69"/>
    </row>
    <row r="801">
      <c r="A801" s="3"/>
      <c r="C801" s="207"/>
      <c r="E801" s="3"/>
      <c r="F801" s="3"/>
      <c r="G801" s="3"/>
      <c r="H801" s="207"/>
      <c r="I801" s="142"/>
      <c r="J801" s="3"/>
      <c r="K801" s="3"/>
      <c r="L801" s="199"/>
      <c r="Q801" s="69"/>
    </row>
    <row r="802">
      <c r="A802" s="3"/>
      <c r="C802" s="207"/>
      <c r="E802" s="3"/>
      <c r="F802" s="3"/>
      <c r="G802" s="3"/>
      <c r="H802" s="207"/>
      <c r="I802" s="142"/>
      <c r="J802" s="3"/>
      <c r="K802" s="3"/>
      <c r="L802" s="199"/>
      <c r="Q802" s="69"/>
    </row>
    <row r="803">
      <c r="A803" s="3"/>
      <c r="C803" s="207"/>
      <c r="E803" s="3"/>
      <c r="F803" s="3"/>
      <c r="G803" s="3"/>
      <c r="H803" s="207"/>
      <c r="I803" s="142"/>
      <c r="J803" s="3"/>
      <c r="K803" s="3"/>
      <c r="L803" s="199"/>
      <c r="Q803" s="69"/>
    </row>
    <row r="804">
      <c r="A804" s="3"/>
      <c r="C804" s="207"/>
      <c r="E804" s="3"/>
      <c r="F804" s="3"/>
      <c r="G804" s="3"/>
      <c r="H804" s="207"/>
      <c r="I804" s="142"/>
      <c r="J804" s="3"/>
      <c r="K804" s="3"/>
      <c r="L804" s="199"/>
      <c r="Q804" s="69"/>
    </row>
    <row r="805">
      <c r="A805" s="3"/>
      <c r="C805" s="207"/>
      <c r="E805" s="3"/>
      <c r="F805" s="3"/>
      <c r="G805" s="3"/>
      <c r="H805" s="207"/>
      <c r="I805" s="142"/>
      <c r="J805" s="3"/>
      <c r="K805" s="3"/>
      <c r="L805" s="199"/>
      <c r="Q805" s="69"/>
    </row>
    <row r="806">
      <c r="A806" s="3"/>
      <c r="C806" s="207"/>
      <c r="E806" s="3"/>
      <c r="F806" s="3"/>
      <c r="G806" s="3"/>
      <c r="H806" s="207"/>
      <c r="I806" s="142"/>
      <c r="J806" s="3"/>
      <c r="K806" s="3"/>
      <c r="L806" s="199"/>
      <c r="Q806" s="69"/>
    </row>
    <row r="807">
      <c r="A807" s="3"/>
      <c r="C807" s="207"/>
      <c r="E807" s="3"/>
      <c r="F807" s="3"/>
      <c r="G807" s="3"/>
      <c r="H807" s="207"/>
      <c r="I807" s="142"/>
      <c r="J807" s="3"/>
      <c r="K807" s="3"/>
      <c r="L807" s="199"/>
      <c r="Q807" s="69"/>
    </row>
    <row r="808">
      <c r="A808" s="3"/>
      <c r="C808" s="207"/>
      <c r="E808" s="3"/>
      <c r="F808" s="3"/>
      <c r="G808" s="3"/>
      <c r="H808" s="207"/>
      <c r="I808" s="142"/>
      <c r="J808" s="3"/>
      <c r="K808" s="3"/>
      <c r="L808" s="199"/>
      <c r="Q808" s="69"/>
    </row>
    <row r="809">
      <c r="A809" s="3"/>
      <c r="C809" s="207"/>
      <c r="E809" s="3"/>
      <c r="F809" s="3"/>
      <c r="G809" s="3"/>
      <c r="H809" s="207"/>
      <c r="I809" s="142"/>
      <c r="J809" s="3"/>
      <c r="K809" s="3"/>
      <c r="L809" s="199"/>
      <c r="Q809" s="69"/>
    </row>
    <row r="810">
      <c r="A810" s="3"/>
      <c r="C810" s="207"/>
      <c r="E810" s="3"/>
      <c r="F810" s="3"/>
      <c r="G810" s="3"/>
      <c r="H810" s="207"/>
      <c r="I810" s="142"/>
      <c r="J810" s="3"/>
      <c r="K810" s="3"/>
      <c r="L810" s="199"/>
      <c r="Q810" s="69"/>
    </row>
    <row r="811">
      <c r="A811" s="3"/>
      <c r="C811" s="207"/>
      <c r="E811" s="3"/>
      <c r="F811" s="3"/>
      <c r="G811" s="3"/>
      <c r="H811" s="207"/>
      <c r="I811" s="142"/>
      <c r="J811" s="3"/>
      <c r="K811" s="3"/>
      <c r="L811" s="199"/>
      <c r="Q811" s="69"/>
    </row>
    <row r="812">
      <c r="A812" s="3"/>
      <c r="C812" s="207"/>
      <c r="E812" s="3"/>
      <c r="F812" s="3"/>
      <c r="G812" s="3"/>
      <c r="H812" s="207"/>
      <c r="I812" s="142"/>
      <c r="J812" s="3"/>
      <c r="K812" s="3"/>
      <c r="L812" s="199"/>
      <c r="Q812" s="69"/>
    </row>
    <row r="813">
      <c r="A813" s="3"/>
      <c r="C813" s="207"/>
      <c r="E813" s="3"/>
      <c r="F813" s="3"/>
      <c r="G813" s="3"/>
      <c r="H813" s="207"/>
      <c r="I813" s="142"/>
      <c r="J813" s="3"/>
      <c r="K813" s="3"/>
      <c r="L813" s="199"/>
      <c r="Q813" s="69"/>
    </row>
    <row r="814">
      <c r="A814" s="3"/>
      <c r="C814" s="207"/>
      <c r="E814" s="3"/>
      <c r="F814" s="3"/>
      <c r="G814" s="3"/>
      <c r="H814" s="207"/>
      <c r="I814" s="142"/>
      <c r="J814" s="3"/>
      <c r="K814" s="3"/>
      <c r="L814" s="199"/>
      <c r="Q814" s="69"/>
    </row>
    <row r="815">
      <c r="A815" s="3"/>
      <c r="C815" s="207"/>
      <c r="E815" s="3"/>
      <c r="F815" s="3"/>
      <c r="G815" s="3"/>
      <c r="H815" s="207"/>
      <c r="I815" s="142"/>
      <c r="J815" s="3"/>
      <c r="K815" s="3"/>
      <c r="L815" s="199"/>
      <c r="Q815" s="69"/>
    </row>
    <row r="816">
      <c r="A816" s="3"/>
      <c r="C816" s="207"/>
      <c r="E816" s="3"/>
      <c r="F816" s="3"/>
      <c r="G816" s="3"/>
      <c r="H816" s="207"/>
      <c r="I816" s="142"/>
      <c r="J816" s="3"/>
      <c r="K816" s="3"/>
      <c r="L816" s="199"/>
      <c r="Q816" s="69"/>
    </row>
    <row r="817">
      <c r="A817" s="3"/>
      <c r="C817" s="207"/>
      <c r="E817" s="3"/>
      <c r="F817" s="3"/>
      <c r="G817" s="3"/>
      <c r="H817" s="207"/>
      <c r="I817" s="142"/>
      <c r="J817" s="3"/>
      <c r="K817" s="3"/>
      <c r="L817" s="199"/>
      <c r="Q817" s="69"/>
    </row>
    <row r="818">
      <c r="A818" s="3"/>
      <c r="C818" s="207"/>
      <c r="E818" s="3"/>
      <c r="F818" s="3"/>
      <c r="G818" s="3"/>
      <c r="H818" s="207"/>
      <c r="I818" s="142"/>
      <c r="J818" s="3"/>
      <c r="K818" s="3"/>
      <c r="L818" s="199"/>
      <c r="Q818" s="69"/>
    </row>
    <row r="819">
      <c r="A819" s="3"/>
      <c r="C819" s="207"/>
      <c r="E819" s="3"/>
      <c r="F819" s="3"/>
      <c r="G819" s="3"/>
      <c r="H819" s="207"/>
      <c r="I819" s="142"/>
      <c r="J819" s="3"/>
      <c r="K819" s="3"/>
      <c r="L819" s="199"/>
      <c r="Q819" s="69"/>
    </row>
    <row r="820">
      <c r="A820" s="3"/>
      <c r="C820" s="207"/>
      <c r="E820" s="3"/>
      <c r="F820" s="3"/>
      <c r="G820" s="3"/>
      <c r="H820" s="207"/>
      <c r="I820" s="142"/>
      <c r="J820" s="3"/>
      <c r="K820" s="3"/>
      <c r="L820" s="199"/>
      <c r="Q820" s="69"/>
    </row>
    <row r="821">
      <c r="A821" s="3"/>
      <c r="C821" s="207"/>
      <c r="E821" s="3"/>
      <c r="F821" s="3"/>
      <c r="G821" s="3"/>
      <c r="H821" s="207"/>
      <c r="I821" s="142"/>
      <c r="J821" s="3"/>
      <c r="K821" s="3"/>
      <c r="L821" s="199"/>
      <c r="Q821" s="69"/>
    </row>
    <row r="822">
      <c r="A822" s="3"/>
      <c r="C822" s="207"/>
      <c r="E822" s="3"/>
      <c r="F822" s="3"/>
      <c r="G822" s="3"/>
      <c r="H822" s="207"/>
      <c r="I822" s="142"/>
      <c r="J822" s="3"/>
      <c r="K822" s="3"/>
      <c r="L822" s="199"/>
      <c r="Q822" s="69"/>
    </row>
    <row r="823">
      <c r="A823" s="3"/>
      <c r="C823" s="207"/>
      <c r="E823" s="3"/>
      <c r="F823" s="3"/>
      <c r="G823" s="3"/>
      <c r="H823" s="207"/>
      <c r="I823" s="142"/>
      <c r="J823" s="3"/>
      <c r="K823" s="3"/>
      <c r="L823" s="199"/>
      <c r="Q823" s="69"/>
    </row>
    <row r="824">
      <c r="A824" s="3"/>
      <c r="C824" s="207"/>
      <c r="E824" s="3"/>
      <c r="F824" s="3"/>
      <c r="G824" s="3"/>
      <c r="H824" s="207"/>
      <c r="I824" s="142"/>
      <c r="J824" s="3"/>
      <c r="K824" s="3"/>
      <c r="L824" s="199"/>
      <c r="Q824" s="69"/>
    </row>
    <row r="825">
      <c r="A825" s="3"/>
      <c r="C825" s="207"/>
      <c r="E825" s="3"/>
      <c r="F825" s="3"/>
      <c r="G825" s="3"/>
      <c r="H825" s="207"/>
      <c r="I825" s="142"/>
      <c r="J825" s="3"/>
      <c r="K825" s="3"/>
      <c r="L825" s="199"/>
      <c r="Q825" s="69"/>
    </row>
    <row r="826">
      <c r="A826" s="3"/>
      <c r="C826" s="207"/>
      <c r="E826" s="3"/>
      <c r="F826" s="3"/>
      <c r="G826" s="3"/>
      <c r="H826" s="207"/>
      <c r="I826" s="142"/>
      <c r="J826" s="3"/>
      <c r="K826" s="3"/>
      <c r="L826" s="199"/>
      <c r="Q826" s="69"/>
    </row>
    <row r="827">
      <c r="A827" s="3"/>
      <c r="C827" s="207"/>
      <c r="E827" s="3"/>
      <c r="F827" s="3"/>
      <c r="G827" s="3"/>
      <c r="H827" s="207"/>
      <c r="I827" s="142"/>
      <c r="J827" s="3"/>
      <c r="K827" s="3"/>
      <c r="L827" s="199"/>
      <c r="Q827" s="69"/>
    </row>
    <row r="828">
      <c r="A828" s="3"/>
      <c r="C828" s="207"/>
      <c r="E828" s="3"/>
      <c r="F828" s="3"/>
      <c r="G828" s="3"/>
      <c r="H828" s="207"/>
      <c r="I828" s="142"/>
      <c r="J828" s="3"/>
      <c r="K828" s="3"/>
      <c r="L828" s="199"/>
      <c r="Q828" s="69"/>
    </row>
    <row r="829">
      <c r="A829" s="3"/>
      <c r="C829" s="207"/>
      <c r="E829" s="3"/>
      <c r="F829" s="3"/>
      <c r="G829" s="3"/>
      <c r="H829" s="207"/>
      <c r="I829" s="142"/>
      <c r="J829" s="3"/>
      <c r="K829" s="3"/>
      <c r="L829" s="199"/>
      <c r="Q829" s="69"/>
    </row>
    <row r="830">
      <c r="A830" s="3"/>
      <c r="C830" s="207"/>
      <c r="E830" s="3"/>
      <c r="F830" s="3"/>
      <c r="G830" s="3"/>
      <c r="H830" s="207"/>
      <c r="I830" s="142"/>
      <c r="J830" s="3"/>
      <c r="K830" s="3"/>
      <c r="L830" s="199"/>
      <c r="Q830" s="69"/>
    </row>
    <row r="831">
      <c r="A831" s="3"/>
      <c r="C831" s="207"/>
      <c r="E831" s="3"/>
      <c r="F831" s="3"/>
      <c r="G831" s="3"/>
      <c r="H831" s="207"/>
      <c r="I831" s="142"/>
      <c r="J831" s="3"/>
      <c r="K831" s="3"/>
      <c r="L831" s="199"/>
      <c r="Q831" s="69"/>
    </row>
    <row r="832">
      <c r="A832" s="3"/>
      <c r="C832" s="207"/>
      <c r="E832" s="3"/>
      <c r="F832" s="3"/>
      <c r="G832" s="3"/>
      <c r="H832" s="207"/>
      <c r="I832" s="142"/>
      <c r="J832" s="3"/>
      <c r="K832" s="3"/>
      <c r="L832" s="199"/>
      <c r="Q832" s="69"/>
    </row>
    <row r="833">
      <c r="A833" s="3"/>
      <c r="C833" s="207"/>
      <c r="E833" s="3"/>
      <c r="F833" s="3"/>
      <c r="G833" s="3"/>
      <c r="H833" s="207"/>
      <c r="I833" s="142"/>
      <c r="J833" s="3"/>
      <c r="K833" s="3"/>
      <c r="L833" s="199"/>
      <c r="Q833" s="69"/>
    </row>
    <row r="834">
      <c r="A834" s="3"/>
      <c r="C834" s="207"/>
      <c r="E834" s="3"/>
      <c r="F834" s="3"/>
      <c r="G834" s="3"/>
      <c r="H834" s="207"/>
      <c r="I834" s="142"/>
      <c r="J834" s="3"/>
      <c r="K834" s="3"/>
      <c r="L834" s="199"/>
      <c r="Q834" s="69"/>
    </row>
    <row r="835">
      <c r="A835" s="3"/>
      <c r="C835" s="207"/>
      <c r="E835" s="3"/>
      <c r="F835" s="3"/>
      <c r="G835" s="3"/>
      <c r="H835" s="207"/>
      <c r="I835" s="142"/>
      <c r="J835" s="3"/>
      <c r="K835" s="3"/>
      <c r="L835" s="199"/>
      <c r="Q835" s="69"/>
    </row>
    <row r="836">
      <c r="A836" s="3"/>
      <c r="C836" s="207"/>
      <c r="E836" s="3"/>
      <c r="F836" s="3"/>
      <c r="G836" s="3"/>
      <c r="H836" s="207"/>
      <c r="I836" s="142"/>
      <c r="J836" s="3"/>
      <c r="K836" s="3"/>
      <c r="L836" s="199"/>
      <c r="Q836" s="69"/>
    </row>
    <row r="837">
      <c r="A837" s="3"/>
      <c r="C837" s="207"/>
      <c r="E837" s="3"/>
      <c r="F837" s="3"/>
      <c r="G837" s="3"/>
      <c r="H837" s="207"/>
      <c r="I837" s="142"/>
      <c r="J837" s="3"/>
      <c r="K837" s="3"/>
      <c r="L837" s="199"/>
      <c r="Q837" s="69"/>
    </row>
    <row r="838">
      <c r="A838" s="3"/>
      <c r="C838" s="207"/>
      <c r="E838" s="3"/>
      <c r="F838" s="3"/>
      <c r="G838" s="3"/>
      <c r="H838" s="207"/>
      <c r="I838" s="142"/>
      <c r="J838" s="3"/>
      <c r="K838" s="3"/>
      <c r="L838" s="199"/>
      <c r="Q838" s="69"/>
    </row>
    <row r="839">
      <c r="A839" s="3"/>
      <c r="C839" s="207"/>
      <c r="E839" s="3"/>
      <c r="F839" s="3"/>
      <c r="G839" s="3"/>
      <c r="H839" s="207"/>
      <c r="I839" s="142"/>
      <c r="J839" s="3"/>
      <c r="K839" s="3"/>
      <c r="L839" s="199"/>
      <c r="Q839" s="69"/>
    </row>
    <row r="840">
      <c r="A840" s="3"/>
      <c r="C840" s="207"/>
      <c r="E840" s="3"/>
      <c r="F840" s="3"/>
      <c r="G840" s="3"/>
      <c r="H840" s="207"/>
      <c r="I840" s="142"/>
      <c r="J840" s="3"/>
      <c r="K840" s="3"/>
      <c r="L840" s="199"/>
      <c r="Q840" s="69"/>
    </row>
    <row r="841">
      <c r="A841" s="3"/>
      <c r="C841" s="207"/>
      <c r="E841" s="3"/>
      <c r="F841" s="3"/>
      <c r="G841" s="3"/>
      <c r="H841" s="207"/>
      <c r="I841" s="142"/>
      <c r="J841" s="3"/>
      <c r="K841" s="3"/>
      <c r="L841" s="199"/>
      <c r="Q841" s="69"/>
    </row>
    <row r="842">
      <c r="A842" s="3"/>
      <c r="C842" s="207"/>
      <c r="E842" s="3"/>
      <c r="F842" s="3"/>
      <c r="G842" s="3"/>
      <c r="H842" s="207"/>
      <c r="I842" s="142"/>
      <c r="J842" s="3"/>
      <c r="K842" s="3"/>
      <c r="L842" s="199"/>
      <c r="Q842" s="69"/>
    </row>
    <row r="843">
      <c r="A843" s="3"/>
      <c r="C843" s="207"/>
      <c r="E843" s="3"/>
      <c r="F843" s="3"/>
      <c r="G843" s="3"/>
      <c r="H843" s="207"/>
      <c r="I843" s="142"/>
      <c r="J843" s="3"/>
      <c r="K843" s="3"/>
      <c r="L843" s="199"/>
      <c r="Q843" s="69"/>
    </row>
    <row r="844">
      <c r="A844" s="3"/>
      <c r="C844" s="207"/>
      <c r="E844" s="3"/>
      <c r="F844" s="3"/>
      <c r="G844" s="3"/>
      <c r="H844" s="207"/>
      <c r="I844" s="142"/>
      <c r="J844" s="3"/>
      <c r="K844" s="3"/>
      <c r="L844" s="199"/>
      <c r="Q844" s="69"/>
    </row>
    <row r="845">
      <c r="A845" s="3"/>
      <c r="C845" s="207"/>
      <c r="E845" s="3"/>
      <c r="F845" s="3"/>
      <c r="G845" s="3"/>
      <c r="H845" s="207"/>
      <c r="I845" s="142"/>
      <c r="J845" s="3"/>
      <c r="K845" s="3"/>
      <c r="L845" s="199"/>
      <c r="Q845" s="69"/>
    </row>
    <row r="846">
      <c r="A846" s="3"/>
      <c r="C846" s="207"/>
      <c r="E846" s="3"/>
      <c r="F846" s="3"/>
      <c r="G846" s="3"/>
      <c r="H846" s="207"/>
      <c r="I846" s="142"/>
      <c r="J846" s="3"/>
      <c r="K846" s="3"/>
      <c r="L846" s="199"/>
      <c r="Q846" s="69"/>
    </row>
    <row r="847">
      <c r="A847" s="3"/>
      <c r="C847" s="207"/>
      <c r="E847" s="3"/>
      <c r="F847" s="3"/>
      <c r="G847" s="3"/>
      <c r="H847" s="207"/>
      <c r="I847" s="142"/>
      <c r="J847" s="3"/>
      <c r="K847" s="3"/>
      <c r="L847" s="199"/>
      <c r="Q847" s="69"/>
    </row>
    <row r="848">
      <c r="A848" s="3"/>
      <c r="C848" s="207"/>
      <c r="E848" s="3"/>
      <c r="F848" s="3"/>
      <c r="G848" s="3"/>
      <c r="H848" s="207"/>
      <c r="I848" s="142"/>
      <c r="J848" s="3"/>
      <c r="K848" s="3"/>
      <c r="L848" s="199"/>
      <c r="Q848" s="69"/>
    </row>
    <row r="849">
      <c r="A849" s="3"/>
      <c r="C849" s="207"/>
      <c r="E849" s="3"/>
      <c r="F849" s="3"/>
      <c r="G849" s="3"/>
      <c r="H849" s="207"/>
      <c r="I849" s="142"/>
      <c r="J849" s="3"/>
      <c r="K849" s="3"/>
      <c r="L849" s="199"/>
      <c r="Q849" s="69"/>
    </row>
    <row r="850">
      <c r="A850" s="3"/>
      <c r="C850" s="207"/>
      <c r="E850" s="3"/>
      <c r="F850" s="3"/>
      <c r="G850" s="3"/>
      <c r="H850" s="207"/>
      <c r="I850" s="142"/>
      <c r="J850" s="3"/>
      <c r="K850" s="3"/>
      <c r="L850" s="199"/>
      <c r="Q850" s="69"/>
    </row>
    <row r="851">
      <c r="A851" s="3"/>
      <c r="C851" s="207"/>
      <c r="E851" s="3"/>
      <c r="F851" s="3"/>
      <c r="G851" s="3"/>
      <c r="H851" s="207"/>
      <c r="I851" s="142"/>
      <c r="J851" s="3"/>
      <c r="K851" s="3"/>
      <c r="L851" s="199"/>
      <c r="Q851" s="69"/>
    </row>
    <row r="852">
      <c r="A852" s="3"/>
      <c r="C852" s="207"/>
      <c r="E852" s="3"/>
      <c r="F852" s="3"/>
      <c r="G852" s="3"/>
      <c r="H852" s="207"/>
      <c r="I852" s="142"/>
      <c r="J852" s="3"/>
      <c r="K852" s="3"/>
      <c r="L852" s="199"/>
      <c r="Q852" s="69"/>
    </row>
    <row r="853">
      <c r="A853" s="3"/>
      <c r="C853" s="207"/>
      <c r="E853" s="3"/>
      <c r="F853" s="3"/>
      <c r="G853" s="3"/>
      <c r="H853" s="207"/>
      <c r="I853" s="142"/>
      <c r="J853" s="3"/>
      <c r="K853" s="3"/>
      <c r="L853" s="199"/>
      <c r="Q853" s="69"/>
    </row>
    <row r="854">
      <c r="A854" s="3"/>
      <c r="C854" s="207"/>
      <c r="E854" s="3"/>
      <c r="F854" s="3"/>
      <c r="G854" s="3"/>
      <c r="H854" s="207"/>
      <c r="I854" s="142"/>
      <c r="J854" s="3"/>
      <c r="K854" s="3"/>
      <c r="L854" s="199"/>
      <c r="Q854" s="69"/>
    </row>
    <row r="855">
      <c r="A855" s="3"/>
      <c r="C855" s="207"/>
      <c r="E855" s="3"/>
      <c r="F855" s="3"/>
      <c r="G855" s="3"/>
      <c r="H855" s="207"/>
      <c r="I855" s="142"/>
      <c r="J855" s="3"/>
      <c r="K855" s="3"/>
      <c r="L855" s="199"/>
      <c r="Q855" s="69"/>
    </row>
    <row r="856">
      <c r="A856" s="3"/>
      <c r="C856" s="207"/>
      <c r="E856" s="3"/>
      <c r="F856" s="3"/>
      <c r="G856" s="3"/>
      <c r="H856" s="207"/>
      <c r="I856" s="142"/>
      <c r="J856" s="3"/>
      <c r="K856" s="3"/>
      <c r="L856" s="199"/>
      <c r="Q856" s="69"/>
    </row>
    <row r="857">
      <c r="A857" s="3"/>
      <c r="C857" s="207"/>
      <c r="E857" s="3"/>
      <c r="F857" s="3"/>
      <c r="G857" s="3"/>
      <c r="H857" s="207"/>
      <c r="I857" s="142"/>
      <c r="J857" s="3"/>
      <c r="K857" s="3"/>
      <c r="L857" s="199"/>
      <c r="Q857" s="69"/>
    </row>
    <row r="858">
      <c r="A858" s="3"/>
      <c r="C858" s="207"/>
      <c r="E858" s="3"/>
      <c r="F858" s="3"/>
      <c r="G858" s="3"/>
      <c r="H858" s="207"/>
      <c r="I858" s="142"/>
      <c r="J858" s="3"/>
      <c r="K858" s="3"/>
      <c r="L858" s="199"/>
      <c r="Q858" s="69"/>
    </row>
    <row r="859">
      <c r="A859" s="3"/>
      <c r="C859" s="207"/>
      <c r="E859" s="3"/>
      <c r="F859" s="3"/>
      <c r="G859" s="3"/>
      <c r="H859" s="207"/>
      <c r="I859" s="142"/>
      <c r="J859" s="3"/>
      <c r="K859" s="3"/>
      <c r="L859" s="199"/>
      <c r="Q859" s="69"/>
    </row>
    <row r="860">
      <c r="A860" s="3"/>
      <c r="C860" s="207"/>
      <c r="E860" s="3"/>
      <c r="F860" s="3"/>
      <c r="G860" s="3"/>
      <c r="H860" s="207"/>
      <c r="I860" s="142"/>
      <c r="J860" s="3"/>
      <c r="K860" s="3"/>
      <c r="L860" s="199"/>
      <c r="Q860" s="69"/>
    </row>
    <row r="861">
      <c r="A861" s="3"/>
      <c r="C861" s="207"/>
      <c r="E861" s="3"/>
      <c r="F861" s="3"/>
      <c r="G861" s="3"/>
      <c r="H861" s="207"/>
      <c r="I861" s="142"/>
      <c r="J861" s="3"/>
      <c r="K861" s="3"/>
      <c r="L861" s="199"/>
      <c r="Q861" s="69"/>
    </row>
    <row r="862">
      <c r="A862" s="3"/>
      <c r="C862" s="207"/>
      <c r="E862" s="3"/>
      <c r="F862" s="3"/>
      <c r="G862" s="3"/>
      <c r="H862" s="207"/>
      <c r="I862" s="142"/>
      <c r="J862" s="3"/>
      <c r="K862" s="3"/>
      <c r="L862" s="199"/>
      <c r="Q862" s="69"/>
    </row>
    <row r="863">
      <c r="A863" s="3"/>
      <c r="C863" s="207"/>
      <c r="E863" s="3"/>
      <c r="F863" s="3"/>
      <c r="G863" s="3"/>
      <c r="H863" s="207"/>
      <c r="I863" s="142"/>
      <c r="J863" s="3"/>
      <c r="K863" s="3"/>
      <c r="L863" s="199"/>
      <c r="Q863" s="69"/>
    </row>
    <row r="864">
      <c r="A864" s="3"/>
      <c r="C864" s="207"/>
      <c r="E864" s="3"/>
      <c r="F864" s="3"/>
      <c r="G864" s="3"/>
      <c r="H864" s="207"/>
      <c r="I864" s="142"/>
      <c r="J864" s="3"/>
      <c r="K864" s="3"/>
      <c r="L864" s="199"/>
      <c r="Q864" s="69"/>
    </row>
    <row r="865">
      <c r="A865" s="3"/>
      <c r="C865" s="207"/>
      <c r="E865" s="3"/>
      <c r="F865" s="3"/>
      <c r="G865" s="3"/>
      <c r="H865" s="207"/>
      <c r="I865" s="142"/>
      <c r="J865" s="3"/>
      <c r="K865" s="3"/>
      <c r="L865" s="199"/>
      <c r="Q865" s="69"/>
    </row>
    <row r="866">
      <c r="A866" s="3"/>
      <c r="C866" s="207"/>
      <c r="E866" s="3"/>
      <c r="F866" s="3"/>
      <c r="G866" s="3"/>
      <c r="H866" s="207"/>
      <c r="I866" s="142"/>
      <c r="J866" s="3"/>
      <c r="K866" s="3"/>
      <c r="L866" s="199"/>
      <c r="Q866" s="69"/>
    </row>
    <row r="867">
      <c r="A867" s="3"/>
      <c r="C867" s="207"/>
      <c r="E867" s="3"/>
      <c r="F867" s="3"/>
      <c r="G867" s="3"/>
      <c r="H867" s="207"/>
      <c r="I867" s="142"/>
      <c r="J867" s="3"/>
      <c r="K867" s="3"/>
      <c r="L867" s="199"/>
      <c r="Q867" s="69"/>
    </row>
    <row r="868">
      <c r="A868" s="3"/>
      <c r="C868" s="207"/>
      <c r="E868" s="3"/>
      <c r="F868" s="3"/>
      <c r="G868" s="3"/>
      <c r="H868" s="207"/>
      <c r="I868" s="142"/>
      <c r="J868" s="3"/>
      <c r="K868" s="3"/>
      <c r="L868" s="199"/>
      <c r="Q868" s="69"/>
    </row>
    <row r="869">
      <c r="A869" s="3"/>
      <c r="C869" s="207"/>
      <c r="E869" s="3"/>
      <c r="F869" s="3"/>
      <c r="G869" s="3"/>
      <c r="H869" s="207"/>
      <c r="I869" s="142"/>
      <c r="J869" s="3"/>
      <c r="K869" s="3"/>
      <c r="L869" s="199"/>
      <c r="Q869" s="69"/>
    </row>
    <row r="870">
      <c r="A870" s="3"/>
      <c r="C870" s="207"/>
      <c r="E870" s="3"/>
      <c r="F870" s="3"/>
      <c r="G870" s="3"/>
      <c r="H870" s="207"/>
      <c r="I870" s="142"/>
      <c r="J870" s="3"/>
      <c r="K870" s="3"/>
      <c r="L870" s="199"/>
      <c r="Q870" s="69"/>
    </row>
    <row r="871">
      <c r="A871" s="3"/>
      <c r="C871" s="207"/>
      <c r="E871" s="3"/>
      <c r="F871" s="3"/>
      <c r="G871" s="3"/>
      <c r="H871" s="207"/>
      <c r="I871" s="142"/>
      <c r="J871" s="3"/>
      <c r="K871" s="3"/>
      <c r="L871" s="199"/>
      <c r="Q871" s="69"/>
    </row>
    <row r="872">
      <c r="A872" s="3"/>
      <c r="C872" s="207"/>
      <c r="E872" s="3"/>
      <c r="F872" s="3"/>
      <c r="G872" s="3"/>
      <c r="H872" s="207"/>
      <c r="I872" s="142"/>
      <c r="J872" s="3"/>
      <c r="K872" s="3"/>
      <c r="L872" s="199"/>
      <c r="Q872" s="69"/>
    </row>
    <row r="873">
      <c r="A873" s="3"/>
      <c r="C873" s="207"/>
      <c r="E873" s="3"/>
      <c r="F873" s="3"/>
      <c r="G873" s="3"/>
      <c r="H873" s="207"/>
      <c r="I873" s="142"/>
      <c r="J873" s="3"/>
      <c r="K873" s="3"/>
      <c r="L873" s="199"/>
      <c r="Q873" s="69"/>
    </row>
    <row r="874">
      <c r="A874" s="3"/>
      <c r="C874" s="207"/>
      <c r="E874" s="3"/>
      <c r="F874" s="3"/>
      <c r="G874" s="3"/>
      <c r="H874" s="207"/>
      <c r="I874" s="142"/>
      <c r="J874" s="3"/>
      <c r="K874" s="3"/>
      <c r="L874" s="199"/>
      <c r="Q874" s="69"/>
    </row>
    <row r="875">
      <c r="A875" s="3"/>
      <c r="C875" s="207"/>
      <c r="E875" s="3"/>
      <c r="F875" s="3"/>
      <c r="G875" s="3"/>
      <c r="H875" s="207"/>
      <c r="I875" s="142"/>
      <c r="J875" s="3"/>
      <c r="K875" s="3"/>
      <c r="L875" s="199"/>
      <c r="Q875" s="69"/>
    </row>
    <row r="876">
      <c r="A876" s="3"/>
      <c r="C876" s="207"/>
      <c r="E876" s="3"/>
      <c r="F876" s="3"/>
      <c r="G876" s="3"/>
      <c r="H876" s="207"/>
      <c r="I876" s="142"/>
      <c r="J876" s="3"/>
      <c r="K876" s="3"/>
      <c r="L876" s="199"/>
      <c r="Q876" s="69"/>
    </row>
    <row r="877">
      <c r="A877" s="3"/>
      <c r="C877" s="207"/>
      <c r="E877" s="3"/>
      <c r="F877" s="3"/>
      <c r="G877" s="3"/>
      <c r="H877" s="207"/>
      <c r="I877" s="142"/>
      <c r="J877" s="3"/>
      <c r="K877" s="3"/>
      <c r="L877" s="199"/>
      <c r="Q877" s="69"/>
    </row>
    <row r="878">
      <c r="A878" s="3"/>
      <c r="C878" s="207"/>
      <c r="E878" s="3"/>
      <c r="F878" s="3"/>
      <c r="G878" s="3"/>
      <c r="H878" s="207"/>
      <c r="I878" s="142"/>
      <c r="J878" s="3"/>
      <c r="K878" s="3"/>
      <c r="L878" s="199"/>
      <c r="Q878" s="69"/>
    </row>
    <row r="879">
      <c r="A879" s="3"/>
      <c r="C879" s="207"/>
      <c r="E879" s="3"/>
      <c r="F879" s="3"/>
      <c r="G879" s="3"/>
      <c r="H879" s="207"/>
      <c r="I879" s="142"/>
      <c r="J879" s="3"/>
      <c r="K879" s="3"/>
      <c r="L879" s="199"/>
      <c r="Q879" s="69"/>
    </row>
    <row r="880">
      <c r="A880" s="3"/>
      <c r="C880" s="207"/>
      <c r="E880" s="3"/>
      <c r="F880" s="3"/>
      <c r="G880" s="3"/>
      <c r="H880" s="207"/>
      <c r="I880" s="142"/>
      <c r="J880" s="3"/>
      <c r="K880" s="3"/>
      <c r="L880" s="199"/>
      <c r="Q880" s="69"/>
    </row>
    <row r="881">
      <c r="A881" s="3"/>
      <c r="C881" s="207"/>
      <c r="E881" s="3"/>
      <c r="F881" s="3"/>
      <c r="G881" s="3"/>
      <c r="H881" s="207"/>
      <c r="I881" s="142"/>
      <c r="J881" s="3"/>
      <c r="K881" s="3"/>
      <c r="L881" s="199"/>
      <c r="Q881" s="69"/>
    </row>
    <row r="882">
      <c r="A882" s="3"/>
      <c r="C882" s="207"/>
      <c r="E882" s="3"/>
      <c r="F882" s="3"/>
      <c r="G882" s="3"/>
      <c r="H882" s="207"/>
      <c r="I882" s="142"/>
      <c r="J882" s="3"/>
      <c r="K882" s="3"/>
      <c r="L882" s="199"/>
      <c r="Q882" s="69"/>
    </row>
    <row r="883">
      <c r="A883" s="3"/>
      <c r="C883" s="207"/>
      <c r="E883" s="3"/>
      <c r="F883" s="3"/>
      <c r="G883" s="3"/>
      <c r="H883" s="207"/>
      <c r="I883" s="142"/>
      <c r="J883" s="3"/>
      <c r="K883" s="3"/>
      <c r="L883" s="199"/>
      <c r="Q883" s="69"/>
    </row>
    <row r="884">
      <c r="A884" s="3"/>
      <c r="C884" s="207"/>
      <c r="E884" s="3"/>
      <c r="F884" s="3"/>
      <c r="G884" s="3"/>
      <c r="H884" s="207"/>
      <c r="I884" s="142"/>
      <c r="J884" s="3"/>
      <c r="K884" s="3"/>
      <c r="L884" s="199"/>
      <c r="Q884" s="69"/>
    </row>
    <row r="885">
      <c r="A885" s="3"/>
      <c r="C885" s="207"/>
      <c r="E885" s="3"/>
      <c r="F885" s="3"/>
      <c r="G885" s="3"/>
      <c r="H885" s="207"/>
      <c r="I885" s="142"/>
      <c r="J885" s="3"/>
      <c r="K885" s="3"/>
      <c r="L885" s="199"/>
      <c r="Q885" s="69"/>
    </row>
    <row r="886">
      <c r="A886" s="3"/>
      <c r="C886" s="207"/>
      <c r="E886" s="3"/>
      <c r="F886" s="3"/>
      <c r="G886" s="3"/>
      <c r="H886" s="207"/>
      <c r="I886" s="142"/>
      <c r="J886" s="3"/>
      <c r="K886" s="3"/>
      <c r="L886" s="199"/>
      <c r="Q886" s="69"/>
    </row>
    <row r="887">
      <c r="A887" s="3"/>
      <c r="C887" s="207"/>
      <c r="E887" s="3"/>
      <c r="F887" s="3"/>
      <c r="G887" s="3"/>
      <c r="H887" s="207"/>
      <c r="I887" s="142"/>
      <c r="J887" s="3"/>
      <c r="K887" s="3"/>
      <c r="L887" s="199"/>
      <c r="Q887" s="69"/>
    </row>
    <row r="888">
      <c r="A888" s="3"/>
      <c r="C888" s="207"/>
      <c r="E888" s="3"/>
      <c r="F888" s="3"/>
      <c r="G888" s="3"/>
      <c r="H888" s="207"/>
      <c r="I888" s="142"/>
      <c r="J888" s="3"/>
      <c r="K888" s="3"/>
      <c r="L888" s="199"/>
      <c r="Q888" s="69"/>
    </row>
    <row r="889">
      <c r="A889" s="3"/>
      <c r="C889" s="207"/>
      <c r="E889" s="3"/>
      <c r="F889" s="3"/>
      <c r="G889" s="3"/>
      <c r="H889" s="207"/>
      <c r="I889" s="142"/>
      <c r="J889" s="3"/>
      <c r="K889" s="3"/>
      <c r="L889" s="199"/>
      <c r="Q889" s="69"/>
    </row>
    <row r="890">
      <c r="A890" s="3"/>
      <c r="C890" s="207"/>
      <c r="E890" s="3"/>
      <c r="F890" s="3"/>
      <c r="G890" s="3"/>
      <c r="H890" s="207"/>
      <c r="I890" s="142"/>
      <c r="J890" s="3"/>
      <c r="K890" s="3"/>
      <c r="L890" s="199"/>
      <c r="Q890" s="69"/>
    </row>
    <row r="891">
      <c r="A891" s="3"/>
      <c r="C891" s="207"/>
      <c r="E891" s="3"/>
      <c r="F891" s="3"/>
      <c r="G891" s="3"/>
      <c r="H891" s="207"/>
      <c r="I891" s="142"/>
      <c r="J891" s="3"/>
      <c r="K891" s="3"/>
      <c r="L891" s="199"/>
      <c r="Q891" s="69"/>
    </row>
    <row r="892">
      <c r="A892" s="3"/>
      <c r="C892" s="207"/>
      <c r="E892" s="3"/>
      <c r="F892" s="3"/>
      <c r="G892" s="3"/>
      <c r="H892" s="207"/>
      <c r="I892" s="142"/>
      <c r="J892" s="3"/>
      <c r="K892" s="3"/>
      <c r="L892" s="199"/>
      <c r="Q892" s="69"/>
    </row>
    <row r="893">
      <c r="A893" s="3"/>
      <c r="C893" s="207"/>
      <c r="E893" s="3"/>
      <c r="F893" s="3"/>
      <c r="G893" s="3"/>
      <c r="H893" s="207"/>
      <c r="I893" s="142"/>
      <c r="J893" s="3"/>
      <c r="K893" s="3"/>
      <c r="L893" s="199"/>
      <c r="Q893" s="69"/>
    </row>
    <row r="894">
      <c r="A894" s="3"/>
      <c r="C894" s="207"/>
      <c r="E894" s="3"/>
      <c r="F894" s="3"/>
      <c r="G894" s="3"/>
      <c r="H894" s="207"/>
      <c r="I894" s="142"/>
      <c r="J894" s="3"/>
      <c r="K894" s="3"/>
      <c r="L894" s="199"/>
      <c r="Q894" s="69"/>
    </row>
    <row r="895">
      <c r="A895" s="3"/>
      <c r="C895" s="207"/>
      <c r="E895" s="3"/>
      <c r="F895" s="3"/>
      <c r="G895" s="3"/>
      <c r="H895" s="207"/>
      <c r="I895" s="142"/>
      <c r="J895" s="3"/>
      <c r="K895" s="3"/>
      <c r="L895" s="199"/>
      <c r="Q895" s="69"/>
    </row>
    <row r="896">
      <c r="A896" s="3"/>
      <c r="C896" s="207"/>
      <c r="E896" s="3"/>
      <c r="F896" s="3"/>
      <c r="G896" s="3"/>
      <c r="H896" s="207"/>
      <c r="I896" s="142"/>
      <c r="J896" s="3"/>
      <c r="K896" s="3"/>
      <c r="L896" s="199"/>
      <c r="Q896" s="69"/>
    </row>
    <row r="897">
      <c r="A897" s="3"/>
      <c r="C897" s="207"/>
      <c r="E897" s="3"/>
      <c r="F897" s="3"/>
      <c r="G897" s="3"/>
      <c r="H897" s="207"/>
      <c r="I897" s="142"/>
      <c r="J897" s="3"/>
      <c r="K897" s="3"/>
      <c r="L897" s="199"/>
      <c r="Q897" s="69"/>
    </row>
    <row r="898">
      <c r="A898" s="3"/>
      <c r="C898" s="207"/>
      <c r="E898" s="3"/>
      <c r="F898" s="3"/>
      <c r="G898" s="3"/>
      <c r="H898" s="207"/>
      <c r="I898" s="142"/>
      <c r="J898" s="3"/>
      <c r="K898" s="3"/>
      <c r="L898" s="199"/>
      <c r="Q898" s="69"/>
    </row>
    <row r="899">
      <c r="A899" s="3"/>
      <c r="C899" s="207"/>
      <c r="E899" s="3"/>
      <c r="F899" s="3"/>
      <c r="G899" s="3"/>
      <c r="H899" s="207"/>
      <c r="I899" s="142"/>
      <c r="J899" s="3"/>
      <c r="K899" s="3"/>
      <c r="L899" s="199"/>
      <c r="Q899" s="69"/>
    </row>
    <row r="900">
      <c r="A900" s="3"/>
      <c r="C900" s="207"/>
      <c r="E900" s="3"/>
      <c r="F900" s="3"/>
      <c r="G900" s="3"/>
      <c r="H900" s="207"/>
      <c r="I900" s="142"/>
      <c r="J900" s="3"/>
      <c r="K900" s="3"/>
      <c r="L900" s="199"/>
      <c r="Q900" s="69"/>
    </row>
    <row r="901">
      <c r="A901" s="3"/>
      <c r="C901" s="207"/>
      <c r="E901" s="3"/>
      <c r="F901" s="3"/>
      <c r="G901" s="3"/>
      <c r="H901" s="207"/>
      <c r="I901" s="142"/>
      <c r="J901" s="3"/>
      <c r="K901" s="3"/>
      <c r="L901" s="199"/>
      <c r="Q901" s="69"/>
    </row>
    <row r="902">
      <c r="A902" s="3"/>
      <c r="C902" s="207"/>
      <c r="E902" s="3"/>
      <c r="F902" s="3"/>
      <c r="G902" s="3"/>
      <c r="H902" s="207"/>
      <c r="I902" s="142"/>
      <c r="J902" s="3"/>
      <c r="K902" s="3"/>
      <c r="L902" s="199"/>
      <c r="Q902" s="69"/>
    </row>
    <row r="903">
      <c r="A903" s="3"/>
      <c r="C903" s="207"/>
      <c r="E903" s="3"/>
      <c r="F903" s="3"/>
      <c r="G903" s="3"/>
      <c r="H903" s="207"/>
      <c r="I903" s="142"/>
      <c r="J903" s="3"/>
      <c r="K903" s="3"/>
      <c r="L903" s="199"/>
      <c r="Q903" s="69"/>
    </row>
    <row r="904">
      <c r="A904" s="3"/>
      <c r="C904" s="207"/>
      <c r="E904" s="3"/>
      <c r="F904" s="3"/>
      <c r="G904" s="3"/>
      <c r="H904" s="207"/>
      <c r="I904" s="142"/>
      <c r="J904" s="3"/>
      <c r="K904" s="3"/>
      <c r="L904" s="199"/>
      <c r="Q904" s="69"/>
    </row>
    <row r="905">
      <c r="A905" s="3"/>
      <c r="C905" s="207"/>
      <c r="E905" s="3"/>
      <c r="F905" s="3"/>
      <c r="G905" s="3"/>
      <c r="H905" s="207"/>
      <c r="I905" s="142"/>
      <c r="J905" s="3"/>
      <c r="K905" s="3"/>
      <c r="L905" s="199"/>
      <c r="Q905" s="69"/>
    </row>
    <row r="906">
      <c r="A906" s="3"/>
      <c r="C906" s="207"/>
      <c r="E906" s="3"/>
      <c r="F906" s="3"/>
      <c r="G906" s="3"/>
      <c r="H906" s="207"/>
      <c r="I906" s="142"/>
      <c r="J906" s="3"/>
      <c r="K906" s="3"/>
      <c r="L906" s="199"/>
      <c r="Q906" s="69"/>
    </row>
    <row r="907">
      <c r="A907" s="3"/>
      <c r="C907" s="207"/>
      <c r="E907" s="3"/>
      <c r="F907" s="3"/>
      <c r="G907" s="3"/>
      <c r="H907" s="207"/>
      <c r="I907" s="142"/>
      <c r="J907" s="3"/>
      <c r="K907" s="3"/>
      <c r="L907" s="199"/>
      <c r="Q907" s="69"/>
    </row>
    <row r="908">
      <c r="A908" s="3"/>
      <c r="C908" s="207"/>
      <c r="E908" s="3"/>
      <c r="F908" s="3"/>
      <c r="G908" s="3"/>
      <c r="H908" s="207"/>
      <c r="I908" s="142"/>
      <c r="J908" s="3"/>
      <c r="K908" s="3"/>
      <c r="L908" s="199"/>
      <c r="Q908" s="69"/>
    </row>
    <row r="909">
      <c r="A909" s="3"/>
      <c r="C909" s="207"/>
      <c r="E909" s="3"/>
      <c r="F909" s="3"/>
      <c r="G909" s="3"/>
      <c r="H909" s="207"/>
      <c r="I909" s="142"/>
      <c r="J909" s="3"/>
      <c r="K909" s="3"/>
      <c r="L909" s="199"/>
      <c r="Q909" s="69"/>
    </row>
    <row r="910">
      <c r="A910" s="3"/>
      <c r="C910" s="207"/>
      <c r="E910" s="3"/>
      <c r="F910" s="3"/>
      <c r="G910" s="3"/>
      <c r="H910" s="207"/>
      <c r="I910" s="142"/>
      <c r="J910" s="3"/>
      <c r="K910" s="3"/>
      <c r="L910" s="199"/>
      <c r="Q910" s="69"/>
    </row>
    <row r="911">
      <c r="A911" s="3"/>
      <c r="C911" s="207"/>
      <c r="E911" s="3"/>
      <c r="F911" s="3"/>
      <c r="G911" s="3"/>
      <c r="H911" s="207"/>
      <c r="I911" s="142"/>
      <c r="J911" s="3"/>
      <c r="K911" s="3"/>
      <c r="L911" s="199"/>
      <c r="Q911" s="69"/>
    </row>
    <row r="912">
      <c r="A912" s="3"/>
      <c r="C912" s="207"/>
      <c r="E912" s="3"/>
      <c r="F912" s="3"/>
      <c r="G912" s="3"/>
      <c r="H912" s="207"/>
      <c r="I912" s="142"/>
      <c r="J912" s="3"/>
      <c r="K912" s="3"/>
      <c r="L912" s="199"/>
      <c r="Q912" s="69"/>
    </row>
    <row r="913">
      <c r="A913" s="3"/>
      <c r="C913" s="207"/>
      <c r="E913" s="3"/>
      <c r="F913" s="3"/>
      <c r="G913" s="3"/>
      <c r="H913" s="207"/>
      <c r="I913" s="142"/>
      <c r="J913" s="3"/>
      <c r="K913" s="3"/>
      <c r="L913" s="199"/>
      <c r="Q913" s="69"/>
    </row>
    <row r="914">
      <c r="A914" s="3"/>
      <c r="C914" s="207"/>
      <c r="E914" s="3"/>
      <c r="F914" s="3"/>
      <c r="G914" s="3"/>
      <c r="H914" s="207"/>
      <c r="I914" s="142"/>
      <c r="J914" s="3"/>
      <c r="K914" s="3"/>
      <c r="L914" s="199"/>
      <c r="Q914" s="69"/>
    </row>
    <row r="915">
      <c r="A915" s="3"/>
      <c r="C915" s="207"/>
      <c r="E915" s="3"/>
      <c r="F915" s="3"/>
      <c r="G915" s="3"/>
      <c r="H915" s="207"/>
      <c r="I915" s="142"/>
      <c r="J915" s="3"/>
      <c r="K915" s="3"/>
      <c r="L915" s="199"/>
      <c r="Q915" s="69"/>
    </row>
    <row r="916">
      <c r="A916" s="3"/>
      <c r="C916" s="207"/>
      <c r="E916" s="3"/>
      <c r="F916" s="3"/>
      <c r="G916" s="3"/>
      <c r="H916" s="207"/>
      <c r="I916" s="142"/>
      <c r="J916" s="3"/>
      <c r="K916" s="3"/>
      <c r="L916" s="199"/>
      <c r="Q916" s="69"/>
    </row>
    <row r="917">
      <c r="A917" s="3"/>
      <c r="C917" s="207"/>
      <c r="E917" s="3"/>
      <c r="F917" s="3"/>
      <c r="G917" s="3"/>
      <c r="H917" s="207"/>
      <c r="I917" s="142"/>
      <c r="J917" s="3"/>
      <c r="K917" s="3"/>
      <c r="L917" s="199"/>
      <c r="Q917" s="69"/>
    </row>
    <row r="918">
      <c r="A918" s="3"/>
      <c r="C918" s="207"/>
      <c r="E918" s="3"/>
      <c r="F918" s="3"/>
      <c r="G918" s="3"/>
      <c r="H918" s="207"/>
      <c r="I918" s="142"/>
      <c r="J918" s="3"/>
      <c r="K918" s="3"/>
      <c r="L918" s="199"/>
      <c r="Q918" s="69"/>
    </row>
    <row r="919">
      <c r="A919" s="3"/>
      <c r="C919" s="207"/>
      <c r="E919" s="3"/>
      <c r="F919" s="3"/>
      <c r="G919" s="3"/>
      <c r="H919" s="207"/>
      <c r="I919" s="142"/>
      <c r="J919" s="3"/>
      <c r="K919" s="3"/>
      <c r="L919" s="199"/>
      <c r="Q919" s="69"/>
    </row>
    <row r="920">
      <c r="A920" s="3"/>
      <c r="C920" s="207"/>
      <c r="E920" s="3"/>
      <c r="F920" s="3"/>
      <c r="G920" s="3"/>
      <c r="H920" s="207"/>
      <c r="I920" s="142"/>
      <c r="J920" s="3"/>
      <c r="K920" s="3"/>
      <c r="L920" s="199"/>
      <c r="Q920" s="69"/>
    </row>
    <row r="921">
      <c r="A921" s="3"/>
      <c r="C921" s="207"/>
      <c r="E921" s="3"/>
      <c r="F921" s="3"/>
      <c r="G921" s="3"/>
      <c r="H921" s="207"/>
      <c r="I921" s="142"/>
      <c r="J921" s="3"/>
      <c r="K921" s="3"/>
      <c r="L921" s="199"/>
      <c r="Q921" s="69"/>
    </row>
    <row r="922">
      <c r="A922" s="3"/>
      <c r="C922" s="207"/>
      <c r="E922" s="3"/>
      <c r="F922" s="3"/>
      <c r="G922" s="3"/>
      <c r="H922" s="207"/>
      <c r="I922" s="142"/>
      <c r="J922" s="3"/>
      <c r="K922" s="3"/>
      <c r="L922" s="199"/>
      <c r="Q922" s="69"/>
    </row>
    <row r="923">
      <c r="A923" s="3"/>
      <c r="C923" s="207"/>
      <c r="E923" s="3"/>
      <c r="F923" s="3"/>
      <c r="G923" s="3"/>
      <c r="H923" s="207"/>
      <c r="I923" s="142"/>
      <c r="J923" s="3"/>
      <c r="K923" s="3"/>
      <c r="L923" s="199"/>
      <c r="Q923" s="69"/>
    </row>
    <row r="924">
      <c r="A924" s="3"/>
      <c r="C924" s="207"/>
      <c r="E924" s="3"/>
      <c r="F924" s="3"/>
      <c r="G924" s="3"/>
      <c r="H924" s="207"/>
      <c r="I924" s="142"/>
      <c r="J924" s="3"/>
      <c r="K924" s="3"/>
      <c r="L924" s="199"/>
      <c r="Q924" s="69"/>
    </row>
    <row r="925">
      <c r="A925" s="3"/>
      <c r="C925" s="207"/>
      <c r="E925" s="3"/>
      <c r="F925" s="3"/>
      <c r="G925" s="3"/>
      <c r="H925" s="207"/>
      <c r="I925" s="142"/>
      <c r="J925" s="3"/>
      <c r="K925" s="3"/>
      <c r="L925" s="199"/>
      <c r="Q925" s="69"/>
    </row>
    <row r="926">
      <c r="A926" s="3"/>
      <c r="C926" s="207"/>
      <c r="E926" s="3"/>
      <c r="F926" s="3"/>
      <c r="G926" s="3"/>
      <c r="H926" s="207"/>
      <c r="I926" s="142"/>
      <c r="J926" s="3"/>
      <c r="K926" s="3"/>
      <c r="L926" s="199"/>
      <c r="Q926" s="69"/>
    </row>
    <row r="927">
      <c r="A927" s="3"/>
      <c r="C927" s="207"/>
      <c r="E927" s="3"/>
      <c r="F927" s="3"/>
      <c r="G927" s="3"/>
      <c r="H927" s="207"/>
      <c r="I927" s="142"/>
      <c r="J927" s="3"/>
      <c r="K927" s="3"/>
      <c r="L927" s="199"/>
      <c r="Q927" s="69"/>
    </row>
    <row r="928">
      <c r="A928" s="3"/>
      <c r="C928" s="207"/>
      <c r="E928" s="3"/>
      <c r="F928" s="3"/>
      <c r="G928" s="3"/>
      <c r="H928" s="207"/>
      <c r="I928" s="142"/>
      <c r="J928" s="3"/>
      <c r="K928" s="3"/>
      <c r="L928" s="199"/>
      <c r="Q928" s="69"/>
    </row>
    <row r="929">
      <c r="A929" s="3"/>
      <c r="C929" s="207"/>
      <c r="E929" s="3"/>
      <c r="F929" s="3"/>
      <c r="G929" s="3"/>
      <c r="H929" s="207"/>
      <c r="I929" s="142"/>
      <c r="J929" s="3"/>
      <c r="K929" s="3"/>
      <c r="L929" s="199"/>
      <c r="Q929" s="69"/>
    </row>
    <row r="930">
      <c r="A930" s="3"/>
      <c r="C930" s="207"/>
      <c r="E930" s="3"/>
      <c r="F930" s="3"/>
      <c r="G930" s="3"/>
      <c r="H930" s="207"/>
      <c r="I930" s="142"/>
      <c r="J930" s="3"/>
      <c r="K930" s="3"/>
      <c r="L930" s="199"/>
      <c r="Q930" s="69"/>
    </row>
    <row r="931">
      <c r="A931" s="3"/>
      <c r="C931" s="207"/>
      <c r="E931" s="3"/>
      <c r="F931" s="3"/>
      <c r="G931" s="3"/>
      <c r="H931" s="207"/>
      <c r="I931" s="142"/>
      <c r="J931" s="3"/>
      <c r="K931" s="3"/>
      <c r="L931" s="199"/>
      <c r="Q931" s="69"/>
    </row>
    <row r="932">
      <c r="A932" s="3"/>
      <c r="C932" s="207"/>
      <c r="E932" s="3"/>
      <c r="F932" s="3"/>
      <c r="G932" s="3"/>
      <c r="H932" s="207"/>
      <c r="I932" s="142"/>
      <c r="J932" s="3"/>
      <c r="K932" s="3"/>
      <c r="L932" s="199"/>
      <c r="Q932" s="69"/>
    </row>
    <row r="933">
      <c r="A933" s="3"/>
      <c r="C933" s="207"/>
      <c r="E933" s="3"/>
      <c r="F933" s="3"/>
      <c r="G933" s="3"/>
      <c r="H933" s="207"/>
      <c r="I933" s="142"/>
      <c r="J933" s="3"/>
      <c r="K933" s="3"/>
      <c r="L933" s="199"/>
      <c r="Q933" s="69"/>
    </row>
    <row r="934">
      <c r="A934" s="3"/>
      <c r="C934" s="207"/>
      <c r="E934" s="3"/>
      <c r="F934" s="3"/>
      <c r="G934" s="3"/>
      <c r="H934" s="207"/>
      <c r="I934" s="142"/>
      <c r="J934" s="3"/>
      <c r="K934" s="3"/>
      <c r="L934" s="199"/>
      <c r="Q934" s="69"/>
    </row>
    <row r="935">
      <c r="A935" s="3"/>
      <c r="C935" s="207"/>
      <c r="E935" s="3"/>
      <c r="F935" s="3"/>
      <c r="G935" s="3"/>
      <c r="H935" s="207"/>
      <c r="I935" s="142"/>
      <c r="J935" s="3"/>
      <c r="K935" s="3"/>
      <c r="L935" s="199"/>
      <c r="Q935" s="69"/>
    </row>
    <row r="936">
      <c r="A936" s="3"/>
      <c r="C936" s="207"/>
      <c r="E936" s="3"/>
      <c r="F936" s="3"/>
      <c r="G936" s="3"/>
      <c r="H936" s="207"/>
      <c r="I936" s="142"/>
      <c r="J936" s="3"/>
      <c r="K936" s="3"/>
      <c r="L936" s="199"/>
      <c r="Q936" s="69"/>
    </row>
    <row r="937">
      <c r="A937" s="3"/>
      <c r="C937" s="207"/>
      <c r="E937" s="3"/>
      <c r="F937" s="3"/>
      <c r="G937" s="3"/>
      <c r="H937" s="207"/>
      <c r="I937" s="142"/>
      <c r="J937" s="3"/>
      <c r="K937" s="3"/>
      <c r="L937" s="199"/>
      <c r="Q937" s="69"/>
    </row>
    <row r="938">
      <c r="A938" s="3"/>
      <c r="C938" s="207"/>
      <c r="E938" s="3"/>
      <c r="F938" s="3"/>
      <c r="G938" s="3"/>
      <c r="H938" s="207"/>
      <c r="I938" s="142"/>
      <c r="J938" s="3"/>
      <c r="K938" s="3"/>
      <c r="L938" s="199"/>
      <c r="Q938" s="69"/>
    </row>
    <row r="939">
      <c r="A939" s="3"/>
      <c r="C939" s="207"/>
      <c r="E939" s="3"/>
      <c r="F939" s="3"/>
      <c r="G939" s="3"/>
      <c r="H939" s="207"/>
      <c r="I939" s="142"/>
      <c r="J939" s="3"/>
      <c r="K939" s="3"/>
      <c r="L939" s="199"/>
      <c r="Q939" s="69"/>
    </row>
    <row r="940">
      <c r="A940" s="3"/>
      <c r="C940" s="207"/>
      <c r="E940" s="3"/>
      <c r="F940" s="3"/>
      <c r="G940" s="3"/>
      <c r="H940" s="207"/>
      <c r="I940" s="142"/>
      <c r="J940" s="3"/>
      <c r="K940" s="3"/>
      <c r="L940" s="199"/>
      <c r="Q940" s="69"/>
    </row>
    <row r="941">
      <c r="A941" s="3"/>
      <c r="C941" s="207"/>
      <c r="E941" s="3"/>
      <c r="F941" s="3"/>
      <c r="G941" s="3"/>
      <c r="H941" s="207"/>
      <c r="I941" s="142"/>
      <c r="J941" s="3"/>
      <c r="K941" s="3"/>
      <c r="L941" s="199"/>
      <c r="Q941" s="69"/>
    </row>
    <row r="942">
      <c r="A942" s="3"/>
      <c r="C942" s="207"/>
      <c r="E942" s="3"/>
      <c r="F942" s="3"/>
      <c r="G942" s="3"/>
      <c r="H942" s="207"/>
      <c r="I942" s="142"/>
      <c r="J942" s="3"/>
      <c r="K942" s="3"/>
      <c r="L942" s="199"/>
      <c r="Q942" s="69"/>
    </row>
    <row r="943">
      <c r="A943" s="3"/>
      <c r="C943" s="207"/>
      <c r="E943" s="3"/>
      <c r="F943" s="3"/>
      <c r="G943" s="3"/>
      <c r="H943" s="207"/>
      <c r="I943" s="142"/>
      <c r="J943" s="3"/>
      <c r="K943" s="3"/>
      <c r="L943" s="199"/>
      <c r="Q943" s="69"/>
    </row>
    <row r="944">
      <c r="A944" s="3"/>
      <c r="C944" s="207"/>
      <c r="E944" s="3"/>
      <c r="F944" s="3"/>
      <c r="G944" s="3"/>
      <c r="H944" s="207"/>
      <c r="I944" s="142"/>
      <c r="J944" s="3"/>
      <c r="K944" s="3"/>
      <c r="L944" s="199"/>
      <c r="Q944" s="69"/>
    </row>
    <row r="945">
      <c r="A945" s="3"/>
      <c r="C945" s="207"/>
      <c r="E945" s="3"/>
      <c r="F945" s="3"/>
      <c r="G945" s="3"/>
      <c r="H945" s="207"/>
      <c r="I945" s="142"/>
      <c r="J945" s="3"/>
      <c r="K945" s="3"/>
      <c r="L945" s="199"/>
      <c r="Q945" s="69"/>
    </row>
    <row r="946">
      <c r="A946" s="3"/>
      <c r="C946" s="207"/>
      <c r="E946" s="3"/>
      <c r="F946" s="3"/>
      <c r="G946" s="3"/>
      <c r="H946" s="207"/>
      <c r="I946" s="142"/>
      <c r="J946" s="3"/>
      <c r="K946" s="3"/>
      <c r="L946" s="199"/>
      <c r="Q946" s="69"/>
    </row>
    <row r="947">
      <c r="A947" s="3"/>
      <c r="C947" s="207"/>
      <c r="E947" s="3"/>
      <c r="F947" s="3"/>
      <c r="G947" s="3"/>
      <c r="H947" s="207"/>
      <c r="I947" s="142"/>
      <c r="J947" s="3"/>
      <c r="K947" s="3"/>
      <c r="L947" s="199"/>
      <c r="Q947" s="69"/>
    </row>
    <row r="948">
      <c r="A948" s="3"/>
      <c r="C948" s="207"/>
      <c r="E948" s="3"/>
      <c r="F948" s="3"/>
      <c r="G948" s="3"/>
      <c r="H948" s="207"/>
      <c r="I948" s="142"/>
      <c r="J948" s="3"/>
      <c r="K948" s="3"/>
      <c r="L948" s="199"/>
      <c r="Q948" s="69"/>
    </row>
    <row r="949">
      <c r="A949" s="3"/>
      <c r="C949" s="207"/>
      <c r="E949" s="3"/>
      <c r="F949" s="3"/>
      <c r="G949" s="3"/>
      <c r="H949" s="207"/>
      <c r="I949" s="142"/>
      <c r="J949" s="3"/>
      <c r="K949" s="3"/>
      <c r="L949" s="199"/>
      <c r="Q949" s="69"/>
    </row>
    <row r="950">
      <c r="A950" s="3"/>
      <c r="C950" s="207"/>
      <c r="E950" s="3"/>
      <c r="F950" s="3"/>
      <c r="G950" s="3"/>
      <c r="H950" s="207"/>
      <c r="I950" s="142"/>
      <c r="J950" s="3"/>
      <c r="K950" s="3"/>
      <c r="L950" s="199"/>
      <c r="Q950" s="69"/>
    </row>
    <row r="951">
      <c r="A951" s="3"/>
      <c r="C951" s="207"/>
      <c r="E951" s="3"/>
      <c r="F951" s="3"/>
      <c r="G951" s="3"/>
      <c r="H951" s="207"/>
      <c r="I951" s="142"/>
      <c r="J951" s="3"/>
      <c r="K951" s="3"/>
      <c r="L951" s="199"/>
      <c r="Q951" s="69"/>
    </row>
    <row r="952">
      <c r="A952" s="3"/>
      <c r="C952" s="207"/>
      <c r="E952" s="3"/>
      <c r="F952" s="3"/>
      <c r="G952" s="3"/>
      <c r="H952" s="207"/>
      <c r="I952" s="142"/>
      <c r="J952" s="3"/>
      <c r="K952" s="3"/>
      <c r="L952" s="199"/>
      <c r="Q952" s="69"/>
    </row>
    <row r="953">
      <c r="A953" s="3"/>
      <c r="C953" s="207"/>
      <c r="E953" s="3"/>
      <c r="F953" s="3"/>
      <c r="G953" s="3"/>
      <c r="H953" s="207"/>
      <c r="I953" s="142"/>
      <c r="J953" s="3"/>
      <c r="K953" s="3"/>
      <c r="L953" s="199"/>
      <c r="Q953" s="69"/>
    </row>
    <row r="954">
      <c r="A954" s="3"/>
      <c r="C954" s="207"/>
      <c r="E954" s="3"/>
      <c r="F954" s="3"/>
      <c r="G954" s="3"/>
      <c r="H954" s="207"/>
      <c r="I954" s="142"/>
      <c r="J954" s="3"/>
      <c r="K954" s="3"/>
      <c r="L954" s="199"/>
      <c r="Q954" s="69"/>
    </row>
    <row r="955">
      <c r="A955" s="3"/>
      <c r="C955" s="207"/>
      <c r="E955" s="3"/>
      <c r="F955" s="3"/>
      <c r="G955" s="3"/>
      <c r="H955" s="207"/>
      <c r="I955" s="142"/>
      <c r="J955" s="3"/>
      <c r="K955" s="3"/>
      <c r="L955" s="199"/>
      <c r="Q955" s="69"/>
    </row>
    <row r="956">
      <c r="A956" s="3"/>
      <c r="C956" s="207"/>
      <c r="E956" s="3"/>
      <c r="F956" s="3"/>
      <c r="G956" s="3"/>
      <c r="H956" s="207"/>
      <c r="I956" s="142"/>
      <c r="J956" s="3"/>
      <c r="K956" s="3"/>
      <c r="L956" s="199"/>
      <c r="Q956" s="69"/>
    </row>
    <row r="957">
      <c r="A957" s="3"/>
      <c r="C957" s="207"/>
      <c r="E957" s="3"/>
      <c r="F957" s="3"/>
      <c r="G957" s="3"/>
      <c r="H957" s="207"/>
      <c r="I957" s="142"/>
      <c r="J957" s="3"/>
      <c r="K957" s="3"/>
      <c r="L957" s="199"/>
      <c r="Q957" s="69"/>
    </row>
    <row r="958">
      <c r="A958" s="3"/>
      <c r="C958" s="207"/>
      <c r="E958" s="3"/>
      <c r="F958" s="3"/>
      <c r="G958" s="3"/>
      <c r="H958" s="207"/>
      <c r="I958" s="142"/>
      <c r="J958" s="3"/>
      <c r="K958" s="3"/>
      <c r="L958" s="199"/>
      <c r="Q958" s="69"/>
    </row>
    <row r="959">
      <c r="A959" s="3"/>
      <c r="C959" s="207"/>
      <c r="E959" s="3"/>
      <c r="F959" s="3"/>
      <c r="G959" s="3"/>
      <c r="H959" s="207"/>
      <c r="I959" s="142"/>
      <c r="J959" s="3"/>
      <c r="K959" s="3"/>
      <c r="L959" s="199"/>
      <c r="Q959" s="69"/>
    </row>
    <row r="960">
      <c r="A960" s="3"/>
      <c r="C960" s="207"/>
      <c r="E960" s="3"/>
      <c r="F960" s="3"/>
      <c r="G960" s="3"/>
      <c r="H960" s="207"/>
      <c r="I960" s="142"/>
      <c r="J960" s="3"/>
      <c r="K960" s="3"/>
      <c r="L960" s="199"/>
      <c r="Q960" s="69"/>
    </row>
    <row r="961">
      <c r="A961" s="3"/>
      <c r="C961" s="207"/>
      <c r="E961" s="3"/>
      <c r="F961" s="3"/>
      <c r="G961" s="3"/>
      <c r="H961" s="207"/>
      <c r="I961" s="142"/>
      <c r="J961" s="3"/>
      <c r="K961" s="3"/>
      <c r="L961" s="199"/>
      <c r="Q961" s="69"/>
    </row>
    <row r="962">
      <c r="A962" s="3"/>
      <c r="C962" s="207"/>
      <c r="E962" s="3"/>
      <c r="F962" s="3"/>
      <c r="G962" s="3"/>
      <c r="H962" s="207"/>
      <c r="I962" s="142"/>
      <c r="J962" s="3"/>
      <c r="K962" s="3"/>
      <c r="L962" s="199"/>
      <c r="Q962" s="69"/>
    </row>
    <row r="963">
      <c r="A963" s="3"/>
      <c r="C963" s="207"/>
      <c r="E963" s="3"/>
      <c r="F963" s="3"/>
      <c r="G963" s="3"/>
      <c r="H963" s="207"/>
      <c r="I963" s="142"/>
      <c r="J963" s="3"/>
      <c r="K963" s="3"/>
      <c r="L963" s="199"/>
      <c r="Q963" s="69"/>
    </row>
    <row r="964">
      <c r="A964" s="3"/>
      <c r="C964" s="207"/>
      <c r="E964" s="3"/>
      <c r="F964" s="3"/>
      <c r="G964" s="3"/>
      <c r="H964" s="207"/>
      <c r="I964" s="142"/>
      <c r="J964" s="3"/>
      <c r="K964" s="3"/>
      <c r="L964" s="199"/>
      <c r="Q964" s="69"/>
    </row>
    <row r="965">
      <c r="A965" s="3"/>
      <c r="C965" s="207"/>
      <c r="E965" s="3"/>
      <c r="F965" s="3"/>
      <c r="G965" s="3"/>
      <c r="H965" s="207"/>
      <c r="I965" s="142"/>
      <c r="J965" s="3"/>
      <c r="K965" s="3"/>
      <c r="L965" s="199"/>
      <c r="Q965" s="69"/>
    </row>
    <row r="966">
      <c r="A966" s="3"/>
      <c r="C966" s="207"/>
      <c r="E966" s="3"/>
      <c r="F966" s="3"/>
      <c r="G966" s="3"/>
      <c r="H966" s="207"/>
      <c r="I966" s="142"/>
      <c r="J966" s="3"/>
      <c r="K966" s="3"/>
      <c r="L966" s="199"/>
      <c r="Q966" s="69"/>
    </row>
    <row r="967">
      <c r="A967" s="3"/>
      <c r="C967" s="207"/>
      <c r="E967" s="3"/>
      <c r="F967" s="3"/>
      <c r="G967" s="3"/>
      <c r="H967" s="207"/>
      <c r="I967" s="142"/>
      <c r="J967" s="3"/>
      <c r="K967" s="3"/>
      <c r="L967" s="199"/>
      <c r="Q967" s="69"/>
    </row>
    <row r="968">
      <c r="A968" s="3"/>
      <c r="C968" s="207"/>
      <c r="E968" s="3"/>
      <c r="F968" s="3"/>
      <c r="G968" s="3"/>
      <c r="H968" s="207"/>
      <c r="I968" s="142"/>
      <c r="J968" s="3"/>
      <c r="K968" s="3"/>
      <c r="L968" s="199"/>
      <c r="Q968" s="69"/>
    </row>
    <row r="969">
      <c r="A969" s="3"/>
      <c r="C969" s="207"/>
      <c r="E969" s="3"/>
      <c r="F969" s="3"/>
      <c r="G969" s="3"/>
      <c r="H969" s="207"/>
      <c r="I969" s="142"/>
      <c r="J969" s="3"/>
      <c r="K969" s="3"/>
      <c r="L969" s="199"/>
      <c r="Q969" s="69"/>
    </row>
    <row r="970">
      <c r="A970" s="3"/>
      <c r="C970" s="207"/>
      <c r="E970" s="3"/>
      <c r="F970" s="3"/>
      <c r="G970" s="3"/>
      <c r="H970" s="207"/>
      <c r="I970" s="142"/>
      <c r="J970" s="3"/>
      <c r="K970" s="3"/>
      <c r="L970" s="199"/>
      <c r="Q970" s="69"/>
    </row>
    <row r="971">
      <c r="A971" s="3"/>
      <c r="C971" s="207"/>
      <c r="E971" s="3"/>
      <c r="F971" s="3"/>
      <c r="G971" s="3"/>
      <c r="H971" s="207"/>
      <c r="I971" s="142"/>
      <c r="J971" s="3"/>
      <c r="K971" s="3"/>
      <c r="L971" s="199"/>
      <c r="Q971" s="69"/>
    </row>
    <row r="972">
      <c r="A972" s="3"/>
      <c r="C972" s="207"/>
      <c r="E972" s="3"/>
      <c r="F972" s="3"/>
      <c r="G972" s="3"/>
      <c r="H972" s="207"/>
      <c r="I972" s="142"/>
      <c r="J972" s="3"/>
      <c r="K972" s="3"/>
      <c r="L972" s="199"/>
      <c r="Q972" s="69"/>
    </row>
    <row r="973">
      <c r="A973" s="3"/>
      <c r="C973" s="207"/>
      <c r="E973" s="3"/>
      <c r="F973" s="3"/>
      <c r="G973" s="3"/>
      <c r="H973" s="207"/>
      <c r="I973" s="142"/>
      <c r="J973" s="3"/>
      <c r="K973" s="3"/>
      <c r="L973" s="199"/>
      <c r="Q973" s="69"/>
    </row>
    <row r="974">
      <c r="A974" s="3"/>
      <c r="C974" s="207"/>
      <c r="E974" s="3"/>
      <c r="F974" s="3"/>
      <c r="G974" s="3"/>
      <c r="H974" s="207"/>
      <c r="I974" s="142"/>
      <c r="J974" s="3"/>
      <c r="K974" s="3"/>
      <c r="L974" s="199"/>
      <c r="Q974" s="69"/>
    </row>
    <row r="975">
      <c r="A975" s="3"/>
      <c r="C975" s="207"/>
      <c r="E975" s="3"/>
      <c r="F975" s="3"/>
      <c r="G975" s="3"/>
      <c r="H975" s="207"/>
      <c r="I975" s="142"/>
      <c r="J975" s="3"/>
      <c r="K975" s="3"/>
      <c r="L975" s="199"/>
      <c r="Q975" s="69"/>
    </row>
    <row r="976">
      <c r="A976" s="3"/>
      <c r="C976" s="207"/>
      <c r="E976" s="3"/>
      <c r="F976" s="3"/>
      <c r="G976" s="3"/>
      <c r="H976" s="207"/>
      <c r="I976" s="142"/>
      <c r="J976" s="3"/>
      <c r="K976" s="3"/>
      <c r="L976" s="199"/>
      <c r="Q976" s="69"/>
    </row>
    <row r="977">
      <c r="A977" s="3"/>
      <c r="C977" s="207"/>
      <c r="E977" s="3"/>
      <c r="F977" s="3"/>
      <c r="G977" s="3"/>
      <c r="H977" s="207"/>
      <c r="I977" s="142"/>
      <c r="J977" s="3"/>
      <c r="K977" s="3"/>
      <c r="L977" s="199"/>
      <c r="Q977" s="69"/>
    </row>
    <row r="978">
      <c r="A978" s="3"/>
      <c r="C978" s="207"/>
      <c r="E978" s="3"/>
      <c r="F978" s="3"/>
      <c r="G978" s="3"/>
      <c r="H978" s="207"/>
      <c r="I978" s="142"/>
      <c r="J978" s="3"/>
      <c r="K978" s="3"/>
      <c r="L978" s="199"/>
      <c r="Q978" s="69"/>
    </row>
    <row r="979">
      <c r="A979" s="3"/>
      <c r="C979" s="207"/>
      <c r="E979" s="3"/>
      <c r="F979" s="3"/>
      <c r="G979" s="3"/>
      <c r="H979" s="207"/>
      <c r="I979" s="142"/>
      <c r="J979" s="3"/>
      <c r="K979" s="3"/>
      <c r="L979" s="199"/>
      <c r="Q979" s="69"/>
    </row>
    <row r="980">
      <c r="A980" s="3"/>
      <c r="C980" s="207"/>
      <c r="E980" s="3"/>
      <c r="F980" s="3"/>
      <c r="G980" s="3"/>
      <c r="H980" s="207"/>
      <c r="I980" s="142"/>
      <c r="J980" s="3"/>
      <c r="K980" s="3"/>
      <c r="L980" s="199"/>
      <c r="Q980" s="69"/>
    </row>
    <row r="981">
      <c r="A981" s="3"/>
      <c r="C981" s="207"/>
      <c r="E981" s="3"/>
      <c r="F981" s="3"/>
      <c r="G981" s="3"/>
      <c r="H981" s="207"/>
      <c r="I981" s="142"/>
      <c r="J981" s="3"/>
      <c r="K981" s="3"/>
      <c r="L981" s="199"/>
      <c r="Q981" s="69"/>
    </row>
    <row r="982">
      <c r="A982" s="3"/>
      <c r="C982" s="207"/>
      <c r="E982" s="3"/>
      <c r="F982" s="3"/>
      <c r="G982" s="3"/>
      <c r="H982" s="207"/>
      <c r="I982" s="142"/>
      <c r="J982" s="3"/>
      <c r="K982" s="3"/>
      <c r="L982" s="199"/>
      <c r="Q982" s="69"/>
    </row>
    <row r="983">
      <c r="A983" s="3"/>
      <c r="C983" s="207"/>
      <c r="E983" s="3"/>
      <c r="F983" s="3"/>
      <c r="G983" s="3"/>
      <c r="H983" s="207"/>
      <c r="I983" s="142"/>
      <c r="J983" s="3"/>
      <c r="K983" s="3"/>
      <c r="L983" s="199"/>
      <c r="Q983" s="69"/>
    </row>
    <row r="984">
      <c r="A984" s="3"/>
      <c r="C984" s="207"/>
      <c r="E984" s="3"/>
      <c r="F984" s="3"/>
      <c r="G984" s="3"/>
      <c r="H984" s="207"/>
      <c r="I984" s="142"/>
      <c r="J984" s="3"/>
      <c r="K984" s="3"/>
      <c r="L984" s="199"/>
      <c r="Q984" s="69"/>
    </row>
    <row r="985">
      <c r="A985" s="3"/>
      <c r="C985" s="207"/>
      <c r="E985" s="3"/>
      <c r="F985" s="3"/>
      <c r="G985" s="3"/>
      <c r="H985" s="207"/>
      <c r="I985" s="142"/>
      <c r="J985" s="3"/>
      <c r="K985" s="3"/>
      <c r="L985" s="199"/>
      <c r="Q985" s="69"/>
    </row>
    <row r="986">
      <c r="A986" s="3"/>
      <c r="C986" s="207"/>
      <c r="E986" s="3"/>
      <c r="F986" s="3"/>
      <c r="G986" s="3"/>
      <c r="H986" s="207"/>
      <c r="I986" s="142"/>
      <c r="J986" s="3"/>
      <c r="K986" s="3"/>
      <c r="L986" s="199"/>
      <c r="Q986" s="69"/>
    </row>
    <row r="987">
      <c r="A987" s="3"/>
      <c r="C987" s="207"/>
      <c r="E987" s="3"/>
      <c r="F987" s="3"/>
      <c r="G987" s="3"/>
      <c r="H987" s="207"/>
      <c r="I987" s="142"/>
      <c r="J987" s="3"/>
      <c r="K987" s="3"/>
      <c r="L987" s="199"/>
      <c r="Q987" s="69"/>
    </row>
    <row r="988">
      <c r="A988" s="3"/>
      <c r="C988" s="207"/>
      <c r="E988" s="3"/>
      <c r="F988" s="3"/>
      <c r="G988" s="3"/>
      <c r="H988" s="207"/>
      <c r="I988" s="142"/>
      <c r="J988" s="3"/>
      <c r="K988" s="3"/>
      <c r="L988" s="199"/>
      <c r="Q988" s="69"/>
    </row>
    <row r="989">
      <c r="A989" s="3"/>
      <c r="C989" s="207"/>
      <c r="E989" s="3"/>
      <c r="F989" s="3"/>
      <c r="G989" s="3"/>
      <c r="H989" s="207"/>
      <c r="I989" s="142"/>
      <c r="J989" s="3"/>
      <c r="K989" s="3"/>
      <c r="L989" s="199"/>
      <c r="Q989" s="69"/>
    </row>
    <row r="990">
      <c r="A990" s="3"/>
      <c r="C990" s="207"/>
      <c r="E990" s="3"/>
      <c r="F990" s="3"/>
      <c r="G990" s="3"/>
      <c r="H990" s="207"/>
      <c r="I990" s="142"/>
      <c r="J990" s="3"/>
      <c r="K990" s="3"/>
      <c r="L990" s="199"/>
      <c r="Q990" s="69"/>
    </row>
    <row r="991">
      <c r="A991" s="3"/>
      <c r="C991" s="207"/>
      <c r="E991" s="3"/>
      <c r="F991" s="3"/>
      <c r="G991" s="3"/>
      <c r="H991" s="207"/>
      <c r="I991" s="142"/>
      <c r="J991" s="3"/>
      <c r="K991" s="3"/>
      <c r="L991" s="199"/>
      <c r="Q991" s="69"/>
    </row>
    <row r="992">
      <c r="A992" s="3"/>
      <c r="C992" s="207"/>
      <c r="E992" s="3"/>
      <c r="F992" s="3"/>
      <c r="G992" s="3"/>
      <c r="H992" s="207"/>
      <c r="I992" s="142"/>
      <c r="J992" s="3"/>
      <c r="K992" s="3"/>
      <c r="L992" s="199"/>
      <c r="Q992" s="69"/>
    </row>
    <row r="993">
      <c r="A993" s="3"/>
      <c r="C993" s="207"/>
      <c r="E993" s="3"/>
      <c r="F993" s="3"/>
      <c r="G993" s="3"/>
      <c r="H993" s="207"/>
      <c r="I993" s="142"/>
      <c r="J993" s="3"/>
      <c r="K993" s="3"/>
      <c r="L993" s="199"/>
      <c r="Q993" s="69"/>
    </row>
    <row r="994">
      <c r="A994" s="3"/>
      <c r="C994" s="207"/>
      <c r="E994" s="3"/>
      <c r="F994" s="3"/>
      <c r="G994" s="3"/>
      <c r="H994" s="207"/>
      <c r="I994" s="142"/>
      <c r="J994" s="3"/>
      <c r="K994" s="3"/>
      <c r="L994" s="199"/>
      <c r="Q994" s="69"/>
    </row>
    <row r="995">
      <c r="A995" s="3"/>
      <c r="C995" s="207"/>
      <c r="E995" s="3"/>
      <c r="F995" s="3"/>
      <c r="G995" s="3"/>
      <c r="H995" s="207"/>
      <c r="I995" s="142"/>
      <c r="J995" s="3"/>
      <c r="K995" s="3"/>
      <c r="L995" s="199"/>
      <c r="Q995" s="69"/>
    </row>
    <row r="996">
      <c r="A996" s="3"/>
      <c r="C996" s="207"/>
      <c r="E996" s="3"/>
      <c r="F996" s="3"/>
      <c r="G996" s="3"/>
      <c r="H996" s="207"/>
      <c r="I996" s="142"/>
      <c r="J996" s="3"/>
      <c r="K996" s="3"/>
      <c r="L996" s="199"/>
      <c r="Q996" s="69"/>
    </row>
    <row r="997">
      <c r="A997" s="3"/>
      <c r="C997" s="207"/>
      <c r="E997" s="3"/>
      <c r="F997" s="3"/>
      <c r="G997" s="3"/>
      <c r="H997" s="207"/>
      <c r="I997" s="142"/>
      <c r="J997" s="3"/>
      <c r="K997" s="3"/>
      <c r="L997" s="199"/>
      <c r="Q997" s="69"/>
    </row>
    <row r="998">
      <c r="A998" s="3"/>
      <c r="C998" s="207"/>
      <c r="E998" s="3"/>
      <c r="F998" s="3"/>
      <c r="G998" s="3"/>
      <c r="H998" s="207"/>
      <c r="I998" s="142"/>
      <c r="J998" s="3"/>
      <c r="K998" s="3"/>
      <c r="L998" s="199"/>
      <c r="Q998" s="69"/>
    </row>
    <row r="999">
      <c r="A999" s="3"/>
      <c r="C999" s="207"/>
      <c r="E999" s="3"/>
      <c r="F999" s="3"/>
      <c r="G999" s="3"/>
      <c r="H999" s="207"/>
      <c r="I999" s="142"/>
      <c r="J999" s="3"/>
      <c r="K999" s="3"/>
      <c r="L999" s="199"/>
      <c r="Q999" s="69"/>
    </row>
    <row r="1000">
      <c r="A1000" s="3"/>
      <c r="C1000" s="207"/>
      <c r="E1000" s="3"/>
      <c r="F1000" s="3"/>
      <c r="G1000" s="3"/>
      <c r="H1000" s="207"/>
      <c r="I1000" s="142"/>
      <c r="J1000" s="3"/>
      <c r="K1000" s="3"/>
      <c r="L1000" s="199"/>
      <c r="Q1000" s="69"/>
    </row>
    <row r="1001">
      <c r="A1001" s="3"/>
      <c r="C1001" s="207"/>
      <c r="E1001" s="3"/>
      <c r="F1001" s="3"/>
      <c r="G1001" s="3"/>
      <c r="H1001" s="207"/>
      <c r="I1001" s="142"/>
      <c r="J1001" s="3"/>
      <c r="K1001" s="3"/>
      <c r="L1001" s="199"/>
      <c r="Q1001" s="69"/>
    </row>
    <row r="1002">
      <c r="A1002" s="3"/>
      <c r="C1002" s="207"/>
      <c r="E1002" s="3"/>
      <c r="F1002" s="3"/>
      <c r="G1002" s="3"/>
      <c r="H1002" s="207"/>
      <c r="I1002" s="142"/>
      <c r="J1002" s="3"/>
      <c r="K1002" s="3"/>
      <c r="L1002" s="199"/>
      <c r="Q1002" s="69"/>
    </row>
    <row r="1003">
      <c r="A1003" s="3"/>
      <c r="C1003" s="207"/>
      <c r="E1003" s="3"/>
      <c r="F1003" s="3"/>
      <c r="G1003" s="3"/>
      <c r="H1003" s="207"/>
      <c r="I1003" s="142"/>
      <c r="J1003" s="3"/>
      <c r="K1003" s="3"/>
      <c r="L1003" s="199"/>
      <c r="Q1003" s="69"/>
    </row>
    <row r="1004">
      <c r="A1004" s="3"/>
      <c r="C1004" s="207"/>
      <c r="E1004" s="3"/>
      <c r="F1004" s="3"/>
      <c r="G1004" s="3"/>
      <c r="H1004" s="207"/>
      <c r="I1004" s="142"/>
      <c r="J1004" s="3"/>
      <c r="K1004" s="3"/>
      <c r="L1004" s="199"/>
      <c r="Q1004" s="69"/>
    </row>
  </sheetData>
  <mergeCells count="3">
    <mergeCell ref="D1:G1"/>
    <mergeCell ref="I1:K1"/>
    <mergeCell ref="M1:P1"/>
  </mergeCells>
  <conditionalFormatting sqref="D1">
    <cfRule type="colorScale" priority="1">
      <colorScale>
        <cfvo type="min"/>
        <cfvo type="max"/>
        <color rgb="FFFFFFFF"/>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2"/>
  <cols>
    <col customWidth="1" min="1" max="1" width="10.75"/>
    <col customWidth="1" min="2" max="2" width="9.63"/>
    <col customWidth="1" min="3" max="3" width="3.25"/>
    <col customWidth="1" min="4" max="4" width="20.88"/>
    <col customWidth="1" min="5" max="5" width="11.88"/>
    <col customWidth="1" min="6" max="6" width="13.13"/>
    <col customWidth="1" min="7" max="7" width="10.0"/>
  </cols>
  <sheetData>
    <row r="1">
      <c r="A1" s="210" t="s">
        <v>24</v>
      </c>
      <c r="B1" s="210"/>
      <c r="C1" s="210"/>
      <c r="D1" s="211" t="s">
        <v>817</v>
      </c>
      <c r="J1" s="16" t="s">
        <v>818</v>
      </c>
      <c r="O1" s="16"/>
    </row>
    <row r="2">
      <c r="A2" s="18" t="s">
        <v>5</v>
      </c>
      <c r="B2" s="18" t="s">
        <v>0</v>
      </c>
      <c r="C2" s="210"/>
      <c r="D2" s="23" t="s">
        <v>105</v>
      </c>
      <c r="E2" s="72" t="s">
        <v>106</v>
      </c>
      <c r="F2" s="72" t="s">
        <v>107</v>
      </c>
      <c r="G2" s="18" t="s">
        <v>103</v>
      </c>
      <c r="I2" s="16" t="s">
        <v>820</v>
      </c>
      <c r="O2" s="16" t="s">
        <v>24</v>
      </c>
    </row>
    <row r="3">
      <c r="A3" s="42">
        <v>46143.0</v>
      </c>
      <c r="B3" s="212" t="s">
        <v>10</v>
      </c>
      <c r="C3" s="213" t="s">
        <v>649</v>
      </c>
      <c r="D3" s="212" t="s">
        <v>821</v>
      </c>
      <c r="E3" s="214">
        <v>46154.0</v>
      </c>
      <c r="F3" s="214">
        <v>46154.0</v>
      </c>
      <c r="G3" s="214">
        <v>46154.0</v>
      </c>
      <c r="H3" s="215" t="s">
        <v>822</v>
      </c>
    </row>
    <row r="4">
      <c r="A4" s="42">
        <v>46143.0</v>
      </c>
      <c r="B4" s="212" t="s">
        <v>43</v>
      </c>
      <c r="C4" s="213" t="s">
        <v>649</v>
      </c>
      <c r="D4" s="212" t="s">
        <v>823</v>
      </c>
      <c r="E4" s="214">
        <v>46160.0</v>
      </c>
      <c r="F4" s="214">
        <v>46160.0</v>
      </c>
      <c r="G4" s="214">
        <v>46160.0</v>
      </c>
    </row>
    <row r="5">
      <c r="A5" s="42">
        <v>46143.0</v>
      </c>
      <c r="B5" s="212" t="s">
        <v>27</v>
      </c>
      <c r="C5" s="216" t="s">
        <v>736</v>
      </c>
      <c r="D5" s="212" t="s">
        <v>824</v>
      </c>
      <c r="E5" s="214">
        <v>46150.0</v>
      </c>
      <c r="F5" s="214">
        <v>46150.0</v>
      </c>
      <c r="G5" s="214">
        <v>46150.0</v>
      </c>
    </row>
    <row r="6">
      <c r="A6" s="42">
        <v>46143.0</v>
      </c>
      <c r="B6" s="84" t="s">
        <v>22</v>
      </c>
      <c r="C6" s="198" t="s">
        <v>625</v>
      </c>
      <c r="D6" s="212" t="s">
        <v>825</v>
      </c>
      <c r="E6" s="202">
        <v>46181.0</v>
      </c>
      <c r="F6" s="214">
        <v>46181.0</v>
      </c>
      <c r="G6" s="202">
        <v>46181.0</v>
      </c>
      <c r="I6" s="16" t="b">
        <v>1</v>
      </c>
    </row>
    <row r="7">
      <c r="A7" s="42">
        <v>46143.0</v>
      </c>
      <c r="B7" s="84" t="s">
        <v>57</v>
      </c>
      <c r="C7" s="198" t="s">
        <v>736</v>
      </c>
      <c r="D7" s="200" t="s">
        <v>826</v>
      </c>
      <c r="E7" s="202">
        <v>46169.0</v>
      </c>
      <c r="F7" s="202">
        <v>46169.0</v>
      </c>
      <c r="G7" s="202">
        <v>46169.0</v>
      </c>
      <c r="I7" s="16" t="b">
        <v>1</v>
      </c>
    </row>
    <row r="8">
      <c r="A8" s="42">
        <v>46143.0</v>
      </c>
      <c r="B8" s="84" t="s">
        <v>53</v>
      </c>
      <c r="C8" s="198" t="s">
        <v>625</v>
      </c>
      <c r="D8" s="200" t="s">
        <v>827</v>
      </c>
      <c r="E8" s="214">
        <v>46169.0</v>
      </c>
      <c r="F8" s="214">
        <v>46169.0</v>
      </c>
      <c r="G8" s="202">
        <v>46169.0</v>
      </c>
      <c r="I8" s="16" t="b">
        <v>1</v>
      </c>
    </row>
    <row r="9">
      <c r="A9" s="31">
        <v>46174.0</v>
      </c>
      <c r="B9" s="212" t="s">
        <v>41</v>
      </c>
      <c r="C9" s="213" t="s">
        <v>649</v>
      </c>
      <c r="D9" s="200" t="s">
        <v>828</v>
      </c>
      <c r="E9" s="214">
        <v>46174.0</v>
      </c>
      <c r="F9" s="214">
        <v>46174.0</v>
      </c>
      <c r="G9" s="214">
        <v>46174.0</v>
      </c>
      <c r="H9" s="215" t="s">
        <v>829</v>
      </c>
      <c r="I9" s="16" t="b">
        <v>1</v>
      </c>
    </row>
    <row r="10">
      <c r="A10" s="31">
        <v>46174.0</v>
      </c>
      <c r="B10" s="212" t="s">
        <v>62</v>
      </c>
      <c r="C10" s="213" t="s">
        <v>649</v>
      </c>
      <c r="D10" s="200" t="s">
        <v>830</v>
      </c>
      <c r="E10" s="214">
        <v>46177.0</v>
      </c>
      <c r="F10" s="214">
        <v>46177.0</v>
      </c>
      <c r="G10" s="214">
        <v>46177.0</v>
      </c>
      <c r="I10" s="16" t="b">
        <v>1</v>
      </c>
      <c r="K10" s="16" t="s">
        <v>24</v>
      </c>
    </row>
    <row r="11">
      <c r="A11" s="31">
        <v>46174.0</v>
      </c>
      <c r="B11" s="212" t="s">
        <v>67</v>
      </c>
      <c r="C11" s="213" t="s">
        <v>649</v>
      </c>
      <c r="D11" s="217" t="s">
        <v>831</v>
      </c>
      <c r="E11" s="202">
        <v>46189.0</v>
      </c>
      <c r="F11" s="214">
        <v>46202.0</v>
      </c>
      <c r="G11" s="202">
        <v>46189.0</v>
      </c>
      <c r="I11" s="16" t="b">
        <v>1</v>
      </c>
    </row>
    <row r="12">
      <c r="A12" s="31">
        <v>46174.0</v>
      </c>
      <c r="B12" s="212" t="s">
        <v>55</v>
      </c>
      <c r="C12" s="213" t="s">
        <v>649</v>
      </c>
      <c r="D12" s="200" t="s">
        <v>832</v>
      </c>
      <c r="E12" s="202">
        <v>46196.0</v>
      </c>
      <c r="F12" s="202">
        <v>46196.0</v>
      </c>
      <c r="G12" s="202">
        <v>46196.0</v>
      </c>
    </row>
    <row r="13">
      <c r="A13" s="31">
        <v>46174.0</v>
      </c>
      <c r="B13" s="212" t="s">
        <v>34</v>
      </c>
      <c r="C13" s="198" t="s">
        <v>625</v>
      </c>
      <c r="D13" s="200" t="s">
        <v>833</v>
      </c>
      <c r="E13" s="214">
        <v>46176.0</v>
      </c>
      <c r="F13" s="214">
        <v>46176.0</v>
      </c>
      <c r="G13" s="202">
        <v>46176.0</v>
      </c>
      <c r="I13" s="16" t="b">
        <v>1</v>
      </c>
    </row>
    <row r="14">
      <c r="A14" s="56">
        <v>46174.0</v>
      </c>
      <c r="B14" s="212" t="s">
        <v>75</v>
      </c>
      <c r="C14" s="198" t="s">
        <v>625</v>
      </c>
      <c r="D14" s="200" t="s">
        <v>834</v>
      </c>
      <c r="E14" s="202">
        <v>46184.0</v>
      </c>
      <c r="F14" s="202">
        <v>46184.0</v>
      </c>
      <c r="G14" s="202">
        <v>46184.0</v>
      </c>
      <c r="I14" s="16" t="b">
        <v>1</v>
      </c>
    </row>
    <row r="15">
      <c r="A15" s="56">
        <v>46174.0</v>
      </c>
      <c r="B15" s="212" t="s">
        <v>38</v>
      </c>
      <c r="C15" s="198" t="s">
        <v>625</v>
      </c>
      <c r="D15" s="200" t="s">
        <v>835</v>
      </c>
      <c r="E15" s="214">
        <v>46182.0</v>
      </c>
      <c r="F15" s="202">
        <v>46182.0</v>
      </c>
      <c r="G15" s="202">
        <v>46182.0</v>
      </c>
      <c r="I15" s="16" t="b">
        <v>1</v>
      </c>
    </row>
    <row r="16">
      <c r="A16" s="56">
        <v>46174.0</v>
      </c>
      <c r="B16" s="212" t="s">
        <v>65</v>
      </c>
      <c r="C16" s="198" t="s">
        <v>625</v>
      </c>
      <c r="D16" s="200" t="s">
        <v>836</v>
      </c>
      <c r="E16" s="202">
        <v>46183.0</v>
      </c>
      <c r="F16" s="202">
        <v>46183.0</v>
      </c>
      <c r="G16" s="202">
        <v>46183.0</v>
      </c>
      <c r="I16" s="16" t="b">
        <v>1</v>
      </c>
    </row>
    <row r="17">
      <c r="A17" s="52">
        <v>46204.0</v>
      </c>
      <c r="B17" s="212" t="s">
        <v>50</v>
      </c>
      <c r="C17" s="198" t="s">
        <v>649</v>
      </c>
      <c r="D17" s="200" t="s">
        <v>837</v>
      </c>
      <c r="E17" s="214">
        <v>46210.0</v>
      </c>
      <c r="F17" s="214">
        <v>46231.0</v>
      </c>
      <c r="G17" s="214">
        <v>46231.0</v>
      </c>
      <c r="H17" s="215" t="s">
        <v>838</v>
      </c>
      <c r="I17" s="16" t="b">
        <v>1</v>
      </c>
    </row>
    <row r="18">
      <c r="A18" s="52">
        <v>46204.0</v>
      </c>
      <c r="B18" s="218" t="s">
        <v>46</v>
      </c>
      <c r="C18" s="198" t="s">
        <v>649</v>
      </c>
      <c r="D18" s="219" t="s">
        <v>839</v>
      </c>
      <c r="E18" s="220">
        <v>46286.0</v>
      </c>
      <c r="F18" s="220">
        <v>46286.0</v>
      </c>
      <c r="G18" s="220">
        <v>46286.0</v>
      </c>
      <c r="I18" s="16" t="b">
        <v>1</v>
      </c>
    </row>
    <row r="19">
      <c r="A19" s="52">
        <v>46204.0</v>
      </c>
      <c r="B19" s="212" t="s">
        <v>32</v>
      </c>
      <c r="C19" s="198" t="s">
        <v>625</v>
      </c>
      <c r="D19" s="200" t="s">
        <v>840</v>
      </c>
      <c r="E19" s="214">
        <v>46227.0</v>
      </c>
      <c r="F19" s="214">
        <v>46227.0</v>
      </c>
      <c r="G19" s="202">
        <v>46227.0</v>
      </c>
      <c r="I19" s="16" t="b">
        <v>1</v>
      </c>
    </row>
    <row r="20">
      <c r="A20" s="52">
        <v>46204.0</v>
      </c>
      <c r="B20" s="212" t="s">
        <v>78</v>
      </c>
      <c r="C20" s="198" t="s">
        <v>625</v>
      </c>
      <c r="D20" s="200" t="s">
        <v>841</v>
      </c>
      <c r="E20" s="214">
        <v>46230.0</v>
      </c>
      <c r="F20" s="214">
        <v>46230.0</v>
      </c>
      <c r="G20" s="214">
        <v>46230.0</v>
      </c>
      <c r="I20" s="16" t="b">
        <v>1</v>
      </c>
    </row>
    <row r="21">
      <c r="A21" s="56">
        <v>46241.0</v>
      </c>
      <c r="B21" s="212" t="s">
        <v>84</v>
      </c>
      <c r="C21" s="198" t="s">
        <v>736</v>
      </c>
      <c r="D21" s="200" t="s">
        <v>842</v>
      </c>
      <c r="E21" s="214">
        <v>46258.0</v>
      </c>
      <c r="F21" s="214">
        <v>46258.0</v>
      </c>
      <c r="G21" s="214">
        <v>46258.0</v>
      </c>
      <c r="H21" s="215" t="s">
        <v>843</v>
      </c>
      <c r="I21" s="16" t="b">
        <v>1</v>
      </c>
    </row>
    <row r="22">
      <c r="A22" s="58">
        <v>46235.0</v>
      </c>
      <c r="B22" s="50" t="s">
        <v>86</v>
      </c>
      <c r="C22" s="198" t="s">
        <v>736</v>
      </c>
      <c r="D22" s="160" t="s">
        <v>844</v>
      </c>
      <c r="E22" s="162">
        <v>46311.0</v>
      </c>
      <c r="F22" s="162">
        <v>46311.0</v>
      </c>
      <c r="G22" s="162">
        <v>46311.0</v>
      </c>
      <c r="I22" s="16" t="b">
        <v>1</v>
      </c>
    </row>
    <row r="23">
      <c r="A23" s="58">
        <v>46235.0</v>
      </c>
      <c r="B23" s="94" t="s">
        <v>89</v>
      </c>
      <c r="C23" s="198" t="s">
        <v>736</v>
      </c>
      <c r="D23" s="200" t="s">
        <v>845</v>
      </c>
      <c r="E23" s="214">
        <v>46255.0</v>
      </c>
      <c r="F23" s="214">
        <v>46255.0</v>
      </c>
      <c r="G23" s="214">
        <v>46255.0</v>
      </c>
      <c r="I23" s="16" t="b">
        <v>1</v>
      </c>
    </row>
    <row r="24">
      <c r="A24" s="58">
        <v>46235.0</v>
      </c>
      <c r="B24" s="94" t="s">
        <v>90</v>
      </c>
      <c r="C24" s="198" t="s">
        <v>736</v>
      </c>
      <c r="D24" s="200" t="s">
        <v>846</v>
      </c>
      <c r="E24" s="214">
        <v>46245.0</v>
      </c>
      <c r="F24" s="214">
        <v>46245.0</v>
      </c>
      <c r="G24" s="214">
        <v>46245.0</v>
      </c>
      <c r="I24" s="16" t="b">
        <v>1</v>
      </c>
    </row>
    <row r="25">
      <c r="A25" s="58">
        <v>46235.0</v>
      </c>
      <c r="B25" s="94" t="s">
        <v>70</v>
      </c>
      <c r="C25" s="198" t="s">
        <v>736</v>
      </c>
      <c r="D25" s="200" t="s">
        <v>847</v>
      </c>
      <c r="E25" s="214">
        <v>46253.0</v>
      </c>
      <c r="F25" s="214">
        <v>46253.0</v>
      </c>
      <c r="G25" s="214">
        <v>46253.0</v>
      </c>
      <c r="H25" s="47" t="s">
        <v>94</v>
      </c>
      <c r="I25" s="16" t="b">
        <v>1</v>
      </c>
    </row>
    <row r="26">
      <c r="A26" s="58">
        <v>46235.0</v>
      </c>
      <c r="B26" s="94" t="s">
        <v>85</v>
      </c>
      <c r="C26" s="198" t="s">
        <v>625</v>
      </c>
      <c r="D26" s="200" t="s">
        <v>848</v>
      </c>
      <c r="E26" s="202">
        <v>46261.0</v>
      </c>
      <c r="F26" s="202">
        <v>46261.0</v>
      </c>
      <c r="G26" s="202">
        <v>46261.0</v>
      </c>
      <c r="I26" s="16" t="b">
        <v>1</v>
      </c>
    </row>
    <row r="27">
      <c r="A27" s="58">
        <v>46235.0</v>
      </c>
      <c r="B27" s="94" t="s">
        <v>81</v>
      </c>
      <c r="C27" s="198" t="s">
        <v>625</v>
      </c>
      <c r="D27" s="200" t="s">
        <v>849</v>
      </c>
      <c r="E27" s="202">
        <v>46234.0</v>
      </c>
      <c r="F27" s="202">
        <v>46234.0</v>
      </c>
      <c r="G27" s="202">
        <v>46234.0</v>
      </c>
      <c r="I27" s="16" t="b">
        <v>1</v>
      </c>
    </row>
    <row r="28">
      <c r="A28" s="58">
        <v>46235.0</v>
      </c>
      <c r="B28" s="94" t="s">
        <v>87</v>
      </c>
      <c r="C28" s="221" t="s">
        <v>625</v>
      </c>
      <c r="D28" s="200" t="s">
        <v>850</v>
      </c>
      <c r="E28" s="202">
        <v>46240.0</v>
      </c>
      <c r="F28" s="214">
        <v>46240.0</v>
      </c>
      <c r="G28" s="202">
        <v>46240.0</v>
      </c>
      <c r="I28" s="16" t="b">
        <v>1</v>
      </c>
    </row>
    <row r="29">
      <c r="A29" s="58">
        <v>46235.0</v>
      </c>
      <c r="B29" s="94" t="s">
        <v>59</v>
      </c>
      <c r="C29" s="198" t="s">
        <v>649</v>
      </c>
      <c r="D29" s="200" t="s">
        <v>851</v>
      </c>
      <c r="E29" s="214">
        <v>46252.0</v>
      </c>
      <c r="F29" s="214">
        <v>46252.0</v>
      </c>
      <c r="G29" s="214">
        <v>46252.0</v>
      </c>
      <c r="I29" s="16" t="b">
        <v>1</v>
      </c>
    </row>
    <row r="30">
      <c r="A30" s="58">
        <v>46235.0</v>
      </c>
      <c r="B30" s="94" t="s">
        <v>58</v>
      </c>
      <c r="C30" s="198" t="s">
        <v>736</v>
      </c>
      <c r="D30" s="200" t="s">
        <v>852</v>
      </c>
      <c r="E30" s="214">
        <v>46252.0</v>
      </c>
      <c r="F30" s="214">
        <v>46252.0</v>
      </c>
      <c r="G30" s="214">
        <v>46252.0</v>
      </c>
      <c r="I30" s="16" t="b">
        <v>1</v>
      </c>
    </row>
    <row r="31">
      <c r="A31" s="58">
        <v>46235.0</v>
      </c>
      <c r="B31" s="94" t="s">
        <v>74</v>
      </c>
      <c r="C31" s="198" t="s">
        <v>649</v>
      </c>
      <c r="D31" s="200" t="s">
        <v>853</v>
      </c>
      <c r="E31" s="214">
        <v>46245.0</v>
      </c>
      <c r="F31" s="214">
        <v>46245.0</v>
      </c>
      <c r="G31" s="214">
        <v>46245.0</v>
      </c>
      <c r="I31" s="16" t="b">
        <v>1</v>
      </c>
    </row>
    <row r="32">
      <c r="A32" s="58">
        <v>46235.0</v>
      </c>
      <c r="B32" s="94" t="s">
        <v>121</v>
      </c>
      <c r="C32" s="198" t="s">
        <v>649</v>
      </c>
      <c r="D32" s="200" t="s">
        <v>854</v>
      </c>
      <c r="E32" s="214">
        <v>46237.0</v>
      </c>
      <c r="F32" s="214">
        <v>46216.0</v>
      </c>
      <c r="G32" s="214">
        <v>46237.0</v>
      </c>
      <c r="I32" s="16" t="b">
        <v>1</v>
      </c>
    </row>
    <row r="33">
      <c r="A33" s="35">
        <v>46266.0</v>
      </c>
      <c r="B33" s="84" t="s">
        <v>122</v>
      </c>
      <c r="C33" s="198" t="s">
        <v>736</v>
      </c>
      <c r="D33" s="200" t="s">
        <v>855</v>
      </c>
      <c r="E33" s="214">
        <v>46294.0</v>
      </c>
      <c r="F33" s="214">
        <v>46294.0</v>
      </c>
      <c r="G33" s="214">
        <v>46294.0</v>
      </c>
      <c r="H33" s="215" t="s">
        <v>856</v>
      </c>
      <c r="I33" s="16" t="b">
        <v>1</v>
      </c>
    </row>
    <row r="34">
      <c r="A34" s="35">
        <v>46266.0</v>
      </c>
      <c r="B34" s="84" t="s">
        <v>117</v>
      </c>
      <c r="C34" s="198" t="s">
        <v>736</v>
      </c>
      <c r="D34" s="200" t="s">
        <v>857</v>
      </c>
      <c r="E34" s="202">
        <v>46289.0</v>
      </c>
      <c r="F34" s="202">
        <v>46282.0</v>
      </c>
      <c r="G34" s="202">
        <v>46282.0</v>
      </c>
      <c r="I34" s="16" t="b">
        <v>1</v>
      </c>
    </row>
    <row r="35">
      <c r="A35" s="35">
        <v>46266.0</v>
      </c>
      <c r="B35" s="84" t="s">
        <v>128</v>
      </c>
      <c r="C35" s="198" t="s">
        <v>736</v>
      </c>
      <c r="D35" s="200" t="s">
        <v>855</v>
      </c>
      <c r="E35" s="202">
        <v>46300.0</v>
      </c>
      <c r="F35" s="202">
        <v>46300.0</v>
      </c>
      <c r="G35" s="202">
        <v>46300.0</v>
      </c>
      <c r="I35" s="16" t="b">
        <v>1</v>
      </c>
    </row>
    <row r="36">
      <c r="A36" s="58">
        <v>46296.0</v>
      </c>
      <c r="B36" s="84" t="s">
        <v>125</v>
      </c>
      <c r="C36" s="198" t="s">
        <v>736</v>
      </c>
      <c r="D36" s="200" t="s">
        <v>858</v>
      </c>
      <c r="E36" s="202">
        <v>46296.0</v>
      </c>
      <c r="F36" s="202">
        <v>46296.0</v>
      </c>
      <c r="G36" s="202">
        <v>46296.0</v>
      </c>
      <c r="H36" s="215" t="s">
        <v>859</v>
      </c>
      <c r="I36" s="16" t="b">
        <v>1</v>
      </c>
    </row>
    <row r="37">
      <c r="A37" s="58">
        <v>46296.0</v>
      </c>
      <c r="B37" s="43" t="s">
        <v>127</v>
      </c>
      <c r="C37" s="198" t="s">
        <v>736</v>
      </c>
      <c r="D37" s="16" t="s">
        <v>860</v>
      </c>
      <c r="F37" s="222"/>
      <c r="G37" s="3"/>
      <c r="I37" s="223" t="b">
        <v>0</v>
      </c>
    </row>
    <row r="38">
      <c r="A38" s="58">
        <v>46296.0</v>
      </c>
      <c r="B38" s="84" t="s">
        <v>93</v>
      </c>
      <c r="C38" s="198" t="s">
        <v>736</v>
      </c>
      <c r="D38" s="200" t="s">
        <v>861</v>
      </c>
      <c r="E38" s="202">
        <v>46303.0</v>
      </c>
      <c r="F38" s="202">
        <v>46303.0</v>
      </c>
      <c r="G38" s="202">
        <v>46303.0</v>
      </c>
      <c r="I38" s="16" t="b">
        <v>1</v>
      </c>
    </row>
    <row r="39">
      <c r="A39" s="58">
        <v>46296.0</v>
      </c>
      <c r="B39" s="84" t="s">
        <v>96</v>
      </c>
      <c r="C39" s="198" t="s">
        <v>736</v>
      </c>
      <c r="D39" s="200" t="s">
        <v>862</v>
      </c>
      <c r="E39" s="202">
        <v>46301.0</v>
      </c>
      <c r="F39" s="202">
        <v>46301.0</v>
      </c>
      <c r="G39" s="202">
        <v>46301.0</v>
      </c>
      <c r="I39" s="16" t="b">
        <v>1</v>
      </c>
    </row>
    <row r="40">
      <c r="A40" s="58">
        <v>46296.0</v>
      </c>
      <c r="B40" s="181" t="s">
        <v>133</v>
      </c>
      <c r="C40" s="198" t="s">
        <v>736</v>
      </c>
      <c r="D40" s="160" t="s">
        <v>862</v>
      </c>
      <c r="E40" s="159">
        <v>46321.0</v>
      </c>
      <c r="F40" s="159">
        <v>46321.0</v>
      </c>
      <c r="G40" s="159">
        <v>46321.0</v>
      </c>
      <c r="I40" s="223" t="b">
        <v>0</v>
      </c>
    </row>
    <row r="41">
      <c r="A41" s="58">
        <v>46296.0</v>
      </c>
      <c r="B41" s="153" t="s">
        <v>148</v>
      </c>
      <c r="C41" s="198" t="s">
        <v>736</v>
      </c>
      <c r="D41" s="160" t="s">
        <v>858</v>
      </c>
      <c r="E41" s="159">
        <v>46314.0</v>
      </c>
      <c r="F41" s="159">
        <v>46314.0</v>
      </c>
      <c r="G41" s="159">
        <v>46314.0</v>
      </c>
      <c r="I41" s="223" t="b">
        <v>0</v>
      </c>
    </row>
    <row r="42">
      <c r="A42" s="58">
        <v>46296.0</v>
      </c>
      <c r="B42" s="11" t="s">
        <v>152</v>
      </c>
      <c r="C42" s="198" t="s">
        <v>736</v>
      </c>
      <c r="D42" s="16" t="s">
        <v>863</v>
      </c>
      <c r="E42" s="224"/>
      <c r="F42" s="224"/>
      <c r="G42" s="224"/>
      <c r="I42" s="223" t="b">
        <v>0</v>
      </c>
    </row>
    <row r="43">
      <c r="A43" s="58">
        <v>46296.0</v>
      </c>
      <c r="B43" s="153" t="s">
        <v>135</v>
      </c>
      <c r="C43" s="198" t="s">
        <v>736</v>
      </c>
      <c r="D43" s="160" t="s">
        <v>862</v>
      </c>
      <c r="E43" s="159">
        <v>46322.0</v>
      </c>
      <c r="F43" s="159">
        <v>46322.0</v>
      </c>
      <c r="G43" s="159">
        <v>46322.0</v>
      </c>
      <c r="I43" s="223" t="b">
        <v>0</v>
      </c>
    </row>
    <row r="44">
      <c r="A44" s="225">
        <v>46327.0</v>
      </c>
      <c r="B44" s="11" t="s">
        <v>153</v>
      </c>
      <c r="D44" s="142"/>
      <c r="E44" s="222"/>
      <c r="F44" s="222"/>
      <c r="G44" s="3"/>
    </row>
    <row r="45">
      <c r="A45" s="225">
        <v>46327.0</v>
      </c>
      <c r="B45" s="11" t="s">
        <v>120</v>
      </c>
      <c r="C45" s="16"/>
      <c r="D45" s="226"/>
      <c r="E45" s="95"/>
      <c r="F45" s="95"/>
      <c r="G45" s="3"/>
    </row>
    <row r="46">
      <c r="A46" s="225">
        <v>46327.0</v>
      </c>
      <c r="B46" s="11" t="s">
        <v>162</v>
      </c>
      <c r="C46" s="16"/>
      <c r="D46" s="142"/>
      <c r="E46" s="222"/>
      <c r="F46" s="222"/>
      <c r="G46" s="3"/>
    </row>
    <row r="47">
      <c r="A47" s="225">
        <v>46327.0</v>
      </c>
      <c r="B47" s="11" t="s">
        <v>126</v>
      </c>
      <c r="C47" s="16"/>
      <c r="D47" s="142"/>
      <c r="E47" s="224"/>
      <c r="F47" s="224"/>
      <c r="G47" s="3"/>
    </row>
    <row r="48">
      <c r="A48" s="225">
        <v>46327.0</v>
      </c>
      <c r="B48" s="11" t="s">
        <v>157</v>
      </c>
      <c r="C48" s="16"/>
      <c r="D48" s="142"/>
      <c r="E48" s="222"/>
      <c r="F48" s="222"/>
      <c r="G48" s="3"/>
    </row>
    <row r="49">
      <c r="A49" s="225">
        <v>46327.0</v>
      </c>
      <c r="B49" s="16" t="s">
        <v>114</v>
      </c>
      <c r="C49" s="16"/>
      <c r="D49" s="142"/>
      <c r="E49" s="224"/>
      <c r="F49" s="224"/>
      <c r="G49" s="3"/>
    </row>
    <row r="50">
      <c r="A50" s="35">
        <v>46327.0</v>
      </c>
      <c r="B50" s="14" t="s">
        <v>178</v>
      </c>
      <c r="C50" s="16"/>
      <c r="D50" s="142"/>
      <c r="E50" s="224"/>
      <c r="F50" s="224"/>
      <c r="G50" s="3"/>
    </row>
    <row r="51">
      <c r="A51" s="227">
        <v>46327.0</v>
      </c>
      <c r="B51" s="16" t="s">
        <v>180</v>
      </c>
      <c r="C51" s="16"/>
      <c r="D51" s="142"/>
      <c r="E51" s="224"/>
      <c r="F51" s="224"/>
      <c r="G51" s="3"/>
    </row>
    <row r="52">
      <c r="A52" s="228">
        <v>46357.0</v>
      </c>
      <c r="B52" s="16" t="s">
        <v>184</v>
      </c>
      <c r="C52" s="16"/>
      <c r="D52" s="47"/>
      <c r="E52" s="224"/>
      <c r="F52" s="224"/>
      <c r="G52" s="3"/>
    </row>
    <row r="53">
      <c r="A53" s="228">
        <v>46357.0</v>
      </c>
      <c r="B53" s="16" t="s">
        <v>188</v>
      </c>
      <c r="C53" s="16"/>
      <c r="D53" s="142"/>
      <c r="E53" s="224"/>
      <c r="F53" s="224"/>
      <c r="G53" s="3"/>
    </row>
    <row r="54">
      <c r="A54" s="228">
        <v>46357.0</v>
      </c>
      <c r="B54" s="16" t="s">
        <v>190</v>
      </c>
      <c r="D54" s="142"/>
      <c r="E54" s="3"/>
      <c r="F54" s="3"/>
      <c r="G54" s="3"/>
    </row>
    <row r="55">
      <c r="A55" s="228">
        <v>46357.0</v>
      </c>
      <c r="B55" s="16" t="s">
        <v>193</v>
      </c>
      <c r="C55" s="16"/>
      <c r="D55" s="142"/>
      <c r="E55" s="224"/>
      <c r="F55" s="224"/>
      <c r="G55" s="3"/>
    </row>
    <row r="56">
      <c r="A56" s="228">
        <v>46357.0</v>
      </c>
      <c r="B56" s="16" t="s">
        <v>196</v>
      </c>
      <c r="C56" s="16"/>
      <c r="D56" s="142"/>
      <c r="E56" s="224"/>
      <c r="F56" s="229"/>
      <c r="G56" s="3"/>
    </row>
    <row r="57">
      <c r="A57" s="228">
        <v>46357.0</v>
      </c>
      <c r="B57" s="16" t="s">
        <v>151</v>
      </c>
      <c r="C57" s="16"/>
      <c r="D57" s="142"/>
      <c r="E57" s="224"/>
      <c r="F57" s="224"/>
      <c r="G57" s="3"/>
    </row>
    <row r="58">
      <c r="A58" s="230">
        <v>46357.0</v>
      </c>
      <c r="B58" s="16" t="s">
        <v>138</v>
      </c>
      <c r="C58" s="16"/>
      <c r="D58" s="231"/>
      <c r="E58" s="224"/>
      <c r="F58" s="224"/>
      <c r="G58" s="3"/>
    </row>
    <row r="59">
      <c r="A59" s="86"/>
      <c r="B59" s="11"/>
      <c r="C59" s="16"/>
      <c r="D59" s="142"/>
      <c r="E59" s="222"/>
      <c r="F59" s="222"/>
      <c r="G59" s="3"/>
    </row>
    <row r="60">
      <c r="A60" s="86"/>
      <c r="B60" s="11"/>
      <c r="C60" s="16"/>
      <c r="D60" s="142"/>
      <c r="E60" s="224"/>
      <c r="F60" s="232"/>
      <c r="G60" s="3"/>
    </row>
    <row r="61">
      <c r="A61" s="86"/>
      <c r="B61" s="11"/>
      <c r="C61" s="16"/>
      <c r="D61" s="142"/>
      <c r="E61" s="224"/>
      <c r="F61" s="224"/>
      <c r="G61" s="3"/>
    </row>
    <row r="62">
      <c r="A62" s="86"/>
      <c r="B62" s="16"/>
      <c r="C62" s="16"/>
      <c r="D62" s="142"/>
      <c r="E62" s="224"/>
      <c r="F62" s="224"/>
      <c r="G62" s="3"/>
    </row>
    <row r="63">
      <c r="A63" s="86"/>
      <c r="B63" s="16"/>
      <c r="C63" s="16"/>
      <c r="D63" s="142"/>
      <c r="E63" s="224"/>
      <c r="F63" s="224"/>
      <c r="G63" s="3"/>
    </row>
    <row r="64">
      <c r="A64" s="86"/>
      <c r="B64" s="16"/>
      <c r="C64" s="16"/>
      <c r="D64" s="142"/>
      <c r="E64" s="224"/>
      <c r="F64" s="224"/>
      <c r="G64" s="3"/>
    </row>
    <row r="65">
      <c r="A65" s="73"/>
      <c r="B65" s="16"/>
      <c r="C65" s="16"/>
      <c r="D65" s="47"/>
      <c r="E65" s="224"/>
      <c r="F65" s="224"/>
      <c r="G65" s="3"/>
    </row>
    <row r="66">
      <c r="A66" s="108"/>
      <c r="B66" s="16"/>
      <c r="C66" s="16"/>
      <c r="D66" s="142"/>
      <c r="E66" s="224"/>
      <c r="F66" s="224"/>
      <c r="G66" s="3"/>
    </row>
    <row r="67">
      <c r="A67" s="108"/>
      <c r="B67" s="47"/>
      <c r="C67" s="16"/>
      <c r="D67" s="142"/>
      <c r="E67" s="224"/>
      <c r="F67" s="224"/>
      <c r="G67" s="3"/>
    </row>
    <row r="68">
      <c r="A68" s="108"/>
      <c r="B68" s="16"/>
      <c r="C68" s="16"/>
      <c r="D68" s="142"/>
      <c r="E68" s="224"/>
      <c r="F68" s="224"/>
      <c r="G68" s="3"/>
    </row>
    <row r="69">
      <c r="A69" s="108"/>
      <c r="B69" s="16"/>
      <c r="C69" s="16"/>
      <c r="D69" s="142"/>
      <c r="E69" s="3"/>
      <c r="F69" s="3"/>
      <c r="G69" s="3"/>
    </row>
    <row r="70">
      <c r="A70" s="108"/>
      <c r="B70" s="16"/>
      <c r="C70" s="16"/>
      <c r="D70" s="47"/>
      <c r="E70" s="224"/>
      <c r="F70" s="224"/>
      <c r="G70" s="3"/>
    </row>
    <row r="71">
      <c r="A71" s="108"/>
      <c r="B71" s="16"/>
      <c r="C71" s="16"/>
      <c r="D71" s="142"/>
      <c r="E71" s="224"/>
      <c r="F71" s="224"/>
      <c r="G71" s="3"/>
    </row>
    <row r="72">
      <c r="A72" s="108"/>
      <c r="B72" s="16"/>
      <c r="C72" s="16"/>
      <c r="D72" s="142"/>
      <c r="E72" s="224"/>
      <c r="F72" s="224"/>
      <c r="G72" s="3"/>
    </row>
    <row r="73">
      <c r="A73" s="108"/>
      <c r="B73" s="16"/>
      <c r="C73" s="16"/>
      <c r="D73" s="47"/>
      <c r="E73" s="132"/>
      <c r="F73" s="224"/>
      <c r="G73" s="3"/>
    </row>
    <row r="74">
      <c r="A74" s="108"/>
      <c r="B74" s="16"/>
      <c r="C74" s="16"/>
      <c r="D74" s="142"/>
      <c r="E74" s="224"/>
      <c r="F74" s="224"/>
      <c r="G74" s="3"/>
    </row>
    <row r="75">
      <c r="A75" s="108"/>
      <c r="B75" s="16"/>
      <c r="D75" s="142"/>
      <c r="E75" s="3"/>
      <c r="F75" s="3"/>
      <c r="G75" s="3"/>
    </row>
    <row r="76">
      <c r="A76" s="108"/>
      <c r="B76" s="47"/>
      <c r="C76" s="16"/>
      <c r="D76" s="47"/>
      <c r="E76" s="132"/>
      <c r="F76" s="132"/>
      <c r="G76" s="3"/>
    </row>
    <row r="77">
      <c r="A77" s="108"/>
      <c r="B77" s="47"/>
      <c r="C77" s="16"/>
      <c r="D77" s="47"/>
      <c r="E77" s="132"/>
      <c r="F77" s="3"/>
      <c r="G77" s="3"/>
    </row>
    <row r="78">
      <c r="A78" s="108"/>
      <c r="B78" s="47"/>
      <c r="C78" s="16"/>
      <c r="D78" s="142"/>
      <c r="E78" s="224"/>
      <c r="F78" s="224"/>
      <c r="G78" s="3"/>
    </row>
    <row r="79">
      <c r="A79" s="108"/>
      <c r="B79" s="47"/>
      <c r="C79" s="16"/>
      <c r="D79" s="142"/>
      <c r="E79" s="224"/>
      <c r="F79" s="224"/>
      <c r="G79" s="3"/>
    </row>
    <row r="80">
      <c r="A80" s="108"/>
      <c r="B80" s="47"/>
      <c r="C80" s="16"/>
      <c r="D80" s="142"/>
      <c r="E80" s="222"/>
      <c r="F80" s="222"/>
      <c r="G80" s="3"/>
    </row>
    <row r="81">
      <c r="A81" s="108"/>
      <c r="B81" s="47"/>
      <c r="C81" s="16"/>
      <c r="D81" s="47"/>
      <c r="E81" s="132"/>
      <c r="F81" s="132"/>
      <c r="G81" s="3"/>
    </row>
    <row r="82">
      <c r="A82" s="108"/>
      <c r="B82" s="47"/>
      <c r="C82" s="16"/>
      <c r="D82" s="47"/>
      <c r="E82" s="224"/>
      <c r="F82" s="224"/>
      <c r="G82" s="3"/>
    </row>
    <row r="83">
      <c r="A83" s="108"/>
      <c r="B83" s="47"/>
      <c r="C83" s="16"/>
      <c r="D83" s="233"/>
      <c r="E83" s="132"/>
      <c r="F83" s="132"/>
      <c r="G83" s="3"/>
    </row>
    <row r="84">
      <c r="A84" s="108"/>
      <c r="B84" s="47"/>
      <c r="C84" s="16"/>
      <c r="D84" s="47"/>
      <c r="E84" s="222"/>
      <c r="F84" s="222"/>
      <c r="G84" s="3"/>
    </row>
    <row r="85">
      <c r="A85" s="108"/>
      <c r="B85" s="47"/>
      <c r="C85" s="16"/>
      <c r="D85" s="226"/>
      <c r="E85" s="95"/>
      <c r="F85" s="95"/>
      <c r="G85" s="3"/>
    </row>
    <row r="86">
      <c r="A86" s="108"/>
      <c r="B86" s="234"/>
      <c r="C86" s="16"/>
      <c r="D86" s="47"/>
      <c r="E86" s="224"/>
      <c r="F86" s="224"/>
      <c r="G86" s="3"/>
    </row>
    <row r="87">
      <c r="A87" s="108"/>
      <c r="B87" s="47"/>
      <c r="C87" s="16"/>
      <c r="D87" s="47"/>
      <c r="E87" s="224"/>
      <c r="F87" s="224"/>
      <c r="G87" s="3"/>
    </row>
    <row r="88">
      <c r="A88" s="108"/>
      <c r="B88" s="47"/>
      <c r="C88" s="16"/>
      <c r="D88" s="47"/>
      <c r="E88" s="224"/>
      <c r="F88" s="224"/>
      <c r="G88" s="3"/>
    </row>
    <row r="89">
      <c r="A89" s="108"/>
      <c r="B89" s="47"/>
      <c r="C89" s="16"/>
      <c r="D89" s="235"/>
      <c r="E89" s="222"/>
      <c r="F89" s="222"/>
      <c r="G89" s="3"/>
    </row>
    <row r="90">
      <c r="A90" s="108"/>
      <c r="B90" s="47"/>
      <c r="C90" s="16"/>
      <c r="D90" s="47"/>
      <c r="E90" s="3"/>
      <c r="F90" s="3"/>
      <c r="G90" s="3"/>
    </row>
    <row r="91">
      <c r="A91" s="108"/>
      <c r="B91" s="47"/>
      <c r="D91" s="233"/>
      <c r="E91" s="3"/>
      <c r="F91" s="3"/>
      <c r="G91" s="3"/>
    </row>
    <row r="92">
      <c r="A92" s="108"/>
      <c r="B92" s="47"/>
      <c r="D92" s="47"/>
      <c r="E92" s="222"/>
      <c r="F92" s="3"/>
      <c r="G92" s="3"/>
    </row>
    <row r="93">
      <c r="A93" s="108"/>
      <c r="B93" s="47"/>
      <c r="D93" s="47"/>
      <c r="E93" s="3"/>
      <c r="F93" s="3"/>
      <c r="G93" s="3"/>
    </row>
    <row r="94">
      <c r="A94" s="108"/>
      <c r="B94" s="47"/>
      <c r="C94" s="16"/>
      <c r="D94" s="233"/>
      <c r="E94" s="236"/>
      <c r="F94" s="236"/>
      <c r="G94" s="3"/>
    </row>
    <row r="95">
      <c r="A95" s="108"/>
      <c r="B95" s="47"/>
      <c r="C95" s="16"/>
      <c r="D95" s="47"/>
      <c r="E95" s="3"/>
      <c r="F95" s="3"/>
      <c r="G95" s="3"/>
    </row>
    <row r="96">
      <c r="A96" s="108"/>
      <c r="B96" s="47"/>
      <c r="C96" s="16"/>
      <c r="D96" s="47"/>
      <c r="E96" s="222"/>
      <c r="F96" s="222"/>
      <c r="G96" s="3"/>
    </row>
    <row r="97">
      <c r="A97" s="108"/>
      <c r="B97" s="47"/>
      <c r="C97" s="16"/>
      <c r="D97" s="233"/>
      <c r="E97" s="222"/>
      <c r="F97" s="222"/>
      <c r="G97" s="3"/>
    </row>
    <row r="98">
      <c r="A98" s="108"/>
      <c r="B98" s="47"/>
      <c r="C98" s="16"/>
      <c r="D98" s="233"/>
      <c r="E98" s="222"/>
      <c r="F98" s="222"/>
      <c r="G98" s="3"/>
    </row>
    <row r="99">
      <c r="A99" s="108"/>
      <c r="B99" s="47"/>
      <c r="C99" s="16"/>
      <c r="D99" s="47"/>
      <c r="E99" s="224"/>
      <c r="F99" s="224"/>
      <c r="G99" s="3"/>
    </row>
    <row r="100">
      <c r="A100" s="108"/>
      <c r="B100" s="47"/>
      <c r="D100" s="47"/>
      <c r="E100" s="3"/>
      <c r="F100" s="3"/>
      <c r="G100" s="3"/>
    </row>
    <row r="101">
      <c r="A101" s="108"/>
      <c r="B101" s="47"/>
      <c r="D101" s="47"/>
      <c r="E101" s="222"/>
      <c r="F101" s="222"/>
      <c r="G101" s="3"/>
    </row>
    <row r="102">
      <c r="A102" s="108"/>
      <c r="B102" s="47"/>
      <c r="D102" s="47"/>
      <c r="E102" s="3"/>
      <c r="F102" s="3"/>
      <c r="G102" s="3"/>
    </row>
    <row r="103">
      <c r="A103" s="108"/>
      <c r="B103" s="47"/>
      <c r="D103" s="47"/>
      <c r="E103" s="3"/>
      <c r="F103" s="3"/>
      <c r="G103" s="3"/>
    </row>
    <row r="104">
      <c r="A104" s="108"/>
      <c r="B104" s="47"/>
      <c r="D104" s="47"/>
      <c r="E104" s="3"/>
      <c r="F104" s="3"/>
      <c r="G104" s="3"/>
    </row>
    <row r="105">
      <c r="A105" s="108"/>
      <c r="B105" s="47"/>
      <c r="D105" s="47"/>
      <c r="E105" s="3"/>
      <c r="F105" s="3"/>
      <c r="G105" s="3"/>
    </row>
    <row r="106">
      <c r="A106" s="205">
        <v>46113.0</v>
      </c>
      <c r="B106" s="47" t="s">
        <v>340</v>
      </c>
      <c r="C106" s="207"/>
      <c r="D106" s="47" t="s">
        <v>736</v>
      </c>
      <c r="E106" s="3"/>
      <c r="F106" s="3"/>
      <c r="G106" s="3"/>
    </row>
    <row r="107">
      <c r="A107" s="205">
        <v>46114.0</v>
      </c>
      <c r="B107" s="47" t="s">
        <v>364</v>
      </c>
      <c r="C107" s="207"/>
      <c r="D107" s="47" t="s">
        <v>736</v>
      </c>
      <c r="E107" s="3"/>
      <c r="F107" s="3"/>
      <c r="G107" s="3"/>
    </row>
    <row r="108">
      <c r="A108" s="205">
        <v>46115.0</v>
      </c>
      <c r="B108" s="47" t="s">
        <v>311</v>
      </c>
      <c r="C108" s="207"/>
      <c r="D108" s="237" t="s">
        <v>649</v>
      </c>
      <c r="E108" s="3"/>
      <c r="F108" s="3"/>
      <c r="G108" s="3"/>
    </row>
    <row r="109">
      <c r="A109" s="205">
        <v>46116.0</v>
      </c>
      <c r="B109" s="47" t="s">
        <v>304</v>
      </c>
      <c r="C109" s="207"/>
      <c r="D109" s="237" t="s">
        <v>649</v>
      </c>
      <c r="E109" s="3"/>
      <c r="F109" s="3"/>
      <c r="G109" s="3"/>
    </row>
    <row r="110">
      <c r="A110" s="205">
        <v>46117.0</v>
      </c>
      <c r="B110" s="47" t="s">
        <v>335</v>
      </c>
      <c r="C110" s="207"/>
      <c r="D110" s="47" t="s">
        <v>625</v>
      </c>
      <c r="E110" s="3"/>
      <c r="F110" s="3"/>
      <c r="G110" s="3"/>
    </row>
    <row r="111">
      <c r="A111" s="205">
        <v>46118.0</v>
      </c>
      <c r="B111" s="47" t="s">
        <v>368</v>
      </c>
      <c r="C111" s="207"/>
      <c r="D111" s="47" t="s">
        <v>625</v>
      </c>
      <c r="E111" s="3"/>
      <c r="F111" s="3"/>
      <c r="G111" s="3"/>
    </row>
    <row r="112">
      <c r="A112" s="205">
        <v>46119.0</v>
      </c>
      <c r="B112" s="47" t="s">
        <v>301</v>
      </c>
      <c r="C112" s="207"/>
      <c r="D112" s="47" t="s">
        <v>625</v>
      </c>
      <c r="E112" s="3"/>
      <c r="F112" s="3"/>
      <c r="G112" s="3"/>
    </row>
    <row r="113">
      <c r="A113" s="205">
        <v>46120.0</v>
      </c>
      <c r="B113" s="47" t="s">
        <v>317</v>
      </c>
      <c r="C113" s="207"/>
      <c r="D113" s="237" t="s">
        <v>649</v>
      </c>
      <c r="E113" s="3"/>
      <c r="F113" s="3"/>
      <c r="G113" s="3"/>
    </row>
    <row r="114">
      <c r="A114" s="205">
        <v>46121.0</v>
      </c>
      <c r="B114" s="47" t="s">
        <v>315</v>
      </c>
      <c r="C114" s="207"/>
      <c r="D114" s="47" t="s">
        <v>625</v>
      </c>
      <c r="E114" s="3"/>
      <c r="F114" s="3"/>
      <c r="G114" s="3"/>
    </row>
    <row r="115">
      <c r="A115" s="205">
        <v>46122.0</v>
      </c>
      <c r="B115" s="47" t="s">
        <v>322</v>
      </c>
      <c r="C115" s="207"/>
      <c r="D115" s="47" t="s">
        <v>736</v>
      </c>
      <c r="E115" s="3"/>
      <c r="F115" s="3"/>
      <c r="G115" s="3"/>
    </row>
    <row r="116">
      <c r="A116" s="3"/>
      <c r="C116" s="207"/>
      <c r="D116" s="142"/>
      <c r="E116" s="3"/>
      <c r="F116" s="3"/>
      <c r="G116" s="3"/>
    </row>
    <row r="117">
      <c r="A117" s="3"/>
      <c r="C117" s="207"/>
      <c r="D117" s="142"/>
      <c r="E117" s="3"/>
      <c r="F117" s="3"/>
      <c r="G117" s="3"/>
    </row>
    <row r="118">
      <c r="A118" s="3"/>
      <c r="C118" s="207"/>
      <c r="D118" s="142"/>
      <c r="E118" s="3"/>
      <c r="F118" s="3"/>
      <c r="G118" s="3"/>
    </row>
    <row r="119">
      <c r="A119" s="3"/>
      <c r="C119" s="207"/>
      <c r="D119" s="142"/>
      <c r="E119" s="3"/>
      <c r="F119" s="3"/>
      <c r="G119" s="3"/>
    </row>
    <row r="120">
      <c r="A120" s="3"/>
      <c r="C120" s="207"/>
      <c r="D120" s="142"/>
      <c r="E120" s="3"/>
      <c r="F120" s="3"/>
      <c r="G120" s="3"/>
    </row>
    <row r="121">
      <c r="A121" s="3"/>
      <c r="C121" s="207"/>
      <c r="D121" s="142"/>
      <c r="E121" s="3"/>
      <c r="F121" s="3"/>
      <c r="G121" s="3"/>
    </row>
    <row r="122">
      <c r="A122" s="3"/>
      <c r="C122" s="207"/>
      <c r="D122" s="142"/>
      <c r="E122" s="3"/>
      <c r="F122" s="3"/>
      <c r="G122" s="3"/>
    </row>
    <row r="123">
      <c r="A123" s="3"/>
      <c r="C123" s="207"/>
      <c r="D123" s="142"/>
      <c r="E123" s="3"/>
      <c r="F123" s="3"/>
      <c r="G123" s="3"/>
    </row>
    <row r="124">
      <c r="A124" s="3"/>
      <c r="C124" s="207"/>
      <c r="D124" s="142"/>
      <c r="E124" s="3"/>
      <c r="F124" s="3"/>
      <c r="G124" s="3"/>
    </row>
    <row r="125">
      <c r="A125" s="3"/>
      <c r="C125" s="207"/>
      <c r="D125" s="142"/>
      <c r="E125" s="3"/>
      <c r="F125" s="3"/>
      <c r="G125" s="3"/>
    </row>
    <row r="126">
      <c r="A126" s="3"/>
      <c r="C126" s="207"/>
      <c r="D126" s="142"/>
      <c r="E126" s="3"/>
      <c r="F126" s="3"/>
      <c r="G126" s="3"/>
    </row>
    <row r="127">
      <c r="A127" s="3"/>
      <c r="C127" s="207"/>
      <c r="D127" s="142"/>
      <c r="E127" s="3"/>
      <c r="F127" s="3"/>
      <c r="G127" s="3"/>
    </row>
    <row r="128">
      <c r="A128" s="3"/>
      <c r="C128" s="207"/>
      <c r="D128" s="142"/>
      <c r="E128" s="3"/>
      <c r="F128" s="3"/>
      <c r="G128" s="3"/>
    </row>
    <row r="129">
      <c r="A129" s="3"/>
      <c r="C129" s="207"/>
      <c r="D129" s="142"/>
      <c r="E129" s="3"/>
      <c r="F129" s="3"/>
      <c r="G129" s="3"/>
    </row>
    <row r="130">
      <c r="A130" s="3"/>
      <c r="C130" s="207"/>
      <c r="D130" s="142"/>
      <c r="E130" s="3"/>
      <c r="F130" s="3"/>
      <c r="G130" s="3"/>
    </row>
    <row r="131">
      <c r="A131" s="3"/>
      <c r="C131" s="207"/>
      <c r="D131" s="142"/>
      <c r="E131" s="3"/>
      <c r="F131" s="3"/>
      <c r="G131" s="3"/>
    </row>
    <row r="132">
      <c r="A132" s="3"/>
      <c r="C132" s="207"/>
      <c r="D132" s="142"/>
      <c r="E132" s="3"/>
      <c r="F132" s="3"/>
      <c r="G132" s="3"/>
    </row>
    <row r="133">
      <c r="A133" s="3"/>
      <c r="C133" s="207"/>
      <c r="D133" s="142"/>
      <c r="E133" s="3"/>
      <c r="F133" s="3"/>
      <c r="G133" s="3"/>
    </row>
    <row r="134">
      <c r="A134" s="3"/>
      <c r="C134" s="207"/>
      <c r="D134" s="142"/>
      <c r="E134" s="3"/>
      <c r="F134" s="3"/>
      <c r="G134" s="3"/>
    </row>
    <row r="135">
      <c r="A135" s="3"/>
      <c r="C135" s="207"/>
      <c r="D135" s="142"/>
      <c r="E135" s="3"/>
      <c r="F135" s="3"/>
      <c r="G135" s="3"/>
    </row>
    <row r="136">
      <c r="A136" s="3"/>
      <c r="C136" s="207"/>
      <c r="D136" s="142"/>
      <c r="E136" s="3"/>
      <c r="F136" s="3"/>
      <c r="G136" s="3"/>
    </row>
    <row r="137">
      <c r="A137" s="3"/>
      <c r="C137" s="207"/>
      <c r="D137" s="142"/>
      <c r="E137" s="3"/>
      <c r="F137" s="3"/>
      <c r="G137" s="3"/>
    </row>
    <row r="138">
      <c r="A138" s="3"/>
      <c r="C138" s="207"/>
      <c r="D138" s="142"/>
      <c r="E138" s="3"/>
      <c r="F138" s="3"/>
      <c r="G138" s="3"/>
    </row>
    <row r="139">
      <c r="A139" s="3"/>
      <c r="C139" s="207"/>
      <c r="D139" s="142"/>
      <c r="E139" s="3"/>
      <c r="F139" s="3"/>
      <c r="G139" s="3"/>
    </row>
    <row r="140">
      <c r="A140" s="3"/>
      <c r="C140" s="207"/>
      <c r="D140" s="142"/>
      <c r="E140" s="3"/>
      <c r="F140" s="3"/>
      <c r="G140" s="3"/>
    </row>
    <row r="141">
      <c r="A141" s="3"/>
      <c r="C141" s="207"/>
      <c r="D141" s="142"/>
      <c r="E141" s="3"/>
      <c r="F141" s="3"/>
      <c r="G141" s="3"/>
    </row>
    <row r="142">
      <c r="A142" s="3"/>
      <c r="C142" s="207"/>
      <c r="D142" s="142"/>
      <c r="E142" s="3"/>
      <c r="F142" s="3"/>
      <c r="G142" s="3"/>
    </row>
    <row r="143">
      <c r="A143" s="3"/>
      <c r="C143" s="207"/>
      <c r="D143" s="142"/>
      <c r="E143" s="3"/>
      <c r="F143" s="3"/>
      <c r="G143" s="3"/>
    </row>
    <row r="144">
      <c r="A144" s="3"/>
      <c r="C144" s="207"/>
      <c r="D144" s="142"/>
      <c r="E144" s="3"/>
      <c r="F144" s="3"/>
      <c r="G144" s="3"/>
    </row>
    <row r="145">
      <c r="A145" s="3"/>
      <c r="C145" s="207"/>
      <c r="D145" s="142"/>
      <c r="E145" s="3"/>
      <c r="F145" s="3"/>
      <c r="G145" s="3"/>
    </row>
    <row r="146">
      <c r="A146" s="3"/>
      <c r="C146" s="207"/>
      <c r="D146" s="142"/>
      <c r="E146" s="3"/>
      <c r="F146" s="3"/>
      <c r="G146" s="3"/>
    </row>
    <row r="147">
      <c r="A147" s="3"/>
      <c r="C147" s="207"/>
      <c r="D147" s="142"/>
      <c r="E147" s="3"/>
      <c r="F147" s="3"/>
      <c r="G147" s="3"/>
    </row>
    <row r="148">
      <c r="A148" s="3"/>
      <c r="C148" s="207"/>
      <c r="D148" s="142"/>
      <c r="E148" s="3"/>
      <c r="F148" s="3"/>
      <c r="G148" s="3"/>
    </row>
    <row r="149">
      <c r="A149" s="3"/>
      <c r="C149" s="207"/>
      <c r="D149" s="142"/>
      <c r="E149" s="3"/>
      <c r="F149" s="3"/>
      <c r="G149" s="3"/>
    </row>
    <row r="150">
      <c r="A150" s="3"/>
      <c r="C150" s="207"/>
      <c r="D150" s="142"/>
      <c r="E150" s="3"/>
      <c r="F150" s="3"/>
      <c r="G150" s="3"/>
    </row>
    <row r="151">
      <c r="A151" s="3"/>
      <c r="C151" s="207"/>
      <c r="D151" s="142"/>
      <c r="E151" s="3"/>
      <c r="F151" s="3"/>
      <c r="G151" s="3"/>
    </row>
    <row r="152">
      <c r="A152" s="3"/>
      <c r="C152" s="207"/>
      <c r="D152" s="142"/>
      <c r="E152" s="3"/>
      <c r="F152" s="3"/>
      <c r="G152" s="3"/>
    </row>
    <row r="153">
      <c r="A153" s="3"/>
      <c r="C153" s="207"/>
      <c r="D153" s="142"/>
      <c r="E153" s="3"/>
      <c r="F153" s="3"/>
      <c r="G153" s="3"/>
    </row>
    <row r="154">
      <c r="A154" s="3"/>
      <c r="C154" s="207"/>
      <c r="D154" s="142"/>
      <c r="E154" s="3"/>
      <c r="F154" s="3"/>
      <c r="G154" s="3"/>
    </row>
    <row r="155">
      <c r="A155" s="3"/>
      <c r="C155" s="207"/>
      <c r="D155" s="142"/>
      <c r="E155" s="3"/>
      <c r="F155" s="3"/>
      <c r="G155" s="3"/>
    </row>
    <row r="156">
      <c r="A156" s="3"/>
      <c r="C156" s="207"/>
      <c r="D156" s="142"/>
      <c r="E156" s="3"/>
      <c r="F156" s="3"/>
      <c r="G156" s="3"/>
    </row>
    <row r="157">
      <c r="A157" s="3"/>
      <c r="C157" s="207"/>
      <c r="D157" s="142"/>
      <c r="E157" s="3"/>
      <c r="F157" s="3"/>
      <c r="G157" s="3"/>
    </row>
    <row r="158">
      <c r="A158" s="3"/>
      <c r="C158" s="207"/>
      <c r="D158" s="142"/>
      <c r="E158" s="3"/>
      <c r="F158" s="3"/>
      <c r="G158" s="3"/>
    </row>
    <row r="159">
      <c r="A159" s="3"/>
      <c r="C159" s="207"/>
      <c r="D159" s="142"/>
      <c r="E159" s="3"/>
      <c r="F159" s="3"/>
      <c r="G159" s="3"/>
    </row>
    <row r="160">
      <c r="A160" s="3"/>
      <c r="C160" s="207"/>
      <c r="D160" s="142"/>
      <c r="E160" s="3"/>
      <c r="F160" s="3"/>
      <c r="G160" s="3"/>
    </row>
    <row r="161">
      <c r="A161" s="3"/>
      <c r="C161" s="207"/>
      <c r="D161" s="142"/>
      <c r="E161" s="3"/>
      <c r="F161" s="3"/>
      <c r="G161" s="3"/>
    </row>
    <row r="162">
      <c r="A162" s="3"/>
      <c r="C162" s="207"/>
      <c r="D162" s="142"/>
      <c r="E162" s="3"/>
      <c r="F162" s="3"/>
      <c r="G162" s="3"/>
    </row>
    <row r="163">
      <c r="A163" s="3"/>
      <c r="C163" s="207"/>
      <c r="D163" s="142"/>
      <c r="E163" s="3"/>
      <c r="F163" s="3"/>
      <c r="G163" s="3"/>
    </row>
    <row r="164">
      <c r="A164" s="3"/>
      <c r="C164" s="207"/>
      <c r="D164" s="142"/>
      <c r="E164" s="3"/>
      <c r="F164" s="3"/>
      <c r="G164" s="3"/>
    </row>
    <row r="165">
      <c r="A165" s="3"/>
      <c r="C165" s="207"/>
      <c r="D165" s="142"/>
      <c r="E165" s="3"/>
      <c r="F165" s="3"/>
      <c r="G165" s="3"/>
    </row>
    <row r="166">
      <c r="A166" s="3"/>
      <c r="C166" s="207"/>
      <c r="D166" s="142"/>
      <c r="E166" s="3"/>
      <c r="F166" s="3"/>
      <c r="G166" s="3"/>
    </row>
    <row r="167">
      <c r="A167" s="3"/>
      <c r="C167" s="207"/>
      <c r="D167" s="142"/>
      <c r="E167" s="3"/>
      <c r="F167" s="3"/>
      <c r="G167" s="3"/>
    </row>
    <row r="168">
      <c r="A168" s="3"/>
      <c r="C168" s="207"/>
      <c r="D168" s="142"/>
      <c r="E168" s="3"/>
      <c r="F168" s="3"/>
      <c r="G168" s="3"/>
    </row>
    <row r="169">
      <c r="A169" s="3"/>
      <c r="C169" s="207"/>
      <c r="D169" s="142"/>
      <c r="E169" s="3"/>
      <c r="F169" s="3"/>
      <c r="G169" s="3"/>
    </row>
    <row r="170">
      <c r="A170" s="3"/>
      <c r="C170" s="207"/>
      <c r="D170" s="142"/>
      <c r="E170" s="3"/>
      <c r="F170" s="3"/>
      <c r="G170" s="3"/>
    </row>
    <row r="171">
      <c r="A171" s="3"/>
      <c r="C171" s="207"/>
      <c r="D171" s="142"/>
      <c r="E171" s="3"/>
      <c r="F171" s="3"/>
      <c r="G171" s="3"/>
    </row>
    <row r="172">
      <c r="A172" s="3"/>
      <c r="C172" s="207"/>
      <c r="D172" s="142"/>
      <c r="E172" s="3"/>
      <c r="F172" s="3"/>
      <c r="G172" s="3"/>
    </row>
    <row r="173">
      <c r="A173" s="3"/>
      <c r="C173" s="207"/>
      <c r="D173" s="142"/>
      <c r="E173" s="3"/>
      <c r="F173" s="3"/>
      <c r="G173" s="3"/>
    </row>
    <row r="174">
      <c r="A174" s="3"/>
      <c r="C174" s="207"/>
      <c r="D174" s="142"/>
      <c r="E174" s="3"/>
      <c r="F174" s="3"/>
      <c r="G174" s="3"/>
    </row>
    <row r="175">
      <c r="A175" s="3"/>
      <c r="C175" s="207"/>
      <c r="D175" s="142"/>
      <c r="E175" s="3"/>
      <c r="F175" s="3"/>
      <c r="G175" s="3"/>
    </row>
    <row r="176">
      <c r="A176" s="3"/>
      <c r="C176" s="207"/>
      <c r="D176" s="142"/>
      <c r="E176" s="3"/>
      <c r="F176" s="3"/>
      <c r="G176" s="3"/>
    </row>
    <row r="177">
      <c r="A177" s="3"/>
      <c r="C177" s="207"/>
      <c r="D177" s="142"/>
      <c r="E177" s="3"/>
      <c r="F177" s="3"/>
      <c r="G177" s="3"/>
    </row>
    <row r="178">
      <c r="A178" s="3"/>
      <c r="C178" s="207"/>
      <c r="D178" s="142"/>
      <c r="E178" s="3"/>
      <c r="F178" s="3"/>
      <c r="G178" s="3"/>
    </row>
    <row r="179">
      <c r="A179" s="3"/>
      <c r="C179" s="207"/>
      <c r="D179" s="142"/>
      <c r="E179" s="3"/>
      <c r="F179" s="3"/>
      <c r="G179" s="3"/>
    </row>
    <row r="180">
      <c r="A180" s="3"/>
      <c r="C180" s="207"/>
      <c r="D180" s="142"/>
      <c r="E180" s="3"/>
      <c r="F180" s="3"/>
      <c r="G180" s="3"/>
    </row>
    <row r="181">
      <c r="A181" s="3"/>
      <c r="C181" s="207"/>
      <c r="D181" s="142"/>
      <c r="E181" s="3"/>
      <c r="F181" s="3"/>
      <c r="G181" s="3"/>
    </row>
    <row r="182">
      <c r="A182" s="3"/>
      <c r="C182" s="207"/>
      <c r="D182" s="142"/>
      <c r="E182" s="3"/>
      <c r="F182" s="3"/>
      <c r="G182" s="3"/>
    </row>
    <row r="183">
      <c r="A183" s="3"/>
      <c r="C183" s="207"/>
      <c r="D183" s="142"/>
      <c r="E183" s="3"/>
      <c r="F183" s="3"/>
      <c r="G183" s="3"/>
    </row>
    <row r="184">
      <c r="A184" s="3"/>
      <c r="C184" s="207"/>
      <c r="D184" s="142"/>
      <c r="E184" s="3"/>
      <c r="F184" s="3"/>
      <c r="G184" s="3"/>
    </row>
    <row r="185">
      <c r="A185" s="3"/>
      <c r="C185" s="207"/>
      <c r="D185" s="142"/>
      <c r="E185" s="3"/>
      <c r="F185" s="3"/>
      <c r="G185" s="3"/>
    </row>
    <row r="186">
      <c r="A186" s="3"/>
      <c r="C186" s="207"/>
      <c r="D186" s="142"/>
      <c r="E186" s="3"/>
      <c r="F186" s="3"/>
      <c r="G186" s="3"/>
    </row>
    <row r="187">
      <c r="A187" s="3"/>
      <c r="C187" s="207"/>
      <c r="D187" s="142"/>
      <c r="E187" s="3"/>
      <c r="F187" s="3"/>
      <c r="G187" s="3"/>
    </row>
    <row r="188">
      <c r="A188" s="3"/>
      <c r="C188" s="207"/>
      <c r="D188" s="142"/>
      <c r="E188" s="3"/>
      <c r="F188" s="3"/>
      <c r="G188" s="3"/>
    </row>
    <row r="189">
      <c r="A189" s="3"/>
      <c r="C189" s="207"/>
      <c r="D189" s="142"/>
      <c r="E189" s="3"/>
      <c r="F189" s="3"/>
      <c r="G189" s="3"/>
    </row>
    <row r="190">
      <c r="A190" s="3"/>
      <c r="C190" s="207"/>
      <c r="D190" s="142"/>
      <c r="E190" s="3"/>
      <c r="F190" s="3"/>
      <c r="G190" s="3"/>
    </row>
    <row r="191">
      <c r="A191" s="3"/>
      <c r="C191" s="207"/>
      <c r="D191" s="142"/>
      <c r="E191" s="3"/>
      <c r="F191" s="3"/>
      <c r="G191" s="3"/>
    </row>
    <row r="192">
      <c r="A192" s="3"/>
      <c r="C192" s="207"/>
      <c r="D192" s="142"/>
      <c r="E192" s="3"/>
      <c r="F192" s="3"/>
      <c r="G192" s="3"/>
    </row>
    <row r="193">
      <c r="A193" s="3"/>
      <c r="C193" s="207"/>
      <c r="D193" s="142"/>
      <c r="E193" s="3"/>
      <c r="F193" s="3"/>
      <c r="G193" s="3"/>
    </row>
    <row r="194">
      <c r="A194" s="3"/>
      <c r="C194" s="207"/>
      <c r="D194" s="142"/>
      <c r="E194" s="3"/>
      <c r="F194" s="3"/>
      <c r="G194" s="3"/>
    </row>
    <row r="195">
      <c r="A195" s="3"/>
      <c r="C195" s="207"/>
      <c r="D195" s="142"/>
      <c r="E195" s="3"/>
      <c r="F195" s="3"/>
      <c r="G195" s="3"/>
    </row>
    <row r="196">
      <c r="A196" s="3"/>
      <c r="C196" s="207"/>
      <c r="D196" s="142"/>
      <c r="E196" s="3"/>
      <c r="F196" s="3"/>
      <c r="G196" s="3"/>
    </row>
    <row r="197">
      <c r="A197" s="3"/>
      <c r="C197" s="207"/>
      <c r="D197" s="142"/>
      <c r="E197" s="3"/>
      <c r="F197" s="3"/>
      <c r="G197" s="3"/>
    </row>
    <row r="198">
      <c r="A198" s="3"/>
      <c r="C198" s="207"/>
      <c r="D198" s="142"/>
      <c r="E198" s="3"/>
      <c r="F198" s="3"/>
      <c r="G198" s="3"/>
    </row>
    <row r="199">
      <c r="A199" s="3"/>
      <c r="C199" s="207"/>
      <c r="D199" s="142"/>
      <c r="E199" s="3"/>
      <c r="F199" s="3"/>
      <c r="G199" s="3"/>
    </row>
    <row r="200">
      <c r="A200" s="3"/>
      <c r="C200" s="207"/>
      <c r="D200" s="142"/>
      <c r="E200" s="3"/>
      <c r="F200" s="3"/>
      <c r="G200" s="3"/>
    </row>
    <row r="201">
      <c r="A201" s="3"/>
      <c r="C201" s="207"/>
      <c r="D201" s="142"/>
      <c r="E201" s="3"/>
      <c r="F201" s="3"/>
      <c r="G201" s="3"/>
    </row>
    <row r="202">
      <c r="A202" s="3"/>
      <c r="C202" s="207"/>
      <c r="D202" s="142"/>
      <c r="E202" s="3"/>
      <c r="F202" s="3"/>
      <c r="G202" s="3"/>
    </row>
    <row r="203">
      <c r="A203" s="3"/>
      <c r="C203" s="207"/>
      <c r="D203" s="142"/>
      <c r="E203" s="3"/>
      <c r="F203" s="3"/>
      <c r="G203" s="3"/>
    </row>
    <row r="204">
      <c r="A204" s="3"/>
      <c r="C204" s="207"/>
      <c r="D204" s="142"/>
      <c r="E204" s="3"/>
      <c r="F204" s="3"/>
      <c r="G204" s="3"/>
    </row>
    <row r="205">
      <c r="A205" s="3"/>
      <c r="C205" s="207"/>
      <c r="D205" s="142"/>
      <c r="E205" s="3"/>
      <c r="F205" s="3"/>
      <c r="G205" s="3"/>
    </row>
    <row r="206">
      <c r="A206" s="3"/>
      <c r="C206" s="207"/>
      <c r="D206" s="142"/>
      <c r="E206" s="3"/>
      <c r="F206" s="3"/>
      <c r="G206" s="3"/>
    </row>
    <row r="207">
      <c r="A207" s="3"/>
      <c r="C207" s="207"/>
      <c r="D207" s="142"/>
      <c r="E207" s="3"/>
      <c r="F207" s="3"/>
      <c r="G207" s="3"/>
    </row>
    <row r="208">
      <c r="A208" s="3"/>
      <c r="C208" s="207"/>
      <c r="D208" s="142"/>
      <c r="E208" s="3"/>
      <c r="F208" s="3"/>
      <c r="G208" s="3"/>
    </row>
    <row r="209">
      <c r="A209" s="3"/>
      <c r="C209" s="207"/>
      <c r="D209" s="142"/>
      <c r="E209" s="3"/>
      <c r="F209" s="3"/>
      <c r="G209" s="3"/>
    </row>
    <row r="210">
      <c r="A210" s="3"/>
      <c r="C210" s="207"/>
      <c r="D210" s="142"/>
      <c r="E210" s="3"/>
      <c r="F210" s="3"/>
      <c r="G210" s="3"/>
    </row>
    <row r="211">
      <c r="A211" s="3"/>
      <c r="C211" s="207"/>
      <c r="D211" s="142"/>
      <c r="E211" s="3"/>
      <c r="F211" s="3"/>
      <c r="G211" s="3"/>
    </row>
    <row r="212">
      <c r="A212" s="3"/>
      <c r="C212" s="207"/>
      <c r="D212" s="142"/>
      <c r="E212" s="3"/>
      <c r="F212" s="3"/>
      <c r="G212" s="3"/>
    </row>
    <row r="213">
      <c r="A213" s="3"/>
      <c r="C213" s="207"/>
      <c r="D213" s="142"/>
      <c r="E213" s="3"/>
      <c r="F213" s="3"/>
      <c r="G213" s="3"/>
    </row>
    <row r="214">
      <c r="A214" s="3"/>
      <c r="C214" s="207"/>
      <c r="D214" s="142"/>
      <c r="E214" s="3"/>
      <c r="F214" s="3"/>
      <c r="G214" s="3"/>
    </row>
    <row r="215">
      <c r="A215" s="3"/>
      <c r="C215" s="207"/>
      <c r="D215" s="142"/>
      <c r="E215" s="3"/>
      <c r="F215" s="3"/>
      <c r="G215" s="3"/>
    </row>
    <row r="216">
      <c r="A216" s="3"/>
      <c r="C216" s="207"/>
      <c r="D216" s="142"/>
      <c r="E216" s="3"/>
      <c r="F216" s="3"/>
      <c r="G216" s="3"/>
    </row>
    <row r="217">
      <c r="A217" s="3"/>
      <c r="C217" s="207"/>
      <c r="D217" s="142"/>
      <c r="E217" s="3"/>
      <c r="F217" s="3"/>
      <c r="G217" s="3"/>
    </row>
    <row r="218">
      <c r="A218" s="3"/>
      <c r="C218" s="207"/>
      <c r="D218" s="142"/>
      <c r="E218" s="3"/>
      <c r="F218" s="3"/>
      <c r="G218" s="3"/>
    </row>
    <row r="219">
      <c r="A219" s="3"/>
      <c r="C219" s="207"/>
      <c r="D219" s="142"/>
      <c r="E219" s="3"/>
      <c r="F219" s="3"/>
      <c r="G219" s="3"/>
    </row>
    <row r="220">
      <c r="A220" s="3"/>
      <c r="C220" s="207"/>
      <c r="D220" s="142"/>
      <c r="E220" s="3"/>
      <c r="F220" s="3"/>
      <c r="G220" s="3"/>
    </row>
    <row r="221">
      <c r="A221" s="3"/>
      <c r="C221" s="207"/>
      <c r="D221" s="142"/>
      <c r="E221" s="3"/>
      <c r="F221" s="3"/>
      <c r="G221" s="3"/>
    </row>
    <row r="222">
      <c r="A222" s="3"/>
      <c r="C222" s="207"/>
      <c r="D222" s="142"/>
      <c r="E222" s="3"/>
      <c r="F222" s="3"/>
      <c r="G222" s="3"/>
    </row>
    <row r="223">
      <c r="A223" s="3"/>
      <c r="C223" s="207"/>
      <c r="D223" s="142"/>
      <c r="E223" s="3"/>
      <c r="F223" s="3"/>
      <c r="G223" s="3"/>
    </row>
    <row r="224">
      <c r="A224" s="3"/>
      <c r="C224" s="207"/>
      <c r="D224" s="142"/>
      <c r="E224" s="3"/>
      <c r="F224" s="3"/>
      <c r="G224" s="3"/>
    </row>
    <row r="225">
      <c r="A225" s="3"/>
      <c r="C225" s="207"/>
      <c r="D225" s="142"/>
      <c r="E225" s="3"/>
      <c r="F225" s="3"/>
      <c r="G225" s="3"/>
    </row>
    <row r="226">
      <c r="A226" s="3"/>
      <c r="C226" s="207"/>
      <c r="D226" s="142"/>
      <c r="E226" s="3"/>
      <c r="F226" s="3"/>
      <c r="G226" s="3"/>
    </row>
    <row r="227">
      <c r="A227" s="3"/>
      <c r="C227" s="207"/>
      <c r="D227" s="142"/>
      <c r="E227" s="3"/>
      <c r="F227" s="3"/>
      <c r="G227" s="3"/>
    </row>
    <row r="228">
      <c r="A228" s="3"/>
      <c r="C228" s="207"/>
      <c r="D228" s="142"/>
      <c r="E228" s="3"/>
      <c r="F228" s="3"/>
      <c r="G228" s="3"/>
    </row>
    <row r="229">
      <c r="A229" s="3"/>
      <c r="C229" s="207"/>
      <c r="D229" s="142"/>
      <c r="E229" s="3"/>
      <c r="F229" s="3"/>
      <c r="G229" s="3"/>
    </row>
    <row r="230">
      <c r="A230" s="3"/>
      <c r="C230" s="207"/>
      <c r="D230" s="142"/>
      <c r="E230" s="3"/>
      <c r="F230" s="3"/>
      <c r="G230" s="3"/>
    </row>
    <row r="231">
      <c r="A231" s="3"/>
      <c r="C231" s="207"/>
      <c r="D231" s="142"/>
      <c r="E231" s="3"/>
      <c r="F231" s="3"/>
      <c r="G231" s="3"/>
    </row>
    <row r="232">
      <c r="A232" s="3"/>
      <c r="C232" s="207"/>
      <c r="D232" s="142"/>
      <c r="E232" s="3"/>
      <c r="F232" s="3"/>
      <c r="G232" s="3"/>
    </row>
    <row r="233">
      <c r="A233" s="3"/>
      <c r="C233" s="207"/>
      <c r="D233" s="142"/>
      <c r="E233" s="3"/>
      <c r="F233" s="3"/>
      <c r="G233" s="3"/>
    </row>
    <row r="234">
      <c r="A234" s="3"/>
      <c r="C234" s="207"/>
      <c r="D234" s="142"/>
      <c r="E234" s="3"/>
      <c r="F234" s="3"/>
      <c r="G234" s="3"/>
    </row>
    <row r="235">
      <c r="A235" s="3"/>
      <c r="C235" s="207"/>
      <c r="D235" s="142"/>
      <c r="E235" s="3"/>
      <c r="F235" s="3"/>
      <c r="G235" s="3"/>
    </row>
    <row r="236">
      <c r="A236" s="3"/>
      <c r="C236" s="207"/>
      <c r="D236" s="142"/>
      <c r="E236" s="3"/>
      <c r="F236" s="3"/>
      <c r="G236" s="3"/>
    </row>
    <row r="237">
      <c r="A237" s="3"/>
      <c r="C237" s="207"/>
      <c r="D237" s="142"/>
      <c r="E237" s="3"/>
      <c r="F237" s="3"/>
      <c r="G237" s="3"/>
    </row>
    <row r="238">
      <c r="A238" s="3"/>
      <c r="C238" s="207"/>
      <c r="D238" s="142"/>
      <c r="E238" s="3"/>
      <c r="F238" s="3"/>
      <c r="G238" s="3"/>
    </row>
    <row r="239">
      <c r="A239" s="3"/>
      <c r="C239" s="207"/>
      <c r="D239" s="142"/>
      <c r="E239" s="3"/>
      <c r="F239" s="3"/>
      <c r="G239" s="3"/>
    </row>
    <row r="240">
      <c r="A240" s="3"/>
      <c r="C240" s="207"/>
      <c r="D240" s="142"/>
      <c r="E240" s="3"/>
      <c r="F240" s="3"/>
      <c r="G240" s="3"/>
    </row>
    <row r="241">
      <c r="A241" s="3"/>
      <c r="C241" s="207"/>
      <c r="D241" s="142"/>
      <c r="E241" s="3"/>
      <c r="F241" s="3"/>
      <c r="G241" s="3"/>
    </row>
    <row r="242">
      <c r="A242" s="3"/>
      <c r="C242" s="207"/>
      <c r="D242" s="142"/>
      <c r="E242" s="3"/>
      <c r="F242" s="3"/>
      <c r="G242" s="3"/>
    </row>
    <row r="243">
      <c r="A243" s="3"/>
      <c r="C243" s="207"/>
      <c r="D243" s="142"/>
      <c r="E243" s="3"/>
      <c r="F243" s="3"/>
      <c r="G243" s="3"/>
    </row>
    <row r="244">
      <c r="A244" s="3"/>
      <c r="C244" s="207"/>
      <c r="D244" s="142"/>
      <c r="E244" s="3"/>
      <c r="F244" s="3"/>
      <c r="G244" s="3"/>
    </row>
    <row r="245">
      <c r="A245" s="3"/>
      <c r="C245" s="207"/>
      <c r="D245" s="142"/>
      <c r="E245" s="3"/>
      <c r="F245" s="3"/>
      <c r="G245" s="3"/>
    </row>
    <row r="246">
      <c r="A246" s="3"/>
      <c r="C246" s="207"/>
      <c r="D246" s="142"/>
      <c r="E246" s="3"/>
      <c r="F246" s="3"/>
      <c r="G246" s="3"/>
    </row>
    <row r="247">
      <c r="A247" s="3"/>
      <c r="C247" s="207"/>
      <c r="D247" s="142"/>
      <c r="E247" s="3"/>
      <c r="F247" s="3"/>
      <c r="G247" s="3"/>
    </row>
    <row r="248">
      <c r="A248" s="3"/>
      <c r="C248" s="207"/>
      <c r="D248" s="142"/>
      <c r="E248" s="3"/>
      <c r="F248" s="3"/>
      <c r="G248" s="3"/>
    </row>
    <row r="249">
      <c r="A249" s="3"/>
      <c r="C249" s="207"/>
      <c r="D249" s="142"/>
      <c r="E249" s="3"/>
      <c r="F249" s="3"/>
      <c r="G249" s="3"/>
    </row>
    <row r="250">
      <c r="A250" s="3"/>
      <c r="C250" s="207"/>
      <c r="D250" s="142"/>
      <c r="E250" s="3"/>
      <c r="F250" s="3"/>
      <c r="G250" s="3"/>
    </row>
    <row r="251">
      <c r="A251" s="3"/>
      <c r="C251" s="207"/>
      <c r="D251" s="142"/>
      <c r="E251" s="3"/>
      <c r="F251" s="3"/>
      <c r="G251" s="3"/>
    </row>
    <row r="252">
      <c r="A252" s="3"/>
      <c r="C252" s="207"/>
      <c r="D252" s="142"/>
      <c r="E252" s="3"/>
      <c r="F252" s="3"/>
      <c r="G252" s="3"/>
    </row>
    <row r="253">
      <c r="A253" s="3"/>
      <c r="C253" s="207"/>
      <c r="D253" s="142"/>
      <c r="E253" s="3"/>
      <c r="F253" s="3"/>
      <c r="G253" s="3"/>
    </row>
    <row r="254">
      <c r="A254" s="3"/>
      <c r="C254" s="207"/>
      <c r="D254" s="142"/>
      <c r="E254" s="3"/>
      <c r="F254" s="3"/>
      <c r="G254" s="3"/>
    </row>
    <row r="255">
      <c r="A255" s="3"/>
      <c r="C255" s="207"/>
      <c r="D255" s="142"/>
      <c r="E255" s="3"/>
      <c r="F255" s="3"/>
      <c r="G255" s="3"/>
    </row>
    <row r="256">
      <c r="A256" s="3"/>
      <c r="C256" s="207"/>
      <c r="D256" s="142"/>
      <c r="E256" s="3"/>
      <c r="F256" s="3"/>
      <c r="G256" s="3"/>
    </row>
    <row r="257">
      <c r="A257" s="3"/>
      <c r="C257" s="207"/>
      <c r="D257" s="142"/>
      <c r="E257" s="3"/>
      <c r="F257" s="3"/>
      <c r="G257" s="3"/>
    </row>
    <row r="258">
      <c r="A258" s="3"/>
      <c r="C258" s="207"/>
      <c r="D258" s="142"/>
      <c r="E258" s="3"/>
      <c r="F258" s="3"/>
      <c r="G258" s="3"/>
    </row>
    <row r="259">
      <c r="A259" s="3"/>
      <c r="C259" s="207"/>
      <c r="D259" s="142"/>
      <c r="E259" s="3"/>
      <c r="F259" s="3"/>
      <c r="G259" s="3"/>
    </row>
    <row r="260">
      <c r="A260" s="3"/>
      <c r="C260" s="207"/>
      <c r="D260" s="142"/>
      <c r="E260" s="3"/>
      <c r="F260" s="3"/>
      <c r="G260" s="3"/>
    </row>
    <row r="261">
      <c r="A261" s="3"/>
      <c r="C261" s="207"/>
      <c r="D261" s="142"/>
      <c r="E261" s="3"/>
      <c r="F261" s="3"/>
      <c r="G261" s="3"/>
    </row>
    <row r="262">
      <c r="A262" s="3"/>
      <c r="C262" s="207"/>
      <c r="D262" s="142"/>
      <c r="E262" s="3"/>
      <c r="F262" s="3"/>
      <c r="G262" s="3"/>
    </row>
    <row r="263">
      <c r="A263" s="3"/>
      <c r="C263" s="207"/>
      <c r="D263" s="142"/>
      <c r="E263" s="3"/>
      <c r="F263" s="3"/>
      <c r="G263" s="3"/>
    </row>
    <row r="264">
      <c r="A264" s="3"/>
      <c r="C264" s="207"/>
      <c r="D264" s="142"/>
      <c r="E264" s="3"/>
      <c r="F264" s="3"/>
      <c r="G264" s="3"/>
    </row>
    <row r="265">
      <c r="A265" s="3"/>
      <c r="C265" s="207"/>
      <c r="D265" s="142"/>
      <c r="E265" s="3"/>
      <c r="F265" s="3"/>
      <c r="G265" s="3"/>
    </row>
    <row r="266">
      <c r="A266" s="3"/>
      <c r="C266" s="207"/>
      <c r="D266" s="142"/>
      <c r="E266" s="3"/>
      <c r="F266" s="3"/>
      <c r="G266" s="3"/>
    </row>
    <row r="267">
      <c r="A267" s="3"/>
      <c r="C267" s="207"/>
      <c r="D267" s="142"/>
      <c r="E267" s="3"/>
      <c r="F267" s="3"/>
      <c r="G267" s="3"/>
    </row>
    <row r="268">
      <c r="A268" s="3"/>
      <c r="C268" s="207"/>
      <c r="D268" s="142"/>
      <c r="E268" s="3"/>
      <c r="F268" s="3"/>
      <c r="G268" s="3"/>
    </row>
    <row r="269">
      <c r="A269" s="3"/>
      <c r="C269" s="207"/>
      <c r="D269" s="142"/>
      <c r="E269" s="3"/>
      <c r="F269" s="3"/>
      <c r="G269" s="3"/>
    </row>
    <row r="270">
      <c r="A270" s="3"/>
      <c r="C270" s="207"/>
      <c r="D270" s="142"/>
      <c r="E270" s="3"/>
      <c r="F270" s="3"/>
      <c r="G270" s="3"/>
    </row>
    <row r="271">
      <c r="A271" s="3"/>
      <c r="C271" s="207"/>
      <c r="D271" s="142"/>
      <c r="E271" s="3"/>
      <c r="F271" s="3"/>
      <c r="G271" s="3"/>
    </row>
    <row r="272">
      <c r="A272" s="3"/>
      <c r="C272" s="207"/>
      <c r="D272" s="142"/>
      <c r="E272" s="3"/>
      <c r="F272" s="3"/>
      <c r="G272" s="3"/>
    </row>
    <row r="273">
      <c r="A273" s="3"/>
      <c r="C273" s="207"/>
      <c r="D273" s="142"/>
      <c r="E273" s="3"/>
      <c r="F273" s="3"/>
      <c r="G273" s="3"/>
    </row>
    <row r="274">
      <c r="A274" s="3"/>
      <c r="C274" s="207"/>
      <c r="D274" s="142"/>
      <c r="E274" s="3"/>
      <c r="F274" s="3"/>
      <c r="G274" s="3"/>
    </row>
    <row r="275">
      <c r="A275" s="3"/>
      <c r="C275" s="207"/>
      <c r="D275" s="142"/>
      <c r="E275" s="3"/>
      <c r="F275" s="3"/>
      <c r="G275" s="3"/>
    </row>
    <row r="276">
      <c r="A276" s="3"/>
      <c r="C276" s="207"/>
      <c r="D276" s="142"/>
      <c r="E276" s="3"/>
      <c r="F276" s="3"/>
      <c r="G276" s="3"/>
    </row>
    <row r="277">
      <c r="A277" s="3"/>
      <c r="C277" s="207"/>
      <c r="D277" s="142"/>
      <c r="E277" s="3"/>
      <c r="F277" s="3"/>
      <c r="G277" s="3"/>
    </row>
    <row r="278">
      <c r="A278" s="3"/>
      <c r="C278" s="207"/>
      <c r="D278" s="142"/>
      <c r="E278" s="3"/>
      <c r="F278" s="3"/>
      <c r="G278" s="3"/>
    </row>
    <row r="279">
      <c r="A279" s="3"/>
      <c r="C279" s="207"/>
      <c r="D279" s="142"/>
      <c r="E279" s="3"/>
      <c r="F279" s="3"/>
      <c r="G279" s="3"/>
    </row>
    <row r="280">
      <c r="A280" s="3"/>
      <c r="C280" s="207"/>
      <c r="D280" s="142"/>
      <c r="E280" s="3"/>
      <c r="F280" s="3"/>
      <c r="G280" s="3"/>
    </row>
    <row r="281">
      <c r="A281" s="3"/>
      <c r="C281" s="207"/>
      <c r="D281" s="142"/>
      <c r="E281" s="3"/>
      <c r="F281" s="3"/>
      <c r="G281" s="3"/>
    </row>
    <row r="282">
      <c r="A282" s="3"/>
      <c r="C282" s="207"/>
      <c r="D282" s="142"/>
      <c r="E282" s="3"/>
      <c r="F282" s="3"/>
      <c r="G282" s="3"/>
    </row>
    <row r="283">
      <c r="A283" s="3"/>
      <c r="C283" s="207"/>
      <c r="D283" s="142"/>
      <c r="E283" s="3"/>
      <c r="F283" s="3"/>
      <c r="G283" s="3"/>
    </row>
    <row r="284">
      <c r="A284" s="3"/>
      <c r="C284" s="207"/>
      <c r="D284" s="142"/>
      <c r="E284" s="3"/>
      <c r="F284" s="3"/>
      <c r="G284" s="3"/>
    </row>
    <row r="285">
      <c r="A285" s="3"/>
      <c r="C285" s="207"/>
      <c r="D285" s="142"/>
      <c r="E285" s="3"/>
      <c r="F285" s="3"/>
      <c r="G285" s="3"/>
    </row>
    <row r="286">
      <c r="A286" s="3"/>
      <c r="C286" s="207"/>
      <c r="D286" s="142"/>
      <c r="E286" s="3"/>
      <c r="F286" s="3"/>
      <c r="G286" s="3"/>
    </row>
    <row r="287">
      <c r="A287" s="3"/>
      <c r="C287" s="207"/>
      <c r="D287" s="142"/>
      <c r="E287" s="3"/>
      <c r="F287" s="3"/>
      <c r="G287" s="3"/>
    </row>
    <row r="288">
      <c r="A288" s="3"/>
      <c r="C288" s="207"/>
      <c r="D288" s="142"/>
      <c r="E288" s="3"/>
      <c r="F288" s="3"/>
      <c r="G288" s="3"/>
    </row>
    <row r="289">
      <c r="A289" s="3"/>
      <c r="C289" s="207"/>
      <c r="D289" s="142"/>
      <c r="E289" s="3"/>
      <c r="F289" s="3"/>
      <c r="G289" s="3"/>
    </row>
    <row r="290">
      <c r="A290" s="3"/>
      <c r="C290" s="207"/>
      <c r="D290" s="142"/>
      <c r="E290" s="3"/>
      <c r="F290" s="3"/>
      <c r="G290" s="3"/>
    </row>
    <row r="291">
      <c r="A291" s="3"/>
      <c r="C291" s="207"/>
      <c r="D291" s="142"/>
      <c r="E291" s="3"/>
      <c r="F291" s="3"/>
      <c r="G291" s="3"/>
    </row>
    <row r="292">
      <c r="A292" s="3"/>
      <c r="C292" s="207"/>
      <c r="D292" s="142"/>
      <c r="E292" s="3"/>
      <c r="F292" s="3"/>
      <c r="G292" s="3"/>
    </row>
    <row r="293">
      <c r="A293" s="3"/>
      <c r="C293" s="207"/>
      <c r="D293" s="142"/>
      <c r="E293" s="3"/>
      <c r="F293" s="3"/>
      <c r="G293" s="3"/>
    </row>
    <row r="294">
      <c r="A294" s="3"/>
      <c r="C294" s="207"/>
      <c r="D294" s="142"/>
      <c r="E294" s="3"/>
      <c r="F294" s="3"/>
      <c r="G294" s="3"/>
    </row>
    <row r="295">
      <c r="A295" s="3"/>
      <c r="C295" s="207"/>
      <c r="D295" s="142"/>
      <c r="E295" s="3"/>
      <c r="F295" s="3"/>
      <c r="G295" s="3"/>
    </row>
    <row r="296">
      <c r="A296" s="3"/>
      <c r="C296" s="207"/>
      <c r="D296" s="142"/>
      <c r="E296" s="3"/>
      <c r="F296" s="3"/>
      <c r="G296" s="3"/>
    </row>
    <row r="297">
      <c r="A297" s="3"/>
      <c r="C297" s="207"/>
      <c r="D297" s="142"/>
      <c r="E297" s="3"/>
      <c r="F297" s="3"/>
      <c r="G297" s="3"/>
    </row>
    <row r="298">
      <c r="A298" s="3"/>
      <c r="C298" s="207"/>
      <c r="D298" s="142"/>
      <c r="E298" s="3"/>
      <c r="F298" s="3"/>
      <c r="G298" s="3"/>
    </row>
    <row r="299">
      <c r="A299" s="3"/>
      <c r="C299" s="207"/>
      <c r="D299" s="142"/>
      <c r="E299" s="3"/>
      <c r="F299" s="3"/>
      <c r="G299" s="3"/>
    </row>
    <row r="300">
      <c r="A300" s="3"/>
      <c r="C300" s="207"/>
      <c r="D300" s="142"/>
      <c r="E300" s="3"/>
      <c r="F300" s="3"/>
      <c r="G300" s="3"/>
    </row>
    <row r="301">
      <c r="A301" s="3"/>
      <c r="C301" s="207"/>
      <c r="D301" s="142"/>
      <c r="E301" s="3"/>
      <c r="F301" s="3"/>
      <c r="G301" s="3"/>
    </row>
    <row r="302">
      <c r="A302" s="3"/>
      <c r="C302" s="207"/>
      <c r="D302" s="142"/>
      <c r="E302" s="3"/>
      <c r="F302" s="3"/>
      <c r="G302" s="3"/>
    </row>
    <row r="303">
      <c r="A303" s="3"/>
      <c r="C303" s="207"/>
      <c r="D303" s="142"/>
      <c r="E303" s="3"/>
      <c r="F303" s="3"/>
      <c r="G303" s="3"/>
    </row>
    <row r="304">
      <c r="A304" s="3"/>
      <c r="C304" s="207"/>
      <c r="D304" s="142"/>
      <c r="E304" s="3"/>
      <c r="F304" s="3"/>
      <c r="G304" s="3"/>
    </row>
    <row r="305">
      <c r="A305" s="3"/>
      <c r="C305" s="207"/>
      <c r="D305" s="142"/>
      <c r="E305" s="3"/>
      <c r="F305" s="3"/>
      <c r="G305" s="3"/>
    </row>
    <row r="306">
      <c r="A306" s="3"/>
      <c r="C306" s="207"/>
      <c r="D306" s="142"/>
      <c r="E306" s="3"/>
      <c r="F306" s="3"/>
      <c r="G306" s="3"/>
    </row>
    <row r="307">
      <c r="A307" s="3"/>
      <c r="C307" s="207"/>
      <c r="D307" s="142"/>
      <c r="E307" s="3"/>
      <c r="F307" s="3"/>
      <c r="G307" s="3"/>
    </row>
    <row r="308">
      <c r="A308" s="3"/>
      <c r="C308" s="207"/>
      <c r="D308" s="142"/>
      <c r="E308" s="3"/>
      <c r="F308" s="3"/>
      <c r="G308" s="3"/>
    </row>
    <row r="309">
      <c r="A309" s="3"/>
      <c r="C309" s="207"/>
      <c r="D309" s="142"/>
      <c r="E309" s="3"/>
      <c r="F309" s="3"/>
      <c r="G309" s="3"/>
    </row>
    <row r="310">
      <c r="A310" s="3"/>
      <c r="C310" s="207"/>
      <c r="D310" s="142"/>
      <c r="E310" s="3"/>
      <c r="F310" s="3"/>
      <c r="G310" s="3"/>
    </row>
    <row r="311">
      <c r="A311" s="3"/>
      <c r="C311" s="207"/>
      <c r="D311" s="142"/>
      <c r="E311" s="3"/>
      <c r="F311" s="3"/>
      <c r="G311" s="3"/>
    </row>
    <row r="312">
      <c r="A312" s="3"/>
      <c r="C312" s="207"/>
      <c r="D312" s="142"/>
      <c r="E312" s="3"/>
      <c r="F312" s="3"/>
      <c r="G312" s="3"/>
    </row>
    <row r="313">
      <c r="A313" s="3"/>
      <c r="C313" s="207"/>
      <c r="D313" s="142"/>
      <c r="E313" s="3"/>
      <c r="F313" s="3"/>
      <c r="G313" s="3"/>
    </row>
    <row r="314">
      <c r="A314" s="3"/>
      <c r="C314" s="207"/>
      <c r="D314" s="142"/>
      <c r="E314" s="3"/>
      <c r="F314" s="3"/>
      <c r="G314" s="3"/>
    </row>
    <row r="315">
      <c r="A315" s="3"/>
      <c r="C315" s="207"/>
      <c r="D315" s="142"/>
      <c r="E315" s="3"/>
      <c r="F315" s="3"/>
      <c r="G315" s="3"/>
    </row>
    <row r="316">
      <c r="A316" s="3"/>
      <c r="C316" s="207"/>
      <c r="D316" s="142"/>
      <c r="E316" s="3"/>
      <c r="F316" s="3"/>
      <c r="G316" s="3"/>
    </row>
    <row r="317">
      <c r="A317" s="3"/>
      <c r="C317" s="207"/>
      <c r="D317" s="142"/>
      <c r="E317" s="3"/>
      <c r="F317" s="3"/>
      <c r="G317" s="3"/>
    </row>
    <row r="318">
      <c r="A318" s="3"/>
      <c r="C318" s="207"/>
      <c r="D318" s="142"/>
      <c r="E318" s="3"/>
      <c r="F318" s="3"/>
      <c r="G318" s="3"/>
    </row>
    <row r="319">
      <c r="A319" s="3"/>
      <c r="C319" s="207"/>
      <c r="D319" s="142"/>
      <c r="E319" s="3"/>
      <c r="F319" s="3"/>
      <c r="G319" s="3"/>
    </row>
    <row r="320">
      <c r="A320" s="3"/>
      <c r="C320" s="207"/>
      <c r="D320" s="142"/>
      <c r="E320" s="3"/>
      <c r="F320" s="3"/>
      <c r="G320" s="3"/>
    </row>
    <row r="321">
      <c r="A321" s="3"/>
      <c r="C321" s="207"/>
      <c r="D321" s="142"/>
      <c r="E321" s="3"/>
      <c r="F321" s="3"/>
      <c r="G321" s="3"/>
    </row>
    <row r="322">
      <c r="A322" s="3"/>
      <c r="C322" s="207"/>
      <c r="D322" s="142"/>
      <c r="E322" s="3"/>
      <c r="F322" s="3"/>
      <c r="G322" s="3"/>
    </row>
    <row r="323">
      <c r="A323" s="3"/>
      <c r="C323" s="207"/>
      <c r="D323" s="142"/>
      <c r="E323" s="3"/>
      <c r="F323" s="3"/>
      <c r="G323" s="3"/>
    </row>
    <row r="324">
      <c r="A324" s="3"/>
      <c r="C324" s="207"/>
      <c r="D324" s="142"/>
      <c r="E324" s="3"/>
      <c r="F324" s="3"/>
      <c r="G324" s="3"/>
    </row>
    <row r="325">
      <c r="A325" s="3"/>
      <c r="C325" s="207"/>
      <c r="D325" s="142"/>
      <c r="E325" s="3"/>
      <c r="F325" s="3"/>
      <c r="G325" s="3"/>
    </row>
    <row r="326">
      <c r="A326" s="3"/>
      <c r="C326" s="207"/>
      <c r="D326" s="142"/>
      <c r="E326" s="3"/>
      <c r="F326" s="3"/>
      <c r="G326" s="3"/>
    </row>
    <row r="327">
      <c r="A327" s="3"/>
      <c r="C327" s="207"/>
      <c r="D327" s="142"/>
      <c r="E327" s="3"/>
      <c r="F327" s="3"/>
      <c r="G327" s="3"/>
    </row>
    <row r="328">
      <c r="A328" s="3"/>
      <c r="C328" s="207"/>
      <c r="D328" s="142"/>
      <c r="E328" s="3"/>
      <c r="F328" s="3"/>
      <c r="G328" s="3"/>
    </row>
    <row r="329">
      <c r="A329" s="3"/>
      <c r="C329" s="207"/>
      <c r="D329" s="142"/>
      <c r="E329" s="3"/>
      <c r="F329" s="3"/>
      <c r="G329" s="3"/>
    </row>
    <row r="330">
      <c r="A330" s="3"/>
      <c r="C330" s="207"/>
      <c r="D330" s="142"/>
      <c r="E330" s="3"/>
      <c r="F330" s="3"/>
      <c r="G330" s="3"/>
    </row>
    <row r="331">
      <c r="A331" s="3"/>
      <c r="C331" s="207"/>
      <c r="D331" s="142"/>
      <c r="E331" s="3"/>
      <c r="F331" s="3"/>
      <c r="G331" s="3"/>
    </row>
    <row r="332">
      <c r="A332" s="3"/>
      <c r="C332" s="207"/>
      <c r="D332" s="142"/>
      <c r="E332" s="3"/>
      <c r="F332" s="3"/>
      <c r="G332" s="3"/>
    </row>
    <row r="333">
      <c r="A333" s="3"/>
      <c r="C333" s="207"/>
      <c r="D333" s="142"/>
      <c r="E333" s="3"/>
      <c r="F333" s="3"/>
      <c r="G333" s="3"/>
    </row>
    <row r="334">
      <c r="A334" s="3"/>
      <c r="C334" s="207"/>
      <c r="D334" s="142"/>
      <c r="E334" s="3"/>
      <c r="F334" s="3"/>
      <c r="G334" s="3"/>
    </row>
    <row r="335">
      <c r="A335" s="3"/>
      <c r="C335" s="207"/>
      <c r="D335" s="142"/>
      <c r="E335" s="3"/>
      <c r="F335" s="3"/>
      <c r="G335" s="3"/>
    </row>
    <row r="336">
      <c r="A336" s="3"/>
      <c r="C336" s="207"/>
      <c r="D336" s="142"/>
      <c r="E336" s="3"/>
      <c r="F336" s="3"/>
      <c r="G336" s="3"/>
    </row>
    <row r="337">
      <c r="A337" s="3"/>
      <c r="C337" s="207"/>
      <c r="D337" s="142"/>
      <c r="E337" s="3"/>
      <c r="F337" s="3"/>
      <c r="G337" s="3"/>
    </row>
    <row r="338">
      <c r="A338" s="3"/>
      <c r="C338" s="207"/>
      <c r="D338" s="142"/>
      <c r="E338" s="3"/>
      <c r="F338" s="3"/>
      <c r="G338" s="3"/>
    </row>
    <row r="339">
      <c r="A339" s="3"/>
      <c r="C339" s="207"/>
      <c r="D339" s="142"/>
      <c r="E339" s="3"/>
      <c r="F339" s="3"/>
      <c r="G339" s="3"/>
    </row>
    <row r="340">
      <c r="A340" s="3"/>
      <c r="C340" s="207"/>
      <c r="D340" s="142"/>
      <c r="E340" s="3"/>
      <c r="F340" s="3"/>
      <c r="G340" s="3"/>
    </row>
    <row r="341">
      <c r="A341" s="3"/>
      <c r="C341" s="207"/>
      <c r="D341" s="142"/>
      <c r="E341" s="3"/>
      <c r="F341" s="3"/>
      <c r="G341" s="3"/>
    </row>
    <row r="342">
      <c r="A342" s="3"/>
      <c r="C342" s="207"/>
      <c r="D342" s="142"/>
      <c r="E342" s="3"/>
      <c r="F342" s="3"/>
      <c r="G342" s="3"/>
    </row>
    <row r="343">
      <c r="A343" s="3"/>
      <c r="C343" s="207"/>
      <c r="D343" s="142"/>
      <c r="E343" s="3"/>
      <c r="F343" s="3"/>
      <c r="G343" s="3"/>
    </row>
    <row r="344">
      <c r="A344" s="3"/>
      <c r="C344" s="207"/>
      <c r="D344" s="142"/>
      <c r="E344" s="3"/>
      <c r="F344" s="3"/>
      <c r="G344" s="3"/>
    </row>
    <row r="345">
      <c r="A345" s="3"/>
      <c r="C345" s="207"/>
      <c r="D345" s="142"/>
      <c r="E345" s="3"/>
      <c r="F345" s="3"/>
      <c r="G345" s="3"/>
    </row>
    <row r="346">
      <c r="A346" s="3"/>
      <c r="C346" s="207"/>
      <c r="D346" s="142"/>
      <c r="E346" s="3"/>
      <c r="F346" s="3"/>
      <c r="G346" s="3"/>
    </row>
    <row r="347">
      <c r="A347" s="3"/>
      <c r="C347" s="207"/>
      <c r="D347" s="142"/>
      <c r="E347" s="3"/>
      <c r="F347" s="3"/>
      <c r="G347" s="3"/>
    </row>
    <row r="348">
      <c r="A348" s="3"/>
      <c r="C348" s="207"/>
      <c r="D348" s="142"/>
      <c r="E348" s="3"/>
      <c r="F348" s="3"/>
      <c r="G348" s="3"/>
    </row>
    <row r="349">
      <c r="A349" s="3"/>
      <c r="C349" s="207"/>
      <c r="D349" s="142"/>
      <c r="E349" s="3"/>
      <c r="F349" s="3"/>
      <c r="G349" s="3"/>
    </row>
    <row r="350">
      <c r="A350" s="3"/>
      <c r="C350" s="207"/>
      <c r="D350" s="142"/>
      <c r="E350" s="3"/>
      <c r="F350" s="3"/>
      <c r="G350" s="3"/>
    </row>
    <row r="351">
      <c r="A351" s="3"/>
      <c r="C351" s="207"/>
      <c r="D351" s="142"/>
      <c r="E351" s="3"/>
      <c r="F351" s="3"/>
      <c r="G351" s="3"/>
    </row>
    <row r="352">
      <c r="A352" s="3"/>
      <c r="C352" s="207"/>
      <c r="D352" s="142"/>
      <c r="E352" s="3"/>
      <c r="F352" s="3"/>
      <c r="G352" s="3"/>
    </row>
    <row r="353">
      <c r="A353" s="3"/>
      <c r="C353" s="207"/>
      <c r="D353" s="142"/>
      <c r="E353" s="3"/>
      <c r="F353" s="3"/>
      <c r="G353" s="3"/>
    </row>
    <row r="354">
      <c r="A354" s="3"/>
      <c r="C354" s="207"/>
      <c r="D354" s="142"/>
      <c r="E354" s="3"/>
      <c r="F354" s="3"/>
      <c r="G354" s="3"/>
    </row>
    <row r="355">
      <c r="A355" s="3"/>
      <c r="C355" s="207"/>
      <c r="D355" s="142"/>
      <c r="E355" s="3"/>
      <c r="F355" s="3"/>
      <c r="G355" s="3"/>
    </row>
    <row r="356">
      <c r="A356" s="3"/>
      <c r="C356" s="207"/>
      <c r="D356" s="142"/>
      <c r="E356" s="3"/>
      <c r="F356" s="3"/>
      <c r="G356" s="3"/>
    </row>
    <row r="357">
      <c r="A357" s="3"/>
      <c r="C357" s="207"/>
      <c r="D357" s="142"/>
      <c r="E357" s="3"/>
      <c r="F357" s="3"/>
      <c r="G357" s="3"/>
    </row>
    <row r="358">
      <c r="A358" s="3"/>
      <c r="C358" s="207"/>
      <c r="D358" s="142"/>
      <c r="E358" s="3"/>
      <c r="F358" s="3"/>
      <c r="G358" s="3"/>
    </row>
    <row r="359">
      <c r="A359" s="3"/>
      <c r="C359" s="207"/>
      <c r="D359" s="142"/>
      <c r="E359" s="3"/>
      <c r="F359" s="3"/>
      <c r="G359" s="3"/>
    </row>
    <row r="360">
      <c r="A360" s="3"/>
      <c r="C360" s="207"/>
      <c r="D360" s="142"/>
      <c r="E360" s="3"/>
      <c r="F360" s="3"/>
      <c r="G360" s="3"/>
    </row>
    <row r="361">
      <c r="A361" s="3"/>
      <c r="C361" s="207"/>
      <c r="D361" s="142"/>
      <c r="E361" s="3"/>
      <c r="F361" s="3"/>
      <c r="G361" s="3"/>
    </row>
    <row r="362">
      <c r="A362" s="3"/>
      <c r="C362" s="207"/>
      <c r="D362" s="142"/>
      <c r="E362" s="3"/>
      <c r="F362" s="3"/>
      <c r="G362" s="3"/>
    </row>
    <row r="363">
      <c r="A363" s="3"/>
      <c r="C363" s="207"/>
      <c r="D363" s="142"/>
      <c r="E363" s="3"/>
      <c r="F363" s="3"/>
      <c r="G363" s="3"/>
    </row>
    <row r="364">
      <c r="A364" s="3"/>
      <c r="C364" s="207"/>
      <c r="D364" s="142"/>
      <c r="E364" s="3"/>
      <c r="F364" s="3"/>
      <c r="G364" s="3"/>
    </row>
    <row r="365">
      <c r="A365" s="3"/>
      <c r="C365" s="207"/>
      <c r="D365" s="142"/>
      <c r="E365" s="3"/>
      <c r="F365" s="3"/>
      <c r="G365" s="3"/>
    </row>
    <row r="366">
      <c r="A366" s="3"/>
      <c r="C366" s="207"/>
      <c r="D366" s="142"/>
      <c r="E366" s="3"/>
      <c r="F366" s="3"/>
      <c r="G366" s="3"/>
    </row>
    <row r="367">
      <c r="A367" s="3"/>
      <c r="C367" s="207"/>
      <c r="D367" s="142"/>
      <c r="E367" s="3"/>
      <c r="F367" s="3"/>
      <c r="G367" s="3"/>
    </row>
    <row r="368">
      <c r="A368" s="3"/>
      <c r="C368" s="207"/>
      <c r="D368" s="142"/>
      <c r="E368" s="3"/>
      <c r="F368" s="3"/>
      <c r="G368" s="3"/>
    </row>
    <row r="369">
      <c r="A369" s="3"/>
      <c r="C369" s="207"/>
      <c r="D369" s="142"/>
      <c r="E369" s="3"/>
      <c r="F369" s="3"/>
      <c r="G369" s="3"/>
    </row>
    <row r="370">
      <c r="A370" s="3"/>
      <c r="C370" s="207"/>
      <c r="D370" s="142"/>
      <c r="E370" s="3"/>
      <c r="F370" s="3"/>
      <c r="G370" s="3"/>
    </row>
    <row r="371">
      <c r="A371" s="3"/>
      <c r="C371" s="207"/>
      <c r="D371" s="142"/>
      <c r="E371" s="3"/>
      <c r="F371" s="3"/>
      <c r="G371" s="3"/>
    </row>
    <row r="372">
      <c r="A372" s="3"/>
      <c r="C372" s="207"/>
      <c r="D372" s="142"/>
      <c r="E372" s="3"/>
      <c r="F372" s="3"/>
      <c r="G372" s="3"/>
    </row>
    <row r="373">
      <c r="A373" s="3"/>
      <c r="C373" s="207"/>
      <c r="D373" s="142"/>
      <c r="E373" s="3"/>
      <c r="F373" s="3"/>
      <c r="G373" s="3"/>
    </row>
    <row r="374">
      <c r="A374" s="3"/>
      <c r="C374" s="207"/>
      <c r="D374" s="142"/>
      <c r="E374" s="3"/>
      <c r="F374" s="3"/>
      <c r="G374" s="3"/>
    </row>
    <row r="375">
      <c r="A375" s="3"/>
      <c r="C375" s="207"/>
      <c r="D375" s="142"/>
      <c r="E375" s="3"/>
      <c r="F375" s="3"/>
      <c r="G375" s="3"/>
    </row>
    <row r="376">
      <c r="A376" s="3"/>
      <c r="C376" s="207"/>
      <c r="D376" s="142"/>
      <c r="E376" s="3"/>
      <c r="F376" s="3"/>
      <c r="G376" s="3"/>
    </row>
    <row r="377">
      <c r="A377" s="3"/>
      <c r="C377" s="207"/>
      <c r="D377" s="142"/>
      <c r="E377" s="3"/>
      <c r="F377" s="3"/>
      <c r="G377" s="3"/>
    </row>
    <row r="378">
      <c r="A378" s="3"/>
      <c r="C378" s="207"/>
      <c r="D378" s="142"/>
      <c r="E378" s="3"/>
      <c r="F378" s="3"/>
      <c r="G378" s="3"/>
    </row>
    <row r="379">
      <c r="A379" s="3"/>
      <c r="C379" s="207"/>
      <c r="D379" s="142"/>
      <c r="E379" s="3"/>
      <c r="F379" s="3"/>
      <c r="G379" s="3"/>
    </row>
    <row r="380">
      <c r="A380" s="3"/>
      <c r="C380" s="207"/>
      <c r="D380" s="142"/>
      <c r="E380" s="3"/>
      <c r="F380" s="3"/>
      <c r="G380" s="3"/>
    </row>
    <row r="381">
      <c r="A381" s="3"/>
      <c r="C381" s="207"/>
      <c r="D381" s="142"/>
      <c r="E381" s="3"/>
      <c r="F381" s="3"/>
      <c r="G381" s="3"/>
    </row>
    <row r="382">
      <c r="A382" s="3"/>
      <c r="C382" s="207"/>
      <c r="D382" s="142"/>
      <c r="E382" s="3"/>
      <c r="F382" s="3"/>
      <c r="G382" s="3"/>
    </row>
    <row r="383">
      <c r="A383" s="3"/>
      <c r="C383" s="207"/>
      <c r="D383" s="142"/>
      <c r="E383" s="3"/>
      <c r="F383" s="3"/>
      <c r="G383" s="3"/>
    </row>
    <row r="384">
      <c r="A384" s="3"/>
      <c r="C384" s="207"/>
      <c r="D384" s="142"/>
      <c r="E384" s="3"/>
      <c r="F384" s="3"/>
      <c r="G384" s="3"/>
    </row>
    <row r="385">
      <c r="A385" s="3"/>
      <c r="C385" s="207"/>
      <c r="D385" s="142"/>
      <c r="E385" s="3"/>
      <c r="F385" s="3"/>
      <c r="G385" s="3"/>
    </row>
    <row r="386">
      <c r="A386" s="3"/>
      <c r="C386" s="207"/>
      <c r="D386" s="142"/>
      <c r="E386" s="3"/>
      <c r="F386" s="3"/>
      <c r="G386" s="3"/>
    </row>
    <row r="387">
      <c r="A387" s="3"/>
      <c r="C387" s="207"/>
      <c r="D387" s="142"/>
      <c r="E387" s="3"/>
      <c r="F387" s="3"/>
      <c r="G387" s="3"/>
    </row>
    <row r="388">
      <c r="A388" s="3"/>
      <c r="C388" s="207"/>
      <c r="D388" s="142"/>
      <c r="E388" s="3"/>
      <c r="F388" s="3"/>
      <c r="G388" s="3"/>
    </row>
    <row r="389">
      <c r="A389" s="3"/>
      <c r="C389" s="207"/>
      <c r="D389" s="142"/>
      <c r="E389" s="3"/>
      <c r="F389" s="3"/>
      <c r="G389" s="3"/>
    </row>
    <row r="390">
      <c r="A390" s="3"/>
      <c r="C390" s="207"/>
      <c r="D390" s="142"/>
      <c r="E390" s="3"/>
      <c r="F390" s="3"/>
      <c r="G390" s="3"/>
    </row>
    <row r="391">
      <c r="A391" s="3"/>
      <c r="C391" s="207"/>
      <c r="D391" s="142"/>
      <c r="E391" s="3"/>
      <c r="F391" s="3"/>
      <c r="G391" s="3"/>
    </row>
    <row r="392">
      <c r="A392" s="3"/>
      <c r="C392" s="207"/>
      <c r="D392" s="142"/>
      <c r="E392" s="3"/>
      <c r="F392" s="3"/>
      <c r="G392" s="3"/>
    </row>
    <row r="393">
      <c r="A393" s="3"/>
      <c r="C393" s="207"/>
      <c r="D393" s="142"/>
      <c r="E393" s="3"/>
      <c r="F393" s="3"/>
      <c r="G393" s="3"/>
    </row>
    <row r="394">
      <c r="A394" s="3"/>
      <c r="C394" s="207"/>
      <c r="D394" s="142"/>
      <c r="E394" s="3"/>
      <c r="F394" s="3"/>
      <c r="G394" s="3"/>
    </row>
    <row r="395">
      <c r="A395" s="3"/>
      <c r="C395" s="207"/>
      <c r="D395" s="142"/>
      <c r="E395" s="3"/>
      <c r="F395" s="3"/>
      <c r="G395" s="3"/>
    </row>
    <row r="396">
      <c r="A396" s="3"/>
      <c r="C396" s="207"/>
      <c r="D396" s="142"/>
      <c r="E396" s="3"/>
      <c r="F396" s="3"/>
      <c r="G396" s="3"/>
    </row>
    <row r="397">
      <c r="A397" s="3"/>
      <c r="C397" s="207"/>
      <c r="D397" s="142"/>
      <c r="E397" s="3"/>
      <c r="F397" s="3"/>
      <c r="G397" s="3"/>
    </row>
    <row r="398">
      <c r="A398" s="3"/>
      <c r="C398" s="207"/>
      <c r="D398" s="142"/>
      <c r="E398" s="3"/>
      <c r="F398" s="3"/>
      <c r="G398" s="3"/>
    </row>
    <row r="399">
      <c r="A399" s="3"/>
      <c r="C399" s="207"/>
      <c r="D399" s="142"/>
      <c r="E399" s="3"/>
      <c r="F399" s="3"/>
      <c r="G399" s="3"/>
    </row>
    <row r="400">
      <c r="A400" s="3"/>
      <c r="C400" s="207"/>
      <c r="D400" s="142"/>
      <c r="E400" s="3"/>
      <c r="F400" s="3"/>
      <c r="G400" s="3"/>
    </row>
    <row r="401">
      <c r="A401" s="3"/>
      <c r="C401" s="207"/>
      <c r="D401" s="142"/>
      <c r="E401" s="3"/>
      <c r="F401" s="3"/>
      <c r="G401" s="3"/>
    </row>
    <row r="402">
      <c r="A402" s="3"/>
      <c r="C402" s="207"/>
      <c r="D402" s="142"/>
      <c r="E402" s="3"/>
      <c r="F402" s="3"/>
      <c r="G402" s="3"/>
    </row>
    <row r="403">
      <c r="A403" s="3"/>
      <c r="C403" s="207"/>
      <c r="D403" s="142"/>
      <c r="E403" s="3"/>
      <c r="F403" s="3"/>
      <c r="G403" s="3"/>
    </row>
    <row r="404">
      <c r="A404" s="3"/>
      <c r="C404" s="207"/>
      <c r="D404" s="142"/>
      <c r="E404" s="3"/>
      <c r="F404" s="3"/>
      <c r="G404" s="3"/>
    </row>
    <row r="405">
      <c r="A405" s="3"/>
      <c r="C405" s="207"/>
      <c r="D405" s="142"/>
      <c r="E405" s="3"/>
      <c r="F405" s="3"/>
      <c r="G405" s="3"/>
    </row>
    <row r="406">
      <c r="A406" s="3"/>
      <c r="C406" s="207"/>
      <c r="D406" s="142"/>
      <c r="E406" s="3"/>
      <c r="F406" s="3"/>
      <c r="G406" s="3"/>
    </row>
    <row r="407">
      <c r="A407" s="3"/>
      <c r="C407" s="207"/>
      <c r="D407" s="142"/>
      <c r="E407" s="3"/>
      <c r="F407" s="3"/>
      <c r="G407" s="3"/>
    </row>
    <row r="408">
      <c r="A408" s="3"/>
      <c r="C408" s="207"/>
      <c r="D408" s="142"/>
      <c r="E408" s="3"/>
      <c r="F408" s="3"/>
      <c r="G408" s="3"/>
    </row>
    <row r="409">
      <c r="A409" s="3"/>
      <c r="C409" s="207"/>
      <c r="D409" s="142"/>
      <c r="E409" s="3"/>
      <c r="F409" s="3"/>
      <c r="G409" s="3"/>
    </row>
    <row r="410">
      <c r="A410" s="3"/>
      <c r="C410" s="207"/>
      <c r="D410" s="142"/>
      <c r="E410" s="3"/>
      <c r="F410" s="3"/>
      <c r="G410" s="3"/>
    </row>
    <row r="411">
      <c r="A411" s="3"/>
      <c r="C411" s="207"/>
      <c r="D411" s="142"/>
      <c r="E411" s="3"/>
      <c r="F411" s="3"/>
      <c r="G411" s="3"/>
    </row>
    <row r="412">
      <c r="A412" s="3"/>
      <c r="C412" s="207"/>
      <c r="D412" s="142"/>
      <c r="E412" s="3"/>
      <c r="F412" s="3"/>
      <c r="G412" s="3"/>
    </row>
    <row r="413">
      <c r="A413" s="3"/>
      <c r="C413" s="207"/>
      <c r="D413" s="142"/>
      <c r="E413" s="3"/>
      <c r="F413" s="3"/>
      <c r="G413" s="3"/>
    </row>
    <row r="414">
      <c r="A414" s="3"/>
      <c r="C414" s="207"/>
      <c r="D414" s="142"/>
      <c r="E414" s="3"/>
      <c r="F414" s="3"/>
      <c r="G414" s="3"/>
    </row>
    <row r="415">
      <c r="A415" s="3"/>
      <c r="C415" s="207"/>
      <c r="D415" s="142"/>
      <c r="E415" s="3"/>
      <c r="F415" s="3"/>
      <c r="G415" s="3"/>
    </row>
    <row r="416">
      <c r="A416" s="3"/>
      <c r="C416" s="207"/>
      <c r="D416" s="142"/>
      <c r="E416" s="3"/>
      <c r="F416" s="3"/>
      <c r="G416" s="3"/>
    </row>
    <row r="417">
      <c r="A417" s="3"/>
      <c r="C417" s="207"/>
      <c r="D417" s="142"/>
      <c r="E417" s="3"/>
      <c r="F417" s="3"/>
      <c r="G417" s="3"/>
    </row>
    <row r="418">
      <c r="A418" s="3"/>
      <c r="C418" s="207"/>
      <c r="D418" s="142"/>
      <c r="E418" s="3"/>
      <c r="F418" s="3"/>
      <c r="G418" s="3"/>
    </row>
    <row r="419">
      <c r="A419" s="3"/>
      <c r="C419" s="207"/>
      <c r="D419" s="142"/>
      <c r="E419" s="3"/>
      <c r="F419" s="3"/>
      <c r="G419" s="3"/>
    </row>
    <row r="420">
      <c r="A420" s="3"/>
      <c r="C420" s="207"/>
      <c r="D420" s="142"/>
      <c r="E420" s="3"/>
      <c r="F420" s="3"/>
      <c r="G420" s="3"/>
    </row>
    <row r="421">
      <c r="A421" s="3"/>
      <c r="C421" s="207"/>
      <c r="D421" s="142"/>
      <c r="E421" s="3"/>
      <c r="F421" s="3"/>
      <c r="G421" s="3"/>
    </row>
    <row r="422">
      <c r="A422" s="3"/>
      <c r="C422" s="207"/>
      <c r="D422" s="142"/>
      <c r="E422" s="3"/>
      <c r="F422" s="3"/>
      <c r="G422" s="3"/>
    </row>
    <row r="423">
      <c r="A423" s="3"/>
      <c r="C423" s="207"/>
      <c r="D423" s="142"/>
      <c r="E423" s="3"/>
      <c r="F423" s="3"/>
      <c r="G423" s="3"/>
    </row>
    <row r="424">
      <c r="A424" s="3"/>
      <c r="C424" s="207"/>
      <c r="D424" s="142"/>
      <c r="E424" s="3"/>
      <c r="F424" s="3"/>
      <c r="G424" s="3"/>
    </row>
    <row r="425">
      <c r="A425" s="3"/>
      <c r="C425" s="207"/>
      <c r="D425" s="142"/>
      <c r="E425" s="3"/>
      <c r="F425" s="3"/>
      <c r="G425" s="3"/>
    </row>
    <row r="426">
      <c r="A426" s="3"/>
      <c r="C426" s="207"/>
      <c r="D426" s="142"/>
      <c r="E426" s="3"/>
      <c r="F426" s="3"/>
      <c r="G426" s="3"/>
    </row>
    <row r="427">
      <c r="A427" s="3"/>
      <c r="C427" s="207"/>
      <c r="D427" s="142"/>
      <c r="E427" s="3"/>
      <c r="F427" s="3"/>
      <c r="G427" s="3"/>
    </row>
    <row r="428">
      <c r="A428" s="3"/>
      <c r="C428" s="207"/>
      <c r="D428" s="142"/>
      <c r="E428" s="3"/>
      <c r="F428" s="3"/>
      <c r="G428" s="3"/>
    </row>
    <row r="429">
      <c r="A429" s="3"/>
      <c r="C429" s="207"/>
      <c r="D429" s="142"/>
      <c r="E429" s="3"/>
      <c r="F429" s="3"/>
      <c r="G429" s="3"/>
    </row>
    <row r="430">
      <c r="A430" s="3"/>
      <c r="C430" s="207"/>
      <c r="D430" s="142"/>
      <c r="E430" s="3"/>
      <c r="F430" s="3"/>
      <c r="G430" s="3"/>
    </row>
    <row r="431">
      <c r="A431" s="3"/>
      <c r="C431" s="207"/>
      <c r="D431" s="142"/>
      <c r="E431" s="3"/>
      <c r="F431" s="3"/>
      <c r="G431" s="3"/>
    </row>
    <row r="432">
      <c r="A432" s="3"/>
      <c r="C432" s="207"/>
      <c r="D432" s="142"/>
      <c r="E432" s="3"/>
      <c r="F432" s="3"/>
      <c r="G432" s="3"/>
    </row>
    <row r="433">
      <c r="A433" s="3"/>
      <c r="C433" s="207"/>
      <c r="D433" s="142"/>
      <c r="E433" s="3"/>
      <c r="F433" s="3"/>
      <c r="G433" s="3"/>
    </row>
    <row r="434">
      <c r="A434" s="3"/>
      <c r="C434" s="207"/>
      <c r="D434" s="142"/>
      <c r="E434" s="3"/>
      <c r="F434" s="3"/>
      <c r="G434" s="3"/>
    </row>
    <row r="435">
      <c r="A435" s="3"/>
      <c r="C435" s="207"/>
      <c r="D435" s="142"/>
      <c r="E435" s="3"/>
      <c r="F435" s="3"/>
      <c r="G435" s="3"/>
    </row>
    <row r="436">
      <c r="A436" s="3"/>
      <c r="C436" s="207"/>
      <c r="D436" s="142"/>
      <c r="E436" s="3"/>
      <c r="F436" s="3"/>
      <c r="G436" s="3"/>
    </row>
    <row r="437">
      <c r="A437" s="3"/>
      <c r="C437" s="207"/>
      <c r="D437" s="142"/>
      <c r="E437" s="3"/>
      <c r="F437" s="3"/>
      <c r="G437" s="3"/>
    </row>
    <row r="438">
      <c r="A438" s="3"/>
      <c r="C438" s="207"/>
      <c r="D438" s="142"/>
      <c r="E438" s="3"/>
      <c r="F438" s="3"/>
      <c r="G438" s="3"/>
    </row>
    <row r="439">
      <c r="A439" s="3"/>
      <c r="C439" s="207"/>
      <c r="D439" s="142"/>
      <c r="E439" s="3"/>
      <c r="F439" s="3"/>
      <c r="G439" s="3"/>
    </row>
    <row r="440">
      <c r="A440" s="3"/>
      <c r="C440" s="207"/>
      <c r="D440" s="142"/>
      <c r="E440" s="3"/>
      <c r="F440" s="3"/>
      <c r="G440" s="3"/>
    </row>
    <row r="441">
      <c r="A441" s="3"/>
      <c r="C441" s="207"/>
      <c r="D441" s="142"/>
      <c r="E441" s="3"/>
      <c r="F441" s="3"/>
      <c r="G441" s="3"/>
    </row>
    <row r="442">
      <c r="A442" s="3"/>
      <c r="C442" s="207"/>
      <c r="D442" s="142"/>
      <c r="E442" s="3"/>
      <c r="F442" s="3"/>
      <c r="G442" s="3"/>
    </row>
    <row r="443">
      <c r="A443" s="3"/>
      <c r="C443" s="207"/>
      <c r="D443" s="142"/>
      <c r="E443" s="3"/>
      <c r="F443" s="3"/>
      <c r="G443" s="3"/>
    </row>
    <row r="444">
      <c r="A444" s="3"/>
      <c r="C444" s="207"/>
      <c r="D444" s="142"/>
      <c r="E444" s="3"/>
      <c r="F444" s="3"/>
      <c r="G444" s="3"/>
    </row>
    <row r="445">
      <c r="A445" s="3"/>
      <c r="C445" s="207"/>
      <c r="D445" s="142"/>
      <c r="E445" s="3"/>
      <c r="F445" s="3"/>
      <c r="G445" s="3"/>
    </row>
    <row r="446">
      <c r="A446" s="3"/>
      <c r="C446" s="207"/>
      <c r="D446" s="142"/>
      <c r="E446" s="3"/>
      <c r="F446" s="3"/>
      <c r="G446" s="3"/>
    </row>
    <row r="447">
      <c r="A447" s="3"/>
      <c r="C447" s="207"/>
      <c r="D447" s="142"/>
      <c r="E447" s="3"/>
      <c r="F447" s="3"/>
      <c r="G447" s="3"/>
    </row>
    <row r="448">
      <c r="A448" s="3"/>
      <c r="C448" s="207"/>
      <c r="D448" s="142"/>
      <c r="E448" s="3"/>
      <c r="F448" s="3"/>
      <c r="G448" s="3"/>
    </row>
    <row r="449">
      <c r="A449" s="3"/>
      <c r="C449" s="207"/>
      <c r="D449" s="142"/>
      <c r="E449" s="3"/>
      <c r="F449" s="3"/>
      <c r="G449" s="3"/>
    </row>
    <row r="450">
      <c r="A450" s="3"/>
      <c r="C450" s="207"/>
      <c r="D450" s="142"/>
      <c r="E450" s="3"/>
      <c r="F450" s="3"/>
      <c r="G450" s="3"/>
    </row>
    <row r="451">
      <c r="A451" s="3"/>
      <c r="C451" s="207"/>
      <c r="D451" s="142"/>
      <c r="E451" s="3"/>
      <c r="F451" s="3"/>
      <c r="G451" s="3"/>
    </row>
    <row r="452">
      <c r="A452" s="3"/>
      <c r="C452" s="207"/>
      <c r="D452" s="142"/>
      <c r="E452" s="3"/>
      <c r="F452" s="3"/>
      <c r="G452" s="3"/>
    </row>
    <row r="453">
      <c r="A453" s="3"/>
      <c r="C453" s="207"/>
      <c r="D453" s="142"/>
      <c r="E453" s="3"/>
      <c r="F453" s="3"/>
      <c r="G453" s="3"/>
    </row>
    <row r="454">
      <c r="A454" s="3"/>
      <c r="C454" s="207"/>
      <c r="D454" s="142"/>
      <c r="E454" s="3"/>
      <c r="F454" s="3"/>
      <c r="G454" s="3"/>
    </row>
    <row r="455">
      <c r="A455" s="3"/>
      <c r="C455" s="207"/>
      <c r="D455" s="142"/>
      <c r="E455" s="3"/>
      <c r="F455" s="3"/>
      <c r="G455" s="3"/>
    </row>
    <row r="456">
      <c r="A456" s="3"/>
      <c r="C456" s="207"/>
      <c r="D456" s="142"/>
      <c r="E456" s="3"/>
      <c r="F456" s="3"/>
      <c r="G456" s="3"/>
    </row>
    <row r="457">
      <c r="A457" s="3"/>
      <c r="C457" s="207"/>
      <c r="D457" s="142"/>
      <c r="E457" s="3"/>
      <c r="F457" s="3"/>
      <c r="G457" s="3"/>
    </row>
    <row r="458">
      <c r="A458" s="3"/>
      <c r="C458" s="207"/>
      <c r="D458" s="142"/>
      <c r="E458" s="3"/>
      <c r="F458" s="3"/>
      <c r="G458" s="3"/>
    </row>
    <row r="459">
      <c r="A459" s="3"/>
      <c r="C459" s="207"/>
      <c r="D459" s="142"/>
      <c r="E459" s="3"/>
      <c r="F459" s="3"/>
      <c r="G459" s="3"/>
    </row>
    <row r="460">
      <c r="A460" s="3"/>
      <c r="C460" s="207"/>
      <c r="D460" s="142"/>
      <c r="E460" s="3"/>
      <c r="F460" s="3"/>
      <c r="G460" s="3"/>
    </row>
    <row r="461">
      <c r="A461" s="3"/>
      <c r="C461" s="207"/>
      <c r="D461" s="142"/>
      <c r="E461" s="3"/>
      <c r="F461" s="3"/>
      <c r="G461" s="3"/>
    </row>
    <row r="462">
      <c r="A462" s="3"/>
      <c r="C462" s="207"/>
      <c r="D462" s="142"/>
      <c r="E462" s="3"/>
      <c r="F462" s="3"/>
      <c r="G462" s="3"/>
    </row>
    <row r="463">
      <c r="A463" s="3"/>
      <c r="C463" s="207"/>
      <c r="D463" s="142"/>
      <c r="E463" s="3"/>
      <c r="F463" s="3"/>
      <c r="G463" s="3"/>
    </row>
    <row r="464">
      <c r="A464" s="3"/>
      <c r="C464" s="207"/>
      <c r="D464" s="142"/>
      <c r="E464" s="3"/>
      <c r="F464" s="3"/>
      <c r="G464" s="3"/>
    </row>
    <row r="465">
      <c r="A465" s="3"/>
      <c r="C465" s="207"/>
      <c r="D465" s="142"/>
      <c r="E465" s="3"/>
      <c r="F465" s="3"/>
      <c r="G465" s="3"/>
    </row>
    <row r="466">
      <c r="A466" s="3"/>
      <c r="C466" s="207"/>
      <c r="D466" s="142"/>
      <c r="E466" s="3"/>
      <c r="F466" s="3"/>
      <c r="G466" s="3"/>
    </row>
    <row r="467">
      <c r="A467" s="3"/>
      <c r="C467" s="207"/>
      <c r="D467" s="142"/>
      <c r="E467" s="3"/>
      <c r="F467" s="3"/>
      <c r="G467" s="3"/>
    </row>
    <row r="468">
      <c r="A468" s="3"/>
      <c r="C468" s="207"/>
      <c r="D468" s="142"/>
      <c r="E468" s="3"/>
      <c r="F468" s="3"/>
      <c r="G468" s="3"/>
    </row>
    <row r="469">
      <c r="A469" s="3"/>
      <c r="C469" s="207"/>
      <c r="D469" s="142"/>
      <c r="E469" s="3"/>
      <c r="F469" s="3"/>
      <c r="G469" s="3"/>
    </row>
    <row r="470">
      <c r="A470" s="3"/>
      <c r="C470" s="207"/>
      <c r="D470" s="142"/>
      <c r="E470" s="3"/>
      <c r="F470" s="3"/>
      <c r="G470" s="3"/>
    </row>
    <row r="471">
      <c r="A471" s="3"/>
      <c r="C471" s="207"/>
      <c r="D471" s="142"/>
      <c r="E471" s="3"/>
      <c r="F471" s="3"/>
      <c r="G471" s="3"/>
    </row>
    <row r="472">
      <c r="A472" s="3"/>
      <c r="C472" s="207"/>
      <c r="D472" s="142"/>
      <c r="E472" s="3"/>
      <c r="F472" s="3"/>
      <c r="G472" s="3"/>
    </row>
    <row r="473">
      <c r="A473" s="3"/>
      <c r="C473" s="207"/>
      <c r="D473" s="142"/>
      <c r="E473" s="3"/>
      <c r="F473" s="3"/>
      <c r="G473" s="3"/>
    </row>
    <row r="474">
      <c r="A474" s="3"/>
      <c r="C474" s="207"/>
      <c r="D474" s="142"/>
      <c r="E474" s="3"/>
      <c r="F474" s="3"/>
      <c r="G474" s="3"/>
    </row>
    <row r="475">
      <c r="A475" s="3"/>
      <c r="C475" s="207"/>
      <c r="D475" s="142"/>
      <c r="E475" s="3"/>
      <c r="F475" s="3"/>
      <c r="G475" s="3"/>
    </row>
    <row r="476">
      <c r="A476" s="3"/>
      <c r="C476" s="207"/>
      <c r="D476" s="142"/>
      <c r="E476" s="3"/>
      <c r="F476" s="3"/>
      <c r="G476" s="3"/>
    </row>
    <row r="477">
      <c r="A477" s="3"/>
      <c r="C477" s="207"/>
      <c r="D477" s="142"/>
      <c r="E477" s="3"/>
      <c r="F477" s="3"/>
      <c r="G477" s="3"/>
    </row>
    <row r="478">
      <c r="A478" s="3"/>
      <c r="C478" s="207"/>
      <c r="D478" s="142"/>
      <c r="E478" s="3"/>
      <c r="F478" s="3"/>
      <c r="G478" s="3"/>
    </row>
    <row r="479">
      <c r="A479" s="3"/>
      <c r="C479" s="207"/>
      <c r="D479" s="142"/>
      <c r="E479" s="3"/>
      <c r="F479" s="3"/>
      <c r="G479" s="3"/>
    </row>
    <row r="480">
      <c r="A480" s="3"/>
      <c r="C480" s="207"/>
      <c r="D480" s="142"/>
      <c r="E480" s="3"/>
      <c r="F480" s="3"/>
      <c r="G480" s="3"/>
    </row>
    <row r="481">
      <c r="A481" s="3"/>
      <c r="C481" s="207"/>
      <c r="D481" s="142"/>
      <c r="E481" s="3"/>
      <c r="F481" s="3"/>
      <c r="G481" s="3"/>
    </row>
    <row r="482">
      <c r="A482" s="3"/>
      <c r="C482" s="207"/>
      <c r="D482" s="142"/>
      <c r="E482" s="3"/>
      <c r="F482" s="3"/>
      <c r="G482" s="3"/>
    </row>
    <row r="483">
      <c r="A483" s="3"/>
      <c r="C483" s="207"/>
      <c r="D483" s="142"/>
      <c r="E483" s="3"/>
      <c r="F483" s="3"/>
      <c r="G483" s="3"/>
    </row>
    <row r="484">
      <c r="A484" s="3"/>
      <c r="C484" s="207"/>
      <c r="D484" s="142"/>
      <c r="E484" s="3"/>
      <c r="F484" s="3"/>
      <c r="G484" s="3"/>
    </row>
    <row r="485">
      <c r="A485" s="3"/>
      <c r="C485" s="207"/>
      <c r="D485" s="142"/>
      <c r="E485" s="3"/>
      <c r="F485" s="3"/>
      <c r="G485" s="3"/>
    </row>
    <row r="486">
      <c r="A486" s="3"/>
      <c r="C486" s="207"/>
      <c r="D486" s="142"/>
      <c r="E486" s="3"/>
      <c r="F486" s="3"/>
      <c r="G486" s="3"/>
    </row>
    <row r="487">
      <c r="A487" s="3"/>
      <c r="C487" s="207"/>
      <c r="D487" s="142"/>
      <c r="E487" s="3"/>
      <c r="F487" s="3"/>
      <c r="G487" s="3"/>
    </row>
    <row r="488">
      <c r="A488" s="3"/>
      <c r="C488" s="207"/>
      <c r="D488" s="142"/>
      <c r="E488" s="3"/>
      <c r="F488" s="3"/>
      <c r="G488" s="3"/>
    </row>
    <row r="489">
      <c r="A489" s="3"/>
      <c r="C489" s="207"/>
      <c r="D489" s="142"/>
      <c r="E489" s="3"/>
      <c r="F489" s="3"/>
      <c r="G489" s="3"/>
    </row>
    <row r="490">
      <c r="A490" s="3"/>
      <c r="C490" s="207"/>
      <c r="D490" s="142"/>
      <c r="E490" s="3"/>
      <c r="F490" s="3"/>
      <c r="G490" s="3"/>
    </row>
    <row r="491">
      <c r="A491" s="3"/>
      <c r="C491" s="207"/>
      <c r="D491" s="142"/>
      <c r="E491" s="3"/>
      <c r="F491" s="3"/>
      <c r="G491" s="3"/>
    </row>
    <row r="492">
      <c r="A492" s="3"/>
      <c r="C492" s="207"/>
      <c r="D492" s="142"/>
      <c r="E492" s="3"/>
      <c r="F492" s="3"/>
      <c r="G492" s="3"/>
    </row>
    <row r="493">
      <c r="A493" s="3"/>
      <c r="C493" s="207"/>
      <c r="D493" s="142"/>
      <c r="E493" s="3"/>
      <c r="F493" s="3"/>
      <c r="G493" s="3"/>
    </row>
    <row r="494">
      <c r="A494" s="3"/>
      <c r="C494" s="207"/>
      <c r="D494" s="142"/>
      <c r="E494" s="3"/>
      <c r="F494" s="3"/>
      <c r="G494" s="3"/>
    </row>
    <row r="495">
      <c r="A495" s="3"/>
      <c r="C495" s="207"/>
      <c r="D495" s="142"/>
      <c r="E495" s="3"/>
      <c r="F495" s="3"/>
      <c r="G495" s="3"/>
    </row>
    <row r="496">
      <c r="A496" s="3"/>
      <c r="C496" s="207"/>
      <c r="D496" s="142"/>
      <c r="E496" s="3"/>
      <c r="F496" s="3"/>
      <c r="G496" s="3"/>
    </row>
    <row r="497">
      <c r="A497" s="3"/>
      <c r="C497" s="207"/>
      <c r="D497" s="142"/>
      <c r="E497" s="3"/>
      <c r="F497" s="3"/>
      <c r="G497" s="3"/>
    </row>
    <row r="498">
      <c r="A498" s="3"/>
      <c r="C498" s="207"/>
      <c r="D498" s="142"/>
      <c r="E498" s="3"/>
      <c r="F498" s="3"/>
      <c r="G498" s="3"/>
    </row>
    <row r="499">
      <c r="A499" s="3"/>
      <c r="C499" s="207"/>
      <c r="D499" s="142"/>
      <c r="E499" s="3"/>
      <c r="F499" s="3"/>
      <c r="G499" s="3"/>
    </row>
    <row r="500">
      <c r="A500" s="3"/>
      <c r="C500" s="207"/>
      <c r="D500" s="142"/>
      <c r="E500" s="3"/>
      <c r="F500" s="3"/>
      <c r="G500" s="3"/>
    </row>
    <row r="501">
      <c r="A501" s="3"/>
      <c r="C501" s="207"/>
      <c r="D501" s="142"/>
      <c r="E501" s="3"/>
      <c r="F501" s="3"/>
      <c r="G501" s="3"/>
    </row>
    <row r="502">
      <c r="A502" s="3"/>
      <c r="C502" s="207"/>
      <c r="D502" s="142"/>
      <c r="E502" s="3"/>
      <c r="F502" s="3"/>
      <c r="G502" s="3"/>
    </row>
    <row r="503">
      <c r="A503" s="3"/>
      <c r="C503" s="207"/>
      <c r="D503" s="142"/>
      <c r="E503" s="3"/>
      <c r="F503" s="3"/>
      <c r="G503" s="3"/>
    </row>
    <row r="504">
      <c r="A504" s="3"/>
      <c r="C504" s="207"/>
      <c r="D504" s="142"/>
      <c r="E504" s="3"/>
      <c r="F504" s="3"/>
      <c r="G504" s="3"/>
    </row>
    <row r="505">
      <c r="A505" s="3"/>
      <c r="C505" s="207"/>
      <c r="D505" s="142"/>
      <c r="E505" s="3"/>
      <c r="F505" s="3"/>
      <c r="G505" s="3"/>
    </row>
    <row r="506">
      <c r="A506" s="3"/>
      <c r="C506" s="207"/>
      <c r="D506" s="142"/>
      <c r="E506" s="3"/>
      <c r="F506" s="3"/>
      <c r="G506" s="3"/>
    </row>
    <row r="507">
      <c r="A507" s="3"/>
      <c r="C507" s="207"/>
      <c r="D507" s="142"/>
      <c r="E507" s="3"/>
      <c r="F507" s="3"/>
      <c r="G507" s="3"/>
    </row>
    <row r="508">
      <c r="A508" s="3"/>
      <c r="C508" s="207"/>
      <c r="D508" s="142"/>
      <c r="E508" s="3"/>
      <c r="F508" s="3"/>
      <c r="G508" s="3"/>
    </row>
    <row r="509">
      <c r="A509" s="3"/>
      <c r="C509" s="207"/>
      <c r="D509" s="142"/>
      <c r="E509" s="3"/>
      <c r="F509" s="3"/>
      <c r="G509" s="3"/>
    </row>
    <row r="510">
      <c r="A510" s="3"/>
      <c r="C510" s="207"/>
      <c r="D510" s="142"/>
      <c r="E510" s="3"/>
      <c r="F510" s="3"/>
      <c r="G510" s="3"/>
    </row>
    <row r="511">
      <c r="A511" s="3"/>
      <c r="C511" s="207"/>
      <c r="D511" s="142"/>
      <c r="E511" s="3"/>
      <c r="F511" s="3"/>
      <c r="G511" s="3"/>
    </row>
    <row r="512">
      <c r="A512" s="3"/>
      <c r="C512" s="207"/>
      <c r="D512" s="142"/>
      <c r="E512" s="3"/>
      <c r="F512" s="3"/>
      <c r="G512" s="3"/>
    </row>
    <row r="513">
      <c r="A513" s="3"/>
      <c r="C513" s="207"/>
      <c r="D513" s="142"/>
      <c r="E513" s="3"/>
      <c r="F513" s="3"/>
      <c r="G513" s="3"/>
    </row>
    <row r="514">
      <c r="A514" s="3"/>
      <c r="C514" s="207"/>
      <c r="D514" s="142"/>
      <c r="E514" s="3"/>
      <c r="F514" s="3"/>
      <c r="G514" s="3"/>
    </row>
    <row r="515">
      <c r="A515" s="3"/>
      <c r="C515" s="207"/>
      <c r="D515" s="142"/>
      <c r="E515" s="3"/>
      <c r="F515" s="3"/>
      <c r="G515" s="3"/>
    </row>
    <row r="516">
      <c r="A516" s="3"/>
      <c r="C516" s="207"/>
      <c r="D516" s="142"/>
      <c r="E516" s="3"/>
      <c r="F516" s="3"/>
      <c r="G516" s="3"/>
    </row>
    <row r="517">
      <c r="A517" s="3"/>
      <c r="C517" s="207"/>
      <c r="D517" s="142"/>
      <c r="E517" s="3"/>
      <c r="F517" s="3"/>
      <c r="G517" s="3"/>
    </row>
    <row r="518">
      <c r="A518" s="3"/>
      <c r="C518" s="207"/>
      <c r="D518" s="142"/>
      <c r="E518" s="3"/>
      <c r="F518" s="3"/>
      <c r="G518" s="3"/>
    </row>
    <row r="519">
      <c r="A519" s="3"/>
      <c r="C519" s="207"/>
      <c r="D519" s="142"/>
      <c r="E519" s="3"/>
      <c r="F519" s="3"/>
      <c r="G519" s="3"/>
    </row>
    <row r="520">
      <c r="A520" s="3"/>
      <c r="C520" s="207"/>
      <c r="D520" s="142"/>
      <c r="E520" s="3"/>
      <c r="F520" s="3"/>
      <c r="G520" s="3"/>
    </row>
    <row r="521">
      <c r="A521" s="3"/>
      <c r="C521" s="207"/>
      <c r="D521" s="142"/>
      <c r="E521" s="3"/>
      <c r="F521" s="3"/>
      <c r="G521" s="3"/>
    </row>
    <row r="522">
      <c r="A522" s="3"/>
      <c r="C522" s="207"/>
      <c r="D522" s="142"/>
      <c r="E522" s="3"/>
      <c r="F522" s="3"/>
      <c r="G522" s="3"/>
    </row>
    <row r="523">
      <c r="A523" s="3"/>
      <c r="C523" s="207"/>
      <c r="D523" s="142"/>
      <c r="E523" s="3"/>
      <c r="F523" s="3"/>
      <c r="G523" s="3"/>
    </row>
    <row r="524">
      <c r="A524" s="3"/>
      <c r="C524" s="207"/>
      <c r="D524" s="142"/>
      <c r="E524" s="3"/>
      <c r="F524" s="3"/>
      <c r="G524" s="3"/>
    </row>
    <row r="525">
      <c r="A525" s="3"/>
      <c r="C525" s="207"/>
      <c r="D525" s="142"/>
      <c r="E525" s="3"/>
      <c r="F525" s="3"/>
      <c r="G525" s="3"/>
    </row>
    <row r="526">
      <c r="A526" s="3"/>
      <c r="C526" s="207"/>
      <c r="D526" s="142"/>
      <c r="E526" s="3"/>
      <c r="F526" s="3"/>
      <c r="G526" s="3"/>
    </row>
    <row r="527">
      <c r="A527" s="3"/>
      <c r="C527" s="207"/>
      <c r="D527" s="142"/>
      <c r="E527" s="3"/>
      <c r="F527" s="3"/>
      <c r="G527" s="3"/>
    </row>
    <row r="528">
      <c r="A528" s="3"/>
      <c r="C528" s="207"/>
      <c r="D528" s="142"/>
      <c r="E528" s="3"/>
      <c r="F528" s="3"/>
      <c r="G528" s="3"/>
    </row>
    <row r="529">
      <c r="A529" s="3"/>
      <c r="C529" s="207"/>
      <c r="D529" s="142"/>
      <c r="E529" s="3"/>
      <c r="F529" s="3"/>
      <c r="G529" s="3"/>
    </row>
    <row r="530">
      <c r="A530" s="3"/>
      <c r="C530" s="207"/>
      <c r="D530" s="142"/>
      <c r="E530" s="3"/>
      <c r="F530" s="3"/>
      <c r="G530" s="3"/>
    </row>
    <row r="531">
      <c r="A531" s="3"/>
      <c r="C531" s="207"/>
      <c r="D531" s="142"/>
      <c r="E531" s="3"/>
      <c r="F531" s="3"/>
      <c r="G531" s="3"/>
    </row>
    <row r="532">
      <c r="A532" s="3"/>
      <c r="C532" s="207"/>
      <c r="D532" s="142"/>
      <c r="E532" s="3"/>
      <c r="F532" s="3"/>
      <c r="G532" s="3"/>
    </row>
    <row r="533">
      <c r="A533" s="3"/>
      <c r="C533" s="207"/>
      <c r="D533" s="142"/>
      <c r="E533" s="3"/>
      <c r="F533" s="3"/>
      <c r="G533" s="3"/>
    </row>
    <row r="534">
      <c r="A534" s="3"/>
      <c r="C534" s="207"/>
      <c r="D534" s="142"/>
      <c r="E534" s="3"/>
      <c r="F534" s="3"/>
      <c r="G534" s="3"/>
    </row>
    <row r="535">
      <c r="A535" s="3"/>
      <c r="C535" s="207"/>
      <c r="D535" s="142"/>
      <c r="E535" s="3"/>
      <c r="F535" s="3"/>
      <c r="G535" s="3"/>
    </row>
    <row r="536">
      <c r="A536" s="3"/>
      <c r="C536" s="207"/>
      <c r="D536" s="142"/>
      <c r="E536" s="3"/>
      <c r="F536" s="3"/>
      <c r="G536" s="3"/>
    </row>
    <row r="537">
      <c r="A537" s="3"/>
      <c r="C537" s="207"/>
      <c r="D537" s="142"/>
      <c r="E537" s="3"/>
      <c r="F537" s="3"/>
      <c r="G537" s="3"/>
    </row>
    <row r="538">
      <c r="A538" s="3"/>
      <c r="C538" s="207"/>
      <c r="D538" s="142"/>
      <c r="E538" s="3"/>
      <c r="F538" s="3"/>
      <c r="G538" s="3"/>
    </row>
    <row r="539">
      <c r="A539" s="3"/>
      <c r="C539" s="207"/>
      <c r="D539" s="142"/>
      <c r="E539" s="3"/>
      <c r="F539" s="3"/>
      <c r="G539" s="3"/>
    </row>
    <row r="540">
      <c r="A540" s="3"/>
      <c r="C540" s="207"/>
      <c r="D540" s="142"/>
      <c r="E540" s="3"/>
      <c r="F540" s="3"/>
      <c r="G540" s="3"/>
    </row>
    <row r="541">
      <c r="A541" s="3"/>
      <c r="C541" s="207"/>
      <c r="D541" s="142"/>
      <c r="E541" s="3"/>
      <c r="F541" s="3"/>
      <c r="G541" s="3"/>
    </row>
    <row r="542">
      <c r="A542" s="3"/>
      <c r="C542" s="207"/>
      <c r="D542" s="142"/>
      <c r="E542" s="3"/>
      <c r="F542" s="3"/>
      <c r="G542" s="3"/>
    </row>
    <row r="543">
      <c r="A543" s="3"/>
      <c r="C543" s="207"/>
      <c r="D543" s="142"/>
      <c r="E543" s="3"/>
      <c r="F543" s="3"/>
      <c r="G543" s="3"/>
    </row>
    <row r="544">
      <c r="A544" s="3"/>
      <c r="C544" s="207"/>
      <c r="D544" s="142"/>
      <c r="E544" s="3"/>
      <c r="F544" s="3"/>
      <c r="G544" s="3"/>
    </row>
    <row r="545">
      <c r="A545" s="3"/>
      <c r="C545" s="207"/>
      <c r="D545" s="142"/>
      <c r="E545" s="3"/>
      <c r="F545" s="3"/>
      <c r="G545" s="3"/>
    </row>
    <row r="546">
      <c r="A546" s="3"/>
      <c r="C546" s="207"/>
      <c r="D546" s="142"/>
      <c r="E546" s="3"/>
      <c r="F546" s="3"/>
      <c r="G546" s="3"/>
    </row>
    <row r="547">
      <c r="A547" s="3"/>
      <c r="C547" s="207"/>
      <c r="D547" s="142"/>
      <c r="E547" s="3"/>
      <c r="F547" s="3"/>
      <c r="G547" s="3"/>
    </row>
    <row r="548">
      <c r="A548" s="3"/>
      <c r="C548" s="207"/>
      <c r="D548" s="142"/>
      <c r="E548" s="3"/>
      <c r="F548" s="3"/>
      <c r="G548" s="3"/>
    </row>
    <row r="549">
      <c r="A549" s="3"/>
      <c r="C549" s="207"/>
      <c r="D549" s="142"/>
      <c r="E549" s="3"/>
      <c r="F549" s="3"/>
      <c r="G549" s="3"/>
    </row>
    <row r="550">
      <c r="A550" s="3"/>
      <c r="C550" s="207"/>
      <c r="D550" s="142"/>
      <c r="E550" s="3"/>
      <c r="F550" s="3"/>
      <c r="G550" s="3"/>
    </row>
    <row r="551">
      <c r="A551" s="3"/>
      <c r="C551" s="207"/>
      <c r="D551" s="142"/>
      <c r="E551" s="3"/>
      <c r="F551" s="3"/>
      <c r="G551" s="3"/>
    </row>
    <row r="552">
      <c r="A552" s="3"/>
      <c r="C552" s="207"/>
      <c r="D552" s="142"/>
      <c r="E552" s="3"/>
      <c r="F552" s="3"/>
      <c r="G552" s="3"/>
    </row>
    <row r="553">
      <c r="A553" s="3"/>
      <c r="C553" s="207"/>
      <c r="D553" s="142"/>
      <c r="E553" s="3"/>
      <c r="F553" s="3"/>
      <c r="G553" s="3"/>
    </row>
    <row r="554">
      <c r="A554" s="3"/>
      <c r="C554" s="207"/>
      <c r="D554" s="142"/>
      <c r="E554" s="3"/>
      <c r="F554" s="3"/>
      <c r="G554" s="3"/>
    </row>
    <row r="555">
      <c r="A555" s="3"/>
      <c r="C555" s="207"/>
      <c r="D555" s="142"/>
      <c r="E555" s="3"/>
      <c r="F555" s="3"/>
      <c r="G555" s="3"/>
    </row>
    <row r="556">
      <c r="A556" s="3"/>
      <c r="C556" s="207"/>
      <c r="D556" s="142"/>
      <c r="E556" s="3"/>
      <c r="F556" s="3"/>
      <c r="G556" s="3"/>
    </row>
    <row r="557">
      <c r="A557" s="3"/>
      <c r="C557" s="207"/>
      <c r="D557" s="142"/>
      <c r="E557" s="3"/>
      <c r="F557" s="3"/>
      <c r="G557" s="3"/>
    </row>
    <row r="558">
      <c r="A558" s="3"/>
      <c r="C558" s="207"/>
      <c r="D558" s="142"/>
      <c r="E558" s="3"/>
      <c r="F558" s="3"/>
      <c r="G558" s="3"/>
    </row>
    <row r="559">
      <c r="A559" s="3"/>
      <c r="C559" s="207"/>
      <c r="D559" s="142"/>
      <c r="E559" s="3"/>
      <c r="F559" s="3"/>
      <c r="G559" s="3"/>
    </row>
    <row r="560">
      <c r="A560" s="3"/>
      <c r="C560" s="207"/>
      <c r="D560" s="142"/>
      <c r="E560" s="3"/>
      <c r="F560" s="3"/>
      <c r="G560" s="3"/>
    </row>
    <row r="561">
      <c r="A561" s="3"/>
      <c r="C561" s="207"/>
      <c r="D561" s="142"/>
      <c r="E561" s="3"/>
      <c r="F561" s="3"/>
      <c r="G561" s="3"/>
    </row>
    <row r="562">
      <c r="A562" s="3"/>
      <c r="C562" s="207"/>
      <c r="D562" s="142"/>
      <c r="E562" s="3"/>
      <c r="F562" s="3"/>
      <c r="G562" s="3"/>
    </row>
    <row r="563">
      <c r="A563" s="3"/>
      <c r="C563" s="207"/>
      <c r="D563" s="142"/>
      <c r="E563" s="3"/>
      <c r="F563" s="3"/>
      <c r="G563" s="3"/>
    </row>
    <row r="564">
      <c r="A564" s="3"/>
      <c r="C564" s="207"/>
      <c r="D564" s="142"/>
      <c r="E564" s="3"/>
      <c r="F564" s="3"/>
      <c r="G564" s="3"/>
    </row>
    <row r="565">
      <c r="A565" s="3"/>
      <c r="C565" s="207"/>
      <c r="D565" s="142"/>
      <c r="E565" s="3"/>
      <c r="F565" s="3"/>
      <c r="G565" s="3"/>
    </row>
    <row r="566">
      <c r="A566" s="3"/>
      <c r="C566" s="207"/>
      <c r="D566" s="142"/>
      <c r="E566" s="3"/>
      <c r="F566" s="3"/>
      <c r="G566" s="3"/>
    </row>
    <row r="567">
      <c r="A567" s="3"/>
      <c r="C567" s="207"/>
      <c r="D567" s="142"/>
      <c r="E567" s="3"/>
      <c r="F567" s="3"/>
      <c r="G567" s="3"/>
    </row>
    <row r="568">
      <c r="A568" s="3"/>
      <c r="C568" s="207"/>
      <c r="D568" s="142"/>
      <c r="E568" s="3"/>
      <c r="F568" s="3"/>
      <c r="G568" s="3"/>
    </row>
    <row r="569">
      <c r="A569" s="3"/>
      <c r="C569" s="207"/>
      <c r="D569" s="142"/>
      <c r="E569" s="3"/>
      <c r="F569" s="3"/>
      <c r="G569" s="3"/>
    </row>
    <row r="570">
      <c r="A570" s="3"/>
      <c r="C570" s="207"/>
      <c r="D570" s="142"/>
      <c r="E570" s="3"/>
      <c r="F570" s="3"/>
      <c r="G570" s="3"/>
    </row>
    <row r="571">
      <c r="A571" s="3"/>
      <c r="C571" s="207"/>
      <c r="D571" s="142"/>
      <c r="E571" s="3"/>
      <c r="F571" s="3"/>
      <c r="G571" s="3"/>
    </row>
    <row r="572">
      <c r="A572" s="3"/>
      <c r="C572" s="207"/>
      <c r="D572" s="142"/>
      <c r="E572" s="3"/>
      <c r="F572" s="3"/>
      <c r="G572" s="3"/>
    </row>
    <row r="573">
      <c r="A573" s="3"/>
      <c r="C573" s="207"/>
      <c r="D573" s="142"/>
      <c r="E573" s="3"/>
      <c r="F573" s="3"/>
      <c r="G573" s="3"/>
    </row>
    <row r="574">
      <c r="A574" s="3"/>
      <c r="C574" s="207"/>
      <c r="D574" s="142"/>
      <c r="E574" s="3"/>
      <c r="F574" s="3"/>
      <c r="G574" s="3"/>
    </row>
    <row r="575">
      <c r="A575" s="3"/>
      <c r="C575" s="207"/>
      <c r="D575" s="142"/>
      <c r="E575" s="3"/>
      <c r="F575" s="3"/>
      <c r="G575" s="3"/>
    </row>
    <row r="576">
      <c r="A576" s="3"/>
      <c r="C576" s="207"/>
      <c r="D576" s="142"/>
      <c r="E576" s="3"/>
      <c r="F576" s="3"/>
      <c r="G576" s="3"/>
    </row>
    <row r="577">
      <c r="A577" s="3"/>
      <c r="C577" s="207"/>
      <c r="D577" s="142"/>
      <c r="E577" s="3"/>
      <c r="F577" s="3"/>
      <c r="G577" s="3"/>
    </row>
    <row r="578">
      <c r="A578" s="3"/>
      <c r="C578" s="207"/>
      <c r="D578" s="142"/>
      <c r="E578" s="3"/>
      <c r="F578" s="3"/>
      <c r="G578" s="3"/>
    </row>
    <row r="579">
      <c r="A579" s="3"/>
      <c r="C579" s="207"/>
      <c r="D579" s="142"/>
      <c r="E579" s="3"/>
      <c r="F579" s="3"/>
      <c r="G579" s="3"/>
    </row>
    <row r="580">
      <c r="A580" s="3"/>
      <c r="C580" s="207"/>
      <c r="D580" s="142"/>
      <c r="E580" s="3"/>
      <c r="F580" s="3"/>
      <c r="G580" s="3"/>
    </row>
    <row r="581">
      <c r="A581" s="3"/>
      <c r="C581" s="207"/>
      <c r="D581" s="142"/>
      <c r="E581" s="3"/>
      <c r="F581" s="3"/>
      <c r="G581" s="3"/>
    </row>
    <row r="582">
      <c r="A582" s="3"/>
      <c r="C582" s="207"/>
      <c r="D582" s="142"/>
      <c r="E582" s="3"/>
      <c r="F582" s="3"/>
      <c r="G582" s="3"/>
    </row>
    <row r="583">
      <c r="A583" s="3"/>
      <c r="C583" s="207"/>
      <c r="D583" s="142"/>
      <c r="E583" s="3"/>
      <c r="F583" s="3"/>
      <c r="G583" s="3"/>
    </row>
    <row r="584">
      <c r="A584" s="3"/>
      <c r="C584" s="207"/>
      <c r="D584" s="142"/>
      <c r="E584" s="3"/>
      <c r="F584" s="3"/>
      <c r="G584" s="3"/>
    </row>
    <row r="585">
      <c r="A585" s="3"/>
      <c r="C585" s="207"/>
      <c r="D585" s="142"/>
      <c r="E585" s="3"/>
      <c r="F585" s="3"/>
      <c r="G585" s="3"/>
    </row>
    <row r="586">
      <c r="A586" s="3"/>
      <c r="C586" s="207"/>
      <c r="D586" s="142"/>
      <c r="E586" s="3"/>
      <c r="F586" s="3"/>
      <c r="G586" s="3"/>
    </row>
    <row r="587">
      <c r="A587" s="3"/>
      <c r="C587" s="207"/>
      <c r="D587" s="142"/>
      <c r="E587" s="3"/>
      <c r="F587" s="3"/>
      <c r="G587" s="3"/>
    </row>
    <row r="588">
      <c r="A588" s="3"/>
      <c r="C588" s="207"/>
      <c r="D588" s="142"/>
      <c r="E588" s="3"/>
      <c r="F588" s="3"/>
      <c r="G588" s="3"/>
    </row>
    <row r="589">
      <c r="A589" s="3"/>
      <c r="C589" s="207"/>
      <c r="D589" s="142"/>
      <c r="E589" s="3"/>
      <c r="F589" s="3"/>
      <c r="G589" s="3"/>
    </row>
    <row r="590">
      <c r="A590" s="3"/>
      <c r="C590" s="207"/>
      <c r="D590" s="142"/>
      <c r="E590" s="3"/>
      <c r="F590" s="3"/>
      <c r="G590" s="3"/>
    </row>
    <row r="591">
      <c r="A591" s="3"/>
      <c r="C591" s="207"/>
      <c r="D591" s="142"/>
      <c r="E591" s="3"/>
      <c r="F591" s="3"/>
      <c r="G591" s="3"/>
    </row>
    <row r="592">
      <c r="A592" s="3"/>
      <c r="C592" s="207"/>
      <c r="D592" s="142"/>
      <c r="E592" s="3"/>
      <c r="F592" s="3"/>
      <c r="G592" s="3"/>
    </row>
    <row r="593">
      <c r="A593" s="3"/>
      <c r="C593" s="207"/>
      <c r="D593" s="142"/>
      <c r="E593" s="3"/>
      <c r="F593" s="3"/>
      <c r="G593" s="3"/>
    </row>
    <row r="594">
      <c r="A594" s="3"/>
      <c r="C594" s="207"/>
      <c r="D594" s="142"/>
      <c r="E594" s="3"/>
      <c r="F594" s="3"/>
      <c r="G594" s="3"/>
    </row>
    <row r="595">
      <c r="A595" s="3"/>
      <c r="C595" s="207"/>
      <c r="D595" s="142"/>
      <c r="E595" s="3"/>
      <c r="F595" s="3"/>
      <c r="G595" s="3"/>
    </row>
    <row r="596">
      <c r="A596" s="3"/>
      <c r="C596" s="207"/>
      <c r="D596" s="142"/>
      <c r="E596" s="3"/>
      <c r="F596" s="3"/>
      <c r="G596" s="3"/>
    </row>
    <row r="597">
      <c r="A597" s="3"/>
      <c r="C597" s="207"/>
      <c r="D597" s="142"/>
      <c r="E597" s="3"/>
      <c r="F597" s="3"/>
      <c r="G597" s="3"/>
    </row>
    <row r="598">
      <c r="A598" s="3"/>
      <c r="C598" s="207"/>
      <c r="D598" s="142"/>
      <c r="E598" s="3"/>
      <c r="F598" s="3"/>
      <c r="G598" s="3"/>
    </row>
    <row r="599">
      <c r="A599" s="3"/>
      <c r="C599" s="207"/>
      <c r="D599" s="142"/>
      <c r="E599" s="3"/>
      <c r="F599" s="3"/>
      <c r="G599" s="3"/>
    </row>
    <row r="600">
      <c r="A600" s="3"/>
      <c r="C600" s="207"/>
      <c r="D600" s="142"/>
      <c r="E600" s="3"/>
      <c r="F600" s="3"/>
      <c r="G600" s="3"/>
    </row>
    <row r="601">
      <c r="A601" s="3"/>
      <c r="C601" s="207"/>
      <c r="D601" s="142"/>
      <c r="E601" s="3"/>
      <c r="F601" s="3"/>
      <c r="G601" s="3"/>
    </row>
    <row r="602">
      <c r="A602" s="3"/>
      <c r="C602" s="207"/>
      <c r="D602" s="142"/>
      <c r="E602" s="3"/>
      <c r="F602" s="3"/>
      <c r="G602" s="3"/>
    </row>
    <row r="603">
      <c r="A603" s="3"/>
      <c r="C603" s="207"/>
      <c r="D603" s="142"/>
      <c r="E603" s="3"/>
      <c r="F603" s="3"/>
      <c r="G603" s="3"/>
    </row>
    <row r="604">
      <c r="A604" s="3"/>
      <c r="C604" s="207"/>
      <c r="D604" s="142"/>
      <c r="E604" s="3"/>
      <c r="F604" s="3"/>
      <c r="G604" s="3"/>
    </row>
    <row r="605">
      <c r="A605" s="3"/>
      <c r="C605" s="207"/>
      <c r="D605" s="142"/>
      <c r="E605" s="3"/>
      <c r="F605" s="3"/>
      <c r="G605" s="3"/>
    </row>
    <row r="606">
      <c r="A606" s="3"/>
      <c r="C606" s="207"/>
      <c r="D606" s="142"/>
      <c r="E606" s="3"/>
      <c r="F606" s="3"/>
      <c r="G606" s="3"/>
    </row>
    <row r="607">
      <c r="A607" s="3"/>
      <c r="C607" s="207"/>
      <c r="D607" s="142"/>
      <c r="E607" s="3"/>
      <c r="F607" s="3"/>
      <c r="G607" s="3"/>
    </row>
    <row r="608">
      <c r="A608" s="3"/>
      <c r="C608" s="207"/>
      <c r="D608" s="142"/>
      <c r="E608" s="3"/>
      <c r="F608" s="3"/>
      <c r="G608" s="3"/>
    </row>
    <row r="609">
      <c r="A609" s="3"/>
      <c r="C609" s="207"/>
      <c r="D609" s="142"/>
      <c r="E609" s="3"/>
      <c r="F609" s="3"/>
      <c r="G609" s="3"/>
    </row>
    <row r="610">
      <c r="A610" s="3"/>
      <c r="C610" s="207"/>
      <c r="D610" s="142"/>
      <c r="E610" s="3"/>
      <c r="F610" s="3"/>
      <c r="G610" s="3"/>
    </row>
    <row r="611">
      <c r="A611" s="3"/>
      <c r="C611" s="207"/>
      <c r="D611" s="142"/>
      <c r="E611" s="3"/>
      <c r="F611" s="3"/>
      <c r="G611" s="3"/>
    </row>
    <row r="612">
      <c r="A612" s="3"/>
      <c r="C612" s="207"/>
      <c r="D612" s="142"/>
      <c r="E612" s="3"/>
      <c r="F612" s="3"/>
      <c r="G612" s="3"/>
    </row>
    <row r="613">
      <c r="A613" s="3"/>
      <c r="C613" s="207"/>
      <c r="D613" s="142"/>
      <c r="E613" s="3"/>
      <c r="F613" s="3"/>
      <c r="G613" s="3"/>
    </row>
    <row r="614">
      <c r="A614" s="3"/>
      <c r="C614" s="207"/>
      <c r="D614" s="142"/>
      <c r="E614" s="3"/>
      <c r="F614" s="3"/>
      <c r="G614" s="3"/>
    </row>
    <row r="615">
      <c r="A615" s="3"/>
      <c r="C615" s="207"/>
      <c r="D615" s="142"/>
      <c r="E615" s="3"/>
      <c r="F615" s="3"/>
      <c r="G615" s="3"/>
    </row>
    <row r="616">
      <c r="A616" s="3"/>
      <c r="C616" s="207"/>
      <c r="D616" s="142"/>
      <c r="E616" s="3"/>
      <c r="F616" s="3"/>
      <c r="G616" s="3"/>
    </row>
    <row r="617">
      <c r="A617" s="3"/>
      <c r="C617" s="207"/>
      <c r="D617" s="142"/>
      <c r="E617" s="3"/>
      <c r="F617" s="3"/>
      <c r="G617" s="3"/>
    </row>
    <row r="618">
      <c r="A618" s="3"/>
      <c r="C618" s="207"/>
      <c r="D618" s="142"/>
      <c r="E618" s="3"/>
      <c r="F618" s="3"/>
      <c r="G618" s="3"/>
    </row>
    <row r="619">
      <c r="A619" s="3"/>
      <c r="C619" s="207"/>
      <c r="D619" s="142"/>
      <c r="E619" s="3"/>
      <c r="F619" s="3"/>
      <c r="G619" s="3"/>
    </row>
    <row r="620">
      <c r="A620" s="3"/>
      <c r="C620" s="207"/>
      <c r="D620" s="142"/>
      <c r="E620" s="3"/>
      <c r="F620" s="3"/>
      <c r="G620" s="3"/>
    </row>
    <row r="621">
      <c r="A621" s="3"/>
      <c r="C621" s="207"/>
      <c r="D621" s="142"/>
      <c r="E621" s="3"/>
      <c r="F621" s="3"/>
      <c r="G621" s="3"/>
    </row>
    <row r="622">
      <c r="A622" s="3"/>
      <c r="C622" s="207"/>
      <c r="D622" s="142"/>
      <c r="E622" s="3"/>
      <c r="F622" s="3"/>
      <c r="G622" s="3"/>
    </row>
    <row r="623">
      <c r="A623" s="3"/>
      <c r="C623" s="207"/>
      <c r="D623" s="142"/>
      <c r="E623" s="3"/>
      <c r="F623" s="3"/>
      <c r="G623" s="3"/>
    </row>
    <row r="624">
      <c r="A624" s="3"/>
      <c r="C624" s="207"/>
      <c r="D624" s="142"/>
      <c r="E624" s="3"/>
      <c r="F624" s="3"/>
      <c r="G624" s="3"/>
    </row>
    <row r="625">
      <c r="A625" s="3"/>
      <c r="C625" s="207"/>
      <c r="D625" s="142"/>
      <c r="E625" s="3"/>
      <c r="F625" s="3"/>
      <c r="G625" s="3"/>
    </row>
    <row r="626">
      <c r="A626" s="3"/>
      <c r="C626" s="207"/>
      <c r="D626" s="142"/>
      <c r="E626" s="3"/>
      <c r="F626" s="3"/>
      <c r="G626" s="3"/>
    </row>
    <row r="627">
      <c r="A627" s="3"/>
      <c r="C627" s="207"/>
      <c r="D627" s="142"/>
      <c r="E627" s="3"/>
      <c r="F627" s="3"/>
      <c r="G627" s="3"/>
    </row>
    <row r="628">
      <c r="A628" s="3"/>
      <c r="C628" s="207"/>
      <c r="D628" s="142"/>
      <c r="E628" s="3"/>
      <c r="F628" s="3"/>
      <c r="G628" s="3"/>
    </row>
    <row r="629">
      <c r="A629" s="3"/>
      <c r="C629" s="207"/>
      <c r="D629" s="142"/>
      <c r="E629" s="3"/>
      <c r="F629" s="3"/>
      <c r="G629" s="3"/>
    </row>
    <row r="630">
      <c r="A630" s="3"/>
      <c r="C630" s="207"/>
      <c r="D630" s="142"/>
      <c r="E630" s="3"/>
      <c r="F630" s="3"/>
      <c r="G630" s="3"/>
    </row>
    <row r="631">
      <c r="A631" s="3"/>
      <c r="C631" s="207"/>
      <c r="D631" s="142"/>
      <c r="E631" s="3"/>
      <c r="F631" s="3"/>
      <c r="G631" s="3"/>
    </row>
    <row r="632">
      <c r="A632" s="3"/>
      <c r="C632" s="207"/>
      <c r="D632" s="142"/>
      <c r="E632" s="3"/>
      <c r="F632" s="3"/>
      <c r="G632" s="3"/>
    </row>
    <row r="633">
      <c r="A633" s="3"/>
      <c r="C633" s="207"/>
      <c r="D633" s="142"/>
      <c r="E633" s="3"/>
      <c r="F633" s="3"/>
      <c r="G633" s="3"/>
    </row>
    <row r="634">
      <c r="A634" s="3"/>
      <c r="C634" s="207"/>
      <c r="D634" s="142"/>
      <c r="E634" s="3"/>
      <c r="F634" s="3"/>
      <c r="G634" s="3"/>
    </row>
    <row r="635">
      <c r="A635" s="3"/>
      <c r="C635" s="207"/>
      <c r="D635" s="142"/>
      <c r="E635" s="3"/>
      <c r="F635" s="3"/>
      <c r="G635" s="3"/>
    </row>
    <row r="636">
      <c r="A636" s="3"/>
      <c r="C636" s="207"/>
      <c r="D636" s="142"/>
      <c r="E636" s="3"/>
      <c r="F636" s="3"/>
      <c r="G636" s="3"/>
    </row>
    <row r="637">
      <c r="A637" s="3"/>
      <c r="C637" s="207"/>
      <c r="D637" s="142"/>
      <c r="E637" s="3"/>
      <c r="F637" s="3"/>
      <c r="G637" s="3"/>
    </row>
    <row r="638">
      <c r="A638" s="3"/>
      <c r="C638" s="207"/>
      <c r="D638" s="142"/>
      <c r="E638" s="3"/>
      <c r="F638" s="3"/>
      <c r="G638" s="3"/>
    </row>
    <row r="639">
      <c r="A639" s="3"/>
      <c r="C639" s="207"/>
      <c r="D639" s="142"/>
      <c r="E639" s="3"/>
      <c r="F639" s="3"/>
      <c r="G639" s="3"/>
    </row>
    <row r="640">
      <c r="A640" s="3"/>
      <c r="C640" s="207"/>
      <c r="D640" s="142"/>
      <c r="E640" s="3"/>
      <c r="F640" s="3"/>
      <c r="G640" s="3"/>
    </row>
    <row r="641">
      <c r="A641" s="3"/>
      <c r="C641" s="207"/>
      <c r="D641" s="142"/>
      <c r="E641" s="3"/>
      <c r="F641" s="3"/>
      <c r="G641" s="3"/>
    </row>
    <row r="642">
      <c r="A642" s="3"/>
      <c r="C642" s="207"/>
      <c r="D642" s="142"/>
      <c r="E642" s="3"/>
      <c r="F642" s="3"/>
      <c r="G642" s="3"/>
    </row>
    <row r="643">
      <c r="A643" s="3"/>
      <c r="C643" s="207"/>
      <c r="D643" s="142"/>
      <c r="E643" s="3"/>
      <c r="F643" s="3"/>
      <c r="G643" s="3"/>
    </row>
    <row r="644">
      <c r="A644" s="3"/>
      <c r="C644" s="207"/>
      <c r="D644" s="142"/>
      <c r="E644" s="3"/>
      <c r="F644" s="3"/>
      <c r="G644" s="3"/>
    </row>
    <row r="645">
      <c r="A645" s="3"/>
      <c r="C645" s="207"/>
      <c r="D645" s="142"/>
      <c r="E645" s="3"/>
      <c r="F645" s="3"/>
      <c r="G645" s="3"/>
    </row>
    <row r="646">
      <c r="A646" s="3"/>
      <c r="C646" s="207"/>
      <c r="D646" s="142"/>
      <c r="E646" s="3"/>
      <c r="F646" s="3"/>
      <c r="G646" s="3"/>
    </row>
    <row r="647">
      <c r="A647" s="3"/>
      <c r="C647" s="207"/>
      <c r="D647" s="142"/>
      <c r="E647" s="3"/>
      <c r="F647" s="3"/>
      <c r="G647" s="3"/>
    </row>
    <row r="648">
      <c r="A648" s="3"/>
      <c r="C648" s="207"/>
      <c r="D648" s="142"/>
      <c r="E648" s="3"/>
      <c r="F648" s="3"/>
      <c r="G648" s="3"/>
    </row>
    <row r="649">
      <c r="A649" s="3"/>
      <c r="C649" s="207"/>
      <c r="D649" s="142"/>
      <c r="E649" s="3"/>
      <c r="F649" s="3"/>
      <c r="G649" s="3"/>
    </row>
    <row r="650">
      <c r="A650" s="3"/>
      <c r="C650" s="207"/>
      <c r="D650" s="142"/>
      <c r="E650" s="3"/>
      <c r="F650" s="3"/>
      <c r="G650" s="3"/>
    </row>
    <row r="651">
      <c r="A651" s="3"/>
      <c r="C651" s="207"/>
      <c r="D651" s="142"/>
      <c r="E651" s="3"/>
      <c r="F651" s="3"/>
      <c r="G651" s="3"/>
    </row>
    <row r="652">
      <c r="A652" s="3"/>
      <c r="C652" s="207"/>
      <c r="D652" s="142"/>
      <c r="E652" s="3"/>
      <c r="F652" s="3"/>
      <c r="G652" s="3"/>
    </row>
    <row r="653">
      <c r="A653" s="3"/>
      <c r="C653" s="207"/>
      <c r="D653" s="142"/>
      <c r="E653" s="3"/>
      <c r="F653" s="3"/>
      <c r="G653" s="3"/>
    </row>
    <row r="654">
      <c r="A654" s="3"/>
      <c r="C654" s="207"/>
      <c r="D654" s="142"/>
      <c r="E654" s="3"/>
      <c r="F654" s="3"/>
      <c r="G654" s="3"/>
    </row>
    <row r="655">
      <c r="A655" s="3"/>
      <c r="C655" s="207"/>
      <c r="D655" s="142"/>
      <c r="E655" s="3"/>
      <c r="F655" s="3"/>
      <c r="G655" s="3"/>
    </row>
    <row r="656">
      <c r="A656" s="3"/>
      <c r="C656" s="207"/>
      <c r="D656" s="142"/>
      <c r="E656" s="3"/>
      <c r="F656" s="3"/>
      <c r="G656" s="3"/>
    </row>
    <row r="657">
      <c r="A657" s="3"/>
      <c r="C657" s="207"/>
      <c r="D657" s="142"/>
      <c r="E657" s="3"/>
      <c r="F657" s="3"/>
      <c r="G657" s="3"/>
    </row>
    <row r="658">
      <c r="A658" s="3"/>
      <c r="C658" s="207"/>
      <c r="D658" s="142"/>
      <c r="E658" s="3"/>
      <c r="F658" s="3"/>
      <c r="G658" s="3"/>
    </row>
    <row r="659">
      <c r="A659" s="3"/>
      <c r="C659" s="207"/>
      <c r="D659" s="142"/>
      <c r="E659" s="3"/>
      <c r="F659" s="3"/>
      <c r="G659" s="3"/>
    </row>
    <row r="660">
      <c r="A660" s="3"/>
      <c r="C660" s="207"/>
      <c r="D660" s="142"/>
      <c r="E660" s="3"/>
      <c r="F660" s="3"/>
      <c r="G660" s="3"/>
    </row>
    <row r="661">
      <c r="A661" s="3"/>
      <c r="C661" s="207"/>
      <c r="D661" s="142"/>
      <c r="E661" s="3"/>
      <c r="F661" s="3"/>
      <c r="G661" s="3"/>
    </row>
    <row r="662">
      <c r="A662" s="3"/>
      <c r="C662" s="207"/>
      <c r="D662" s="142"/>
      <c r="E662" s="3"/>
      <c r="F662" s="3"/>
      <c r="G662" s="3"/>
    </row>
    <row r="663">
      <c r="A663" s="3"/>
      <c r="C663" s="207"/>
      <c r="D663" s="142"/>
      <c r="E663" s="3"/>
      <c r="F663" s="3"/>
      <c r="G663" s="3"/>
    </row>
    <row r="664">
      <c r="A664" s="3"/>
      <c r="C664" s="207"/>
      <c r="D664" s="142"/>
      <c r="E664" s="3"/>
      <c r="F664" s="3"/>
      <c r="G664" s="3"/>
    </row>
    <row r="665">
      <c r="A665" s="3"/>
      <c r="C665" s="207"/>
      <c r="D665" s="142"/>
      <c r="E665" s="3"/>
      <c r="F665" s="3"/>
      <c r="G665" s="3"/>
    </row>
    <row r="666">
      <c r="A666" s="3"/>
      <c r="C666" s="207"/>
      <c r="D666" s="142"/>
      <c r="E666" s="3"/>
      <c r="F666" s="3"/>
      <c r="G666" s="3"/>
    </row>
    <row r="667">
      <c r="A667" s="3"/>
      <c r="C667" s="207"/>
      <c r="D667" s="142"/>
      <c r="E667" s="3"/>
      <c r="F667" s="3"/>
      <c r="G667" s="3"/>
    </row>
    <row r="668">
      <c r="A668" s="3"/>
      <c r="C668" s="207"/>
      <c r="D668" s="142"/>
      <c r="E668" s="3"/>
      <c r="F668" s="3"/>
      <c r="G668" s="3"/>
    </row>
    <row r="669">
      <c r="A669" s="3"/>
      <c r="C669" s="207"/>
      <c r="D669" s="142"/>
      <c r="E669" s="3"/>
      <c r="F669" s="3"/>
      <c r="G669" s="3"/>
    </row>
    <row r="670">
      <c r="A670" s="3"/>
      <c r="C670" s="207"/>
      <c r="D670" s="142"/>
      <c r="E670" s="3"/>
      <c r="F670" s="3"/>
      <c r="G670" s="3"/>
    </row>
    <row r="671">
      <c r="A671" s="3"/>
      <c r="C671" s="207"/>
      <c r="D671" s="142"/>
      <c r="E671" s="3"/>
      <c r="F671" s="3"/>
      <c r="G671" s="3"/>
    </row>
    <row r="672">
      <c r="A672" s="3"/>
      <c r="C672" s="207"/>
      <c r="D672" s="142"/>
      <c r="E672" s="3"/>
      <c r="F672" s="3"/>
      <c r="G672" s="3"/>
    </row>
    <row r="673">
      <c r="A673" s="3"/>
      <c r="C673" s="207"/>
      <c r="D673" s="142"/>
      <c r="E673" s="3"/>
      <c r="F673" s="3"/>
      <c r="G673" s="3"/>
    </row>
    <row r="674">
      <c r="A674" s="3"/>
      <c r="C674" s="207"/>
      <c r="D674" s="142"/>
      <c r="E674" s="3"/>
      <c r="F674" s="3"/>
      <c r="G674" s="3"/>
    </row>
    <row r="675">
      <c r="A675" s="3"/>
      <c r="C675" s="207"/>
      <c r="D675" s="142"/>
      <c r="E675" s="3"/>
      <c r="F675" s="3"/>
      <c r="G675" s="3"/>
    </row>
    <row r="676">
      <c r="A676" s="3"/>
      <c r="C676" s="207"/>
      <c r="D676" s="142"/>
      <c r="E676" s="3"/>
      <c r="F676" s="3"/>
      <c r="G676" s="3"/>
    </row>
    <row r="677">
      <c r="A677" s="3"/>
      <c r="C677" s="207"/>
      <c r="D677" s="142"/>
      <c r="E677" s="3"/>
      <c r="F677" s="3"/>
      <c r="G677" s="3"/>
    </row>
    <row r="678">
      <c r="A678" s="3"/>
      <c r="C678" s="207"/>
      <c r="D678" s="142"/>
      <c r="E678" s="3"/>
      <c r="F678" s="3"/>
      <c r="G678" s="3"/>
    </row>
    <row r="679">
      <c r="A679" s="3"/>
      <c r="C679" s="207"/>
      <c r="D679" s="142"/>
      <c r="E679" s="3"/>
      <c r="F679" s="3"/>
      <c r="G679" s="3"/>
    </row>
    <row r="680">
      <c r="A680" s="3"/>
      <c r="C680" s="207"/>
      <c r="D680" s="142"/>
      <c r="E680" s="3"/>
      <c r="F680" s="3"/>
      <c r="G680" s="3"/>
    </row>
    <row r="681">
      <c r="A681" s="3"/>
      <c r="C681" s="207"/>
      <c r="D681" s="142"/>
      <c r="E681" s="3"/>
      <c r="F681" s="3"/>
      <c r="G681" s="3"/>
    </row>
    <row r="682">
      <c r="A682" s="3"/>
      <c r="C682" s="207"/>
      <c r="D682" s="142"/>
      <c r="E682" s="3"/>
      <c r="F682" s="3"/>
      <c r="G682" s="3"/>
    </row>
    <row r="683">
      <c r="A683" s="3"/>
      <c r="C683" s="207"/>
      <c r="D683" s="142"/>
      <c r="E683" s="3"/>
      <c r="F683" s="3"/>
      <c r="G683" s="3"/>
    </row>
    <row r="684">
      <c r="A684" s="3"/>
      <c r="C684" s="207"/>
      <c r="D684" s="142"/>
      <c r="E684" s="3"/>
      <c r="F684" s="3"/>
      <c r="G684" s="3"/>
    </row>
    <row r="685">
      <c r="A685" s="3"/>
      <c r="C685" s="207"/>
      <c r="D685" s="142"/>
      <c r="E685" s="3"/>
      <c r="F685" s="3"/>
      <c r="G685" s="3"/>
    </row>
    <row r="686">
      <c r="A686" s="3"/>
      <c r="C686" s="207"/>
      <c r="D686" s="142"/>
      <c r="E686" s="3"/>
      <c r="F686" s="3"/>
      <c r="G686" s="3"/>
    </row>
    <row r="687">
      <c r="A687" s="3"/>
      <c r="C687" s="207"/>
      <c r="D687" s="142"/>
      <c r="E687" s="3"/>
      <c r="F687" s="3"/>
      <c r="G687" s="3"/>
    </row>
    <row r="688">
      <c r="A688" s="3"/>
      <c r="C688" s="207"/>
      <c r="D688" s="142"/>
      <c r="E688" s="3"/>
      <c r="F688" s="3"/>
      <c r="G688" s="3"/>
    </row>
    <row r="689">
      <c r="A689" s="3"/>
      <c r="C689" s="207"/>
      <c r="D689" s="142"/>
      <c r="E689" s="3"/>
      <c r="F689" s="3"/>
      <c r="G689" s="3"/>
    </row>
    <row r="690">
      <c r="A690" s="3"/>
      <c r="C690" s="207"/>
      <c r="D690" s="142"/>
      <c r="E690" s="3"/>
      <c r="F690" s="3"/>
      <c r="G690" s="3"/>
    </row>
    <row r="691">
      <c r="A691" s="3"/>
      <c r="C691" s="207"/>
      <c r="D691" s="142"/>
      <c r="E691" s="3"/>
      <c r="F691" s="3"/>
      <c r="G691" s="3"/>
    </row>
    <row r="692">
      <c r="A692" s="3"/>
      <c r="C692" s="207"/>
      <c r="D692" s="142"/>
      <c r="E692" s="3"/>
      <c r="F692" s="3"/>
      <c r="G692" s="3"/>
    </row>
    <row r="693">
      <c r="A693" s="3"/>
      <c r="C693" s="207"/>
      <c r="D693" s="142"/>
      <c r="E693" s="3"/>
      <c r="F693" s="3"/>
      <c r="G693" s="3"/>
    </row>
    <row r="694">
      <c r="A694" s="3"/>
      <c r="C694" s="207"/>
      <c r="D694" s="142"/>
      <c r="E694" s="3"/>
      <c r="F694" s="3"/>
      <c r="G694" s="3"/>
    </row>
    <row r="695">
      <c r="A695" s="3"/>
      <c r="C695" s="207"/>
      <c r="D695" s="142"/>
      <c r="E695" s="3"/>
      <c r="F695" s="3"/>
      <c r="G695" s="3"/>
    </row>
    <row r="696">
      <c r="A696" s="3"/>
      <c r="C696" s="207"/>
      <c r="D696" s="142"/>
      <c r="E696" s="3"/>
      <c r="F696" s="3"/>
      <c r="G696" s="3"/>
    </row>
    <row r="697">
      <c r="A697" s="3"/>
      <c r="C697" s="207"/>
      <c r="D697" s="142"/>
      <c r="E697" s="3"/>
      <c r="F697" s="3"/>
      <c r="G697" s="3"/>
    </row>
    <row r="698">
      <c r="A698" s="3"/>
      <c r="C698" s="207"/>
      <c r="D698" s="142"/>
      <c r="E698" s="3"/>
      <c r="F698" s="3"/>
      <c r="G698" s="3"/>
    </row>
    <row r="699">
      <c r="A699" s="3"/>
      <c r="C699" s="207"/>
      <c r="D699" s="142"/>
      <c r="E699" s="3"/>
      <c r="F699" s="3"/>
      <c r="G699" s="3"/>
    </row>
    <row r="700">
      <c r="A700" s="3"/>
      <c r="C700" s="207"/>
      <c r="D700" s="142"/>
      <c r="E700" s="3"/>
      <c r="F700" s="3"/>
      <c r="G700" s="3"/>
    </row>
    <row r="701">
      <c r="A701" s="3"/>
      <c r="C701" s="207"/>
      <c r="D701" s="142"/>
      <c r="E701" s="3"/>
      <c r="F701" s="3"/>
      <c r="G701" s="3"/>
    </row>
    <row r="702">
      <c r="A702" s="3"/>
      <c r="C702" s="207"/>
      <c r="D702" s="142"/>
      <c r="E702" s="3"/>
      <c r="F702" s="3"/>
      <c r="G702" s="3"/>
    </row>
    <row r="703">
      <c r="A703" s="3"/>
      <c r="C703" s="207"/>
      <c r="D703" s="142"/>
      <c r="E703" s="3"/>
      <c r="F703" s="3"/>
      <c r="G703" s="3"/>
    </row>
    <row r="704">
      <c r="A704" s="3"/>
      <c r="C704" s="207"/>
      <c r="D704" s="142"/>
      <c r="E704" s="3"/>
      <c r="F704" s="3"/>
      <c r="G704" s="3"/>
    </row>
    <row r="705">
      <c r="A705" s="3"/>
      <c r="C705" s="207"/>
      <c r="D705" s="142"/>
      <c r="E705" s="3"/>
      <c r="F705" s="3"/>
      <c r="G705" s="3"/>
    </row>
    <row r="706">
      <c r="A706" s="3"/>
      <c r="C706" s="207"/>
      <c r="D706" s="142"/>
      <c r="E706" s="3"/>
      <c r="F706" s="3"/>
      <c r="G706" s="3"/>
    </row>
    <row r="707">
      <c r="A707" s="3"/>
      <c r="C707" s="207"/>
      <c r="D707" s="142"/>
      <c r="E707" s="3"/>
      <c r="F707" s="3"/>
      <c r="G707" s="3"/>
    </row>
    <row r="708">
      <c r="A708" s="3"/>
      <c r="C708" s="207"/>
      <c r="D708" s="142"/>
      <c r="E708" s="3"/>
      <c r="F708" s="3"/>
      <c r="G708" s="3"/>
    </row>
    <row r="709">
      <c r="A709" s="3"/>
      <c r="C709" s="207"/>
      <c r="D709" s="142"/>
      <c r="E709" s="3"/>
      <c r="F709" s="3"/>
      <c r="G709" s="3"/>
    </row>
    <row r="710">
      <c r="A710" s="3"/>
      <c r="C710" s="207"/>
      <c r="D710" s="142"/>
      <c r="E710" s="3"/>
      <c r="F710" s="3"/>
      <c r="G710" s="3"/>
    </row>
    <row r="711">
      <c r="A711" s="3"/>
      <c r="C711" s="207"/>
      <c r="D711" s="142"/>
      <c r="E711" s="3"/>
      <c r="F711" s="3"/>
      <c r="G711" s="3"/>
    </row>
    <row r="712">
      <c r="A712" s="3"/>
      <c r="C712" s="207"/>
      <c r="D712" s="142"/>
      <c r="E712" s="3"/>
      <c r="F712" s="3"/>
      <c r="G712" s="3"/>
    </row>
    <row r="713">
      <c r="A713" s="3"/>
      <c r="C713" s="207"/>
      <c r="D713" s="142"/>
      <c r="E713" s="3"/>
      <c r="F713" s="3"/>
      <c r="G713" s="3"/>
    </row>
    <row r="714">
      <c r="A714" s="3"/>
      <c r="C714" s="207"/>
      <c r="D714" s="142"/>
      <c r="E714" s="3"/>
      <c r="F714" s="3"/>
      <c r="G714" s="3"/>
    </row>
    <row r="715">
      <c r="A715" s="3"/>
      <c r="C715" s="207"/>
      <c r="D715" s="142"/>
      <c r="E715" s="3"/>
      <c r="F715" s="3"/>
      <c r="G715" s="3"/>
    </row>
    <row r="716">
      <c r="A716" s="3"/>
      <c r="C716" s="207"/>
      <c r="D716" s="142"/>
      <c r="E716" s="3"/>
      <c r="F716" s="3"/>
      <c r="G716" s="3"/>
    </row>
    <row r="717">
      <c r="A717" s="3"/>
      <c r="C717" s="207"/>
      <c r="D717" s="142"/>
      <c r="E717" s="3"/>
      <c r="F717" s="3"/>
      <c r="G717" s="3"/>
    </row>
    <row r="718">
      <c r="A718" s="3"/>
      <c r="C718" s="207"/>
      <c r="D718" s="142"/>
      <c r="E718" s="3"/>
      <c r="F718" s="3"/>
      <c r="G718" s="3"/>
    </row>
    <row r="719">
      <c r="A719" s="3"/>
      <c r="C719" s="207"/>
      <c r="D719" s="142"/>
      <c r="E719" s="3"/>
      <c r="F719" s="3"/>
      <c r="G719" s="3"/>
    </row>
    <row r="720">
      <c r="A720" s="3"/>
      <c r="C720" s="207"/>
      <c r="D720" s="142"/>
      <c r="E720" s="3"/>
      <c r="F720" s="3"/>
      <c r="G720" s="3"/>
    </row>
    <row r="721">
      <c r="A721" s="3"/>
      <c r="C721" s="207"/>
      <c r="D721" s="142"/>
      <c r="E721" s="3"/>
      <c r="F721" s="3"/>
      <c r="G721" s="3"/>
    </row>
    <row r="722">
      <c r="A722" s="3"/>
      <c r="C722" s="207"/>
      <c r="D722" s="142"/>
      <c r="E722" s="3"/>
      <c r="F722" s="3"/>
      <c r="G722" s="3"/>
    </row>
    <row r="723">
      <c r="A723" s="3"/>
      <c r="C723" s="207"/>
      <c r="D723" s="142"/>
      <c r="E723" s="3"/>
      <c r="F723" s="3"/>
      <c r="G723" s="3"/>
    </row>
    <row r="724">
      <c r="A724" s="3"/>
      <c r="C724" s="207"/>
      <c r="D724" s="142"/>
      <c r="E724" s="3"/>
      <c r="F724" s="3"/>
      <c r="G724" s="3"/>
    </row>
    <row r="725">
      <c r="A725" s="3"/>
      <c r="C725" s="207"/>
      <c r="D725" s="142"/>
      <c r="E725" s="3"/>
      <c r="F725" s="3"/>
      <c r="G725" s="3"/>
    </row>
    <row r="726">
      <c r="A726" s="3"/>
      <c r="C726" s="207"/>
      <c r="D726" s="142"/>
      <c r="E726" s="3"/>
      <c r="F726" s="3"/>
      <c r="G726" s="3"/>
    </row>
    <row r="727">
      <c r="A727" s="3"/>
      <c r="C727" s="207"/>
      <c r="D727" s="142"/>
      <c r="E727" s="3"/>
      <c r="F727" s="3"/>
      <c r="G727" s="3"/>
    </row>
    <row r="728">
      <c r="A728" s="3"/>
      <c r="C728" s="207"/>
      <c r="D728" s="142"/>
      <c r="E728" s="3"/>
      <c r="F728" s="3"/>
      <c r="G728" s="3"/>
    </row>
    <row r="729">
      <c r="A729" s="3"/>
      <c r="C729" s="207"/>
      <c r="D729" s="142"/>
      <c r="E729" s="3"/>
      <c r="F729" s="3"/>
      <c r="G729" s="3"/>
    </row>
    <row r="730">
      <c r="A730" s="3"/>
      <c r="C730" s="207"/>
      <c r="D730" s="142"/>
      <c r="E730" s="3"/>
      <c r="F730" s="3"/>
      <c r="G730" s="3"/>
    </row>
    <row r="731">
      <c r="A731" s="3"/>
      <c r="C731" s="207"/>
      <c r="D731" s="142"/>
      <c r="E731" s="3"/>
      <c r="F731" s="3"/>
      <c r="G731" s="3"/>
    </row>
    <row r="732">
      <c r="A732" s="3"/>
      <c r="C732" s="207"/>
      <c r="D732" s="142"/>
      <c r="E732" s="3"/>
      <c r="F732" s="3"/>
      <c r="G732" s="3"/>
    </row>
    <row r="733">
      <c r="A733" s="3"/>
      <c r="C733" s="207"/>
      <c r="D733" s="142"/>
      <c r="E733" s="3"/>
      <c r="F733" s="3"/>
      <c r="G733" s="3"/>
    </row>
    <row r="734">
      <c r="A734" s="3"/>
      <c r="C734" s="207"/>
      <c r="D734" s="142"/>
      <c r="E734" s="3"/>
      <c r="F734" s="3"/>
      <c r="G734" s="3"/>
    </row>
    <row r="735">
      <c r="A735" s="3"/>
      <c r="C735" s="207"/>
      <c r="D735" s="142"/>
      <c r="E735" s="3"/>
      <c r="F735" s="3"/>
      <c r="G735" s="3"/>
    </row>
    <row r="736">
      <c r="A736" s="3"/>
      <c r="C736" s="207"/>
      <c r="D736" s="142"/>
      <c r="E736" s="3"/>
      <c r="F736" s="3"/>
      <c r="G736" s="3"/>
    </row>
    <row r="737">
      <c r="A737" s="3"/>
      <c r="C737" s="207"/>
      <c r="D737" s="142"/>
      <c r="E737" s="3"/>
      <c r="F737" s="3"/>
      <c r="G737" s="3"/>
    </row>
    <row r="738">
      <c r="A738" s="3"/>
      <c r="C738" s="207"/>
      <c r="D738" s="142"/>
      <c r="E738" s="3"/>
      <c r="F738" s="3"/>
      <c r="G738" s="3"/>
    </row>
    <row r="739">
      <c r="A739" s="3"/>
      <c r="C739" s="207"/>
      <c r="D739" s="142"/>
      <c r="E739" s="3"/>
      <c r="F739" s="3"/>
      <c r="G739" s="3"/>
    </row>
    <row r="740">
      <c r="A740" s="3"/>
      <c r="C740" s="207"/>
      <c r="D740" s="142"/>
      <c r="E740" s="3"/>
      <c r="F740" s="3"/>
      <c r="G740" s="3"/>
    </row>
    <row r="741">
      <c r="A741" s="3"/>
      <c r="C741" s="207"/>
      <c r="D741" s="142"/>
      <c r="E741" s="3"/>
      <c r="F741" s="3"/>
      <c r="G741" s="3"/>
    </row>
    <row r="742">
      <c r="A742" s="3"/>
      <c r="C742" s="207"/>
      <c r="D742" s="142"/>
      <c r="E742" s="3"/>
      <c r="F742" s="3"/>
      <c r="G742" s="3"/>
    </row>
    <row r="743">
      <c r="A743" s="3"/>
      <c r="C743" s="207"/>
      <c r="D743" s="142"/>
      <c r="E743" s="3"/>
      <c r="F743" s="3"/>
      <c r="G743" s="3"/>
    </row>
    <row r="744">
      <c r="A744" s="3"/>
      <c r="C744" s="207"/>
      <c r="D744" s="142"/>
      <c r="E744" s="3"/>
      <c r="F744" s="3"/>
      <c r="G744" s="3"/>
    </row>
    <row r="745">
      <c r="A745" s="3"/>
      <c r="C745" s="207"/>
      <c r="D745" s="142"/>
      <c r="E745" s="3"/>
      <c r="F745" s="3"/>
      <c r="G745" s="3"/>
    </row>
    <row r="746">
      <c r="A746" s="3"/>
      <c r="C746" s="207"/>
      <c r="D746" s="142"/>
      <c r="E746" s="3"/>
      <c r="F746" s="3"/>
      <c r="G746" s="3"/>
    </row>
    <row r="747">
      <c r="A747" s="3"/>
      <c r="C747" s="207"/>
      <c r="D747" s="142"/>
      <c r="E747" s="3"/>
      <c r="F747" s="3"/>
      <c r="G747" s="3"/>
    </row>
    <row r="748">
      <c r="A748" s="3"/>
      <c r="C748" s="207"/>
      <c r="D748" s="142"/>
      <c r="E748" s="3"/>
      <c r="F748" s="3"/>
      <c r="G748" s="3"/>
    </row>
    <row r="749">
      <c r="A749" s="3"/>
      <c r="C749" s="207"/>
      <c r="D749" s="142"/>
      <c r="E749" s="3"/>
      <c r="F749" s="3"/>
      <c r="G749" s="3"/>
    </row>
    <row r="750">
      <c r="A750" s="3"/>
      <c r="C750" s="207"/>
      <c r="D750" s="142"/>
      <c r="E750" s="3"/>
      <c r="F750" s="3"/>
      <c r="G750" s="3"/>
    </row>
    <row r="751">
      <c r="A751" s="3"/>
      <c r="C751" s="207"/>
      <c r="D751" s="142"/>
      <c r="E751" s="3"/>
      <c r="F751" s="3"/>
      <c r="G751" s="3"/>
    </row>
    <row r="752">
      <c r="A752" s="3"/>
      <c r="C752" s="207"/>
      <c r="D752" s="142"/>
      <c r="E752" s="3"/>
      <c r="F752" s="3"/>
      <c r="G752" s="3"/>
    </row>
    <row r="753">
      <c r="A753" s="3"/>
      <c r="C753" s="207"/>
      <c r="D753" s="142"/>
      <c r="E753" s="3"/>
      <c r="F753" s="3"/>
      <c r="G753" s="3"/>
    </row>
    <row r="754">
      <c r="A754" s="3"/>
      <c r="C754" s="207"/>
      <c r="D754" s="142"/>
      <c r="E754" s="3"/>
      <c r="F754" s="3"/>
      <c r="G754" s="3"/>
    </row>
    <row r="755">
      <c r="A755" s="3"/>
      <c r="C755" s="207"/>
      <c r="D755" s="142"/>
      <c r="E755" s="3"/>
      <c r="F755" s="3"/>
      <c r="G755" s="3"/>
    </row>
    <row r="756">
      <c r="A756" s="3"/>
      <c r="C756" s="207"/>
      <c r="D756" s="142"/>
      <c r="E756" s="3"/>
      <c r="F756" s="3"/>
      <c r="G756" s="3"/>
    </row>
    <row r="757">
      <c r="A757" s="3"/>
      <c r="C757" s="207"/>
      <c r="D757" s="142"/>
      <c r="E757" s="3"/>
      <c r="F757" s="3"/>
      <c r="G757" s="3"/>
    </row>
    <row r="758">
      <c r="A758" s="3"/>
      <c r="C758" s="207"/>
      <c r="D758" s="142"/>
      <c r="E758" s="3"/>
      <c r="F758" s="3"/>
      <c r="G758" s="3"/>
    </row>
    <row r="759">
      <c r="A759" s="3"/>
      <c r="C759" s="207"/>
      <c r="D759" s="142"/>
      <c r="E759" s="3"/>
      <c r="F759" s="3"/>
      <c r="G759" s="3"/>
    </row>
    <row r="760">
      <c r="A760" s="3"/>
      <c r="C760" s="207"/>
      <c r="D760" s="142"/>
      <c r="E760" s="3"/>
      <c r="F760" s="3"/>
      <c r="G760" s="3"/>
    </row>
    <row r="761">
      <c r="A761" s="3"/>
      <c r="C761" s="207"/>
      <c r="D761" s="142"/>
      <c r="E761" s="3"/>
      <c r="F761" s="3"/>
      <c r="G761" s="3"/>
    </row>
    <row r="762">
      <c r="A762" s="3"/>
      <c r="C762" s="207"/>
      <c r="D762" s="142"/>
      <c r="E762" s="3"/>
      <c r="F762" s="3"/>
      <c r="G762" s="3"/>
    </row>
    <row r="763">
      <c r="A763" s="3"/>
      <c r="C763" s="207"/>
      <c r="D763" s="142"/>
      <c r="E763" s="3"/>
      <c r="F763" s="3"/>
      <c r="G763" s="3"/>
    </row>
    <row r="764">
      <c r="A764" s="3"/>
      <c r="C764" s="207"/>
      <c r="D764" s="142"/>
      <c r="E764" s="3"/>
      <c r="F764" s="3"/>
      <c r="G764" s="3"/>
    </row>
    <row r="765">
      <c r="A765" s="3"/>
      <c r="C765" s="207"/>
      <c r="D765" s="142"/>
      <c r="E765" s="3"/>
      <c r="F765" s="3"/>
      <c r="G765" s="3"/>
    </row>
    <row r="766">
      <c r="A766" s="3"/>
      <c r="C766" s="207"/>
      <c r="D766" s="142"/>
      <c r="E766" s="3"/>
      <c r="F766" s="3"/>
      <c r="G766" s="3"/>
    </row>
    <row r="767">
      <c r="A767" s="3"/>
      <c r="C767" s="207"/>
      <c r="D767" s="142"/>
      <c r="E767" s="3"/>
      <c r="F767" s="3"/>
      <c r="G767" s="3"/>
    </row>
    <row r="768">
      <c r="A768" s="3"/>
      <c r="C768" s="207"/>
      <c r="D768" s="142"/>
      <c r="E768" s="3"/>
      <c r="F768" s="3"/>
      <c r="G768" s="3"/>
    </row>
    <row r="769">
      <c r="A769" s="3"/>
      <c r="C769" s="207"/>
      <c r="D769" s="142"/>
      <c r="E769" s="3"/>
      <c r="F769" s="3"/>
      <c r="G769" s="3"/>
    </row>
    <row r="770">
      <c r="A770" s="3"/>
      <c r="C770" s="207"/>
      <c r="D770" s="142"/>
      <c r="E770" s="3"/>
      <c r="F770" s="3"/>
      <c r="G770" s="3"/>
    </row>
    <row r="771">
      <c r="A771" s="3"/>
      <c r="C771" s="207"/>
      <c r="D771" s="142"/>
      <c r="E771" s="3"/>
      <c r="F771" s="3"/>
      <c r="G771" s="3"/>
    </row>
    <row r="772">
      <c r="A772" s="3"/>
      <c r="C772" s="207"/>
      <c r="D772" s="142"/>
      <c r="E772" s="3"/>
      <c r="F772" s="3"/>
      <c r="G772" s="3"/>
    </row>
    <row r="773">
      <c r="A773" s="3"/>
      <c r="C773" s="207"/>
      <c r="D773" s="142"/>
      <c r="E773" s="3"/>
      <c r="F773" s="3"/>
      <c r="G773" s="3"/>
    </row>
    <row r="774">
      <c r="A774" s="3"/>
      <c r="C774" s="207"/>
      <c r="D774" s="142"/>
      <c r="E774" s="3"/>
      <c r="F774" s="3"/>
      <c r="G774" s="3"/>
    </row>
    <row r="775">
      <c r="A775" s="3"/>
      <c r="C775" s="207"/>
      <c r="D775" s="142"/>
      <c r="E775" s="3"/>
      <c r="F775" s="3"/>
      <c r="G775" s="3"/>
    </row>
    <row r="776">
      <c r="A776" s="3"/>
      <c r="C776" s="207"/>
      <c r="D776" s="142"/>
      <c r="E776" s="3"/>
      <c r="F776" s="3"/>
      <c r="G776" s="3"/>
    </row>
    <row r="777">
      <c r="A777" s="3"/>
      <c r="C777" s="207"/>
      <c r="D777" s="142"/>
      <c r="E777" s="3"/>
      <c r="F777" s="3"/>
      <c r="G777" s="3"/>
    </row>
    <row r="778">
      <c r="A778" s="3"/>
      <c r="C778" s="207"/>
      <c r="D778" s="142"/>
      <c r="E778" s="3"/>
      <c r="F778" s="3"/>
      <c r="G778" s="3"/>
    </row>
    <row r="779">
      <c r="A779" s="3"/>
      <c r="C779" s="207"/>
      <c r="D779" s="142"/>
      <c r="E779" s="3"/>
      <c r="F779" s="3"/>
      <c r="G779" s="3"/>
    </row>
    <row r="780">
      <c r="A780" s="3"/>
      <c r="C780" s="207"/>
      <c r="D780" s="142"/>
      <c r="E780" s="3"/>
      <c r="F780" s="3"/>
      <c r="G780" s="3"/>
    </row>
    <row r="781">
      <c r="A781" s="3"/>
      <c r="C781" s="207"/>
      <c r="D781" s="142"/>
      <c r="E781" s="3"/>
      <c r="F781" s="3"/>
      <c r="G781" s="3"/>
    </row>
    <row r="782">
      <c r="A782" s="3"/>
      <c r="C782" s="207"/>
      <c r="D782" s="142"/>
      <c r="E782" s="3"/>
      <c r="F782" s="3"/>
      <c r="G782" s="3"/>
    </row>
    <row r="783">
      <c r="A783" s="3"/>
      <c r="C783" s="207"/>
      <c r="D783" s="142"/>
      <c r="E783" s="3"/>
      <c r="F783" s="3"/>
      <c r="G783" s="3"/>
    </row>
    <row r="784">
      <c r="A784" s="3"/>
      <c r="C784" s="207"/>
      <c r="D784" s="142"/>
      <c r="E784" s="3"/>
      <c r="F784" s="3"/>
      <c r="G784" s="3"/>
    </row>
    <row r="785">
      <c r="A785" s="3"/>
      <c r="C785" s="207"/>
      <c r="D785" s="142"/>
      <c r="E785" s="3"/>
      <c r="F785" s="3"/>
      <c r="G785" s="3"/>
    </row>
    <row r="786">
      <c r="A786" s="3"/>
      <c r="C786" s="207"/>
      <c r="D786" s="142"/>
      <c r="E786" s="3"/>
      <c r="F786" s="3"/>
      <c r="G786" s="3"/>
    </row>
    <row r="787">
      <c r="A787" s="3"/>
      <c r="C787" s="207"/>
      <c r="D787" s="142"/>
      <c r="E787" s="3"/>
      <c r="F787" s="3"/>
      <c r="G787" s="3"/>
    </row>
    <row r="788">
      <c r="A788" s="3"/>
      <c r="C788" s="207"/>
      <c r="D788" s="142"/>
      <c r="E788" s="3"/>
      <c r="F788" s="3"/>
      <c r="G788" s="3"/>
    </row>
    <row r="789">
      <c r="A789" s="3"/>
      <c r="C789" s="207"/>
      <c r="D789" s="142"/>
      <c r="E789" s="3"/>
      <c r="F789" s="3"/>
      <c r="G789" s="3"/>
    </row>
    <row r="790">
      <c r="A790" s="3"/>
      <c r="C790" s="207"/>
      <c r="D790" s="142"/>
      <c r="E790" s="3"/>
      <c r="F790" s="3"/>
      <c r="G790" s="3"/>
    </row>
    <row r="791">
      <c r="A791" s="3"/>
      <c r="C791" s="207"/>
      <c r="D791" s="142"/>
      <c r="E791" s="3"/>
      <c r="F791" s="3"/>
      <c r="G791" s="3"/>
    </row>
    <row r="792">
      <c r="A792" s="3"/>
      <c r="C792" s="207"/>
      <c r="D792" s="142"/>
      <c r="E792" s="3"/>
      <c r="F792" s="3"/>
      <c r="G792" s="3"/>
    </row>
    <row r="793">
      <c r="A793" s="3"/>
      <c r="C793" s="207"/>
      <c r="D793" s="142"/>
      <c r="E793" s="3"/>
      <c r="F793" s="3"/>
      <c r="G793" s="3"/>
    </row>
    <row r="794">
      <c r="A794" s="3"/>
      <c r="C794" s="207"/>
      <c r="D794" s="142"/>
      <c r="E794" s="3"/>
      <c r="F794" s="3"/>
      <c r="G794" s="3"/>
    </row>
    <row r="795">
      <c r="A795" s="3"/>
      <c r="C795" s="207"/>
      <c r="D795" s="142"/>
      <c r="E795" s="3"/>
      <c r="F795" s="3"/>
      <c r="G795" s="3"/>
    </row>
    <row r="796">
      <c r="A796" s="3"/>
      <c r="C796" s="207"/>
      <c r="D796" s="142"/>
      <c r="E796" s="3"/>
      <c r="F796" s="3"/>
      <c r="G796" s="3"/>
    </row>
    <row r="797">
      <c r="A797" s="3"/>
      <c r="C797" s="207"/>
      <c r="D797" s="142"/>
      <c r="E797" s="3"/>
      <c r="F797" s="3"/>
      <c r="G797" s="3"/>
    </row>
    <row r="798">
      <c r="A798" s="3"/>
      <c r="C798" s="207"/>
      <c r="D798" s="142"/>
      <c r="E798" s="3"/>
      <c r="F798" s="3"/>
      <c r="G798" s="3"/>
    </row>
    <row r="799">
      <c r="A799" s="3"/>
      <c r="C799" s="207"/>
      <c r="D799" s="142"/>
      <c r="E799" s="3"/>
      <c r="F799" s="3"/>
      <c r="G799" s="3"/>
    </row>
    <row r="800">
      <c r="A800" s="3"/>
      <c r="C800" s="207"/>
      <c r="D800" s="142"/>
      <c r="E800" s="3"/>
      <c r="F800" s="3"/>
      <c r="G800" s="3"/>
    </row>
    <row r="801">
      <c r="A801" s="3"/>
      <c r="C801" s="207"/>
      <c r="D801" s="142"/>
      <c r="E801" s="3"/>
      <c r="F801" s="3"/>
      <c r="G801" s="3"/>
    </row>
    <row r="802">
      <c r="A802" s="3"/>
      <c r="C802" s="207"/>
      <c r="D802" s="142"/>
      <c r="E802" s="3"/>
      <c r="F802" s="3"/>
      <c r="G802" s="3"/>
    </row>
    <row r="803">
      <c r="A803" s="3"/>
      <c r="C803" s="207"/>
      <c r="D803" s="142"/>
      <c r="E803" s="3"/>
      <c r="F803" s="3"/>
      <c r="G803" s="3"/>
    </row>
    <row r="804">
      <c r="A804" s="3"/>
      <c r="C804" s="207"/>
      <c r="D804" s="142"/>
      <c r="E804" s="3"/>
      <c r="F804" s="3"/>
      <c r="G804" s="3"/>
    </row>
    <row r="805">
      <c r="A805" s="3"/>
      <c r="C805" s="207"/>
      <c r="D805" s="142"/>
      <c r="E805" s="3"/>
      <c r="F805" s="3"/>
      <c r="G805" s="3"/>
    </row>
    <row r="806">
      <c r="A806" s="3"/>
      <c r="C806" s="207"/>
      <c r="D806" s="142"/>
      <c r="E806" s="3"/>
      <c r="F806" s="3"/>
      <c r="G806" s="3"/>
    </row>
    <row r="807">
      <c r="A807" s="3"/>
      <c r="C807" s="207"/>
      <c r="D807" s="142"/>
      <c r="E807" s="3"/>
      <c r="F807" s="3"/>
      <c r="G807" s="3"/>
    </row>
    <row r="808">
      <c r="A808" s="3"/>
      <c r="C808" s="207"/>
      <c r="D808" s="142"/>
      <c r="E808" s="3"/>
      <c r="F808" s="3"/>
      <c r="G808" s="3"/>
    </row>
    <row r="809">
      <c r="A809" s="3"/>
      <c r="C809" s="207"/>
      <c r="D809" s="142"/>
      <c r="E809" s="3"/>
      <c r="F809" s="3"/>
      <c r="G809" s="3"/>
    </row>
    <row r="810">
      <c r="A810" s="3"/>
      <c r="C810" s="207"/>
      <c r="D810" s="142"/>
      <c r="E810" s="3"/>
      <c r="F810" s="3"/>
      <c r="G810" s="3"/>
    </row>
    <row r="811">
      <c r="A811" s="3"/>
      <c r="C811" s="207"/>
      <c r="D811" s="142"/>
      <c r="E811" s="3"/>
      <c r="F811" s="3"/>
      <c r="G811" s="3"/>
    </row>
    <row r="812">
      <c r="A812" s="3"/>
      <c r="C812" s="207"/>
      <c r="D812" s="142"/>
      <c r="E812" s="3"/>
      <c r="F812" s="3"/>
      <c r="G812" s="3"/>
    </row>
    <row r="813">
      <c r="A813" s="3"/>
      <c r="C813" s="207"/>
      <c r="D813" s="142"/>
      <c r="E813" s="3"/>
      <c r="F813" s="3"/>
      <c r="G813" s="3"/>
    </row>
    <row r="814">
      <c r="A814" s="3"/>
      <c r="C814" s="207"/>
      <c r="D814" s="142"/>
      <c r="E814" s="3"/>
      <c r="F814" s="3"/>
      <c r="G814" s="3"/>
    </row>
    <row r="815">
      <c r="A815" s="3"/>
      <c r="C815" s="207"/>
      <c r="D815" s="142"/>
      <c r="E815" s="3"/>
      <c r="F815" s="3"/>
      <c r="G815" s="3"/>
    </row>
    <row r="816">
      <c r="A816" s="3"/>
      <c r="C816" s="207"/>
      <c r="D816" s="142"/>
      <c r="E816" s="3"/>
      <c r="F816" s="3"/>
      <c r="G816" s="3"/>
    </row>
    <row r="817">
      <c r="A817" s="3"/>
      <c r="C817" s="207"/>
      <c r="D817" s="142"/>
      <c r="E817" s="3"/>
      <c r="F817" s="3"/>
      <c r="G817" s="3"/>
    </row>
    <row r="818">
      <c r="A818" s="3"/>
      <c r="C818" s="207"/>
      <c r="D818" s="142"/>
      <c r="E818" s="3"/>
      <c r="F818" s="3"/>
      <c r="G818" s="3"/>
    </row>
    <row r="819">
      <c r="A819" s="3"/>
      <c r="C819" s="207"/>
      <c r="D819" s="142"/>
      <c r="E819" s="3"/>
      <c r="F819" s="3"/>
      <c r="G819" s="3"/>
    </row>
    <row r="820">
      <c r="A820" s="3"/>
      <c r="C820" s="207"/>
      <c r="D820" s="142"/>
      <c r="E820" s="3"/>
      <c r="F820" s="3"/>
      <c r="G820" s="3"/>
    </row>
    <row r="821">
      <c r="A821" s="3"/>
      <c r="C821" s="207"/>
      <c r="D821" s="142"/>
      <c r="E821" s="3"/>
      <c r="F821" s="3"/>
      <c r="G821" s="3"/>
    </row>
    <row r="822">
      <c r="A822" s="3"/>
      <c r="C822" s="207"/>
      <c r="D822" s="142"/>
      <c r="E822" s="3"/>
      <c r="F822" s="3"/>
      <c r="G822" s="3"/>
    </row>
    <row r="823">
      <c r="A823" s="3"/>
      <c r="C823" s="207"/>
      <c r="D823" s="142"/>
      <c r="E823" s="3"/>
      <c r="F823" s="3"/>
      <c r="G823" s="3"/>
    </row>
    <row r="824">
      <c r="A824" s="3"/>
      <c r="C824" s="207"/>
      <c r="D824" s="142"/>
      <c r="E824" s="3"/>
      <c r="F824" s="3"/>
      <c r="G824" s="3"/>
    </row>
    <row r="825">
      <c r="A825" s="3"/>
      <c r="C825" s="207"/>
      <c r="D825" s="142"/>
      <c r="E825" s="3"/>
      <c r="F825" s="3"/>
      <c r="G825" s="3"/>
    </row>
    <row r="826">
      <c r="A826" s="3"/>
      <c r="C826" s="207"/>
      <c r="D826" s="142"/>
      <c r="E826" s="3"/>
      <c r="F826" s="3"/>
      <c r="G826" s="3"/>
    </row>
    <row r="827">
      <c r="A827" s="3"/>
      <c r="C827" s="207"/>
      <c r="D827" s="142"/>
      <c r="E827" s="3"/>
      <c r="F827" s="3"/>
      <c r="G827" s="3"/>
    </row>
    <row r="828">
      <c r="A828" s="3"/>
      <c r="C828" s="207"/>
      <c r="D828" s="142"/>
      <c r="E828" s="3"/>
      <c r="F828" s="3"/>
      <c r="G828" s="3"/>
    </row>
    <row r="829">
      <c r="A829" s="3"/>
      <c r="C829" s="207"/>
      <c r="D829" s="142"/>
      <c r="E829" s="3"/>
      <c r="F829" s="3"/>
      <c r="G829" s="3"/>
    </row>
    <row r="830">
      <c r="A830" s="3"/>
      <c r="C830" s="207"/>
      <c r="D830" s="142"/>
      <c r="E830" s="3"/>
      <c r="F830" s="3"/>
      <c r="G830" s="3"/>
    </row>
    <row r="831">
      <c r="A831" s="3"/>
      <c r="C831" s="207"/>
      <c r="D831" s="142"/>
      <c r="E831" s="3"/>
      <c r="F831" s="3"/>
      <c r="G831" s="3"/>
    </row>
    <row r="832">
      <c r="A832" s="3"/>
      <c r="C832" s="207"/>
      <c r="D832" s="142"/>
      <c r="E832" s="3"/>
      <c r="F832" s="3"/>
      <c r="G832" s="3"/>
    </row>
    <row r="833">
      <c r="A833" s="3"/>
      <c r="C833" s="207"/>
      <c r="D833" s="142"/>
      <c r="E833" s="3"/>
      <c r="F833" s="3"/>
      <c r="G833" s="3"/>
    </row>
    <row r="834">
      <c r="A834" s="3"/>
      <c r="C834" s="207"/>
      <c r="D834" s="142"/>
      <c r="E834" s="3"/>
      <c r="F834" s="3"/>
      <c r="G834" s="3"/>
    </row>
    <row r="835">
      <c r="A835" s="3"/>
      <c r="C835" s="207"/>
      <c r="D835" s="142"/>
      <c r="E835" s="3"/>
      <c r="F835" s="3"/>
      <c r="G835" s="3"/>
    </row>
    <row r="836">
      <c r="A836" s="3"/>
      <c r="C836" s="207"/>
      <c r="D836" s="142"/>
      <c r="E836" s="3"/>
      <c r="F836" s="3"/>
      <c r="G836" s="3"/>
    </row>
    <row r="837">
      <c r="A837" s="3"/>
      <c r="C837" s="207"/>
      <c r="D837" s="142"/>
      <c r="E837" s="3"/>
      <c r="F837" s="3"/>
      <c r="G837" s="3"/>
    </row>
    <row r="838">
      <c r="A838" s="3"/>
      <c r="C838" s="207"/>
      <c r="D838" s="142"/>
      <c r="E838" s="3"/>
      <c r="F838" s="3"/>
      <c r="G838" s="3"/>
    </row>
    <row r="839">
      <c r="A839" s="3"/>
      <c r="C839" s="207"/>
      <c r="D839" s="142"/>
      <c r="E839" s="3"/>
      <c r="F839" s="3"/>
      <c r="G839" s="3"/>
    </row>
    <row r="840">
      <c r="A840" s="3"/>
      <c r="C840" s="207"/>
      <c r="D840" s="142"/>
      <c r="E840" s="3"/>
      <c r="F840" s="3"/>
      <c r="G840" s="3"/>
    </row>
    <row r="841">
      <c r="A841" s="3"/>
      <c r="C841" s="207"/>
      <c r="D841" s="142"/>
      <c r="E841" s="3"/>
      <c r="F841" s="3"/>
      <c r="G841" s="3"/>
    </row>
    <row r="842">
      <c r="A842" s="3"/>
      <c r="C842" s="207"/>
      <c r="D842" s="142"/>
      <c r="E842" s="3"/>
      <c r="F842" s="3"/>
      <c r="G842" s="3"/>
    </row>
    <row r="843">
      <c r="A843" s="3"/>
      <c r="C843" s="207"/>
      <c r="D843" s="142"/>
      <c r="E843" s="3"/>
      <c r="F843" s="3"/>
      <c r="G843" s="3"/>
    </row>
    <row r="844">
      <c r="A844" s="3"/>
      <c r="C844" s="207"/>
      <c r="D844" s="142"/>
      <c r="E844" s="3"/>
      <c r="F844" s="3"/>
      <c r="G844" s="3"/>
    </row>
    <row r="845">
      <c r="A845" s="3"/>
      <c r="C845" s="207"/>
      <c r="D845" s="142"/>
      <c r="E845" s="3"/>
      <c r="F845" s="3"/>
      <c r="G845" s="3"/>
    </row>
    <row r="846">
      <c r="A846" s="3"/>
      <c r="C846" s="207"/>
      <c r="D846" s="142"/>
      <c r="E846" s="3"/>
      <c r="F846" s="3"/>
      <c r="G846" s="3"/>
    </row>
    <row r="847">
      <c r="A847" s="3"/>
      <c r="C847" s="207"/>
      <c r="D847" s="142"/>
      <c r="E847" s="3"/>
      <c r="F847" s="3"/>
      <c r="G847" s="3"/>
    </row>
    <row r="848">
      <c r="A848" s="3"/>
      <c r="C848" s="207"/>
      <c r="D848" s="142"/>
      <c r="E848" s="3"/>
      <c r="F848" s="3"/>
      <c r="G848" s="3"/>
    </row>
    <row r="849">
      <c r="A849" s="3"/>
      <c r="C849" s="207"/>
      <c r="D849" s="142"/>
      <c r="E849" s="3"/>
      <c r="F849" s="3"/>
      <c r="G849" s="3"/>
    </row>
    <row r="850">
      <c r="A850" s="3"/>
      <c r="C850" s="207"/>
      <c r="D850" s="142"/>
      <c r="E850" s="3"/>
      <c r="F850" s="3"/>
      <c r="G850" s="3"/>
    </row>
    <row r="851">
      <c r="A851" s="3"/>
      <c r="C851" s="207"/>
      <c r="D851" s="142"/>
      <c r="E851" s="3"/>
      <c r="F851" s="3"/>
      <c r="G851" s="3"/>
    </row>
    <row r="852">
      <c r="A852" s="3"/>
      <c r="C852" s="207"/>
      <c r="D852" s="142"/>
      <c r="E852" s="3"/>
      <c r="F852" s="3"/>
      <c r="G852" s="3"/>
    </row>
    <row r="853">
      <c r="A853" s="3"/>
      <c r="C853" s="207"/>
      <c r="D853" s="142"/>
      <c r="E853" s="3"/>
      <c r="F853" s="3"/>
      <c r="G853" s="3"/>
    </row>
    <row r="854">
      <c r="A854" s="3"/>
      <c r="C854" s="207"/>
      <c r="D854" s="142"/>
      <c r="E854" s="3"/>
      <c r="F854" s="3"/>
      <c r="G854" s="3"/>
    </row>
    <row r="855">
      <c r="A855" s="3"/>
      <c r="C855" s="207"/>
      <c r="D855" s="142"/>
      <c r="E855" s="3"/>
      <c r="F855" s="3"/>
      <c r="G855" s="3"/>
    </row>
    <row r="856">
      <c r="A856" s="3"/>
      <c r="C856" s="207"/>
      <c r="D856" s="142"/>
      <c r="E856" s="3"/>
      <c r="F856" s="3"/>
      <c r="G856" s="3"/>
    </row>
    <row r="857">
      <c r="A857" s="3"/>
      <c r="C857" s="207"/>
      <c r="D857" s="142"/>
      <c r="E857" s="3"/>
      <c r="F857" s="3"/>
      <c r="G857" s="3"/>
    </row>
    <row r="858">
      <c r="A858" s="3"/>
      <c r="C858" s="207"/>
      <c r="D858" s="142"/>
      <c r="E858" s="3"/>
      <c r="F858" s="3"/>
      <c r="G858" s="3"/>
    </row>
    <row r="859">
      <c r="A859" s="3"/>
      <c r="C859" s="207"/>
      <c r="D859" s="142"/>
      <c r="E859" s="3"/>
      <c r="F859" s="3"/>
      <c r="G859" s="3"/>
    </row>
    <row r="860">
      <c r="A860" s="3"/>
      <c r="C860" s="207"/>
      <c r="D860" s="142"/>
      <c r="E860" s="3"/>
      <c r="F860" s="3"/>
      <c r="G860" s="3"/>
    </row>
    <row r="861">
      <c r="A861" s="3"/>
      <c r="C861" s="207"/>
      <c r="D861" s="142"/>
      <c r="E861" s="3"/>
      <c r="F861" s="3"/>
      <c r="G861" s="3"/>
    </row>
    <row r="862">
      <c r="A862" s="3"/>
      <c r="C862" s="207"/>
      <c r="D862" s="142"/>
      <c r="E862" s="3"/>
      <c r="F862" s="3"/>
      <c r="G862" s="3"/>
    </row>
    <row r="863">
      <c r="A863" s="3"/>
      <c r="C863" s="207"/>
      <c r="D863" s="142"/>
      <c r="E863" s="3"/>
      <c r="F863" s="3"/>
      <c r="G863" s="3"/>
    </row>
    <row r="864">
      <c r="A864" s="3"/>
      <c r="C864" s="207"/>
      <c r="D864" s="142"/>
      <c r="E864" s="3"/>
      <c r="F864" s="3"/>
      <c r="G864" s="3"/>
    </row>
    <row r="865">
      <c r="A865" s="3"/>
      <c r="C865" s="207"/>
      <c r="D865" s="142"/>
      <c r="E865" s="3"/>
      <c r="F865" s="3"/>
      <c r="G865" s="3"/>
    </row>
    <row r="866">
      <c r="A866" s="3"/>
      <c r="C866" s="207"/>
      <c r="D866" s="142"/>
      <c r="E866" s="3"/>
      <c r="F866" s="3"/>
      <c r="G866" s="3"/>
    </row>
    <row r="867">
      <c r="A867" s="3"/>
      <c r="C867" s="207"/>
      <c r="D867" s="142"/>
      <c r="E867" s="3"/>
      <c r="F867" s="3"/>
      <c r="G867" s="3"/>
    </row>
    <row r="868">
      <c r="A868" s="3"/>
      <c r="C868" s="207"/>
      <c r="D868" s="142"/>
      <c r="E868" s="3"/>
      <c r="F868" s="3"/>
      <c r="G868" s="3"/>
    </row>
    <row r="869">
      <c r="A869" s="3"/>
      <c r="C869" s="207"/>
      <c r="D869" s="142"/>
      <c r="E869" s="3"/>
      <c r="F869" s="3"/>
      <c r="G869" s="3"/>
    </row>
    <row r="870">
      <c r="A870" s="3"/>
      <c r="C870" s="207"/>
      <c r="D870" s="142"/>
      <c r="E870" s="3"/>
      <c r="F870" s="3"/>
      <c r="G870" s="3"/>
    </row>
    <row r="871">
      <c r="A871" s="3"/>
      <c r="C871" s="207"/>
      <c r="D871" s="142"/>
      <c r="E871" s="3"/>
      <c r="F871" s="3"/>
      <c r="G871" s="3"/>
    </row>
    <row r="872">
      <c r="A872" s="3"/>
      <c r="C872" s="207"/>
      <c r="D872" s="142"/>
      <c r="E872" s="3"/>
      <c r="F872" s="3"/>
      <c r="G872" s="3"/>
    </row>
    <row r="873">
      <c r="A873" s="3"/>
      <c r="C873" s="207"/>
      <c r="D873" s="142"/>
      <c r="E873" s="3"/>
      <c r="F873" s="3"/>
      <c r="G873" s="3"/>
    </row>
    <row r="874">
      <c r="A874" s="3"/>
      <c r="C874" s="207"/>
      <c r="D874" s="142"/>
      <c r="E874" s="3"/>
      <c r="F874" s="3"/>
      <c r="G874" s="3"/>
    </row>
    <row r="875">
      <c r="A875" s="3"/>
      <c r="C875" s="207"/>
      <c r="D875" s="142"/>
      <c r="E875" s="3"/>
      <c r="F875" s="3"/>
      <c r="G875" s="3"/>
    </row>
    <row r="876">
      <c r="A876" s="3"/>
      <c r="C876" s="207"/>
      <c r="D876" s="142"/>
      <c r="E876" s="3"/>
      <c r="F876" s="3"/>
      <c r="G876" s="3"/>
    </row>
    <row r="877">
      <c r="A877" s="3"/>
      <c r="C877" s="207"/>
      <c r="D877" s="142"/>
      <c r="E877" s="3"/>
      <c r="F877" s="3"/>
      <c r="G877" s="3"/>
    </row>
    <row r="878">
      <c r="A878" s="3"/>
      <c r="C878" s="207"/>
      <c r="D878" s="142"/>
      <c r="E878" s="3"/>
      <c r="F878" s="3"/>
      <c r="G878" s="3"/>
    </row>
    <row r="879">
      <c r="A879" s="3"/>
      <c r="C879" s="207"/>
      <c r="D879" s="142"/>
      <c r="E879" s="3"/>
      <c r="F879" s="3"/>
      <c r="G879" s="3"/>
    </row>
    <row r="880">
      <c r="A880" s="3"/>
      <c r="C880" s="207"/>
      <c r="D880" s="142"/>
      <c r="E880" s="3"/>
      <c r="F880" s="3"/>
      <c r="G880" s="3"/>
    </row>
    <row r="881">
      <c r="A881" s="3"/>
      <c r="C881" s="207"/>
      <c r="D881" s="142"/>
      <c r="E881" s="3"/>
      <c r="F881" s="3"/>
      <c r="G881" s="3"/>
    </row>
    <row r="882">
      <c r="A882" s="3"/>
      <c r="C882" s="207"/>
      <c r="D882" s="142"/>
      <c r="E882" s="3"/>
      <c r="F882" s="3"/>
      <c r="G882" s="3"/>
    </row>
    <row r="883">
      <c r="A883" s="3"/>
      <c r="C883" s="207"/>
      <c r="D883" s="142"/>
      <c r="E883" s="3"/>
      <c r="F883" s="3"/>
      <c r="G883" s="3"/>
    </row>
    <row r="884">
      <c r="A884" s="3"/>
      <c r="C884" s="207"/>
      <c r="D884" s="142"/>
      <c r="E884" s="3"/>
      <c r="F884" s="3"/>
      <c r="G884" s="3"/>
    </row>
    <row r="885">
      <c r="A885" s="3"/>
      <c r="C885" s="207"/>
      <c r="D885" s="142"/>
      <c r="E885" s="3"/>
      <c r="F885" s="3"/>
      <c r="G885" s="3"/>
    </row>
    <row r="886">
      <c r="A886" s="3"/>
      <c r="C886" s="207"/>
      <c r="D886" s="142"/>
      <c r="E886" s="3"/>
      <c r="F886" s="3"/>
      <c r="G886" s="3"/>
    </row>
    <row r="887">
      <c r="A887" s="3"/>
      <c r="C887" s="207"/>
      <c r="D887" s="142"/>
      <c r="E887" s="3"/>
      <c r="F887" s="3"/>
      <c r="G887" s="3"/>
    </row>
    <row r="888">
      <c r="A888" s="3"/>
      <c r="C888" s="207"/>
      <c r="D888" s="142"/>
      <c r="E888" s="3"/>
      <c r="F888" s="3"/>
      <c r="G888" s="3"/>
    </row>
    <row r="889">
      <c r="A889" s="3"/>
      <c r="C889" s="207"/>
      <c r="D889" s="142"/>
      <c r="E889" s="3"/>
      <c r="F889" s="3"/>
      <c r="G889" s="3"/>
    </row>
    <row r="890">
      <c r="A890" s="3"/>
      <c r="C890" s="207"/>
      <c r="D890" s="142"/>
      <c r="E890" s="3"/>
      <c r="F890" s="3"/>
      <c r="G890" s="3"/>
    </row>
    <row r="891">
      <c r="A891" s="3"/>
      <c r="C891" s="207"/>
      <c r="D891" s="142"/>
      <c r="E891" s="3"/>
      <c r="F891" s="3"/>
      <c r="G891" s="3"/>
    </row>
    <row r="892">
      <c r="A892" s="3"/>
      <c r="C892" s="207"/>
      <c r="D892" s="142"/>
      <c r="E892" s="3"/>
      <c r="F892" s="3"/>
      <c r="G892" s="3"/>
    </row>
    <row r="893">
      <c r="A893" s="3"/>
      <c r="C893" s="207"/>
      <c r="D893" s="142"/>
      <c r="E893" s="3"/>
      <c r="F893" s="3"/>
      <c r="G893" s="3"/>
    </row>
    <row r="894">
      <c r="A894" s="3"/>
      <c r="C894" s="207"/>
      <c r="D894" s="142"/>
      <c r="E894" s="3"/>
      <c r="F894" s="3"/>
      <c r="G894" s="3"/>
    </row>
    <row r="895">
      <c r="A895" s="3"/>
      <c r="C895" s="207"/>
      <c r="D895" s="142"/>
      <c r="E895" s="3"/>
      <c r="F895" s="3"/>
      <c r="G895" s="3"/>
    </row>
    <row r="896">
      <c r="A896" s="3"/>
      <c r="C896" s="207"/>
      <c r="D896" s="142"/>
      <c r="E896" s="3"/>
      <c r="F896" s="3"/>
      <c r="G896" s="3"/>
    </row>
    <row r="897">
      <c r="A897" s="3"/>
      <c r="C897" s="207"/>
      <c r="D897" s="142"/>
      <c r="E897" s="3"/>
      <c r="F897" s="3"/>
      <c r="G897" s="3"/>
    </row>
    <row r="898">
      <c r="A898" s="3"/>
      <c r="C898" s="207"/>
      <c r="D898" s="142"/>
      <c r="E898" s="3"/>
      <c r="F898" s="3"/>
      <c r="G898" s="3"/>
    </row>
    <row r="899">
      <c r="A899" s="3"/>
      <c r="C899" s="207"/>
      <c r="D899" s="142"/>
      <c r="E899" s="3"/>
      <c r="F899" s="3"/>
      <c r="G899" s="3"/>
    </row>
    <row r="900">
      <c r="A900" s="3"/>
      <c r="C900" s="207"/>
      <c r="D900" s="142"/>
      <c r="E900" s="3"/>
      <c r="F900" s="3"/>
      <c r="G900" s="3"/>
    </row>
    <row r="901">
      <c r="A901" s="3"/>
      <c r="C901" s="207"/>
      <c r="D901" s="142"/>
      <c r="E901" s="3"/>
      <c r="F901" s="3"/>
      <c r="G901" s="3"/>
    </row>
    <row r="902">
      <c r="A902" s="3"/>
      <c r="C902" s="207"/>
      <c r="D902" s="142"/>
      <c r="E902" s="3"/>
      <c r="F902" s="3"/>
      <c r="G902" s="3"/>
    </row>
    <row r="903">
      <c r="A903" s="3"/>
      <c r="C903" s="207"/>
      <c r="D903" s="142"/>
      <c r="E903" s="3"/>
      <c r="F903" s="3"/>
      <c r="G903" s="3"/>
    </row>
    <row r="904">
      <c r="A904" s="3"/>
      <c r="C904" s="207"/>
      <c r="D904" s="142"/>
      <c r="E904" s="3"/>
      <c r="F904" s="3"/>
      <c r="G904" s="3"/>
    </row>
    <row r="905">
      <c r="A905" s="3"/>
      <c r="C905" s="207"/>
      <c r="D905" s="142"/>
      <c r="E905" s="3"/>
      <c r="F905" s="3"/>
      <c r="G905" s="3"/>
    </row>
    <row r="906">
      <c r="A906" s="3"/>
      <c r="C906" s="207"/>
      <c r="D906" s="142"/>
      <c r="E906" s="3"/>
      <c r="F906" s="3"/>
      <c r="G906" s="3"/>
    </row>
    <row r="907">
      <c r="A907" s="3"/>
      <c r="C907" s="207"/>
      <c r="D907" s="142"/>
      <c r="E907" s="3"/>
      <c r="F907" s="3"/>
      <c r="G907" s="3"/>
    </row>
    <row r="908">
      <c r="A908" s="3"/>
      <c r="C908" s="207"/>
      <c r="D908" s="142"/>
      <c r="E908" s="3"/>
      <c r="F908" s="3"/>
      <c r="G908" s="3"/>
    </row>
    <row r="909">
      <c r="A909" s="3"/>
      <c r="C909" s="207"/>
      <c r="D909" s="142"/>
      <c r="E909" s="3"/>
      <c r="F909" s="3"/>
      <c r="G909" s="3"/>
    </row>
    <row r="910">
      <c r="A910" s="3"/>
      <c r="C910" s="207"/>
      <c r="D910" s="142"/>
      <c r="E910" s="3"/>
      <c r="F910" s="3"/>
      <c r="G910" s="3"/>
    </row>
    <row r="911">
      <c r="A911" s="3"/>
      <c r="C911" s="207"/>
      <c r="D911" s="142"/>
      <c r="E911" s="3"/>
      <c r="F911" s="3"/>
      <c r="G911" s="3"/>
    </row>
    <row r="912">
      <c r="A912" s="3"/>
      <c r="C912" s="207"/>
      <c r="D912" s="142"/>
      <c r="E912" s="3"/>
      <c r="F912" s="3"/>
      <c r="G912" s="3"/>
    </row>
    <row r="913">
      <c r="A913" s="3"/>
      <c r="C913" s="207"/>
      <c r="D913" s="142"/>
      <c r="E913" s="3"/>
      <c r="F913" s="3"/>
      <c r="G913" s="3"/>
    </row>
    <row r="914">
      <c r="A914" s="3"/>
      <c r="C914" s="207"/>
      <c r="D914" s="142"/>
      <c r="E914" s="3"/>
      <c r="F914" s="3"/>
      <c r="G914" s="3"/>
    </row>
    <row r="915">
      <c r="A915" s="3"/>
      <c r="C915" s="207"/>
      <c r="D915" s="142"/>
      <c r="E915" s="3"/>
      <c r="F915" s="3"/>
      <c r="G915" s="3"/>
    </row>
    <row r="916">
      <c r="A916" s="3"/>
      <c r="C916" s="207"/>
      <c r="D916" s="142"/>
      <c r="E916" s="3"/>
      <c r="F916" s="3"/>
      <c r="G916" s="3"/>
    </row>
    <row r="917">
      <c r="A917" s="3"/>
      <c r="C917" s="207"/>
      <c r="D917" s="142"/>
      <c r="E917" s="3"/>
      <c r="F917" s="3"/>
      <c r="G917" s="3"/>
    </row>
    <row r="918">
      <c r="A918" s="3"/>
      <c r="C918" s="207"/>
      <c r="D918" s="142"/>
      <c r="E918" s="3"/>
      <c r="F918" s="3"/>
      <c r="G918" s="3"/>
    </row>
    <row r="919">
      <c r="A919" s="3"/>
      <c r="C919" s="207"/>
      <c r="D919" s="142"/>
      <c r="E919" s="3"/>
      <c r="F919" s="3"/>
      <c r="G919" s="3"/>
    </row>
    <row r="920">
      <c r="A920" s="3"/>
      <c r="C920" s="207"/>
      <c r="D920" s="142"/>
      <c r="E920" s="3"/>
      <c r="F920" s="3"/>
      <c r="G920" s="3"/>
    </row>
    <row r="921">
      <c r="A921" s="3"/>
      <c r="C921" s="207"/>
      <c r="D921" s="142"/>
      <c r="E921" s="3"/>
      <c r="F921" s="3"/>
      <c r="G921" s="3"/>
    </row>
    <row r="922">
      <c r="A922" s="3"/>
      <c r="C922" s="207"/>
      <c r="D922" s="142"/>
      <c r="E922" s="3"/>
      <c r="F922" s="3"/>
      <c r="G922" s="3"/>
    </row>
    <row r="923">
      <c r="A923" s="3"/>
      <c r="C923" s="207"/>
      <c r="D923" s="142"/>
      <c r="E923" s="3"/>
      <c r="F923" s="3"/>
      <c r="G923" s="3"/>
    </row>
    <row r="924">
      <c r="A924" s="3"/>
      <c r="C924" s="207"/>
      <c r="D924" s="142"/>
      <c r="E924" s="3"/>
      <c r="F924" s="3"/>
      <c r="G924" s="3"/>
    </row>
    <row r="925">
      <c r="A925" s="3"/>
      <c r="C925" s="207"/>
      <c r="D925" s="142"/>
      <c r="E925" s="3"/>
      <c r="F925" s="3"/>
      <c r="G925" s="3"/>
    </row>
    <row r="926">
      <c r="A926" s="3"/>
      <c r="C926" s="207"/>
      <c r="D926" s="142"/>
      <c r="E926" s="3"/>
      <c r="F926" s="3"/>
      <c r="G926" s="3"/>
    </row>
    <row r="927">
      <c r="A927" s="3"/>
      <c r="C927" s="207"/>
      <c r="D927" s="142"/>
      <c r="E927" s="3"/>
      <c r="F927" s="3"/>
      <c r="G927" s="3"/>
    </row>
    <row r="928">
      <c r="A928" s="3"/>
      <c r="C928" s="207"/>
      <c r="D928" s="142"/>
      <c r="E928" s="3"/>
      <c r="F928" s="3"/>
      <c r="G928" s="3"/>
    </row>
    <row r="929">
      <c r="A929" s="3"/>
      <c r="C929" s="207"/>
      <c r="D929" s="142"/>
      <c r="E929" s="3"/>
      <c r="F929" s="3"/>
      <c r="G929" s="3"/>
    </row>
    <row r="930">
      <c r="A930" s="3"/>
      <c r="C930" s="207"/>
      <c r="D930" s="142"/>
      <c r="E930" s="3"/>
      <c r="F930" s="3"/>
      <c r="G930" s="3"/>
    </row>
    <row r="931">
      <c r="A931" s="3"/>
      <c r="C931" s="207"/>
      <c r="D931" s="142"/>
      <c r="E931" s="3"/>
      <c r="F931" s="3"/>
      <c r="G931" s="3"/>
    </row>
    <row r="932">
      <c r="A932" s="3"/>
      <c r="C932" s="207"/>
      <c r="D932" s="142"/>
      <c r="E932" s="3"/>
      <c r="F932" s="3"/>
      <c r="G932" s="3"/>
    </row>
    <row r="933">
      <c r="A933" s="3"/>
      <c r="C933" s="207"/>
      <c r="D933" s="142"/>
      <c r="E933" s="3"/>
      <c r="F933" s="3"/>
      <c r="G933" s="3"/>
    </row>
    <row r="934">
      <c r="A934" s="3"/>
      <c r="C934" s="207"/>
      <c r="D934" s="142"/>
      <c r="E934" s="3"/>
      <c r="F934" s="3"/>
      <c r="G934" s="3"/>
    </row>
    <row r="935">
      <c r="A935" s="3"/>
      <c r="C935" s="207"/>
      <c r="D935" s="142"/>
      <c r="E935" s="3"/>
      <c r="F935" s="3"/>
      <c r="G935" s="3"/>
    </row>
    <row r="936">
      <c r="A936" s="3"/>
      <c r="C936" s="207"/>
      <c r="D936" s="142"/>
      <c r="E936" s="3"/>
      <c r="F936" s="3"/>
      <c r="G936" s="3"/>
    </row>
    <row r="937">
      <c r="A937" s="3"/>
      <c r="C937" s="207"/>
      <c r="D937" s="142"/>
      <c r="E937" s="3"/>
      <c r="F937" s="3"/>
      <c r="G937" s="3"/>
    </row>
    <row r="938">
      <c r="A938" s="3"/>
      <c r="C938" s="207"/>
      <c r="D938" s="142"/>
      <c r="E938" s="3"/>
      <c r="F938" s="3"/>
      <c r="G938" s="3"/>
    </row>
    <row r="939">
      <c r="A939" s="3"/>
      <c r="C939" s="207"/>
      <c r="D939" s="142"/>
      <c r="E939" s="3"/>
      <c r="F939" s="3"/>
      <c r="G939" s="3"/>
    </row>
    <row r="940">
      <c r="A940" s="3"/>
      <c r="C940" s="207"/>
      <c r="D940" s="142"/>
      <c r="E940" s="3"/>
      <c r="F940" s="3"/>
      <c r="G940" s="3"/>
    </row>
    <row r="941">
      <c r="A941" s="3"/>
      <c r="C941" s="207"/>
      <c r="D941" s="142"/>
      <c r="E941" s="3"/>
      <c r="F941" s="3"/>
      <c r="G941" s="3"/>
    </row>
    <row r="942">
      <c r="A942" s="3"/>
      <c r="C942" s="207"/>
      <c r="D942" s="142"/>
      <c r="E942" s="3"/>
      <c r="F942" s="3"/>
      <c r="G942" s="3"/>
    </row>
    <row r="943">
      <c r="A943" s="3"/>
      <c r="C943" s="207"/>
      <c r="D943" s="142"/>
      <c r="E943" s="3"/>
      <c r="F943" s="3"/>
      <c r="G943" s="3"/>
    </row>
    <row r="944">
      <c r="A944" s="3"/>
      <c r="C944" s="207"/>
      <c r="D944" s="142"/>
      <c r="E944" s="3"/>
      <c r="F944" s="3"/>
      <c r="G944" s="3"/>
    </row>
    <row r="945">
      <c r="A945" s="3"/>
      <c r="C945" s="207"/>
      <c r="D945" s="142"/>
      <c r="E945" s="3"/>
      <c r="F945" s="3"/>
      <c r="G945" s="3"/>
    </row>
    <row r="946">
      <c r="A946" s="3"/>
      <c r="C946" s="207"/>
      <c r="D946" s="142"/>
      <c r="E946" s="3"/>
      <c r="F946" s="3"/>
      <c r="G946" s="3"/>
    </row>
    <row r="947">
      <c r="A947" s="3"/>
      <c r="C947" s="207"/>
      <c r="D947" s="142"/>
      <c r="E947" s="3"/>
      <c r="F947" s="3"/>
      <c r="G947" s="3"/>
    </row>
    <row r="948">
      <c r="A948" s="3"/>
      <c r="C948" s="207"/>
      <c r="D948" s="142"/>
      <c r="E948" s="3"/>
      <c r="F948" s="3"/>
      <c r="G948" s="3"/>
    </row>
    <row r="949">
      <c r="A949" s="3"/>
      <c r="C949" s="207"/>
      <c r="D949" s="142"/>
      <c r="E949" s="3"/>
      <c r="F949" s="3"/>
      <c r="G949" s="3"/>
    </row>
    <row r="950">
      <c r="A950" s="3"/>
      <c r="C950" s="207"/>
      <c r="D950" s="142"/>
      <c r="E950" s="3"/>
      <c r="F950" s="3"/>
      <c r="G950" s="3"/>
    </row>
    <row r="951">
      <c r="A951" s="3"/>
      <c r="C951" s="207"/>
      <c r="D951" s="142"/>
      <c r="E951" s="3"/>
      <c r="F951" s="3"/>
      <c r="G951" s="3"/>
    </row>
    <row r="952">
      <c r="A952" s="3"/>
      <c r="C952" s="207"/>
      <c r="D952" s="142"/>
      <c r="E952" s="3"/>
      <c r="F952" s="3"/>
      <c r="G952" s="3"/>
    </row>
    <row r="953">
      <c r="A953" s="3"/>
      <c r="C953" s="207"/>
      <c r="D953" s="142"/>
      <c r="E953" s="3"/>
      <c r="F953" s="3"/>
      <c r="G953" s="3"/>
    </row>
    <row r="954">
      <c r="A954" s="3"/>
      <c r="C954" s="207"/>
      <c r="D954" s="142"/>
      <c r="E954" s="3"/>
      <c r="F954" s="3"/>
      <c r="G954" s="3"/>
    </row>
    <row r="955">
      <c r="A955" s="3"/>
      <c r="C955" s="207"/>
      <c r="D955" s="142"/>
      <c r="E955" s="3"/>
      <c r="F955" s="3"/>
      <c r="G955" s="3"/>
    </row>
    <row r="956">
      <c r="A956" s="3"/>
      <c r="C956" s="207"/>
      <c r="D956" s="142"/>
      <c r="E956" s="3"/>
      <c r="F956" s="3"/>
      <c r="G956" s="3"/>
    </row>
    <row r="957">
      <c r="A957" s="3"/>
      <c r="C957" s="207"/>
      <c r="D957" s="142"/>
      <c r="E957" s="3"/>
      <c r="F957" s="3"/>
      <c r="G957" s="3"/>
    </row>
    <row r="958">
      <c r="A958" s="3"/>
      <c r="C958" s="207"/>
      <c r="D958" s="142"/>
      <c r="E958" s="3"/>
      <c r="F958" s="3"/>
      <c r="G958" s="3"/>
    </row>
    <row r="959">
      <c r="A959" s="3"/>
      <c r="C959" s="207"/>
      <c r="D959" s="142"/>
      <c r="E959" s="3"/>
      <c r="F959" s="3"/>
      <c r="G959" s="3"/>
    </row>
    <row r="960">
      <c r="A960" s="3"/>
      <c r="C960" s="207"/>
      <c r="D960" s="142"/>
      <c r="E960" s="3"/>
      <c r="F960" s="3"/>
      <c r="G960" s="3"/>
    </row>
    <row r="961">
      <c r="A961" s="3"/>
      <c r="C961" s="207"/>
      <c r="D961" s="142"/>
      <c r="E961" s="3"/>
      <c r="F961" s="3"/>
      <c r="G961" s="3"/>
    </row>
    <row r="962">
      <c r="A962" s="3"/>
      <c r="C962" s="207"/>
      <c r="D962" s="142"/>
      <c r="E962" s="3"/>
      <c r="F962" s="3"/>
      <c r="G962" s="3"/>
    </row>
    <row r="963">
      <c r="A963" s="3"/>
      <c r="C963" s="207"/>
      <c r="D963" s="142"/>
      <c r="E963" s="3"/>
      <c r="F963" s="3"/>
      <c r="G963" s="3"/>
    </row>
    <row r="964">
      <c r="A964" s="3"/>
      <c r="C964" s="207"/>
      <c r="D964" s="142"/>
      <c r="E964" s="3"/>
      <c r="F964" s="3"/>
      <c r="G964" s="3"/>
    </row>
    <row r="965">
      <c r="A965" s="3"/>
      <c r="C965" s="207"/>
      <c r="D965" s="142"/>
      <c r="E965" s="3"/>
      <c r="F965" s="3"/>
      <c r="G965" s="3"/>
    </row>
    <row r="966">
      <c r="A966" s="3"/>
      <c r="C966" s="207"/>
      <c r="D966" s="142"/>
      <c r="E966" s="3"/>
      <c r="F966" s="3"/>
      <c r="G966" s="3"/>
    </row>
    <row r="967">
      <c r="A967" s="3"/>
      <c r="C967" s="207"/>
      <c r="D967" s="142"/>
      <c r="E967" s="3"/>
      <c r="F967" s="3"/>
      <c r="G967" s="3"/>
    </row>
    <row r="968">
      <c r="A968" s="3"/>
      <c r="C968" s="207"/>
      <c r="D968" s="142"/>
      <c r="E968" s="3"/>
      <c r="F968" s="3"/>
      <c r="G968" s="3"/>
    </row>
    <row r="969">
      <c r="A969" s="3"/>
      <c r="C969" s="207"/>
      <c r="D969" s="142"/>
      <c r="E969" s="3"/>
      <c r="F969" s="3"/>
      <c r="G969" s="3"/>
    </row>
    <row r="970">
      <c r="A970" s="3"/>
      <c r="C970" s="207"/>
      <c r="D970" s="142"/>
      <c r="E970" s="3"/>
      <c r="F970" s="3"/>
      <c r="G970" s="3"/>
    </row>
    <row r="971">
      <c r="A971" s="3"/>
      <c r="C971" s="207"/>
      <c r="D971" s="142"/>
      <c r="E971" s="3"/>
      <c r="F971" s="3"/>
      <c r="G971" s="3"/>
    </row>
    <row r="972">
      <c r="A972" s="3"/>
      <c r="C972" s="207"/>
      <c r="D972" s="142"/>
      <c r="E972" s="3"/>
      <c r="F972" s="3"/>
      <c r="G972" s="3"/>
    </row>
    <row r="973">
      <c r="A973" s="3"/>
      <c r="C973" s="207"/>
      <c r="D973" s="142"/>
      <c r="E973" s="3"/>
      <c r="F973" s="3"/>
      <c r="G973" s="3"/>
    </row>
    <row r="974">
      <c r="A974" s="3"/>
      <c r="C974" s="207"/>
      <c r="D974" s="142"/>
      <c r="E974" s="3"/>
      <c r="F974" s="3"/>
      <c r="G974" s="3"/>
    </row>
    <row r="975">
      <c r="A975" s="3"/>
      <c r="C975" s="207"/>
      <c r="D975" s="142"/>
      <c r="E975" s="3"/>
      <c r="F975" s="3"/>
      <c r="G975" s="3"/>
    </row>
    <row r="976">
      <c r="A976" s="3"/>
      <c r="C976" s="207"/>
      <c r="D976" s="142"/>
      <c r="E976" s="3"/>
      <c r="F976" s="3"/>
      <c r="G976" s="3"/>
    </row>
    <row r="977">
      <c r="A977" s="3"/>
      <c r="C977" s="207"/>
      <c r="D977" s="142"/>
      <c r="E977" s="3"/>
      <c r="F977" s="3"/>
      <c r="G977" s="3"/>
    </row>
    <row r="978">
      <c r="A978" s="3"/>
      <c r="C978" s="207"/>
      <c r="D978" s="142"/>
      <c r="E978" s="3"/>
      <c r="F978" s="3"/>
      <c r="G978" s="3"/>
    </row>
    <row r="979">
      <c r="A979" s="3"/>
      <c r="C979" s="207"/>
      <c r="D979" s="142"/>
      <c r="E979" s="3"/>
      <c r="F979" s="3"/>
      <c r="G979" s="3"/>
    </row>
    <row r="980">
      <c r="A980" s="3"/>
      <c r="C980" s="207"/>
      <c r="D980" s="142"/>
      <c r="E980" s="3"/>
      <c r="F980" s="3"/>
      <c r="G980" s="3"/>
    </row>
    <row r="981">
      <c r="A981" s="3"/>
      <c r="C981" s="207"/>
      <c r="D981" s="142"/>
      <c r="E981" s="3"/>
      <c r="F981" s="3"/>
      <c r="G981" s="3"/>
    </row>
    <row r="982">
      <c r="A982" s="3"/>
      <c r="C982" s="207"/>
      <c r="D982" s="142"/>
      <c r="E982" s="3"/>
      <c r="F982" s="3"/>
      <c r="G982" s="3"/>
    </row>
    <row r="983">
      <c r="A983" s="3"/>
      <c r="C983" s="207"/>
      <c r="D983" s="142"/>
      <c r="E983" s="3"/>
      <c r="F983" s="3"/>
      <c r="G983" s="3"/>
    </row>
    <row r="984">
      <c r="A984" s="3"/>
      <c r="C984" s="207"/>
      <c r="D984" s="142"/>
      <c r="E984" s="3"/>
      <c r="F984" s="3"/>
      <c r="G984" s="3"/>
    </row>
    <row r="985">
      <c r="A985" s="3"/>
      <c r="C985" s="207"/>
      <c r="D985" s="142"/>
      <c r="E985" s="3"/>
      <c r="F985" s="3"/>
      <c r="G985" s="3"/>
    </row>
    <row r="986">
      <c r="A986" s="3"/>
      <c r="C986" s="207"/>
      <c r="D986" s="142"/>
      <c r="E986" s="3"/>
      <c r="F986" s="3"/>
      <c r="G986" s="3"/>
    </row>
    <row r="987">
      <c r="A987" s="3"/>
      <c r="C987" s="207"/>
      <c r="D987" s="142"/>
      <c r="E987" s="3"/>
      <c r="F987" s="3"/>
      <c r="G987" s="3"/>
    </row>
    <row r="988">
      <c r="A988" s="3"/>
      <c r="C988" s="207"/>
      <c r="D988" s="142"/>
      <c r="E988" s="3"/>
      <c r="F988" s="3"/>
      <c r="G988" s="3"/>
    </row>
    <row r="989">
      <c r="A989" s="3"/>
      <c r="C989" s="207"/>
      <c r="D989" s="142"/>
      <c r="E989" s="3"/>
      <c r="F989" s="3"/>
      <c r="G989" s="3"/>
    </row>
    <row r="990">
      <c r="A990" s="3"/>
      <c r="C990" s="207"/>
      <c r="D990" s="142"/>
      <c r="E990" s="3"/>
      <c r="F990" s="3"/>
      <c r="G990" s="3"/>
    </row>
    <row r="991">
      <c r="A991" s="3"/>
      <c r="C991" s="207"/>
      <c r="D991" s="142"/>
      <c r="E991" s="3"/>
      <c r="F991" s="3"/>
      <c r="G991" s="3"/>
    </row>
    <row r="992">
      <c r="A992" s="3"/>
      <c r="C992" s="207"/>
      <c r="D992" s="142"/>
      <c r="E992" s="3"/>
      <c r="F992" s="3"/>
      <c r="G992" s="3"/>
    </row>
    <row r="993">
      <c r="A993" s="3"/>
      <c r="C993" s="207"/>
      <c r="D993" s="142"/>
      <c r="E993" s="3"/>
      <c r="F993" s="3"/>
      <c r="G993" s="3"/>
    </row>
    <row r="994">
      <c r="A994" s="3"/>
      <c r="C994" s="207"/>
      <c r="D994" s="142"/>
      <c r="E994" s="3"/>
      <c r="F994" s="3"/>
      <c r="G994" s="3"/>
    </row>
    <row r="995">
      <c r="A995" s="3"/>
      <c r="C995" s="207"/>
      <c r="D995" s="142"/>
      <c r="E995" s="3"/>
      <c r="F995" s="3"/>
      <c r="G995" s="3"/>
    </row>
    <row r="996">
      <c r="A996" s="3"/>
      <c r="C996" s="207"/>
      <c r="D996" s="142"/>
      <c r="E996" s="3"/>
      <c r="F996" s="3"/>
      <c r="G996" s="3"/>
    </row>
    <row r="997">
      <c r="A997" s="3"/>
      <c r="C997" s="207"/>
      <c r="D997" s="142"/>
      <c r="E997" s="3"/>
      <c r="F997" s="3"/>
      <c r="G997" s="3"/>
    </row>
    <row r="998">
      <c r="A998" s="3"/>
      <c r="C998" s="207"/>
      <c r="D998" s="142"/>
      <c r="E998" s="3"/>
      <c r="F998" s="3"/>
      <c r="G998" s="3"/>
    </row>
    <row r="999">
      <c r="A999" s="3"/>
      <c r="C999" s="207"/>
      <c r="D999" s="142"/>
      <c r="E999" s="3"/>
      <c r="F999" s="3"/>
      <c r="G999" s="3"/>
    </row>
    <row r="1000">
      <c r="A1000" s="3"/>
      <c r="C1000" s="207"/>
      <c r="D1000" s="142"/>
      <c r="E1000" s="3"/>
      <c r="F1000" s="3"/>
      <c r="G1000" s="3"/>
    </row>
    <row r="1001">
      <c r="A1001" s="3"/>
      <c r="C1001" s="207"/>
      <c r="D1001" s="142"/>
      <c r="E1001" s="3"/>
      <c r="F1001" s="3"/>
      <c r="G1001" s="3"/>
    </row>
    <row r="1002">
      <c r="A1002" s="3"/>
      <c r="C1002" s="207"/>
      <c r="D1002" s="142"/>
      <c r="E1002" s="3"/>
      <c r="F1002" s="3"/>
      <c r="G1002" s="3"/>
    </row>
    <row r="1003">
      <c r="A1003" s="3"/>
      <c r="C1003" s="207"/>
      <c r="D1003" s="142"/>
      <c r="E1003" s="3"/>
      <c r="F1003" s="3"/>
      <c r="G1003" s="3"/>
    </row>
    <row r="1004">
      <c r="A1004" s="3"/>
      <c r="C1004" s="207"/>
      <c r="D1004" s="142"/>
      <c r="E1004" s="3"/>
      <c r="F1004" s="3"/>
      <c r="G1004" s="3"/>
    </row>
  </sheetData>
  <mergeCells count="1">
    <mergeCell ref="D1:G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2"/>
  <cols>
    <col customWidth="1" min="1" max="1" width="8.5"/>
    <col customWidth="1" min="2" max="2" width="9.88"/>
    <col customWidth="1" min="3" max="3" width="10.88"/>
    <col customWidth="1" min="4" max="4" width="15.13"/>
    <col hidden="1" min="5" max="5" width="12.63"/>
    <col customWidth="1" min="6" max="6" width="11.0"/>
    <col customWidth="1" min="7" max="7" width="11.25"/>
    <col customWidth="1" min="8" max="8" width="14.63"/>
  </cols>
  <sheetData>
    <row r="1">
      <c r="A1" s="16" t="s">
        <v>864</v>
      </c>
      <c r="B1" s="16"/>
      <c r="C1" s="238" t="s">
        <v>865</v>
      </c>
      <c r="D1" s="239" t="s">
        <v>866</v>
      </c>
      <c r="E1" s="16" t="s">
        <v>867</v>
      </c>
      <c r="F1" s="11" t="s">
        <v>868</v>
      </c>
      <c r="G1" s="14" t="s">
        <v>869</v>
      </c>
      <c r="H1" s="132" t="s">
        <v>870</v>
      </c>
      <c r="I1" s="16" t="s">
        <v>871</v>
      </c>
    </row>
    <row r="2" ht="23.25" customHeight="1">
      <c r="A2" s="212" t="s">
        <v>10</v>
      </c>
      <c r="B2" s="203" t="s">
        <v>872</v>
      </c>
      <c r="C2" s="240" t="s">
        <v>873</v>
      </c>
      <c r="D2" s="241" t="s">
        <v>874</v>
      </c>
      <c r="E2" s="212">
        <v>3.0</v>
      </c>
      <c r="F2" s="212" t="s">
        <v>875</v>
      </c>
      <c r="G2" s="212" t="s">
        <v>876</v>
      </c>
      <c r="H2" s="3"/>
      <c r="K2" s="90"/>
      <c r="L2" s="16" t="s">
        <v>877</v>
      </c>
    </row>
    <row r="3" ht="23.25" customHeight="1">
      <c r="A3" s="212" t="s">
        <v>27</v>
      </c>
      <c r="B3" s="203"/>
      <c r="C3" s="240" t="s">
        <v>878</v>
      </c>
      <c r="D3" s="241" t="s">
        <v>879</v>
      </c>
      <c r="E3" s="212">
        <v>3.0</v>
      </c>
      <c r="F3" s="212" t="s">
        <v>875</v>
      </c>
      <c r="G3" s="212" t="s">
        <v>876</v>
      </c>
      <c r="H3" s="3"/>
      <c r="L3" s="242" t="s">
        <v>880</v>
      </c>
      <c r="M3" s="14"/>
    </row>
    <row r="4">
      <c r="A4" s="212" t="s">
        <v>53</v>
      </c>
      <c r="B4" s="203"/>
      <c r="C4" s="240" t="s">
        <v>881</v>
      </c>
      <c r="D4" s="243">
        <v>45807.0</v>
      </c>
      <c r="E4" s="212">
        <v>3.0</v>
      </c>
      <c r="F4" s="212" t="s">
        <v>875</v>
      </c>
      <c r="G4" s="212" t="s">
        <v>882</v>
      </c>
      <c r="H4" s="202">
        <v>45994.0</v>
      </c>
      <c r="I4" s="16" t="s">
        <v>883</v>
      </c>
      <c r="L4" s="242" t="s">
        <v>884</v>
      </c>
    </row>
    <row r="5">
      <c r="A5" s="212" t="s">
        <v>57</v>
      </c>
      <c r="B5" s="203"/>
      <c r="C5" s="240" t="s">
        <v>885</v>
      </c>
      <c r="D5" s="243">
        <v>45807.0</v>
      </c>
      <c r="E5" s="212">
        <v>3.0</v>
      </c>
      <c r="F5" s="212" t="s">
        <v>886</v>
      </c>
      <c r="G5" s="212" t="s">
        <v>882</v>
      </c>
      <c r="H5" s="202">
        <v>45994.0</v>
      </c>
    </row>
    <row r="6">
      <c r="A6" s="212" t="s">
        <v>22</v>
      </c>
      <c r="B6" s="203"/>
      <c r="C6" s="240" t="s">
        <v>887</v>
      </c>
      <c r="D6" s="243">
        <v>45778.0</v>
      </c>
      <c r="E6" s="212">
        <v>3.0</v>
      </c>
      <c r="F6" s="212" t="s">
        <v>875</v>
      </c>
      <c r="G6" s="212" t="s">
        <v>882</v>
      </c>
      <c r="H6" s="3"/>
    </row>
    <row r="7">
      <c r="A7" s="212" t="s">
        <v>43</v>
      </c>
      <c r="B7" s="203"/>
      <c r="C7" s="240" t="s">
        <v>888</v>
      </c>
      <c r="D7" s="243">
        <v>45796.0</v>
      </c>
      <c r="E7" s="212">
        <v>3.0</v>
      </c>
      <c r="F7" s="212" t="s">
        <v>875</v>
      </c>
      <c r="G7" s="212" t="s">
        <v>876</v>
      </c>
      <c r="H7" s="3"/>
    </row>
    <row r="8">
      <c r="A8" s="212" t="s">
        <v>50</v>
      </c>
      <c r="B8" s="203"/>
      <c r="C8" s="240" t="s">
        <v>889</v>
      </c>
      <c r="D8" s="243">
        <v>45810.0</v>
      </c>
      <c r="E8" s="212">
        <v>3.0</v>
      </c>
      <c r="F8" s="212" t="s">
        <v>890</v>
      </c>
      <c r="G8" s="212" t="s">
        <v>882</v>
      </c>
      <c r="H8" s="3"/>
      <c r="I8" s="16" t="s">
        <v>891</v>
      </c>
    </row>
    <row r="9">
      <c r="A9" s="212" t="s">
        <v>41</v>
      </c>
      <c r="B9" s="203"/>
      <c r="C9" s="240" t="s">
        <v>892</v>
      </c>
      <c r="D9" s="243">
        <v>45813.0</v>
      </c>
      <c r="E9" s="212">
        <v>3.0</v>
      </c>
      <c r="F9" s="212" t="s">
        <v>875</v>
      </c>
      <c r="G9" s="212" t="s">
        <v>876</v>
      </c>
      <c r="H9" s="3"/>
    </row>
    <row r="10">
      <c r="A10" s="212" t="s">
        <v>62</v>
      </c>
      <c r="B10" s="203"/>
      <c r="C10" s="240" t="s">
        <v>893</v>
      </c>
      <c r="D10" s="241" t="s">
        <v>894</v>
      </c>
      <c r="E10" s="212">
        <v>3.0</v>
      </c>
      <c r="F10" s="212" t="s">
        <v>875</v>
      </c>
      <c r="G10" s="212" t="s">
        <v>876</v>
      </c>
      <c r="H10" s="3"/>
    </row>
    <row r="11">
      <c r="A11" s="212" t="s">
        <v>55</v>
      </c>
      <c r="B11" s="203"/>
      <c r="C11" s="240" t="s">
        <v>895</v>
      </c>
      <c r="D11" s="243">
        <v>45818.0</v>
      </c>
      <c r="E11" s="212">
        <v>3.0</v>
      </c>
      <c r="F11" s="212" t="s">
        <v>875</v>
      </c>
      <c r="G11" s="212" t="s">
        <v>876</v>
      </c>
      <c r="H11" s="3"/>
    </row>
    <row r="12">
      <c r="A12" s="212" t="s">
        <v>67</v>
      </c>
      <c r="B12" s="203"/>
      <c r="C12" s="240" t="s">
        <v>896</v>
      </c>
      <c r="D12" s="243">
        <v>45819.0</v>
      </c>
      <c r="E12" s="212">
        <v>3.0</v>
      </c>
      <c r="F12" s="212" t="s">
        <v>886</v>
      </c>
      <c r="G12" s="212" t="s">
        <v>876</v>
      </c>
      <c r="H12" s="3"/>
    </row>
    <row r="13">
      <c r="A13" s="212" t="s">
        <v>34</v>
      </c>
      <c r="B13" s="203"/>
      <c r="C13" s="240" t="s">
        <v>897</v>
      </c>
      <c r="D13" s="243">
        <v>45824.0</v>
      </c>
      <c r="E13" s="212">
        <v>3.0</v>
      </c>
      <c r="F13" s="212" t="s">
        <v>875</v>
      </c>
      <c r="G13" s="212" t="s">
        <v>876</v>
      </c>
      <c r="H13" s="3"/>
    </row>
    <row r="14">
      <c r="A14" s="212" t="s">
        <v>75</v>
      </c>
      <c r="B14" s="203"/>
      <c r="C14" s="240" t="s">
        <v>898</v>
      </c>
      <c r="D14" s="243">
        <v>45825.0</v>
      </c>
      <c r="E14" s="212">
        <v>3.0</v>
      </c>
      <c r="F14" s="212" t="s">
        <v>875</v>
      </c>
      <c r="G14" s="212" t="s">
        <v>876</v>
      </c>
      <c r="H14" s="3"/>
    </row>
    <row r="15">
      <c r="A15" s="212" t="s">
        <v>38</v>
      </c>
      <c r="B15" s="203"/>
      <c r="C15" s="240" t="s">
        <v>899</v>
      </c>
      <c r="D15" s="243">
        <v>45826.0</v>
      </c>
      <c r="E15" s="212">
        <v>3.0</v>
      </c>
      <c r="F15" s="212" t="s">
        <v>875</v>
      </c>
      <c r="G15" s="212" t="s">
        <v>876</v>
      </c>
      <c r="H15" s="3"/>
    </row>
    <row r="16">
      <c r="A16" s="212" t="s">
        <v>65</v>
      </c>
      <c r="B16" s="203"/>
      <c r="C16" s="240" t="s">
        <v>900</v>
      </c>
      <c r="D16" s="243">
        <v>45833.0</v>
      </c>
      <c r="E16" s="212">
        <v>3.0</v>
      </c>
      <c r="F16" s="212" t="s">
        <v>901</v>
      </c>
      <c r="G16" s="212" t="s">
        <v>876</v>
      </c>
      <c r="H16" s="3"/>
    </row>
    <row r="17">
      <c r="A17" s="212" t="s">
        <v>78</v>
      </c>
      <c r="B17" s="203"/>
      <c r="C17" s="240" t="s">
        <v>902</v>
      </c>
      <c r="D17" s="243">
        <v>45848.0</v>
      </c>
      <c r="E17" s="212">
        <v>3.0</v>
      </c>
      <c r="F17" s="212" t="s">
        <v>903</v>
      </c>
      <c r="G17" s="212" t="s">
        <v>882</v>
      </c>
      <c r="H17" s="3"/>
    </row>
    <row r="18">
      <c r="A18" s="212" t="s">
        <v>46</v>
      </c>
      <c r="B18" s="203"/>
      <c r="C18" s="240" t="s">
        <v>904</v>
      </c>
      <c r="D18" s="243">
        <v>45845.0</v>
      </c>
      <c r="E18" s="212">
        <v>3.0</v>
      </c>
      <c r="F18" s="212" t="s">
        <v>905</v>
      </c>
      <c r="G18" s="212" t="s">
        <v>906</v>
      </c>
      <c r="H18" s="3"/>
    </row>
    <row r="19">
      <c r="A19" s="212" t="s">
        <v>32</v>
      </c>
      <c r="B19" s="203"/>
      <c r="C19" s="240" t="s">
        <v>907</v>
      </c>
      <c r="D19" s="243">
        <v>45853.0</v>
      </c>
      <c r="E19" s="212">
        <v>3.0</v>
      </c>
      <c r="F19" s="212" t="s">
        <v>905</v>
      </c>
      <c r="G19" s="212" t="s">
        <v>906</v>
      </c>
      <c r="H19" s="3"/>
    </row>
    <row r="20">
      <c r="A20" s="212" t="s">
        <v>51</v>
      </c>
      <c r="B20" s="203"/>
      <c r="C20" s="240" t="s">
        <v>908</v>
      </c>
      <c r="D20" s="243">
        <v>45875.0</v>
      </c>
      <c r="E20" s="212">
        <v>3.0</v>
      </c>
      <c r="F20" s="212" t="s">
        <v>905</v>
      </c>
      <c r="G20" s="212" t="s">
        <v>906</v>
      </c>
      <c r="H20" s="202">
        <v>45953.0</v>
      </c>
    </row>
    <row r="21">
      <c r="A21" s="212" t="s">
        <v>84</v>
      </c>
      <c r="B21" s="203"/>
      <c r="C21" s="240" t="s">
        <v>909</v>
      </c>
      <c r="D21" s="243">
        <v>45876.0</v>
      </c>
      <c r="E21" s="212">
        <v>3.0</v>
      </c>
      <c r="F21" s="212" t="s">
        <v>905</v>
      </c>
      <c r="G21" s="212" t="s">
        <v>906</v>
      </c>
      <c r="H21" s="3"/>
    </row>
    <row r="22">
      <c r="A22" s="212" t="s">
        <v>87</v>
      </c>
      <c r="B22" s="203"/>
      <c r="C22" s="240" t="s">
        <v>910</v>
      </c>
      <c r="D22" s="243">
        <v>45876.0</v>
      </c>
      <c r="E22" s="212">
        <v>3.0</v>
      </c>
      <c r="F22" s="212" t="s">
        <v>905</v>
      </c>
      <c r="G22" s="212" t="s">
        <v>906</v>
      </c>
      <c r="H22" s="3"/>
    </row>
    <row r="23">
      <c r="A23" s="212" t="s">
        <v>81</v>
      </c>
      <c r="B23" s="203"/>
      <c r="C23" s="240" t="s">
        <v>911</v>
      </c>
      <c r="D23" s="243">
        <v>45882.0</v>
      </c>
      <c r="E23" s="212">
        <v>3.0</v>
      </c>
      <c r="F23" s="212" t="s">
        <v>905</v>
      </c>
      <c r="G23" s="212" t="s">
        <v>906</v>
      </c>
      <c r="H23" s="3"/>
    </row>
    <row r="24">
      <c r="A24" s="212" t="s">
        <v>85</v>
      </c>
      <c r="B24" s="203"/>
      <c r="C24" s="240" t="s">
        <v>912</v>
      </c>
      <c r="D24" s="243">
        <v>45883.0</v>
      </c>
      <c r="E24" s="212">
        <v>3.0</v>
      </c>
      <c r="F24" s="212" t="s">
        <v>905</v>
      </c>
      <c r="G24" s="212" t="s">
        <v>906</v>
      </c>
      <c r="H24" s="3"/>
    </row>
    <row r="25">
      <c r="A25" s="212" t="s">
        <v>86</v>
      </c>
      <c r="B25" s="203"/>
      <c r="C25" s="240" t="s">
        <v>913</v>
      </c>
      <c r="D25" s="243">
        <v>45884.0</v>
      </c>
      <c r="E25" s="212">
        <v>3.0</v>
      </c>
      <c r="F25" s="212" t="s">
        <v>905</v>
      </c>
      <c r="G25" s="212" t="s">
        <v>906</v>
      </c>
      <c r="H25" s="3"/>
    </row>
    <row r="26">
      <c r="A26" s="212" t="s">
        <v>89</v>
      </c>
      <c r="B26" s="203"/>
      <c r="C26" s="240" t="s">
        <v>914</v>
      </c>
      <c r="D26" s="243">
        <v>45884.0</v>
      </c>
      <c r="E26" s="212">
        <v>3.0</v>
      </c>
      <c r="F26" s="212" t="s">
        <v>905</v>
      </c>
      <c r="G26" s="212" t="s">
        <v>906</v>
      </c>
      <c r="H26" s="3"/>
    </row>
    <row r="27">
      <c r="A27" s="212" t="s">
        <v>90</v>
      </c>
      <c r="B27" s="203"/>
      <c r="C27" s="240" t="s">
        <v>915</v>
      </c>
      <c r="D27" s="243">
        <v>45887.0</v>
      </c>
      <c r="E27" s="212">
        <v>3.0</v>
      </c>
      <c r="F27" s="212" t="s">
        <v>905</v>
      </c>
      <c r="G27" s="212" t="s">
        <v>906</v>
      </c>
      <c r="H27" s="3"/>
    </row>
    <row r="28">
      <c r="A28" s="212" t="s">
        <v>70</v>
      </c>
      <c r="B28" s="203"/>
      <c r="C28" s="240" t="s">
        <v>916</v>
      </c>
      <c r="D28" s="243">
        <v>45890.0</v>
      </c>
      <c r="E28" s="212">
        <v>3.0</v>
      </c>
      <c r="F28" s="212" t="s">
        <v>917</v>
      </c>
      <c r="G28" s="212" t="s">
        <v>918</v>
      </c>
      <c r="H28" s="3"/>
    </row>
    <row r="29">
      <c r="A29" s="212" t="s">
        <v>58</v>
      </c>
      <c r="B29" s="203"/>
      <c r="C29" s="240" t="s">
        <v>919</v>
      </c>
      <c r="D29" s="243">
        <v>45897.0</v>
      </c>
      <c r="E29" s="212">
        <v>3.0</v>
      </c>
      <c r="F29" s="212" t="s">
        <v>917</v>
      </c>
      <c r="G29" s="212" t="s">
        <v>918</v>
      </c>
      <c r="H29" s="3"/>
    </row>
    <row r="30">
      <c r="A30" s="212" t="s">
        <v>59</v>
      </c>
      <c r="B30" s="203"/>
      <c r="C30" s="240" t="s">
        <v>920</v>
      </c>
      <c r="D30" s="243">
        <v>45897.0</v>
      </c>
      <c r="E30" s="212">
        <v>3.0</v>
      </c>
      <c r="F30" s="212" t="s">
        <v>917</v>
      </c>
      <c r="G30" s="212" t="s">
        <v>918</v>
      </c>
      <c r="H30" s="3"/>
    </row>
    <row r="31">
      <c r="A31" s="212" t="s">
        <v>74</v>
      </c>
      <c r="B31" s="203"/>
      <c r="C31" s="240" t="s">
        <v>921</v>
      </c>
      <c r="D31" s="243">
        <v>45897.0</v>
      </c>
      <c r="E31" s="212">
        <v>3.0</v>
      </c>
      <c r="F31" s="212" t="s">
        <v>917</v>
      </c>
      <c r="G31" s="212" t="s">
        <v>918</v>
      </c>
      <c r="H31" s="3"/>
      <c r="I31" s="16" t="s">
        <v>922</v>
      </c>
    </row>
    <row r="32">
      <c r="A32" s="212" t="s">
        <v>122</v>
      </c>
      <c r="B32" s="203"/>
      <c r="C32" s="240" t="s">
        <v>923</v>
      </c>
      <c r="D32" s="243">
        <v>45925.0</v>
      </c>
      <c r="E32" s="212">
        <v>3.0</v>
      </c>
      <c r="F32" s="212" t="s">
        <v>924</v>
      </c>
      <c r="G32" s="212" t="s">
        <v>918</v>
      </c>
      <c r="H32" s="202">
        <v>45951.0</v>
      </c>
    </row>
    <row r="33">
      <c r="A33" s="212" t="s">
        <v>117</v>
      </c>
      <c r="B33" s="203"/>
      <c r="C33" s="240" t="s">
        <v>925</v>
      </c>
      <c r="D33" s="243">
        <v>45930.0</v>
      </c>
      <c r="E33" s="212">
        <v>3.0</v>
      </c>
      <c r="F33" s="212" t="s">
        <v>926</v>
      </c>
      <c r="G33" s="212" t="s">
        <v>918</v>
      </c>
      <c r="H33" s="202">
        <v>45946.0</v>
      </c>
    </row>
    <row r="34">
      <c r="A34" s="212" t="s">
        <v>125</v>
      </c>
      <c r="B34" s="203"/>
      <c r="C34" s="240" t="s">
        <v>927</v>
      </c>
      <c r="D34" s="243">
        <v>45932.0</v>
      </c>
      <c r="E34" s="212">
        <v>3.0</v>
      </c>
      <c r="F34" s="212" t="s">
        <v>928</v>
      </c>
      <c r="G34" s="212" t="s">
        <v>918</v>
      </c>
      <c r="H34" s="202">
        <v>45968.0</v>
      </c>
    </row>
    <row r="35">
      <c r="A35" s="212" t="s">
        <v>127</v>
      </c>
      <c r="B35" s="203"/>
      <c r="C35" s="240" t="s">
        <v>929</v>
      </c>
      <c r="D35" s="243">
        <v>45933.0</v>
      </c>
      <c r="E35" s="212">
        <v>3.0</v>
      </c>
      <c r="F35" s="212" t="s">
        <v>917</v>
      </c>
      <c r="G35" s="212" t="s">
        <v>918</v>
      </c>
      <c r="H35" s="244">
        <v>45980.0</v>
      </c>
    </row>
    <row r="36">
      <c r="A36" s="212" t="s">
        <v>93</v>
      </c>
      <c r="B36" s="203"/>
      <c r="C36" s="240" t="s">
        <v>930</v>
      </c>
      <c r="D36" s="243">
        <v>45933.0</v>
      </c>
      <c r="E36" s="212">
        <v>3.0</v>
      </c>
      <c r="F36" s="212" t="s">
        <v>917</v>
      </c>
      <c r="G36" s="212" t="s">
        <v>918</v>
      </c>
      <c r="H36" s="244" t="s">
        <v>931</v>
      </c>
    </row>
    <row r="37">
      <c r="A37" s="212" t="s">
        <v>133</v>
      </c>
      <c r="B37" s="203"/>
      <c r="C37" s="240" t="s">
        <v>932</v>
      </c>
      <c r="D37" s="243">
        <v>45939.0</v>
      </c>
      <c r="E37" s="212">
        <v>3.0</v>
      </c>
      <c r="F37" s="212" t="s">
        <v>933</v>
      </c>
      <c r="G37" s="212" t="s">
        <v>918</v>
      </c>
      <c r="H37" s="202">
        <v>45943.0</v>
      </c>
    </row>
    <row r="38">
      <c r="A38" s="212" t="s">
        <v>116</v>
      </c>
      <c r="B38" s="203"/>
      <c r="C38" s="240" t="s">
        <v>934</v>
      </c>
      <c r="D38" s="243">
        <v>46045.0</v>
      </c>
      <c r="E38" s="16">
        <v>3.0</v>
      </c>
      <c r="F38" s="212" t="s">
        <v>935</v>
      </c>
      <c r="H38" s="202">
        <v>45944.0</v>
      </c>
    </row>
    <row r="39">
      <c r="A39" s="212" t="s">
        <v>148</v>
      </c>
      <c r="B39" s="203"/>
      <c r="C39" s="240" t="s">
        <v>936</v>
      </c>
      <c r="D39" s="243">
        <v>45946.0</v>
      </c>
      <c r="E39" s="212">
        <v>3.0</v>
      </c>
      <c r="F39" s="212" t="s">
        <v>937</v>
      </c>
      <c r="G39" s="212" t="s">
        <v>938</v>
      </c>
      <c r="H39" s="202">
        <v>45978.0</v>
      </c>
    </row>
    <row r="40">
      <c r="A40" s="212" t="s">
        <v>152</v>
      </c>
      <c r="B40" s="203"/>
      <c r="C40" s="240" t="s">
        <v>939</v>
      </c>
      <c r="D40" s="243">
        <v>45950.0</v>
      </c>
      <c r="E40" s="212">
        <v>3.0</v>
      </c>
      <c r="F40" s="245" t="s">
        <v>937</v>
      </c>
      <c r="G40" s="212" t="s">
        <v>938</v>
      </c>
      <c r="H40" s="202">
        <v>45979.0</v>
      </c>
    </row>
    <row r="41">
      <c r="A41" s="212" t="s">
        <v>135</v>
      </c>
      <c r="B41" s="203"/>
      <c r="C41" s="240" t="s">
        <v>940</v>
      </c>
      <c r="D41" s="243">
        <v>45951.0</v>
      </c>
      <c r="E41" s="212">
        <v>3.0</v>
      </c>
      <c r="F41" s="212" t="s">
        <v>937</v>
      </c>
      <c r="G41" s="212" t="s">
        <v>938</v>
      </c>
      <c r="H41" s="202">
        <v>45979.0</v>
      </c>
    </row>
    <row r="42">
      <c r="A42" s="212" t="s">
        <v>164</v>
      </c>
      <c r="B42" s="203"/>
      <c r="C42" s="240" t="s">
        <v>941</v>
      </c>
      <c r="D42" s="243">
        <v>46083.0</v>
      </c>
      <c r="E42" s="16">
        <v>3.0</v>
      </c>
      <c r="H42" s="244">
        <v>45957.0</v>
      </c>
    </row>
    <row r="43">
      <c r="A43" s="212" t="s">
        <v>153</v>
      </c>
      <c r="B43" s="203"/>
      <c r="C43" s="240" t="s">
        <v>942</v>
      </c>
      <c r="D43" s="243">
        <v>45971.0</v>
      </c>
      <c r="E43" s="212">
        <v>3.0</v>
      </c>
      <c r="F43" s="212" t="s">
        <v>943</v>
      </c>
      <c r="G43" s="212" t="s">
        <v>944</v>
      </c>
      <c r="H43" s="244">
        <v>45958.0</v>
      </c>
      <c r="I43" s="246" t="s">
        <v>945</v>
      </c>
    </row>
    <row r="44">
      <c r="A44" s="212" t="s">
        <v>168</v>
      </c>
      <c r="B44" s="203"/>
      <c r="C44" s="240" t="s">
        <v>946</v>
      </c>
      <c r="D44" s="247">
        <v>46050.0</v>
      </c>
      <c r="E44" s="16">
        <v>3.0</v>
      </c>
      <c r="H44" s="244">
        <v>45965.0</v>
      </c>
    </row>
    <row r="45">
      <c r="A45" s="212" t="s">
        <v>162</v>
      </c>
      <c r="B45" s="203"/>
      <c r="C45" s="240" t="s">
        <v>947</v>
      </c>
      <c r="D45" s="243">
        <v>45975.0</v>
      </c>
      <c r="E45" s="16">
        <v>3.0</v>
      </c>
      <c r="F45" s="212" t="s">
        <v>948</v>
      </c>
      <c r="G45" s="212" t="s">
        <v>944</v>
      </c>
      <c r="H45" s="244">
        <v>45971.0</v>
      </c>
      <c r="I45" s="16"/>
    </row>
    <row r="46">
      <c r="A46" s="212" t="s">
        <v>949</v>
      </c>
      <c r="B46" s="203"/>
      <c r="C46" s="240" t="s">
        <v>950</v>
      </c>
      <c r="D46" s="243">
        <v>45971.0</v>
      </c>
      <c r="E46" s="16">
        <v>3.0</v>
      </c>
      <c r="F46" s="212" t="s">
        <v>951</v>
      </c>
      <c r="G46" s="212" t="s">
        <v>944</v>
      </c>
      <c r="H46" s="244">
        <v>46006.0</v>
      </c>
    </row>
    <row r="47">
      <c r="A47" s="212" t="s">
        <v>128</v>
      </c>
      <c r="B47" s="203"/>
      <c r="C47" s="240" t="s">
        <v>952</v>
      </c>
      <c r="D47" s="243">
        <v>45995.0</v>
      </c>
      <c r="E47" s="16">
        <v>3.0</v>
      </c>
      <c r="F47" s="212" t="s">
        <v>935</v>
      </c>
      <c r="G47" s="212" t="s">
        <v>944</v>
      </c>
      <c r="H47" s="244">
        <v>45972.0</v>
      </c>
    </row>
    <row r="48">
      <c r="A48" s="212" t="s">
        <v>180</v>
      </c>
      <c r="B48" s="203"/>
      <c r="C48" s="240" t="s">
        <v>953</v>
      </c>
      <c r="D48" s="243">
        <v>45981.0</v>
      </c>
      <c r="E48" s="16">
        <v>3.0</v>
      </c>
      <c r="F48" s="212" t="s">
        <v>935</v>
      </c>
      <c r="G48" s="212" t="s">
        <v>944</v>
      </c>
      <c r="H48" s="244">
        <v>45972.0</v>
      </c>
    </row>
    <row r="49">
      <c r="A49" s="212" t="s">
        <v>114</v>
      </c>
      <c r="B49" s="203"/>
      <c r="C49" s="240" t="s">
        <v>954</v>
      </c>
      <c r="D49" s="243">
        <v>45972.0</v>
      </c>
      <c r="E49" s="16">
        <v>3.0</v>
      </c>
      <c r="F49" s="212" t="s">
        <v>935</v>
      </c>
      <c r="G49" s="212" t="s">
        <v>944</v>
      </c>
      <c r="H49" s="202">
        <v>45981.0</v>
      </c>
    </row>
    <row r="50">
      <c r="A50" s="212" t="s">
        <v>157</v>
      </c>
      <c r="B50" s="203" t="s">
        <v>872</v>
      </c>
      <c r="C50" s="240" t="s">
        <v>955</v>
      </c>
      <c r="D50" s="243">
        <v>45978.0</v>
      </c>
      <c r="E50" s="16">
        <v>3.0</v>
      </c>
      <c r="F50" s="212" t="s">
        <v>956</v>
      </c>
      <c r="G50" s="212" t="s">
        <v>944</v>
      </c>
      <c r="H50" s="202">
        <v>45985.0</v>
      </c>
    </row>
    <row r="51">
      <c r="A51" s="212" t="s">
        <v>188</v>
      </c>
      <c r="B51" s="203" t="s">
        <v>872</v>
      </c>
      <c r="C51" s="240" t="s">
        <v>957</v>
      </c>
      <c r="D51" s="243">
        <v>46003.0</v>
      </c>
      <c r="E51" s="16">
        <v>3.0</v>
      </c>
      <c r="F51" s="212" t="s">
        <v>956</v>
      </c>
      <c r="G51" s="212" t="s">
        <v>944</v>
      </c>
      <c r="H51" s="202">
        <v>45985.0</v>
      </c>
    </row>
    <row r="52">
      <c r="A52" s="212" t="s">
        <v>178</v>
      </c>
      <c r="B52" s="203" t="s">
        <v>872</v>
      </c>
      <c r="C52" s="240" t="s">
        <v>958</v>
      </c>
      <c r="D52" s="243">
        <v>45996.0</v>
      </c>
      <c r="E52" s="16">
        <v>3.0</v>
      </c>
      <c r="F52" s="212" t="s">
        <v>935</v>
      </c>
      <c r="G52" s="212" t="s">
        <v>944</v>
      </c>
      <c r="H52" s="202">
        <v>45996.0</v>
      </c>
      <c r="I52" s="16" t="s">
        <v>959</v>
      </c>
    </row>
    <row r="53">
      <c r="A53" s="212" t="s">
        <v>151</v>
      </c>
      <c r="B53" s="203" t="s">
        <v>872</v>
      </c>
      <c r="C53" s="240" t="s">
        <v>960</v>
      </c>
      <c r="D53" s="243">
        <v>46014.0</v>
      </c>
      <c r="F53" s="212" t="s">
        <v>935</v>
      </c>
      <c r="G53" s="212" t="s">
        <v>944</v>
      </c>
      <c r="H53" s="202">
        <v>46002.0</v>
      </c>
    </row>
    <row r="54">
      <c r="A54" s="212" t="s">
        <v>138</v>
      </c>
      <c r="B54" s="203" t="s">
        <v>872</v>
      </c>
      <c r="C54" s="240" t="s">
        <v>961</v>
      </c>
      <c r="D54" s="243">
        <v>46010.0</v>
      </c>
      <c r="E54" s="16">
        <v>3.0</v>
      </c>
      <c r="F54" s="16" t="s">
        <v>962</v>
      </c>
      <c r="G54" s="212" t="s">
        <v>944</v>
      </c>
      <c r="H54" s="202">
        <v>46010.0</v>
      </c>
      <c r="I54" s="16" t="s">
        <v>963</v>
      </c>
    </row>
    <row r="55">
      <c r="A55" s="212" t="s">
        <v>196</v>
      </c>
      <c r="B55" s="203" t="s">
        <v>872</v>
      </c>
      <c r="C55" s="240" t="s">
        <v>964</v>
      </c>
      <c r="D55" s="243">
        <v>46013.0</v>
      </c>
      <c r="E55" s="16">
        <v>3.0</v>
      </c>
      <c r="F55" s="212" t="s">
        <v>935</v>
      </c>
      <c r="G55" s="212" t="s">
        <v>944</v>
      </c>
      <c r="H55" s="202">
        <v>46013.0</v>
      </c>
    </row>
    <row r="56">
      <c r="A56" s="212" t="s">
        <v>193</v>
      </c>
      <c r="B56" s="203" t="s">
        <v>872</v>
      </c>
      <c r="C56" s="240" t="s">
        <v>965</v>
      </c>
      <c r="D56" s="243">
        <v>46010.0</v>
      </c>
      <c r="F56" s="212" t="s">
        <v>935</v>
      </c>
      <c r="G56" s="212" t="s">
        <v>944</v>
      </c>
      <c r="H56" s="202">
        <v>46013.0</v>
      </c>
    </row>
    <row r="57">
      <c r="A57" s="212" t="s">
        <v>184</v>
      </c>
      <c r="B57" s="203" t="s">
        <v>872</v>
      </c>
      <c r="C57" s="240" t="s">
        <v>967</v>
      </c>
      <c r="D57" s="243">
        <v>46027.0</v>
      </c>
      <c r="F57" s="212" t="s">
        <v>935</v>
      </c>
      <c r="G57" s="212" t="s">
        <v>944</v>
      </c>
      <c r="H57" s="202">
        <v>46027.0</v>
      </c>
    </row>
    <row r="58">
      <c r="A58" s="212" t="s">
        <v>217</v>
      </c>
      <c r="B58" s="203" t="s">
        <v>872</v>
      </c>
      <c r="C58" s="240" t="s">
        <v>968</v>
      </c>
      <c r="D58" s="202">
        <v>45663.0</v>
      </c>
      <c r="F58" s="212" t="s">
        <v>969</v>
      </c>
      <c r="G58" s="212" t="s">
        <v>944</v>
      </c>
      <c r="H58" s="202">
        <v>45663.0</v>
      </c>
    </row>
    <row r="59">
      <c r="A59" s="212" t="s">
        <v>186</v>
      </c>
      <c r="B59" s="203" t="s">
        <v>872</v>
      </c>
      <c r="C59" s="240" t="s">
        <v>970</v>
      </c>
      <c r="D59" s="248">
        <v>46029.0</v>
      </c>
      <c r="F59" s="212" t="s">
        <v>935</v>
      </c>
      <c r="G59" s="212" t="s">
        <v>944</v>
      </c>
      <c r="H59" s="250">
        <v>46029.0</v>
      </c>
    </row>
    <row r="60" ht="16.5" customHeight="1">
      <c r="A60" s="212" t="s">
        <v>190</v>
      </c>
      <c r="B60" s="203" t="s">
        <v>872</v>
      </c>
      <c r="C60" s="240" t="s">
        <v>971</v>
      </c>
      <c r="D60" s="248">
        <v>46031.0</v>
      </c>
      <c r="F60" s="212" t="s">
        <v>935</v>
      </c>
      <c r="G60" s="212" t="s">
        <v>944</v>
      </c>
      <c r="H60" s="248">
        <v>46031.0</v>
      </c>
      <c r="I60" s="16" t="s">
        <v>972</v>
      </c>
    </row>
    <row r="61">
      <c r="A61" s="212" t="s">
        <v>126</v>
      </c>
      <c r="B61" s="203" t="s">
        <v>872</v>
      </c>
      <c r="C61" s="240" t="s">
        <v>973</v>
      </c>
      <c r="D61" s="251">
        <v>46034.0</v>
      </c>
      <c r="F61" s="212" t="s">
        <v>935</v>
      </c>
      <c r="G61" s="212" t="s">
        <v>944</v>
      </c>
      <c r="H61" s="214">
        <v>46034.0</v>
      </c>
      <c r="I61" s="16" t="s">
        <v>974</v>
      </c>
    </row>
    <row r="62">
      <c r="A62" s="212" t="s">
        <v>195</v>
      </c>
      <c r="B62" s="203" t="s">
        <v>872</v>
      </c>
      <c r="C62" s="240" t="s">
        <v>975</v>
      </c>
      <c r="D62" s="243">
        <v>46036.0</v>
      </c>
      <c r="F62" s="212" t="s">
        <v>935</v>
      </c>
      <c r="G62" s="212" t="s">
        <v>944</v>
      </c>
      <c r="H62" s="243">
        <v>46036.0</v>
      </c>
      <c r="I62" s="16" t="s">
        <v>976</v>
      </c>
    </row>
    <row r="63">
      <c r="A63" s="212" t="s">
        <v>209</v>
      </c>
      <c r="B63" s="203" t="s">
        <v>872</v>
      </c>
      <c r="C63" s="240" t="s">
        <v>977</v>
      </c>
      <c r="D63" s="243">
        <v>46037.0</v>
      </c>
      <c r="F63" s="212" t="s">
        <v>935</v>
      </c>
      <c r="G63" s="212" t="s">
        <v>944</v>
      </c>
      <c r="H63" s="202">
        <v>46037.0</v>
      </c>
    </row>
    <row r="64">
      <c r="A64" s="212" t="s">
        <v>228</v>
      </c>
      <c r="B64" s="203" t="s">
        <v>872</v>
      </c>
      <c r="C64" s="240" t="s">
        <v>979</v>
      </c>
      <c r="D64" s="248">
        <v>46043.0</v>
      </c>
      <c r="E64" s="253"/>
      <c r="F64" s="212" t="s">
        <v>935</v>
      </c>
      <c r="G64" s="212" t="s">
        <v>980</v>
      </c>
      <c r="H64" s="248">
        <v>46043.0</v>
      </c>
    </row>
    <row r="65">
      <c r="A65" s="212" t="s">
        <v>215</v>
      </c>
      <c r="B65" s="203" t="s">
        <v>872</v>
      </c>
      <c r="C65" s="240" t="s">
        <v>981</v>
      </c>
      <c r="D65" s="248">
        <v>46043.0</v>
      </c>
      <c r="E65" s="253"/>
      <c r="F65" s="212" t="s">
        <v>935</v>
      </c>
      <c r="G65" s="212" t="s">
        <v>980</v>
      </c>
      <c r="H65" s="248">
        <v>46043.0</v>
      </c>
    </row>
    <row r="66">
      <c r="A66" s="212" t="s">
        <v>183</v>
      </c>
      <c r="B66" s="203" t="s">
        <v>872</v>
      </c>
      <c r="C66" s="240" t="s">
        <v>982</v>
      </c>
      <c r="D66" s="251">
        <v>46052.0</v>
      </c>
      <c r="E66" s="253"/>
      <c r="F66" s="212" t="s">
        <v>935</v>
      </c>
      <c r="G66" s="212" t="s">
        <v>980</v>
      </c>
      <c r="H66" s="251">
        <v>46052.0</v>
      </c>
    </row>
    <row r="67">
      <c r="A67" s="212" t="s">
        <v>260</v>
      </c>
      <c r="B67" s="203" t="s">
        <v>872</v>
      </c>
      <c r="C67" s="240" t="s">
        <v>983</v>
      </c>
      <c r="D67" s="243">
        <v>46055.0</v>
      </c>
      <c r="E67" s="253"/>
      <c r="F67" s="212" t="s">
        <v>935</v>
      </c>
      <c r="G67" s="212" t="s">
        <v>980</v>
      </c>
      <c r="H67" s="243">
        <v>46055.0</v>
      </c>
    </row>
    <row r="68">
      <c r="A68" s="212" t="s">
        <v>307</v>
      </c>
      <c r="B68" s="203" t="s">
        <v>872</v>
      </c>
      <c r="C68" s="256" t="s">
        <v>986</v>
      </c>
      <c r="D68" s="248">
        <v>46055.0</v>
      </c>
      <c r="E68" s="253"/>
      <c r="F68" s="212" t="s">
        <v>935</v>
      </c>
      <c r="G68" s="212" t="s">
        <v>980</v>
      </c>
      <c r="H68" s="248">
        <v>46055.0</v>
      </c>
      <c r="I68" s="16" t="s">
        <v>988</v>
      </c>
    </row>
    <row r="69">
      <c r="A69" s="212" t="s">
        <v>231</v>
      </c>
      <c r="B69" s="203" t="s">
        <v>872</v>
      </c>
      <c r="C69" s="240" t="s">
        <v>989</v>
      </c>
      <c r="D69" s="243">
        <v>46056.0</v>
      </c>
      <c r="E69" s="253"/>
      <c r="F69" s="212" t="s">
        <v>935</v>
      </c>
      <c r="G69" s="212" t="s">
        <v>980</v>
      </c>
      <c r="H69" s="202">
        <v>46056.0</v>
      </c>
    </row>
    <row r="70">
      <c r="A70" s="212" t="s">
        <v>192</v>
      </c>
      <c r="B70" s="203" t="s">
        <v>872</v>
      </c>
      <c r="C70" s="240" t="s">
        <v>990</v>
      </c>
      <c r="D70" s="258">
        <v>46057.0</v>
      </c>
      <c r="E70" s="253"/>
      <c r="F70" s="212" t="s">
        <v>935</v>
      </c>
      <c r="G70" s="212" t="s">
        <v>980</v>
      </c>
      <c r="H70" s="244">
        <v>46057.0</v>
      </c>
      <c r="I70" s="16" t="s">
        <v>993</v>
      </c>
    </row>
    <row r="71">
      <c r="A71" s="212" t="s">
        <v>279</v>
      </c>
      <c r="B71" s="203" t="s">
        <v>872</v>
      </c>
      <c r="C71" s="240" t="s">
        <v>996</v>
      </c>
      <c r="D71" s="243">
        <v>46057.0</v>
      </c>
      <c r="E71" s="253"/>
      <c r="F71" s="212" t="s">
        <v>935</v>
      </c>
      <c r="G71" s="212" t="s">
        <v>980</v>
      </c>
      <c r="H71" s="202">
        <v>46057.0</v>
      </c>
    </row>
    <row r="72">
      <c r="A72" s="212" t="s">
        <v>244</v>
      </c>
      <c r="B72" s="203" t="s">
        <v>872</v>
      </c>
      <c r="C72" s="240" t="s">
        <v>999</v>
      </c>
      <c r="D72" s="243">
        <v>46058.0</v>
      </c>
      <c r="E72" s="253"/>
      <c r="F72" s="212" t="s">
        <v>935</v>
      </c>
      <c r="G72" s="212" t="s">
        <v>980</v>
      </c>
      <c r="H72" s="202">
        <v>46058.0</v>
      </c>
    </row>
    <row r="73">
      <c r="A73" s="212" t="s">
        <v>227</v>
      </c>
      <c r="B73" s="203" t="s">
        <v>872</v>
      </c>
      <c r="C73" s="240" t="s">
        <v>1002</v>
      </c>
      <c r="D73" s="243">
        <v>46059.0</v>
      </c>
      <c r="E73" s="253"/>
      <c r="F73" s="212" t="s">
        <v>935</v>
      </c>
      <c r="G73" s="212" t="s">
        <v>980</v>
      </c>
      <c r="H73" s="202">
        <v>46059.0</v>
      </c>
      <c r="I73" s="16" t="s">
        <v>1005</v>
      </c>
    </row>
    <row r="74">
      <c r="A74" s="212" t="s">
        <v>229</v>
      </c>
      <c r="B74" s="203" t="s">
        <v>872</v>
      </c>
      <c r="C74" s="240" t="s">
        <v>1007</v>
      </c>
      <c r="D74" s="243">
        <v>46065.0</v>
      </c>
      <c r="E74" s="253"/>
      <c r="F74" s="212" t="s">
        <v>935</v>
      </c>
      <c r="G74" s="212" t="s">
        <v>980</v>
      </c>
      <c r="H74" s="243">
        <v>46065.0</v>
      </c>
      <c r="I74" s="16" t="s">
        <v>1008</v>
      </c>
    </row>
    <row r="75">
      <c r="A75" s="212" t="s">
        <v>147</v>
      </c>
      <c r="B75" s="203" t="s">
        <v>872</v>
      </c>
      <c r="C75" s="240" t="s">
        <v>1009</v>
      </c>
      <c r="D75" s="251">
        <v>46071.0</v>
      </c>
      <c r="E75" s="253"/>
      <c r="F75" s="212" t="s">
        <v>1010</v>
      </c>
      <c r="G75" s="212" t="s">
        <v>980</v>
      </c>
      <c r="H75" s="251">
        <v>46071.0</v>
      </c>
      <c r="I75" s="16" t="s">
        <v>1011</v>
      </c>
    </row>
    <row r="76">
      <c r="A76" s="212" t="s">
        <v>255</v>
      </c>
      <c r="B76" s="203" t="s">
        <v>872</v>
      </c>
      <c r="C76" s="240" t="s">
        <v>1012</v>
      </c>
      <c r="D76" s="251">
        <v>46072.0</v>
      </c>
      <c r="E76" s="253"/>
      <c r="F76" s="212" t="s">
        <v>935</v>
      </c>
      <c r="G76" s="212" t="s">
        <v>980</v>
      </c>
      <c r="H76" s="251">
        <v>46072.0</v>
      </c>
    </row>
    <row r="77">
      <c r="A77" s="212" t="s">
        <v>263</v>
      </c>
      <c r="B77" s="203" t="s">
        <v>872</v>
      </c>
      <c r="C77" s="240" t="s">
        <v>1015</v>
      </c>
      <c r="D77" s="248">
        <v>46062.0</v>
      </c>
      <c r="E77" s="253"/>
      <c r="F77" s="212" t="s">
        <v>935</v>
      </c>
      <c r="G77" s="212" t="s">
        <v>1017</v>
      </c>
      <c r="H77" s="248">
        <v>46062.0</v>
      </c>
      <c r="I77" s="16" t="s">
        <v>1018</v>
      </c>
    </row>
    <row r="78">
      <c r="A78" s="212" t="s">
        <v>216</v>
      </c>
      <c r="B78" s="203" t="s">
        <v>872</v>
      </c>
      <c r="C78" s="240" t="s">
        <v>1020</v>
      </c>
      <c r="D78" s="243">
        <v>46077.0</v>
      </c>
      <c r="E78" s="253"/>
      <c r="F78" s="212" t="s">
        <v>1022</v>
      </c>
      <c r="G78" s="212" t="s">
        <v>1017</v>
      </c>
      <c r="H78" s="262"/>
    </row>
    <row r="79">
      <c r="A79" s="212" t="s">
        <v>296</v>
      </c>
      <c r="B79" s="203" t="s">
        <v>872</v>
      </c>
      <c r="C79" s="240" t="s">
        <v>1028</v>
      </c>
      <c r="D79" s="248">
        <v>46083.0</v>
      </c>
      <c r="F79" s="212" t="s">
        <v>1030</v>
      </c>
      <c r="G79" s="212" t="s">
        <v>1017</v>
      </c>
      <c r="H79" s="248">
        <v>46083.0</v>
      </c>
      <c r="I79" s="16" t="s">
        <v>1031</v>
      </c>
    </row>
    <row r="80">
      <c r="A80" s="212" t="s">
        <v>283</v>
      </c>
      <c r="B80" s="203" t="s">
        <v>872</v>
      </c>
      <c r="C80" s="263" t="s">
        <v>1032</v>
      </c>
      <c r="D80" s="248">
        <v>46084.0</v>
      </c>
      <c r="F80" s="212" t="s">
        <v>1022</v>
      </c>
      <c r="G80" s="212" t="s">
        <v>1017</v>
      </c>
      <c r="H80" s="214">
        <v>46084.0</v>
      </c>
      <c r="I80" s="16" t="s">
        <v>1033</v>
      </c>
    </row>
    <row r="81">
      <c r="A81" s="212" t="s">
        <v>277</v>
      </c>
      <c r="B81" s="203" t="s">
        <v>872</v>
      </c>
      <c r="C81" s="240" t="s">
        <v>1034</v>
      </c>
      <c r="D81" s="248">
        <v>46084.0</v>
      </c>
      <c r="F81" s="212" t="s">
        <v>1022</v>
      </c>
      <c r="G81" s="212" t="s">
        <v>1017</v>
      </c>
      <c r="H81" s="214">
        <v>46084.0</v>
      </c>
      <c r="I81" s="16" t="s">
        <v>1035</v>
      </c>
    </row>
    <row r="82">
      <c r="A82" s="212" t="s">
        <v>287</v>
      </c>
      <c r="B82" s="203" t="s">
        <v>872</v>
      </c>
      <c r="C82" s="240" t="s">
        <v>1036</v>
      </c>
      <c r="D82" s="248">
        <v>46085.0</v>
      </c>
      <c r="F82" s="212" t="s">
        <v>1037</v>
      </c>
      <c r="G82" s="212" t="s">
        <v>1038</v>
      </c>
      <c r="H82" s="248">
        <v>46085.0</v>
      </c>
      <c r="I82" s="16" t="s">
        <v>1039</v>
      </c>
    </row>
    <row r="83">
      <c r="A83" s="212" t="s">
        <v>207</v>
      </c>
      <c r="B83" s="203" t="s">
        <v>872</v>
      </c>
      <c r="C83" s="240" t="s">
        <v>1040</v>
      </c>
      <c r="D83" s="243">
        <v>46044.0</v>
      </c>
      <c r="F83" s="212" t="s">
        <v>1037</v>
      </c>
      <c r="G83" s="212" t="s">
        <v>1038</v>
      </c>
      <c r="H83" s="202">
        <v>46044.0</v>
      </c>
      <c r="I83" s="16" t="s">
        <v>1041</v>
      </c>
    </row>
    <row r="84">
      <c r="A84" s="212" t="s">
        <v>96</v>
      </c>
      <c r="B84" s="203" t="s">
        <v>872</v>
      </c>
      <c r="C84" s="240" t="s">
        <v>1043</v>
      </c>
      <c r="D84" s="243">
        <v>45937.0</v>
      </c>
      <c r="F84" s="212" t="s">
        <v>1037</v>
      </c>
      <c r="G84" s="212" t="s">
        <v>1038</v>
      </c>
      <c r="H84" s="202">
        <v>45987.0</v>
      </c>
      <c r="I84" s="16" t="s">
        <v>1041</v>
      </c>
    </row>
    <row r="85">
      <c r="A85" s="212" t="s">
        <v>243</v>
      </c>
      <c r="B85" s="203" t="s">
        <v>872</v>
      </c>
      <c r="C85" s="240" t="s">
        <v>1046</v>
      </c>
      <c r="D85" s="243">
        <v>46052.0</v>
      </c>
      <c r="F85" s="212" t="s">
        <v>1037</v>
      </c>
      <c r="G85" s="212" t="s">
        <v>1038</v>
      </c>
      <c r="H85" s="243">
        <v>46052.0</v>
      </c>
    </row>
    <row r="86">
      <c r="A86" s="212" t="s">
        <v>304</v>
      </c>
      <c r="B86" s="203" t="s">
        <v>872</v>
      </c>
      <c r="C86" s="240" t="s">
        <v>1047</v>
      </c>
      <c r="D86" s="248">
        <v>46113.0</v>
      </c>
      <c r="F86" s="212" t="s">
        <v>1037</v>
      </c>
      <c r="G86" s="212" t="s">
        <v>1038</v>
      </c>
      <c r="H86" s="248">
        <v>46113.0</v>
      </c>
    </row>
    <row r="87">
      <c r="A87" s="212" t="s">
        <v>317</v>
      </c>
      <c r="B87" s="203" t="s">
        <v>872</v>
      </c>
      <c r="C87" s="240" t="s">
        <v>1049</v>
      </c>
      <c r="D87" s="248">
        <v>46119.0</v>
      </c>
      <c r="F87" s="212" t="s">
        <v>1037</v>
      </c>
      <c r="G87" s="212" t="s">
        <v>1038</v>
      </c>
      <c r="H87" s="214">
        <v>46119.0</v>
      </c>
      <c r="I87" s="16" t="s">
        <v>1050</v>
      </c>
    </row>
    <row r="88">
      <c r="A88" s="212" t="s">
        <v>301</v>
      </c>
      <c r="B88" s="203" t="s">
        <v>872</v>
      </c>
      <c r="C88" s="240" t="s">
        <v>1052</v>
      </c>
      <c r="D88" s="251">
        <v>46120.0</v>
      </c>
      <c r="F88" s="212" t="s">
        <v>1037</v>
      </c>
      <c r="G88" s="212" t="s">
        <v>1038</v>
      </c>
      <c r="H88" s="214">
        <v>46120.0</v>
      </c>
    </row>
    <row r="89">
      <c r="A89" s="212" t="s">
        <v>176</v>
      </c>
      <c r="B89" s="203" t="s">
        <v>872</v>
      </c>
      <c r="C89" s="240" t="s">
        <v>1053</v>
      </c>
      <c r="D89" s="251">
        <v>46121.0</v>
      </c>
      <c r="F89" s="212" t="s">
        <v>1037</v>
      </c>
      <c r="G89" s="212" t="s">
        <v>1038</v>
      </c>
      <c r="H89" s="214">
        <v>46121.0</v>
      </c>
      <c r="I89" s="242" t="s">
        <v>1054</v>
      </c>
    </row>
    <row r="90">
      <c r="A90" s="212" t="s">
        <v>256</v>
      </c>
      <c r="B90" s="203" t="s">
        <v>872</v>
      </c>
      <c r="C90" s="240" t="s">
        <v>1055</v>
      </c>
      <c r="D90" s="241" t="s">
        <v>1056</v>
      </c>
      <c r="E90" s="253"/>
      <c r="F90" s="212" t="s">
        <v>1057</v>
      </c>
      <c r="G90" s="212" t="s">
        <v>1038</v>
      </c>
      <c r="H90" s="248">
        <v>46125.0</v>
      </c>
      <c r="I90" s="242" t="s">
        <v>1058</v>
      </c>
    </row>
    <row r="91">
      <c r="A91" s="212" t="s">
        <v>315</v>
      </c>
      <c r="B91" s="203" t="s">
        <v>872</v>
      </c>
      <c r="C91" s="263" t="s">
        <v>1059</v>
      </c>
      <c r="D91" s="248">
        <v>46120.0</v>
      </c>
      <c r="F91" s="212" t="s">
        <v>1037</v>
      </c>
      <c r="G91" s="212" t="s">
        <v>1038</v>
      </c>
      <c r="H91" s="248">
        <v>46120.0</v>
      </c>
      <c r="I91" s="16" t="s">
        <v>1060</v>
      </c>
    </row>
    <row r="92">
      <c r="A92" s="212" t="s">
        <v>322</v>
      </c>
      <c r="B92" s="203" t="s">
        <v>872</v>
      </c>
      <c r="C92" s="240" t="s">
        <v>1061</v>
      </c>
      <c r="D92" s="243">
        <v>46127.0</v>
      </c>
      <c r="F92" s="212" t="s">
        <v>1037</v>
      </c>
      <c r="G92" s="212" t="s">
        <v>1038</v>
      </c>
      <c r="H92" s="243">
        <v>46127.0</v>
      </c>
    </row>
    <row r="93">
      <c r="A93" s="212" t="s">
        <v>327</v>
      </c>
      <c r="B93" s="203" t="s">
        <v>872</v>
      </c>
      <c r="C93" s="240" t="s">
        <v>1062</v>
      </c>
      <c r="D93" s="243">
        <v>46142.0</v>
      </c>
      <c r="F93" s="212" t="s">
        <v>1037</v>
      </c>
      <c r="G93" s="212" t="s">
        <v>1063</v>
      </c>
      <c r="H93" s="243">
        <v>46142.0</v>
      </c>
      <c r="I93" s="16" t="s">
        <v>1064</v>
      </c>
    </row>
    <row r="94">
      <c r="A94" s="212" t="s">
        <v>337</v>
      </c>
      <c r="B94" s="203" t="s">
        <v>872</v>
      </c>
      <c r="C94" s="240" t="s">
        <v>1066</v>
      </c>
      <c r="D94" s="248">
        <v>46143.0</v>
      </c>
      <c r="F94" s="212" t="s">
        <v>1037</v>
      </c>
      <c r="G94" s="212" t="s">
        <v>1063</v>
      </c>
      <c r="H94" s="248">
        <v>46143.0</v>
      </c>
    </row>
    <row r="95">
      <c r="A95" s="212" t="s">
        <v>341</v>
      </c>
      <c r="B95" s="203" t="s">
        <v>872</v>
      </c>
      <c r="C95" s="263" t="s">
        <v>1068</v>
      </c>
      <c r="D95" s="248">
        <v>46146.0</v>
      </c>
      <c r="F95" s="212" t="s">
        <v>1037</v>
      </c>
      <c r="G95" s="212" t="s">
        <v>1063</v>
      </c>
      <c r="H95" s="248">
        <v>46146.0</v>
      </c>
      <c r="I95" s="16" t="s">
        <v>1069</v>
      </c>
    </row>
    <row r="96">
      <c r="A96" s="212" t="s">
        <v>345</v>
      </c>
      <c r="B96" s="203" t="s">
        <v>872</v>
      </c>
      <c r="C96" s="263" t="s">
        <v>1070</v>
      </c>
      <c r="D96" s="248">
        <v>46147.0</v>
      </c>
      <c r="F96" s="212" t="s">
        <v>1037</v>
      </c>
      <c r="G96" s="212" t="s">
        <v>1063</v>
      </c>
      <c r="H96" s="214">
        <v>46147.0</v>
      </c>
      <c r="I96" s="16" t="s">
        <v>1069</v>
      </c>
    </row>
    <row r="97">
      <c r="A97" s="212" t="s">
        <v>254</v>
      </c>
      <c r="B97" s="203" t="s">
        <v>872</v>
      </c>
      <c r="C97" s="240" t="s">
        <v>1071</v>
      </c>
      <c r="D97" s="243">
        <v>46148.0</v>
      </c>
      <c r="F97" s="212" t="s">
        <v>1037</v>
      </c>
      <c r="G97" s="212" t="s">
        <v>1063</v>
      </c>
      <c r="H97" s="202">
        <v>46148.0</v>
      </c>
    </row>
    <row r="98">
      <c r="A98" s="212" t="s">
        <v>358</v>
      </c>
      <c r="B98" s="203" t="s">
        <v>872</v>
      </c>
      <c r="C98" s="240" t="s">
        <v>1072</v>
      </c>
      <c r="D98" s="243">
        <v>46148.0</v>
      </c>
      <c r="F98" s="212" t="s">
        <v>1037</v>
      </c>
      <c r="G98" s="212" t="s">
        <v>1063</v>
      </c>
      <c r="H98" s="243">
        <v>46148.0</v>
      </c>
      <c r="I98" s="16" t="s">
        <v>1073</v>
      </c>
    </row>
    <row r="99">
      <c r="A99" s="212" t="s">
        <v>362</v>
      </c>
      <c r="B99" s="203" t="s">
        <v>872</v>
      </c>
      <c r="C99" s="240" t="s">
        <v>1074</v>
      </c>
      <c r="D99" s="248">
        <v>46149.0</v>
      </c>
      <c r="F99" s="212" t="s">
        <v>1037</v>
      </c>
      <c r="G99" s="212" t="s">
        <v>1063</v>
      </c>
      <c r="H99" s="214">
        <v>46149.0</v>
      </c>
      <c r="I99" s="16" t="s">
        <v>1075</v>
      </c>
    </row>
    <row r="100">
      <c r="A100" s="212" t="s">
        <v>27</v>
      </c>
      <c r="B100" s="203" t="s">
        <v>1076</v>
      </c>
      <c r="C100" s="240" t="s">
        <v>878</v>
      </c>
      <c r="D100" s="248">
        <v>46150.0</v>
      </c>
      <c r="F100" s="212" t="s">
        <v>1077</v>
      </c>
      <c r="G100" s="212" t="s">
        <v>1063</v>
      </c>
      <c r="H100" s="132"/>
      <c r="I100" s="268"/>
    </row>
    <row r="101">
      <c r="A101" s="270" t="s">
        <v>394</v>
      </c>
      <c r="B101" s="203" t="s">
        <v>872</v>
      </c>
      <c r="C101" s="263" t="s">
        <v>1078</v>
      </c>
      <c r="D101" s="248">
        <v>46154.0</v>
      </c>
      <c r="F101" s="212" t="s">
        <v>1037</v>
      </c>
      <c r="G101" s="212" t="s">
        <v>1063</v>
      </c>
      <c r="H101" s="202">
        <v>46154.0</v>
      </c>
    </row>
    <row r="102">
      <c r="A102" s="212" t="s">
        <v>10</v>
      </c>
      <c r="B102" s="203" t="s">
        <v>1076</v>
      </c>
      <c r="C102" s="240" t="s">
        <v>873</v>
      </c>
      <c r="D102" s="248">
        <v>46154.0</v>
      </c>
      <c r="E102" s="253"/>
      <c r="F102" s="212" t="s">
        <v>1077</v>
      </c>
      <c r="G102" s="212" t="s">
        <v>1063</v>
      </c>
      <c r="H102" s="132"/>
      <c r="I102" s="16" t="s">
        <v>1079</v>
      </c>
    </row>
    <row r="103">
      <c r="A103" s="212" t="s">
        <v>365</v>
      </c>
      <c r="B103" s="203" t="s">
        <v>872</v>
      </c>
      <c r="C103" s="263" t="s">
        <v>1080</v>
      </c>
      <c r="D103" s="248">
        <v>46155.0</v>
      </c>
      <c r="E103" s="253"/>
      <c r="F103" s="212" t="s">
        <v>1037</v>
      </c>
      <c r="G103" s="212" t="s">
        <v>1063</v>
      </c>
      <c r="H103" s="214">
        <v>46155.0</v>
      </c>
      <c r="I103" s="16" t="s">
        <v>1081</v>
      </c>
    </row>
    <row r="104">
      <c r="A104" s="212" t="s">
        <v>335</v>
      </c>
      <c r="B104" s="203" t="s">
        <v>872</v>
      </c>
      <c r="C104" s="240" t="s">
        <v>1083</v>
      </c>
      <c r="D104" s="248">
        <v>46118.0</v>
      </c>
      <c r="F104" s="212" t="s">
        <v>1077</v>
      </c>
      <c r="G104" s="212" t="s">
        <v>1077</v>
      </c>
      <c r="H104" s="214">
        <v>46118.0</v>
      </c>
    </row>
    <row r="105">
      <c r="A105" s="212" t="s">
        <v>368</v>
      </c>
      <c r="B105" s="203" t="s">
        <v>872</v>
      </c>
      <c r="C105" s="263" t="s">
        <v>1085</v>
      </c>
      <c r="D105" s="248">
        <v>46157.0</v>
      </c>
      <c r="E105" s="253"/>
      <c r="F105" s="212" t="s">
        <v>1077</v>
      </c>
      <c r="G105" s="212" t="s">
        <v>1077</v>
      </c>
      <c r="H105" s="214">
        <v>46157.0</v>
      </c>
      <c r="I105" s="16" t="s">
        <v>1081</v>
      </c>
    </row>
    <row r="106">
      <c r="A106" s="212" t="s">
        <v>43</v>
      </c>
      <c r="B106" s="203" t="s">
        <v>1076</v>
      </c>
      <c r="C106" s="240" t="s">
        <v>888</v>
      </c>
      <c r="D106" s="248">
        <v>46160.0</v>
      </c>
      <c r="E106" s="253"/>
      <c r="F106" s="212" t="s">
        <v>1077</v>
      </c>
      <c r="G106" s="212" t="s">
        <v>1077</v>
      </c>
      <c r="H106" s="132"/>
    </row>
    <row r="107">
      <c r="A107" s="212" t="s">
        <v>340</v>
      </c>
      <c r="B107" s="203" t="s">
        <v>872</v>
      </c>
      <c r="C107" s="240" t="s">
        <v>1087</v>
      </c>
      <c r="D107" s="248">
        <v>46161.0</v>
      </c>
      <c r="E107" s="253"/>
      <c r="F107" s="212" t="s">
        <v>1077</v>
      </c>
      <c r="G107" s="212" t="s">
        <v>1077</v>
      </c>
      <c r="H107" s="248">
        <v>46161.0</v>
      </c>
      <c r="I107" s="16" t="s">
        <v>1088</v>
      </c>
    </row>
    <row r="108">
      <c r="A108" s="212" t="s">
        <v>375</v>
      </c>
      <c r="B108" s="203" t="s">
        <v>872</v>
      </c>
      <c r="C108" s="263" t="s">
        <v>1089</v>
      </c>
      <c r="D108" s="241" t="s">
        <v>1091</v>
      </c>
      <c r="F108" s="212" t="s">
        <v>1057</v>
      </c>
      <c r="G108" s="275"/>
      <c r="H108" s="241" t="s">
        <v>1093</v>
      </c>
      <c r="I108" s="16" t="s">
        <v>1095</v>
      </c>
    </row>
    <row r="109">
      <c r="A109" s="212" t="s">
        <v>336</v>
      </c>
      <c r="B109" s="203" t="s">
        <v>872</v>
      </c>
      <c r="C109" s="263" t="s">
        <v>1097</v>
      </c>
      <c r="D109" s="248">
        <v>46163.0</v>
      </c>
      <c r="E109" s="253"/>
      <c r="F109" s="212" t="s">
        <v>1077</v>
      </c>
      <c r="G109" s="212" t="s">
        <v>1077</v>
      </c>
      <c r="H109" s="214">
        <v>46163.0</v>
      </c>
      <c r="I109" s="16" t="s">
        <v>1100</v>
      </c>
    </row>
    <row r="110">
      <c r="A110" s="212" t="s">
        <v>53</v>
      </c>
      <c r="B110" s="203" t="s">
        <v>1076</v>
      </c>
      <c r="C110" s="240" t="s">
        <v>881</v>
      </c>
      <c r="D110" s="248">
        <v>46169.0</v>
      </c>
      <c r="E110" s="253"/>
      <c r="F110" s="212" t="s">
        <v>1077</v>
      </c>
      <c r="G110" s="212" t="s">
        <v>1077</v>
      </c>
      <c r="H110" s="18"/>
      <c r="I110" s="16" t="s">
        <v>1102</v>
      </c>
    </row>
    <row r="111">
      <c r="A111" s="212" t="s">
        <v>57</v>
      </c>
      <c r="B111" s="203" t="s">
        <v>1076</v>
      </c>
      <c r="C111" s="240" t="s">
        <v>885</v>
      </c>
      <c r="D111" s="248">
        <v>46169.0</v>
      </c>
      <c r="E111" s="253"/>
      <c r="F111" s="212" t="s">
        <v>1077</v>
      </c>
      <c r="G111" s="212" t="s">
        <v>1077</v>
      </c>
      <c r="H111" s="18"/>
      <c r="I111" s="16" t="s">
        <v>1102</v>
      </c>
    </row>
    <row r="112">
      <c r="A112" s="212" t="s">
        <v>372</v>
      </c>
      <c r="B112" s="203" t="s">
        <v>872</v>
      </c>
      <c r="C112" s="263" t="s">
        <v>1103</v>
      </c>
      <c r="D112" s="248">
        <v>46170.0</v>
      </c>
      <c r="E112" s="253"/>
      <c r="F112" s="212" t="s">
        <v>1077</v>
      </c>
      <c r="G112" s="212" t="s">
        <v>1077</v>
      </c>
      <c r="H112" s="248">
        <v>46170.0</v>
      </c>
    </row>
    <row r="113">
      <c r="A113" s="212" t="s">
        <v>41</v>
      </c>
      <c r="B113" s="203" t="s">
        <v>1076</v>
      </c>
      <c r="C113" s="240" t="s">
        <v>892</v>
      </c>
      <c r="D113" s="248">
        <v>46174.0</v>
      </c>
      <c r="F113" s="212" t="s">
        <v>1106</v>
      </c>
      <c r="G113" s="212" t="s">
        <v>1106</v>
      </c>
      <c r="H113" s="3"/>
      <c r="I113" s="16" t="s">
        <v>1108</v>
      </c>
    </row>
    <row r="114">
      <c r="A114" s="212" t="s">
        <v>311</v>
      </c>
      <c r="B114" s="203" t="s">
        <v>872</v>
      </c>
      <c r="C114" s="240" t="s">
        <v>1110</v>
      </c>
      <c r="D114" s="248">
        <v>46175.0</v>
      </c>
      <c r="F114" s="212" t="s">
        <v>1106</v>
      </c>
      <c r="G114" s="212" t="s">
        <v>1106</v>
      </c>
      <c r="H114" s="284">
        <v>46175.0</v>
      </c>
      <c r="I114" s="16" t="s">
        <v>1111</v>
      </c>
    </row>
    <row r="115">
      <c r="A115" s="212" t="s">
        <v>34</v>
      </c>
      <c r="B115" s="203" t="s">
        <v>1076</v>
      </c>
      <c r="C115" s="240" t="s">
        <v>897</v>
      </c>
      <c r="D115" s="248">
        <v>46176.0</v>
      </c>
      <c r="F115" s="212" t="s">
        <v>1106</v>
      </c>
      <c r="G115" s="212" t="s">
        <v>1106</v>
      </c>
      <c r="H115" s="3"/>
    </row>
    <row r="116">
      <c r="A116" s="212" t="s">
        <v>62</v>
      </c>
      <c r="B116" s="203" t="s">
        <v>1076</v>
      </c>
      <c r="C116" s="240" t="s">
        <v>893</v>
      </c>
      <c r="D116" s="248">
        <v>46177.0</v>
      </c>
      <c r="F116" s="212" t="s">
        <v>1106</v>
      </c>
      <c r="G116" s="212" t="s">
        <v>1106</v>
      </c>
      <c r="H116" s="3"/>
      <c r="I116" s="16" t="s">
        <v>1112</v>
      </c>
    </row>
    <row r="117">
      <c r="A117" s="212" t="s">
        <v>380</v>
      </c>
      <c r="B117" s="203" t="s">
        <v>872</v>
      </c>
      <c r="C117" s="263" t="s">
        <v>1113</v>
      </c>
      <c r="D117" s="248">
        <v>46178.0</v>
      </c>
      <c r="F117" s="212" t="s">
        <v>1106</v>
      </c>
      <c r="G117" s="212" t="s">
        <v>1106</v>
      </c>
      <c r="H117" s="3"/>
      <c r="I117" s="16" t="s">
        <v>1114</v>
      </c>
    </row>
    <row r="118">
      <c r="A118" s="212" t="s">
        <v>22</v>
      </c>
      <c r="B118" s="203" t="s">
        <v>1076</v>
      </c>
      <c r="C118" s="285" t="s">
        <v>887</v>
      </c>
      <c r="D118" s="248">
        <v>46181.0</v>
      </c>
      <c r="F118" s="212" t="s">
        <v>1106</v>
      </c>
      <c r="G118" s="212" t="s">
        <v>1106</v>
      </c>
      <c r="H118" s="3"/>
      <c r="I118" s="16" t="s">
        <v>1115</v>
      </c>
      <c r="O118" s="286" t="s">
        <v>1116</v>
      </c>
    </row>
    <row r="119">
      <c r="A119" s="212" t="s">
        <v>38</v>
      </c>
      <c r="B119" s="203" t="s">
        <v>1076</v>
      </c>
      <c r="C119" s="240" t="s">
        <v>899</v>
      </c>
      <c r="D119" s="248">
        <v>46182.0</v>
      </c>
      <c r="F119" s="212" t="s">
        <v>1106</v>
      </c>
      <c r="G119" s="212" t="s">
        <v>1106</v>
      </c>
    </row>
    <row r="120">
      <c r="A120" s="212" t="s">
        <v>65</v>
      </c>
      <c r="B120" s="203" t="s">
        <v>1076</v>
      </c>
      <c r="C120" s="240" t="s">
        <v>900</v>
      </c>
      <c r="D120" s="248">
        <v>46183.0</v>
      </c>
      <c r="F120" s="212" t="s">
        <v>1106</v>
      </c>
      <c r="G120" s="212" t="s">
        <v>1106</v>
      </c>
      <c r="I120" s="16" t="s">
        <v>1118</v>
      </c>
    </row>
    <row r="121">
      <c r="A121" s="212" t="s">
        <v>278</v>
      </c>
      <c r="B121" s="203" t="s">
        <v>872</v>
      </c>
      <c r="C121" s="240" t="s">
        <v>1120</v>
      </c>
      <c r="D121" s="243">
        <v>46184.0</v>
      </c>
      <c r="F121" s="212" t="s">
        <v>1106</v>
      </c>
      <c r="G121" s="212" t="s">
        <v>1106</v>
      </c>
      <c r="H121" s="222">
        <v>46184.0</v>
      </c>
    </row>
    <row r="122">
      <c r="A122" s="212" t="s">
        <v>236</v>
      </c>
      <c r="B122" s="203" t="s">
        <v>872</v>
      </c>
      <c r="C122" s="240" t="s">
        <v>1121</v>
      </c>
      <c r="D122" s="243">
        <v>46184.0</v>
      </c>
      <c r="F122" s="212" t="s">
        <v>1106</v>
      </c>
      <c r="G122" s="212" t="s">
        <v>1106</v>
      </c>
      <c r="H122" s="222">
        <v>46184.0</v>
      </c>
    </row>
    <row r="123">
      <c r="A123" s="212" t="s">
        <v>75</v>
      </c>
      <c r="B123" s="203" t="s">
        <v>1076</v>
      </c>
      <c r="C123" s="240" t="s">
        <v>898</v>
      </c>
      <c r="D123" s="243">
        <v>46184.0</v>
      </c>
      <c r="F123" s="212" t="s">
        <v>1106</v>
      </c>
      <c r="G123" s="212" t="s">
        <v>1106</v>
      </c>
      <c r="H123" s="222">
        <v>46184.0</v>
      </c>
    </row>
    <row r="124">
      <c r="A124" s="212" t="s">
        <v>384</v>
      </c>
      <c r="B124" s="203" t="s">
        <v>872</v>
      </c>
      <c r="C124" s="240" t="s">
        <v>1123</v>
      </c>
      <c r="D124" s="248">
        <v>46188.0</v>
      </c>
      <c r="F124" s="212" t="s">
        <v>1106</v>
      </c>
      <c r="G124" s="212" t="s">
        <v>1106</v>
      </c>
      <c r="H124" s="284">
        <v>46188.0</v>
      </c>
      <c r="I124" s="16" t="s">
        <v>1124</v>
      </c>
    </row>
    <row r="125">
      <c r="A125" s="212" t="s">
        <v>348</v>
      </c>
      <c r="B125" s="203" t="s">
        <v>872</v>
      </c>
      <c r="C125" s="263" t="s">
        <v>1126</v>
      </c>
      <c r="D125" s="248">
        <v>46189.0</v>
      </c>
      <c r="F125" s="212" t="s">
        <v>1106</v>
      </c>
      <c r="G125" s="212" t="s">
        <v>1106</v>
      </c>
      <c r="H125" s="284">
        <v>46189.0</v>
      </c>
      <c r="I125" s="16" t="s">
        <v>1127</v>
      </c>
    </row>
    <row r="126">
      <c r="A126" s="212" t="s">
        <v>67</v>
      </c>
      <c r="B126" s="203" t="s">
        <v>1076</v>
      </c>
      <c r="C126" s="240" t="s">
        <v>896</v>
      </c>
      <c r="D126" s="248">
        <v>46189.0</v>
      </c>
      <c r="F126" s="212" t="s">
        <v>1129</v>
      </c>
      <c r="G126" s="212" t="s">
        <v>1106</v>
      </c>
      <c r="I126" s="16" t="s">
        <v>1130</v>
      </c>
    </row>
    <row r="127">
      <c r="A127" s="212" t="s">
        <v>382</v>
      </c>
      <c r="B127" s="203" t="s">
        <v>872</v>
      </c>
      <c r="C127" s="263" t="s">
        <v>1131</v>
      </c>
      <c r="D127" s="248">
        <v>46191.0</v>
      </c>
      <c r="F127" s="212" t="s">
        <v>1106</v>
      </c>
      <c r="G127" s="212" t="s">
        <v>1106</v>
      </c>
      <c r="H127" s="222">
        <v>46191.0</v>
      </c>
    </row>
    <row r="128">
      <c r="A128" s="212" t="s">
        <v>364</v>
      </c>
      <c r="B128" s="203" t="s">
        <v>872</v>
      </c>
      <c r="C128" s="263" t="s">
        <v>1133</v>
      </c>
      <c r="D128" s="248">
        <v>46196.0</v>
      </c>
      <c r="F128" s="212" t="s">
        <v>1106</v>
      </c>
      <c r="G128" s="212" t="s">
        <v>1106</v>
      </c>
      <c r="H128" s="284">
        <v>46196.0</v>
      </c>
    </row>
    <row r="129">
      <c r="A129" s="212" t="s">
        <v>55</v>
      </c>
      <c r="B129" s="203" t="s">
        <v>1076</v>
      </c>
      <c r="C129" s="263" t="s">
        <v>895</v>
      </c>
      <c r="D129" s="248">
        <v>46196.0</v>
      </c>
      <c r="F129" s="212" t="s">
        <v>1106</v>
      </c>
      <c r="G129" s="212" t="s">
        <v>1106</v>
      </c>
      <c r="I129" s="16" t="s">
        <v>1130</v>
      </c>
    </row>
    <row r="130">
      <c r="A130" s="212" t="s">
        <v>448</v>
      </c>
      <c r="B130" s="203" t="s">
        <v>872</v>
      </c>
      <c r="C130" s="263" t="s">
        <v>1134</v>
      </c>
      <c r="D130" s="248">
        <v>46202.0</v>
      </c>
      <c r="F130" s="212" t="s">
        <v>1106</v>
      </c>
      <c r="G130" s="212" t="s">
        <v>1106</v>
      </c>
      <c r="H130" s="3"/>
      <c r="I130" s="16" t="s">
        <v>1135</v>
      </c>
    </row>
    <row r="131">
      <c r="A131" s="212" t="s">
        <v>424</v>
      </c>
      <c r="B131" s="203" t="s">
        <v>872</v>
      </c>
      <c r="C131" s="240" t="s">
        <v>1136</v>
      </c>
      <c r="D131" s="248">
        <v>46218.0</v>
      </c>
      <c r="F131" s="212" t="s">
        <v>1137</v>
      </c>
      <c r="G131" s="212" t="s">
        <v>1138</v>
      </c>
      <c r="H131" s="284">
        <v>46218.0</v>
      </c>
      <c r="I131" s="16" t="s">
        <v>1140</v>
      </c>
    </row>
    <row r="132">
      <c r="A132" s="212" t="s">
        <v>378</v>
      </c>
      <c r="B132" s="203" t="s">
        <v>872</v>
      </c>
      <c r="C132" s="240" t="s">
        <v>1142</v>
      </c>
      <c r="D132" s="248">
        <v>46226.0</v>
      </c>
      <c r="F132" s="212" t="s">
        <v>1143</v>
      </c>
      <c r="G132" s="212" t="s">
        <v>1138</v>
      </c>
      <c r="H132" s="222">
        <v>46226.0</v>
      </c>
      <c r="I132" s="16" t="s">
        <v>1144</v>
      </c>
    </row>
    <row r="133">
      <c r="A133" s="212" t="s">
        <v>32</v>
      </c>
      <c r="B133" s="203" t="s">
        <v>1076</v>
      </c>
      <c r="C133" s="240" t="s">
        <v>907</v>
      </c>
      <c r="D133" s="248">
        <v>46227.0</v>
      </c>
      <c r="F133" s="212" t="s">
        <v>1143</v>
      </c>
      <c r="G133" s="212" t="s">
        <v>1138</v>
      </c>
      <c r="H133" s="3"/>
    </row>
    <row r="134">
      <c r="A134" s="212" t="s">
        <v>78</v>
      </c>
      <c r="B134" s="203" t="s">
        <v>1076</v>
      </c>
      <c r="C134" s="240" t="s">
        <v>902</v>
      </c>
      <c r="D134" s="248">
        <v>46230.0</v>
      </c>
      <c r="F134" s="212" t="s">
        <v>1143</v>
      </c>
      <c r="G134" s="212" t="s">
        <v>1138</v>
      </c>
      <c r="H134" s="3"/>
    </row>
    <row r="135">
      <c r="A135" s="212" t="s">
        <v>50</v>
      </c>
      <c r="B135" s="203" t="s">
        <v>1076</v>
      </c>
      <c r="C135" s="240" t="s">
        <v>889</v>
      </c>
      <c r="D135" s="248">
        <v>46231.0</v>
      </c>
      <c r="F135" s="212" t="s">
        <v>1143</v>
      </c>
      <c r="G135" s="212" t="s">
        <v>1138</v>
      </c>
      <c r="H135" s="3"/>
    </row>
    <row r="136">
      <c r="A136" s="212" t="s">
        <v>81</v>
      </c>
      <c r="B136" s="203" t="s">
        <v>1076</v>
      </c>
      <c r="C136" s="240" t="s">
        <v>911</v>
      </c>
      <c r="D136" s="248">
        <v>46234.0</v>
      </c>
      <c r="F136" s="212" t="s">
        <v>1143</v>
      </c>
      <c r="G136" s="212" t="s">
        <v>1138</v>
      </c>
      <c r="H136" s="3"/>
    </row>
    <row r="137">
      <c r="A137" s="212" t="s">
        <v>51</v>
      </c>
      <c r="B137" s="203" t="s">
        <v>1076</v>
      </c>
      <c r="C137" s="240" t="s">
        <v>908</v>
      </c>
      <c r="D137" s="248">
        <v>46237.0</v>
      </c>
      <c r="F137" s="212" t="s">
        <v>1138</v>
      </c>
      <c r="G137" s="212" t="s">
        <v>1138</v>
      </c>
      <c r="H137" s="3"/>
      <c r="I137" s="16" t="s">
        <v>1130</v>
      </c>
    </row>
    <row r="138">
      <c r="A138" s="212" t="s">
        <v>400</v>
      </c>
      <c r="B138" s="203" t="s">
        <v>872</v>
      </c>
      <c r="C138" s="240" t="s">
        <v>1149</v>
      </c>
      <c r="D138" s="248">
        <v>46239.0</v>
      </c>
      <c r="F138" s="212" t="s">
        <v>1143</v>
      </c>
      <c r="G138" s="212" t="s">
        <v>1138</v>
      </c>
      <c r="H138" s="3"/>
    </row>
    <row r="139">
      <c r="A139" s="212" t="s">
        <v>87</v>
      </c>
      <c r="B139" s="212" t="s">
        <v>1076</v>
      </c>
      <c r="C139" s="240" t="s">
        <v>910</v>
      </c>
      <c r="D139" s="248">
        <v>46240.0</v>
      </c>
      <c r="F139" s="212" t="s">
        <v>1143</v>
      </c>
      <c r="G139" s="212" t="s">
        <v>1138</v>
      </c>
      <c r="H139" s="3"/>
    </row>
    <row r="140">
      <c r="A140" s="212" t="s">
        <v>406</v>
      </c>
      <c r="B140" s="203" t="s">
        <v>872</v>
      </c>
      <c r="C140" s="240" t="s">
        <v>1151</v>
      </c>
      <c r="D140" s="248">
        <v>46245.0</v>
      </c>
      <c r="F140" s="212" t="s">
        <v>1143</v>
      </c>
      <c r="G140" s="212" t="s">
        <v>1138</v>
      </c>
      <c r="H140" s="222">
        <v>46245.0</v>
      </c>
    </row>
    <row r="141">
      <c r="A141" s="212" t="s">
        <v>74</v>
      </c>
      <c r="B141" s="203" t="s">
        <v>1076</v>
      </c>
      <c r="C141" s="240" t="s">
        <v>921</v>
      </c>
      <c r="D141" s="248">
        <v>46245.0</v>
      </c>
      <c r="F141" s="212" t="s">
        <v>1138</v>
      </c>
      <c r="G141" s="212" t="s">
        <v>1138</v>
      </c>
      <c r="H141" s="222">
        <v>46245.0</v>
      </c>
      <c r="I141" s="16" t="s">
        <v>1130</v>
      </c>
    </row>
    <row r="142">
      <c r="A142" s="212" t="s">
        <v>90</v>
      </c>
      <c r="B142" s="203" t="s">
        <v>1076</v>
      </c>
      <c r="C142" s="240" t="s">
        <v>915</v>
      </c>
      <c r="D142" s="243">
        <v>46245.0</v>
      </c>
      <c r="F142" s="212" t="s">
        <v>1138</v>
      </c>
      <c r="G142" s="212" t="s">
        <v>1138</v>
      </c>
      <c r="H142" s="222">
        <v>46245.0</v>
      </c>
      <c r="I142" s="16" t="s">
        <v>1152</v>
      </c>
    </row>
    <row r="143">
      <c r="A143" s="212" t="s">
        <v>402</v>
      </c>
      <c r="B143" s="203" t="s">
        <v>872</v>
      </c>
      <c r="C143" s="240" t="s">
        <v>1153</v>
      </c>
      <c r="D143" s="248">
        <v>46247.0</v>
      </c>
      <c r="F143" s="212" t="s">
        <v>1138</v>
      </c>
      <c r="G143" s="212" t="s">
        <v>1138</v>
      </c>
      <c r="H143" s="284">
        <v>46247.0</v>
      </c>
      <c r="I143" s="16" t="s">
        <v>1155</v>
      </c>
    </row>
    <row r="144">
      <c r="A144" s="212" t="s">
        <v>59</v>
      </c>
      <c r="B144" s="203" t="s">
        <v>1076</v>
      </c>
      <c r="C144" s="240" t="s">
        <v>920</v>
      </c>
      <c r="D144" s="248">
        <v>46252.0</v>
      </c>
      <c r="F144" s="212" t="s">
        <v>1143</v>
      </c>
      <c r="H144" s="3"/>
      <c r="I144" s="16" t="s">
        <v>1157</v>
      </c>
    </row>
    <row r="145">
      <c r="A145" s="212" t="s">
        <v>58</v>
      </c>
      <c r="B145" s="203" t="s">
        <v>1076</v>
      </c>
      <c r="C145" s="240" t="s">
        <v>919</v>
      </c>
      <c r="D145" s="248">
        <v>46252.0</v>
      </c>
      <c r="F145" s="212" t="s">
        <v>1143</v>
      </c>
      <c r="H145" s="3"/>
      <c r="I145" s="16" t="s">
        <v>1157</v>
      </c>
    </row>
    <row r="146">
      <c r="A146" s="212" t="s">
        <v>70</v>
      </c>
      <c r="B146" s="203" t="s">
        <v>1076</v>
      </c>
      <c r="C146" s="240" t="s">
        <v>916</v>
      </c>
      <c r="D146" s="248">
        <v>46253.0</v>
      </c>
      <c r="F146" s="212" t="s">
        <v>1143</v>
      </c>
      <c r="H146" s="3"/>
    </row>
    <row r="147">
      <c r="A147" s="212" t="s">
        <v>89</v>
      </c>
      <c r="B147" s="203" t="s">
        <v>1076</v>
      </c>
      <c r="C147" s="240" t="s">
        <v>914</v>
      </c>
      <c r="D147" s="248">
        <v>46255.0</v>
      </c>
      <c r="F147" s="212" t="s">
        <v>1143</v>
      </c>
      <c r="H147" s="3"/>
      <c r="I147" s="16" t="s">
        <v>1159</v>
      </c>
    </row>
    <row r="148">
      <c r="A148" s="212" t="s">
        <v>84</v>
      </c>
      <c r="B148" s="203" t="s">
        <v>1076</v>
      </c>
      <c r="C148" s="240" t="s">
        <v>909</v>
      </c>
      <c r="D148" s="248">
        <v>46258.0</v>
      </c>
      <c r="F148" s="212" t="s">
        <v>1143</v>
      </c>
      <c r="H148" s="3"/>
      <c r="I148" s="16" t="s">
        <v>24</v>
      </c>
    </row>
    <row r="149">
      <c r="A149" s="212" t="s">
        <v>416</v>
      </c>
      <c r="B149" s="203" t="s">
        <v>872</v>
      </c>
      <c r="C149" s="240" t="s">
        <v>1161</v>
      </c>
      <c r="D149" s="243">
        <v>46260.0</v>
      </c>
      <c r="F149" s="212" t="s">
        <v>924</v>
      </c>
      <c r="H149" s="308">
        <v>46260.0</v>
      </c>
    </row>
    <row r="150">
      <c r="A150" s="212" t="s">
        <v>391</v>
      </c>
      <c r="B150" s="203" t="s">
        <v>872</v>
      </c>
      <c r="C150" s="240" t="s">
        <v>1164</v>
      </c>
      <c r="D150" s="248">
        <v>46261.0</v>
      </c>
      <c r="F150" s="212" t="s">
        <v>924</v>
      </c>
      <c r="H150" s="284">
        <v>46261.0</v>
      </c>
    </row>
    <row r="151">
      <c r="A151" s="212" t="s">
        <v>85</v>
      </c>
      <c r="B151" s="203" t="s">
        <v>1076</v>
      </c>
      <c r="C151" s="240" t="s">
        <v>912</v>
      </c>
      <c r="D151" s="248">
        <v>46261.0</v>
      </c>
      <c r="F151" s="212" t="s">
        <v>924</v>
      </c>
      <c r="H151" s="3"/>
      <c r="I151" s="16" t="s">
        <v>1167</v>
      </c>
    </row>
    <row r="152">
      <c r="A152" s="212" t="s">
        <v>428</v>
      </c>
      <c r="B152" s="203" t="s">
        <v>872</v>
      </c>
      <c r="C152" s="263" t="s">
        <v>1169</v>
      </c>
      <c r="D152" s="248">
        <v>46265.0</v>
      </c>
      <c r="F152" s="212" t="s">
        <v>1170</v>
      </c>
      <c r="H152" s="222">
        <v>46265.0</v>
      </c>
      <c r="I152" s="16" t="s">
        <v>1172</v>
      </c>
    </row>
    <row r="153">
      <c r="A153" s="16" t="s">
        <v>117</v>
      </c>
      <c r="B153" s="132" t="s">
        <v>1076</v>
      </c>
      <c r="C153" s="238" t="s">
        <v>925</v>
      </c>
      <c r="D153" s="284">
        <v>46282.0</v>
      </c>
      <c r="F153" s="212" t="s">
        <v>924</v>
      </c>
      <c r="H153" s="3"/>
    </row>
    <row r="154">
      <c r="A154" s="16" t="s">
        <v>454</v>
      </c>
      <c r="B154" s="132" t="s">
        <v>872</v>
      </c>
      <c r="C154" s="314" t="s">
        <v>1175</v>
      </c>
      <c r="D154" s="284">
        <v>46293.0</v>
      </c>
      <c r="H154" s="284">
        <v>46293.0</v>
      </c>
    </row>
    <row r="155">
      <c r="A155" s="16" t="s">
        <v>434</v>
      </c>
      <c r="B155" s="132" t="s">
        <v>872</v>
      </c>
      <c r="C155" s="314" t="s">
        <v>1177</v>
      </c>
      <c r="D155" s="284">
        <v>46294.0</v>
      </c>
      <c r="H155" s="284">
        <v>46294.0</v>
      </c>
    </row>
    <row r="156">
      <c r="A156" s="16" t="s">
        <v>122</v>
      </c>
      <c r="B156" s="132" t="s">
        <v>1076</v>
      </c>
      <c r="C156" s="238" t="s">
        <v>923</v>
      </c>
      <c r="D156" s="284">
        <v>46294.0</v>
      </c>
      <c r="H156" s="3"/>
    </row>
    <row r="157">
      <c r="A157" s="16" t="s">
        <v>125</v>
      </c>
      <c r="B157" s="132" t="s">
        <v>1076</v>
      </c>
      <c r="C157" s="238" t="s">
        <v>927</v>
      </c>
      <c r="D157" s="284">
        <v>46296.0</v>
      </c>
      <c r="H157" s="3"/>
    </row>
    <row r="158">
      <c r="A158" s="16" t="s">
        <v>438</v>
      </c>
      <c r="B158" s="132" t="s">
        <v>872</v>
      </c>
      <c r="C158" s="314" t="s">
        <v>1179</v>
      </c>
      <c r="D158" s="284">
        <v>46296.0</v>
      </c>
      <c r="H158" s="284">
        <v>46296.0</v>
      </c>
      <c r="I158" s="16" t="s">
        <v>1181</v>
      </c>
    </row>
    <row r="159">
      <c r="A159" s="16" t="s">
        <v>128</v>
      </c>
      <c r="B159" s="132" t="s">
        <v>1076</v>
      </c>
      <c r="C159" s="316"/>
      <c r="D159" s="284">
        <v>46300.0</v>
      </c>
      <c r="H159" s="3"/>
    </row>
    <row r="160">
      <c r="A160" s="16" t="s">
        <v>96</v>
      </c>
      <c r="B160" s="132" t="s">
        <v>1076</v>
      </c>
      <c r="C160" s="316"/>
      <c r="D160" s="284">
        <v>46301.0</v>
      </c>
      <c r="H160" s="3"/>
    </row>
    <row r="161">
      <c r="A161" s="16" t="s">
        <v>431</v>
      </c>
      <c r="B161" s="132" t="s">
        <v>872</v>
      </c>
      <c r="C161" s="314" t="s">
        <v>1184</v>
      </c>
      <c r="D161" s="284">
        <v>46302.0</v>
      </c>
      <c r="G161" s="284">
        <v>46302.0</v>
      </c>
      <c r="H161" s="284">
        <v>46302.0</v>
      </c>
    </row>
    <row r="162">
      <c r="A162" s="16" t="s">
        <v>93</v>
      </c>
      <c r="B162" s="132" t="s">
        <v>1076</v>
      </c>
      <c r="C162" s="316"/>
      <c r="D162" s="284">
        <v>46303.0</v>
      </c>
      <c r="H162" s="3"/>
    </row>
    <row r="163">
      <c r="A163" s="16" t="s">
        <v>496</v>
      </c>
      <c r="B163" s="132" t="s">
        <v>872</v>
      </c>
      <c r="C163" s="314" t="s">
        <v>1189</v>
      </c>
      <c r="D163" s="284">
        <v>46303.0</v>
      </c>
      <c r="G163" s="284">
        <v>46303.0</v>
      </c>
      <c r="H163" s="284">
        <v>46303.0</v>
      </c>
    </row>
    <row r="164">
      <c r="A164" s="16" t="s">
        <v>410</v>
      </c>
      <c r="B164" s="132" t="s">
        <v>872</v>
      </c>
      <c r="C164" s="314" t="s">
        <v>1191</v>
      </c>
      <c r="D164" s="284">
        <v>46304.0</v>
      </c>
      <c r="H164" s="284">
        <v>46304.0</v>
      </c>
    </row>
    <row r="165">
      <c r="A165" s="16" t="s">
        <v>502</v>
      </c>
      <c r="B165" s="132" t="s">
        <v>872</v>
      </c>
      <c r="C165" s="314" t="s">
        <v>1192</v>
      </c>
      <c r="D165" s="308">
        <v>46309.0</v>
      </c>
      <c r="H165" s="308">
        <v>46309.0</v>
      </c>
      <c r="I165" s="16" t="s">
        <v>1193</v>
      </c>
    </row>
    <row r="166">
      <c r="B166" s="132"/>
      <c r="C166" s="316"/>
      <c r="D166" s="319"/>
      <c r="H166" s="3"/>
    </row>
    <row r="167">
      <c r="B167" s="132"/>
      <c r="C167" s="316"/>
      <c r="D167" s="319"/>
      <c r="H167" s="3"/>
    </row>
    <row r="168">
      <c r="B168" s="132"/>
      <c r="C168" s="316"/>
      <c r="D168" s="319"/>
      <c r="H168" s="3"/>
    </row>
    <row r="169">
      <c r="B169" s="132"/>
      <c r="C169" s="316"/>
      <c r="D169" s="319"/>
      <c r="H169" s="3"/>
    </row>
    <row r="170">
      <c r="B170" s="132"/>
      <c r="C170" s="316"/>
      <c r="D170" s="319"/>
      <c r="H170" s="3"/>
    </row>
    <row r="171">
      <c r="B171" s="132"/>
      <c r="C171" s="316"/>
      <c r="D171" s="319"/>
      <c r="H171" s="3"/>
    </row>
    <row r="172">
      <c r="B172" s="132"/>
      <c r="C172" s="316"/>
      <c r="D172" s="319"/>
      <c r="H172" s="3"/>
    </row>
    <row r="173">
      <c r="B173" s="132"/>
      <c r="C173" s="316"/>
      <c r="D173" s="319"/>
      <c r="H173" s="3"/>
    </row>
    <row r="174">
      <c r="B174" s="132"/>
      <c r="C174" s="316"/>
      <c r="D174" s="319"/>
      <c r="H174" s="3"/>
    </row>
    <row r="175">
      <c r="B175" s="132"/>
      <c r="C175" s="316"/>
      <c r="D175" s="319"/>
      <c r="H175" s="3"/>
    </row>
    <row r="176">
      <c r="B176" s="132"/>
      <c r="C176" s="316"/>
      <c r="D176" s="319"/>
      <c r="H176" s="3"/>
    </row>
    <row r="177">
      <c r="B177" s="132"/>
      <c r="C177" s="316"/>
      <c r="D177" s="319"/>
      <c r="H177" s="3"/>
    </row>
    <row r="178">
      <c r="B178" s="132"/>
      <c r="C178" s="316"/>
      <c r="D178" s="319"/>
      <c r="H178" s="3"/>
    </row>
    <row r="179">
      <c r="B179" s="132"/>
      <c r="C179" s="316"/>
      <c r="D179" s="319"/>
      <c r="H179" s="3"/>
    </row>
    <row r="180">
      <c r="B180" s="132"/>
      <c r="C180" s="316"/>
      <c r="D180" s="319"/>
      <c r="H180" s="3"/>
    </row>
    <row r="181">
      <c r="B181" s="132"/>
      <c r="C181" s="316"/>
      <c r="D181" s="319"/>
      <c r="H181" s="3"/>
    </row>
    <row r="182">
      <c r="C182" s="316"/>
      <c r="D182" s="319"/>
      <c r="H182" s="3"/>
    </row>
    <row r="183">
      <c r="C183" s="316"/>
      <c r="D183" s="319"/>
      <c r="H183" s="3"/>
    </row>
    <row r="184">
      <c r="C184" s="316"/>
      <c r="D184" s="319"/>
      <c r="H184" s="3"/>
    </row>
    <row r="185">
      <c r="C185" s="316"/>
      <c r="D185" s="319"/>
      <c r="H185" s="3"/>
    </row>
    <row r="186">
      <c r="C186" s="316"/>
      <c r="D186" s="319"/>
      <c r="H186" s="3"/>
    </row>
    <row r="187">
      <c r="C187" s="316"/>
      <c r="D187" s="319"/>
      <c r="H187" s="3"/>
    </row>
    <row r="188">
      <c r="C188" s="316"/>
      <c r="D188" s="319"/>
      <c r="H188" s="3"/>
    </row>
    <row r="189">
      <c r="C189" s="316"/>
      <c r="D189" s="319"/>
      <c r="H189" s="3"/>
    </row>
    <row r="190">
      <c r="C190" s="316"/>
      <c r="D190" s="319"/>
      <c r="H190" s="3"/>
    </row>
    <row r="191">
      <c r="C191" s="316"/>
      <c r="D191" s="319"/>
      <c r="H191" s="3"/>
    </row>
    <row r="192">
      <c r="C192" s="316"/>
      <c r="D192" s="319"/>
      <c r="H192" s="3"/>
    </row>
    <row r="193">
      <c r="C193" s="316"/>
      <c r="D193" s="319"/>
      <c r="H193" s="3"/>
    </row>
    <row r="194">
      <c r="C194" s="316"/>
      <c r="D194" s="319"/>
      <c r="H194" s="3"/>
    </row>
    <row r="195">
      <c r="C195" s="316"/>
      <c r="D195" s="319"/>
      <c r="H195" s="3"/>
    </row>
    <row r="196">
      <c r="C196" s="316"/>
      <c r="D196" s="319"/>
      <c r="H196" s="3"/>
    </row>
    <row r="197">
      <c r="C197" s="316"/>
      <c r="D197" s="319"/>
      <c r="H197" s="3"/>
    </row>
    <row r="198">
      <c r="C198" s="316"/>
      <c r="D198" s="319"/>
      <c r="H198" s="3"/>
    </row>
    <row r="199">
      <c r="C199" s="316"/>
      <c r="D199" s="319"/>
      <c r="H199" s="3"/>
    </row>
    <row r="200">
      <c r="C200" s="316"/>
      <c r="D200" s="319"/>
      <c r="H200" s="3"/>
    </row>
    <row r="201">
      <c r="C201" s="316"/>
      <c r="D201" s="319"/>
      <c r="H201" s="3"/>
    </row>
    <row r="202">
      <c r="C202" s="316"/>
      <c r="D202" s="319"/>
      <c r="H202" s="3"/>
    </row>
    <row r="203">
      <c r="C203" s="316"/>
      <c r="D203" s="319"/>
      <c r="H203" s="3"/>
    </row>
    <row r="204">
      <c r="C204" s="316"/>
      <c r="D204" s="319"/>
      <c r="H204" s="3"/>
    </row>
    <row r="205">
      <c r="C205" s="316"/>
      <c r="D205" s="319"/>
      <c r="H205" s="3"/>
    </row>
    <row r="206">
      <c r="C206" s="316"/>
      <c r="D206" s="319"/>
      <c r="H206" s="3"/>
    </row>
    <row r="207">
      <c r="C207" s="316"/>
      <c r="D207" s="319"/>
      <c r="H207" s="3"/>
    </row>
    <row r="208">
      <c r="C208" s="316"/>
      <c r="D208" s="319"/>
      <c r="H208" s="3"/>
    </row>
    <row r="209">
      <c r="C209" s="316"/>
      <c r="D209" s="319"/>
      <c r="H209" s="3"/>
    </row>
    <row r="210">
      <c r="C210" s="316"/>
      <c r="D210" s="319"/>
      <c r="H210" s="3"/>
    </row>
    <row r="211">
      <c r="C211" s="316"/>
      <c r="D211" s="319"/>
      <c r="H211" s="3"/>
    </row>
    <row r="212">
      <c r="C212" s="316"/>
      <c r="D212" s="319"/>
      <c r="H212" s="3"/>
    </row>
    <row r="213">
      <c r="C213" s="316"/>
      <c r="D213" s="319"/>
      <c r="H213" s="3"/>
    </row>
    <row r="214">
      <c r="C214" s="316"/>
      <c r="D214" s="319"/>
      <c r="H214" s="3"/>
    </row>
    <row r="215">
      <c r="C215" s="316"/>
      <c r="D215" s="319"/>
      <c r="H215" s="3"/>
    </row>
    <row r="216">
      <c r="C216" s="316"/>
      <c r="D216" s="319"/>
      <c r="H216" s="3"/>
    </row>
    <row r="217">
      <c r="C217" s="316"/>
      <c r="D217" s="319"/>
      <c r="H217" s="3"/>
    </row>
    <row r="218">
      <c r="C218" s="316"/>
      <c r="D218" s="319"/>
      <c r="H218" s="3"/>
    </row>
    <row r="219">
      <c r="C219" s="316"/>
      <c r="D219" s="319"/>
      <c r="H219" s="3"/>
    </row>
    <row r="220">
      <c r="C220" s="316"/>
      <c r="D220" s="319"/>
      <c r="H220" s="3"/>
    </row>
    <row r="221">
      <c r="C221" s="316"/>
      <c r="D221" s="319"/>
      <c r="H221" s="3"/>
    </row>
    <row r="222">
      <c r="C222" s="316"/>
      <c r="D222" s="319"/>
      <c r="H222" s="3"/>
    </row>
    <row r="223">
      <c r="C223" s="316"/>
      <c r="D223" s="319"/>
      <c r="H223" s="3"/>
    </row>
    <row r="224">
      <c r="C224" s="316"/>
      <c r="D224" s="319"/>
      <c r="H224" s="3"/>
    </row>
    <row r="225">
      <c r="C225" s="316"/>
      <c r="D225" s="319"/>
      <c r="H225" s="3"/>
    </row>
    <row r="226">
      <c r="C226" s="316"/>
      <c r="D226" s="319"/>
      <c r="H226" s="3"/>
    </row>
    <row r="227">
      <c r="C227" s="316"/>
      <c r="D227" s="319"/>
      <c r="H227" s="3"/>
    </row>
    <row r="228">
      <c r="C228" s="316"/>
      <c r="D228" s="319"/>
      <c r="H228" s="3"/>
    </row>
    <row r="229">
      <c r="C229" s="316"/>
      <c r="D229" s="319"/>
      <c r="H229" s="3"/>
    </row>
    <row r="230">
      <c r="C230" s="316"/>
      <c r="D230" s="319"/>
      <c r="H230" s="3"/>
    </row>
    <row r="231">
      <c r="C231" s="316"/>
      <c r="D231" s="319"/>
      <c r="H231" s="3"/>
    </row>
    <row r="232">
      <c r="C232" s="316"/>
      <c r="D232" s="319"/>
      <c r="H232" s="3"/>
    </row>
    <row r="233">
      <c r="C233" s="316"/>
      <c r="D233" s="319"/>
      <c r="H233" s="3"/>
    </row>
    <row r="234">
      <c r="C234" s="316"/>
      <c r="D234" s="319"/>
      <c r="H234" s="3"/>
    </row>
    <row r="235">
      <c r="C235" s="316"/>
      <c r="D235" s="319"/>
      <c r="H235" s="3"/>
    </row>
    <row r="236">
      <c r="C236" s="316"/>
      <c r="D236" s="319"/>
      <c r="H236" s="3"/>
    </row>
    <row r="237">
      <c r="C237" s="316"/>
      <c r="D237" s="319"/>
      <c r="H237" s="3"/>
    </row>
    <row r="238">
      <c r="C238" s="316"/>
      <c r="D238" s="319"/>
      <c r="H238" s="3"/>
    </row>
    <row r="239">
      <c r="C239" s="316"/>
      <c r="D239" s="319"/>
      <c r="H239" s="3"/>
    </row>
    <row r="240">
      <c r="C240" s="316"/>
      <c r="D240" s="319"/>
      <c r="H240" s="3"/>
    </row>
    <row r="241">
      <c r="C241" s="316"/>
      <c r="D241" s="319"/>
      <c r="H241" s="3"/>
    </row>
    <row r="242">
      <c r="C242" s="316"/>
      <c r="D242" s="319"/>
      <c r="H242" s="3"/>
    </row>
    <row r="243">
      <c r="C243" s="316"/>
      <c r="D243" s="319"/>
      <c r="H243" s="3"/>
    </row>
    <row r="244">
      <c r="C244" s="316"/>
      <c r="D244" s="319"/>
      <c r="H244" s="3"/>
    </row>
    <row r="245">
      <c r="C245" s="316"/>
      <c r="D245" s="319"/>
      <c r="H245" s="3"/>
    </row>
    <row r="246">
      <c r="C246" s="316"/>
      <c r="D246" s="319"/>
      <c r="H246" s="3"/>
    </row>
    <row r="247">
      <c r="C247" s="316"/>
      <c r="D247" s="319"/>
      <c r="H247" s="3"/>
    </row>
    <row r="248">
      <c r="C248" s="316"/>
      <c r="D248" s="319"/>
      <c r="H248" s="3"/>
    </row>
    <row r="249">
      <c r="C249" s="316"/>
      <c r="D249" s="319"/>
      <c r="H249" s="3"/>
    </row>
    <row r="250">
      <c r="C250" s="316"/>
      <c r="D250" s="319"/>
      <c r="H250" s="3"/>
    </row>
    <row r="251">
      <c r="C251" s="316"/>
      <c r="D251" s="319"/>
      <c r="H251" s="3"/>
    </row>
    <row r="252">
      <c r="C252" s="316"/>
      <c r="D252" s="319"/>
      <c r="H252" s="3"/>
    </row>
    <row r="253">
      <c r="C253" s="316"/>
      <c r="D253" s="319"/>
      <c r="H253" s="3"/>
    </row>
    <row r="254">
      <c r="C254" s="316"/>
      <c r="D254" s="319"/>
      <c r="H254" s="3"/>
    </row>
    <row r="255">
      <c r="C255" s="316"/>
      <c r="D255" s="319"/>
      <c r="H255" s="3"/>
    </row>
    <row r="256">
      <c r="C256" s="316"/>
      <c r="D256" s="319"/>
      <c r="H256" s="3"/>
    </row>
    <row r="257">
      <c r="C257" s="316"/>
      <c r="D257" s="319"/>
      <c r="H257" s="3"/>
    </row>
    <row r="258">
      <c r="C258" s="316"/>
      <c r="D258" s="319"/>
      <c r="H258" s="3"/>
    </row>
    <row r="259">
      <c r="C259" s="316"/>
      <c r="D259" s="319"/>
      <c r="H259" s="3"/>
    </row>
    <row r="260">
      <c r="C260" s="316"/>
      <c r="D260" s="319"/>
      <c r="H260" s="3"/>
    </row>
    <row r="261">
      <c r="C261" s="316"/>
      <c r="D261" s="319"/>
      <c r="H261" s="3"/>
    </row>
    <row r="262">
      <c r="C262" s="316"/>
      <c r="D262" s="319"/>
      <c r="H262" s="3"/>
    </row>
    <row r="263">
      <c r="C263" s="316"/>
      <c r="D263" s="319"/>
      <c r="H263" s="3"/>
    </row>
    <row r="264">
      <c r="C264" s="316"/>
      <c r="D264" s="319"/>
      <c r="H264" s="3"/>
    </row>
    <row r="265">
      <c r="C265" s="316"/>
      <c r="D265" s="319"/>
      <c r="H265" s="3"/>
    </row>
    <row r="266">
      <c r="C266" s="316"/>
      <c r="D266" s="319"/>
      <c r="H266" s="3"/>
    </row>
    <row r="267">
      <c r="C267" s="316"/>
      <c r="D267" s="319"/>
      <c r="H267" s="3"/>
    </row>
    <row r="268">
      <c r="C268" s="316"/>
      <c r="D268" s="319"/>
      <c r="H268" s="3"/>
    </row>
    <row r="269">
      <c r="C269" s="316"/>
      <c r="D269" s="319"/>
      <c r="H269" s="3"/>
    </row>
    <row r="270">
      <c r="C270" s="316"/>
      <c r="D270" s="319"/>
      <c r="H270" s="3"/>
    </row>
    <row r="271">
      <c r="C271" s="316"/>
      <c r="D271" s="319"/>
      <c r="H271" s="3"/>
    </row>
    <row r="272">
      <c r="C272" s="316"/>
      <c r="D272" s="319"/>
      <c r="H272" s="3"/>
    </row>
    <row r="273">
      <c r="C273" s="316"/>
      <c r="D273" s="319"/>
      <c r="H273" s="3"/>
    </row>
    <row r="274">
      <c r="C274" s="316"/>
      <c r="D274" s="319"/>
      <c r="H274" s="3"/>
    </row>
    <row r="275">
      <c r="C275" s="316"/>
      <c r="D275" s="319"/>
      <c r="H275" s="3"/>
    </row>
    <row r="276">
      <c r="C276" s="316"/>
      <c r="D276" s="319"/>
      <c r="H276" s="3"/>
    </row>
    <row r="277">
      <c r="C277" s="316"/>
      <c r="D277" s="319"/>
      <c r="H277" s="3"/>
    </row>
    <row r="278">
      <c r="C278" s="316"/>
      <c r="D278" s="319"/>
      <c r="H278" s="3"/>
    </row>
    <row r="279">
      <c r="C279" s="316"/>
      <c r="D279" s="319"/>
      <c r="H279" s="3"/>
    </row>
    <row r="280">
      <c r="C280" s="316"/>
      <c r="D280" s="319"/>
      <c r="H280" s="3"/>
    </row>
    <row r="281">
      <c r="C281" s="316"/>
      <c r="D281" s="319"/>
      <c r="H281" s="3"/>
    </row>
    <row r="282">
      <c r="C282" s="316"/>
      <c r="D282" s="319"/>
      <c r="H282" s="3"/>
    </row>
    <row r="283">
      <c r="C283" s="316"/>
      <c r="D283" s="319"/>
      <c r="H283" s="3"/>
    </row>
    <row r="284">
      <c r="C284" s="316"/>
      <c r="D284" s="319"/>
      <c r="H284" s="3"/>
    </row>
    <row r="285">
      <c r="C285" s="316"/>
      <c r="D285" s="319"/>
      <c r="H285" s="3"/>
    </row>
    <row r="286">
      <c r="C286" s="316"/>
      <c r="D286" s="319"/>
      <c r="H286" s="3"/>
    </row>
    <row r="287">
      <c r="C287" s="316"/>
      <c r="D287" s="319"/>
      <c r="H287" s="3"/>
    </row>
    <row r="288">
      <c r="C288" s="316"/>
      <c r="D288" s="319"/>
      <c r="H288" s="3"/>
    </row>
    <row r="289">
      <c r="C289" s="316"/>
      <c r="D289" s="319"/>
      <c r="H289" s="3"/>
    </row>
    <row r="290">
      <c r="C290" s="316"/>
      <c r="D290" s="319"/>
      <c r="H290" s="3"/>
    </row>
    <row r="291">
      <c r="C291" s="316"/>
      <c r="D291" s="319"/>
      <c r="H291" s="3"/>
    </row>
    <row r="292">
      <c r="C292" s="316"/>
      <c r="D292" s="319"/>
      <c r="H292" s="3"/>
    </row>
    <row r="293">
      <c r="C293" s="316"/>
      <c r="D293" s="319"/>
      <c r="H293" s="3"/>
    </row>
    <row r="294">
      <c r="C294" s="316"/>
      <c r="D294" s="319"/>
      <c r="H294" s="3"/>
    </row>
    <row r="295">
      <c r="C295" s="316"/>
      <c r="D295" s="319"/>
      <c r="H295" s="3"/>
    </row>
    <row r="296">
      <c r="C296" s="316"/>
      <c r="D296" s="319"/>
      <c r="H296" s="3"/>
    </row>
    <row r="297">
      <c r="C297" s="316"/>
      <c r="D297" s="319"/>
      <c r="H297" s="3"/>
    </row>
    <row r="298">
      <c r="C298" s="316"/>
      <c r="D298" s="319"/>
      <c r="H298" s="3"/>
    </row>
    <row r="299">
      <c r="C299" s="316"/>
      <c r="D299" s="319"/>
      <c r="H299" s="3"/>
    </row>
    <row r="300">
      <c r="C300" s="316"/>
      <c r="D300" s="319"/>
      <c r="H300" s="3"/>
    </row>
    <row r="301">
      <c r="C301" s="316"/>
      <c r="D301" s="319"/>
      <c r="H301" s="3"/>
    </row>
    <row r="302">
      <c r="C302" s="316"/>
      <c r="D302" s="319"/>
      <c r="H302" s="3"/>
    </row>
    <row r="303">
      <c r="C303" s="316"/>
      <c r="D303" s="319"/>
      <c r="H303" s="3"/>
    </row>
    <row r="304">
      <c r="C304" s="316"/>
      <c r="D304" s="319"/>
      <c r="H304" s="3"/>
    </row>
    <row r="305">
      <c r="C305" s="316"/>
      <c r="D305" s="319"/>
      <c r="H305" s="3"/>
    </row>
    <row r="306">
      <c r="C306" s="316"/>
      <c r="D306" s="319"/>
      <c r="H306" s="3"/>
    </row>
    <row r="307">
      <c r="C307" s="316"/>
      <c r="D307" s="319"/>
      <c r="H307" s="3"/>
    </row>
    <row r="308">
      <c r="C308" s="316"/>
      <c r="D308" s="319"/>
      <c r="H308" s="3"/>
    </row>
    <row r="309">
      <c r="C309" s="316"/>
      <c r="D309" s="319"/>
      <c r="H309" s="3"/>
    </row>
    <row r="310">
      <c r="C310" s="316"/>
      <c r="D310" s="319"/>
      <c r="H310" s="3"/>
    </row>
    <row r="311">
      <c r="C311" s="316"/>
      <c r="D311" s="319"/>
      <c r="H311" s="3"/>
    </row>
    <row r="312">
      <c r="C312" s="316"/>
      <c r="D312" s="319"/>
      <c r="H312" s="3"/>
    </row>
    <row r="313">
      <c r="C313" s="316"/>
      <c r="D313" s="319"/>
      <c r="H313" s="3"/>
    </row>
    <row r="314">
      <c r="C314" s="316"/>
      <c r="D314" s="319"/>
      <c r="H314" s="3"/>
    </row>
    <row r="315">
      <c r="C315" s="316"/>
      <c r="D315" s="319"/>
      <c r="H315" s="3"/>
    </row>
    <row r="316">
      <c r="C316" s="316"/>
      <c r="D316" s="319"/>
      <c r="H316" s="3"/>
    </row>
    <row r="317">
      <c r="C317" s="316"/>
      <c r="D317" s="319"/>
      <c r="H317" s="3"/>
    </row>
    <row r="318">
      <c r="C318" s="316"/>
      <c r="D318" s="319"/>
      <c r="H318" s="3"/>
    </row>
    <row r="319">
      <c r="C319" s="316"/>
      <c r="D319" s="319"/>
      <c r="H319" s="3"/>
    </row>
    <row r="320">
      <c r="C320" s="316"/>
      <c r="D320" s="319"/>
      <c r="H320" s="3"/>
    </row>
    <row r="321">
      <c r="C321" s="316"/>
      <c r="D321" s="319"/>
      <c r="H321" s="3"/>
    </row>
    <row r="322">
      <c r="C322" s="316"/>
      <c r="D322" s="319"/>
      <c r="H322" s="3"/>
    </row>
    <row r="323">
      <c r="C323" s="316"/>
      <c r="D323" s="319"/>
      <c r="H323" s="3"/>
    </row>
    <row r="324">
      <c r="C324" s="316"/>
      <c r="D324" s="319"/>
      <c r="H324" s="3"/>
    </row>
    <row r="325">
      <c r="C325" s="316"/>
      <c r="D325" s="319"/>
      <c r="H325" s="3"/>
    </row>
    <row r="326">
      <c r="C326" s="316"/>
      <c r="D326" s="319"/>
      <c r="H326" s="3"/>
    </row>
    <row r="327">
      <c r="C327" s="316"/>
      <c r="D327" s="319"/>
      <c r="H327" s="3"/>
    </row>
    <row r="328">
      <c r="C328" s="316"/>
      <c r="D328" s="319"/>
      <c r="H328" s="3"/>
    </row>
    <row r="329">
      <c r="C329" s="316"/>
      <c r="D329" s="319"/>
      <c r="H329" s="3"/>
    </row>
    <row r="330">
      <c r="C330" s="316"/>
      <c r="D330" s="319"/>
      <c r="H330" s="3"/>
    </row>
    <row r="331">
      <c r="C331" s="316"/>
      <c r="D331" s="319"/>
      <c r="H331" s="3"/>
    </row>
    <row r="332">
      <c r="C332" s="316"/>
      <c r="D332" s="319"/>
      <c r="H332" s="3"/>
    </row>
    <row r="333">
      <c r="C333" s="316"/>
      <c r="D333" s="319"/>
      <c r="H333" s="3"/>
    </row>
    <row r="334">
      <c r="C334" s="316"/>
      <c r="D334" s="319"/>
      <c r="H334" s="3"/>
    </row>
    <row r="335">
      <c r="C335" s="316"/>
      <c r="D335" s="319"/>
      <c r="H335" s="3"/>
    </row>
    <row r="336">
      <c r="C336" s="316"/>
      <c r="D336" s="319"/>
      <c r="H336" s="3"/>
    </row>
    <row r="337">
      <c r="C337" s="316"/>
      <c r="D337" s="319"/>
      <c r="H337" s="3"/>
    </row>
    <row r="338">
      <c r="C338" s="316"/>
      <c r="D338" s="319"/>
      <c r="H338" s="3"/>
    </row>
    <row r="339">
      <c r="C339" s="316"/>
      <c r="D339" s="319"/>
      <c r="H339" s="3"/>
    </row>
    <row r="340">
      <c r="C340" s="316"/>
      <c r="D340" s="319"/>
      <c r="H340" s="3"/>
    </row>
    <row r="341">
      <c r="C341" s="316"/>
      <c r="D341" s="319"/>
      <c r="H341" s="3"/>
    </row>
    <row r="342">
      <c r="C342" s="316"/>
      <c r="D342" s="319"/>
      <c r="H342" s="3"/>
    </row>
    <row r="343">
      <c r="C343" s="316"/>
      <c r="D343" s="319"/>
      <c r="H343" s="3"/>
    </row>
    <row r="344">
      <c r="C344" s="316"/>
      <c r="D344" s="319"/>
      <c r="H344" s="3"/>
    </row>
    <row r="345">
      <c r="C345" s="316"/>
      <c r="D345" s="319"/>
      <c r="H345" s="3"/>
    </row>
    <row r="346">
      <c r="C346" s="316"/>
      <c r="D346" s="319"/>
      <c r="H346" s="3"/>
    </row>
    <row r="347">
      <c r="C347" s="316"/>
      <c r="D347" s="319"/>
      <c r="H347" s="3"/>
    </row>
    <row r="348">
      <c r="C348" s="316"/>
      <c r="D348" s="319"/>
      <c r="H348" s="3"/>
    </row>
    <row r="349">
      <c r="C349" s="316"/>
      <c r="D349" s="319"/>
      <c r="H349" s="3"/>
    </row>
    <row r="350">
      <c r="C350" s="316"/>
      <c r="D350" s="319"/>
      <c r="H350" s="3"/>
    </row>
    <row r="351">
      <c r="C351" s="316"/>
      <c r="D351" s="319"/>
      <c r="H351" s="3"/>
    </row>
    <row r="352">
      <c r="C352" s="316"/>
      <c r="D352" s="319"/>
      <c r="H352" s="3"/>
    </row>
    <row r="353">
      <c r="C353" s="316"/>
      <c r="D353" s="319"/>
      <c r="H353" s="3"/>
    </row>
    <row r="354">
      <c r="C354" s="316"/>
      <c r="D354" s="319"/>
      <c r="H354" s="3"/>
    </row>
    <row r="355">
      <c r="C355" s="316"/>
      <c r="D355" s="319"/>
      <c r="H355" s="3"/>
    </row>
    <row r="356">
      <c r="C356" s="316"/>
      <c r="D356" s="319"/>
      <c r="H356" s="3"/>
    </row>
    <row r="357">
      <c r="C357" s="316"/>
      <c r="D357" s="319"/>
      <c r="H357" s="3"/>
    </row>
    <row r="358">
      <c r="C358" s="316"/>
      <c r="D358" s="319"/>
      <c r="H358" s="3"/>
    </row>
    <row r="359">
      <c r="C359" s="316"/>
      <c r="D359" s="319"/>
      <c r="H359" s="3"/>
    </row>
    <row r="360">
      <c r="C360" s="316"/>
      <c r="D360" s="319"/>
      <c r="H360" s="3"/>
    </row>
    <row r="361">
      <c r="C361" s="316"/>
      <c r="D361" s="319"/>
      <c r="H361" s="3"/>
    </row>
    <row r="362">
      <c r="C362" s="316"/>
      <c r="D362" s="319"/>
      <c r="H362" s="3"/>
    </row>
    <row r="363">
      <c r="C363" s="316"/>
      <c r="D363" s="319"/>
      <c r="H363" s="3"/>
    </row>
    <row r="364">
      <c r="C364" s="316"/>
      <c r="D364" s="319"/>
      <c r="H364" s="3"/>
    </row>
    <row r="365">
      <c r="C365" s="316"/>
      <c r="D365" s="319"/>
      <c r="H365" s="3"/>
    </row>
    <row r="366">
      <c r="C366" s="316"/>
      <c r="D366" s="319"/>
      <c r="H366" s="3"/>
    </row>
    <row r="367">
      <c r="C367" s="316"/>
      <c r="D367" s="319"/>
      <c r="H367" s="3"/>
    </row>
    <row r="368">
      <c r="C368" s="316"/>
      <c r="D368" s="319"/>
      <c r="H368" s="3"/>
    </row>
    <row r="369">
      <c r="C369" s="316"/>
      <c r="D369" s="319"/>
      <c r="H369" s="3"/>
    </row>
    <row r="370">
      <c r="C370" s="316"/>
      <c r="D370" s="319"/>
      <c r="H370" s="3"/>
    </row>
    <row r="371">
      <c r="C371" s="316"/>
      <c r="D371" s="319"/>
      <c r="H371" s="3"/>
    </row>
    <row r="372">
      <c r="C372" s="316"/>
      <c r="D372" s="319"/>
      <c r="H372" s="3"/>
    </row>
    <row r="373">
      <c r="C373" s="316"/>
      <c r="D373" s="319"/>
      <c r="H373" s="3"/>
    </row>
    <row r="374">
      <c r="C374" s="316"/>
      <c r="D374" s="319"/>
      <c r="H374" s="3"/>
    </row>
    <row r="375">
      <c r="C375" s="316"/>
      <c r="D375" s="319"/>
      <c r="H375" s="3"/>
    </row>
    <row r="376">
      <c r="C376" s="316"/>
      <c r="D376" s="319"/>
      <c r="H376" s="3"/>
    </row>
    <row r="377">
      <c r="C377" s="316"/>
      <c r="D377" s="319"/>
      <c r="H377" s="3"/>
    </row>
    <row r="378">
      <c r="C378" s="316"/>
      <c r="D378" s="319"/>
      <c r="H378" s="3"/>
    </row>
    <row r="379">
      <c r="C379" s="316"/>
      <c r="D379" s="319"/>
      <c r="H379" s="3"/>
    </row>
    <row r="380">
      <c r="C380" s="316"/>
      <c r="D380" s="319"/>
      <c r="H380" s="3"/>
    </row>
    <row r="381">
      <c r="C381" s="316"/>
      <c r="D381" s="319"/>
      <c r="H381" s="3"/>
    </row>
    <row r="382">
      <c r="C382" s="316"/>
      <c r="D382" s="319"/>
      <c r="H382" s="3"/>
    </row>
    <row r="383">
      <c r="C383" s="316"/>
      <c r="D383" s="319"/>
      <c r="H383" s="3"/>
    </row>
    <row r="384">
      <c r="C384" s="316"/>
      <c r="D384" s="319"/>
      <c r="H384" s="3"/>
    </row>
    <row r="385">
      <c r="C385" s="316"/>
      <c r="D385" s="319"/>
      <c r="H385" s="3"/>
    </row>
    <row r="386">
      <c r="C386" s="316"/>
      <c r="D386" s="319"/>
      <c r="H386" s="3"/>
    </row>
    <row r="387">
      <c r="C387" s="316"/>
      <c r="D387" s="319"/>
      <c r="H387" s="3"/>
    </row>
    <row r="388">
      <c r="C388" s="316"/>
      <c r="D388" s="319"/>
      <c r="H388" s="3"/>
    </row>
    <row r="389">
      <c r="C389" s="316"/>
      <c r="D389" s="319"/>
      <c r="H389" s="3"/>
    </row>
    <row r="390">
      <c r="C390" s="316"/>
      <c r="D390" s="319"/>
      <c r="H390" s="3"/>
    </row>
    <row r="391">
      <c r="C391" s="316"/>
      <c r="D391" s="319"/>
      <c r="H391" s="3"/>
    </row>
    <row r="392">
      <c r="C392" s="316"/>
      <c r="D392" s="319"/>
      <c r="H392" s="3"/>
    </row>
    <row r="393">
      <c r="C393" s="316"/>
      <c r="D393" s="319"/>
      <c r="H393" s="3"/>
    </row>
    <row r="394">
      <c r="C394" s="316"/>
      <c r="D394" s="319"/>
      <c r="H394" s="3"/>
    </row>
    <row r="395">
      <c r="C395" s="316"/>
      <c r="D395" s="319"/>
      <c r="H395" s="3"/>
    </row>
    <row r="396">
      <c r="C396" s="316"/>
      <c r="D396" s="319"/>
      <c r="H396" s="3"/>
    </row>
    <row r="397">
      <c r="C397" s="316"/>
      <c r="D397" s="319"/>
      <c r="H397" s="3"/>
    </row>
    <row r="398">
      <c r="C398" s="316"/>
      <c r="D398" s="319"/>
      <c r="H398" s="3"/>
    </row>
    <row r="399">
      <c r="C399" s="316"/>
      <c r="D399" s="319"/>
      <c r="H399" s="3"/>
    </row>
    <row r="400">
      <c r="C400" s="316"/>
      <c r="D400" s="319"/>
      <c r="H400" s="3"/>
    </row>
    <row r="401">
      <c r="C401" s="316"/>
      <c r="D401" s="319"/>
      <c r="H401" s="3"/>
    </row>
    <row r="402">
      <c r="C402" s="316"/>
      <c r="D402" s="319"/>
      <c r="H402" s="3"/>
    </row>
    <row r="403">
      <c r="C403" s="316"/>
      <c r="D403" s="319"/>
      <c r="H403" s="3"/>
    </row>
    <row r="404">
      <c r="C404" s="316"/>
      <c r="D404" s="319"/>
      <c r="H404" s="3"/>
    </row>
    <row r="405">
      <c r="C405" s="316"/>
      <c r="D405" s="319"/>
      <c r="H405" s="3"/>
    </row>
    <row r="406">
      <c r="C406" s="316"/>
      <c r="D406" s="319"/>
      <c r="H406" s="3"/>
    </row>
    <row r="407">
      <c r="C407" s="316"/>
      <c r="D407" s="319"/>
      <c r="H407" s="3"/>
    </row>
    <row r="408">
      <c r="C408" s="316"/>
      <c r="D408" s="319"/>
      <c r="H408" s="3"/>
    </row>
    <row r="409">
      <c r="C409" s="316"/>
      <c r="D409" s="319"/>
      <c r="H409" s="3"/>
    </row>
    <row r="410">
      <c r="C410" s="316"/>
      <c r="D410" s="319"/>
      <c r="H410" s="3"/>
    </row>
    <row r="411">
      <c r="C411" s="316"/>
      <c r="D411" s="319"/>
      <c r="H411" s="3"/>
    </row>
    <row r="412">
      <c r="C412" s="316"/>
      <c r="D412" s="319"/>
      <c r="H412" s="3"/>
    </row>
    <row r="413">
      <c r="C413" s="316"/>
      <c r="D413" s="319"/>
      <c r="H413" s="3"/>
    </row>
    <row r="414">
      <c r="C414" s="316"/>
      <c r="D414" s="319"/>
      <c r="H414" s="3"/>
    </row>
    <row r="415">
      <c r="C415" s="316"/>
      <c r="D415" s="319"/>
      <c r="H415" s="3"/>
    </row>
    <row r="416">
      <c r="C416" s="316"/>
      <c r="D416" s="319"/>
      <c r="H416" s="3"/>
    </row>
    <row r="417">
      <c r="C417" s="316"/>
      <c r="D417" s="319"/>
      <c r="H417" s="3"/>
    </row>
    <row r="418">
      <c r="C418" s="316"/>
      <c r="D418" s="319"/>
      <c r="H418" s="3"/>
    </row>
    <row r="419">
      <c r="C419" s="316"/>
      <c r="D419" s="319"/>
      <c r="H419" s="3"/>
    </row>
    <row r="420">
      <c r="C420" s="316"/>
      <c r="D420" s="319"/>
      <c r="H420" s="3"/>
    </row>
    <row r="421">
      <c r="C421" s="316"/>
      <c r="D421" s="319"/>
      <c r="H421" s="3"/>
    </row>
    <row r="422">
      <c r="C422" s="316"/>
      <c r="D422" s="319"/>
      <c r="H422" s="3"/>
    </row>
    <row r="423">
      <c r="C423" s="316"/>
      <c r="D423" s="319"/>
      <c r="H423" s="3"/>
    </row>
    <row r="424">
      <c r="C424" s="316"/>
      <c r="D424" s="319"/>
      <c r="H424" s="3"/>
    </row>
    <row r="425">
      <c r="C425" s="316"/>
      <c r="D425" s="319"/>
      <c r="H425" s="3"/>
    </row>
    <row r="426">
      <c r="C426" s="316"/>
      <c r="D426" s="319"/>
      <c r="H426" s="3"/>
    </row>
    <row r="427">
      <c r="C427" s="316"/>
      <c r="D427" s="319"/>
      <c r="H427" s="3"/>
    </row>
    <row r="428">
      <c r="C428" s="316"/>
      <c r="D428" s="319"/>
      <c r="H428" s="3"/>
    </row>
    <row r="429">
      <c r="C429" s="316"/>
      <c r="D429" s="319"/>
      <c r="H429" s="3"/>
    </row>
    <row r="430">
      <c r="C430" s="316"/>
      <c r="D430" s="319"/>
      <c r="H430" s="3"/>
    </row>
    <row r="431">
      <c r="C431" s="316"/>
      <c r="D431" s="319"/>
      <c r="H431" s="3"/>
    </row>
    <row r="432">
      <c r="C432" s="316"/>
      <c r="D432" s="319"/>
      <c r="H432" s="3"/>
    </row>
    <row r="433">
      <c r="C433" s="316"/>
      <c r="D433" s="319"/>
      <c r="H433" s="3"/>
    </row>
    <row r="434">
      <c r="C434" s="316"/>
      <c r="D434" s="319"/>
      <c r="H434" s="3"/>
    </row>
    <row r="435">
      <c r="C435" s="316"/>
      <c r="D435" s="319"/>
      <c r="H435" s="3"/>
    </row>
    <row r="436">
      <c r="C436" s="316"/>
      <c r="D436" s="319"/>
      <c r="H436" s="3"/>
    </row>
    <row r="437">
      <c r="C437" s="316"/>
      <c r="D437" s="319"/>
      <c r="H437" s="3"/>
    </row>
    <row r="438">
      <c r="C438" s="316"/>
      <c r="D438" s="319"/>
      <c r="H438" s="3"/>
    </row>
    <row r="439">
      <c r="C439" s="316"/>
      <c r="D439" s="319"/>
      <c r="H439" s="3"/>
    </row>
    <row r="440">
      <c r="C440" s="316"/>
      <c r="D440" s="319"/>
      <c r="H440" s="3"/>
    </row>
    <row r="441">
      <c r="C441" s="316"/>
      <c r="D441" s="319"/>
      <c r="H441" s="3"/>
    </row>
    <row r="442">
      <c r="C442" s="316"/>
      <c r="D442" s="319"/>
      <c r="H442" s="3"/>
    </row>
    <row r="443">
      <c r="C443" s="316"/>
      <c r="D443" s="319"/>
      <c r="H443" s="3"/>
    </row>
    <row r="444">
      <c r="C444" s="316"/>
      <c r="D444" s="319"/>
      <c r="H444" s="3"/>
    </row>
    <row r="445">
      <c r="C445" s="316"/>
      <c r="D445" s="319"/>
      <c r="H445" s="3"/>
    </row>
    <row r="446">
      <c r="C446" s="316"/>
      <c r="D446" s="319"/>
      <c r="H446" s="3"/>
    </row>
    <row r="447">
      <c r="C447" s="316"/>
      <c r="D447" s="319"/>
      <c r="H447" s="3"/>
    </row>
    <row r="448">
      <c r="C448" s="316"/>
      <c r="D448" s="319"/>
      <c r="H448" s="3"/>
    </row>
    <row r="449">
      <c r="C449" s="316"/>
      <c r="D449" s="319"/>
      <c r="H449" s="3"/>
    </row>
    <row r="450">
      <c r="C450" s="316"/>
      <c r="D450" s="319"/>
      <c r="H450" s="3"/>
    </row>
    <row r="451">
      <c r="C451" s="316"/>
      <c r="D451" s="319"/>
      <c r="H451" s="3"/>
    </row>
    <row r="452">
      <c r="C452" s="316"/>
      <c r="D452" s="319"/>
      <c r="H452" s="3"/>
    </row>
    <row r="453">
      <c r="C453" s="316"/>
      <c r="D453" s="319"/>
      <c r="H453" s="3"/>
    </row>
    <row r="454">
      <c r="C454" s="316"/>
      <c r="D454" s="319"/>
      <c r="H454" s="3"/>
    </row>
    <row r="455">
      <c r="C455" s="316"/>
      <c r="D455" s="319"/>
      <c r="H455" s="3"/>
    </row>
    <row r="456">
      <c r="C456" s="316"/>
      <c r="D456" s="319"/>
      <c r="H456" s="3"/>
    </row>
    <row r="457">
      <c r="C457" s="316"/>
      <c r="D457" s="319"/>
      <c r="H457" s="3"/>
    </row>
    <row r="458">
      <c r="C458" s="316"/>
      <c r="D458" s="319"/>
      <c r="H458" s="3"/>
    </row>
    <row r="459">
      <c r="C459" s="316"/>
      <c r="D459" s="319"/>
      <c r="H459" s="3"/>
    </row>
    <row r="460">
      <c r="C460" s="316"/>
      <c r="D460" s="319"/>
      <c r="H460" s="3"/>
    </row>
    <row r="461">
      <c r="C461" s="316"/>
      <c r="D461" s="319"/>
      <c r="H461" s="3"/>
    </row>
    <row r="462">
      <c r="C462" s="316"/>
      <c r="D462" s="319"/>
      <c r="H462" s="3"/>
    </row>
    <row r="463">
      <c r="C463" s="316"/>
      <c r="D463" s="319"/>
      <c r="H463" s="3"/>
    </row>
    <row r="464">
      <c r="C464" s="316"/>
      <c r="D464" s="319"/>
      <c r="H464" s="3"/>
    </row>
    <row r="465">
      <c r="C465" s="316"/>
      <c r="D465" s="319"/>
      <c r="H465" s="3"/>
    </row>
    <row r="466">
      <c r="C466" s="316"/>
      <c r="D466" s="319"/>
      <c r="H466" s="3"/>
    </row>
    <row r="467">
      <c r="C467" s="316"/>
      <c r="D467" s="319"/>
      <c r="H467" s="3"/>
    </row>
    <row r="468">
      <c r="C468" s="316"/>
      <c r="D468" s="319"/>
      <c r="H468" s="3"/>
    </row>
    <row r="469">
      <c r="C469" s="316"/>
      <c r="D469" s="319"/>
      <c r="H469" s="3"/>
    </row>
    <row r="470">
      <c r="C470" s="316"/>
      <c r="D470" s="319"/>
      <c r="H470" s="3"/>
    </row>
    <row r="471">
      <c r="C471" s="316"/>
      <c r="D471" s="319"/>
      <c r="H471" s="3"/>
    </row>
    <row r="472">
      <c r="C472" s="316"/>
      <c r="D472" s="319"/>
      <c r="H472" s="3"/>
    </row>
    <row r="473">
      <c r="C473" s="316"/>
      <c r="D473" s="319"/>
      <c r="H473" s="3"/>
    </row>
    <row r="474">
      <c r="C474" s="316"/>
      <c r="D474" s="319"/>
      <c r="H474" s="3"/>
    </row>
    <row r="475">
      <c r="C475" s="316"/>
      <c r="D475" s="319"/>
      <c r="H475" s="3"/>
    </row>
    <row r="476">
      <c r="C476" s="316"/>
      <c r="D476" s="319"/>
      <c r="H476" s="3"/>
    </row>
    <row r="477">
      <c r="C477" s="316"/>
      <c r="D477" s="319"/>
      <c r="H477" s="3"/>
    </row>
    <row r="478">
      <c r="C478" s="316"/>
      <c r="D478" s="319"/>
      <c r="H478" s="3"/>
    </row>
    <row r="479">
      <c r="C479" s="316"/>
      <c r="D479" s="319"/>
      <c r="H479" s="3"/>
    </row>
    <row r="480">
      <c r="C480" s="316"/>
      <c r="D480" s="319"/>
      <c r="H480" s="3"/>
    </row>
    <row r="481">
      <c r="C481" s="316"/>
      <c r="D481" s="319"/>
      <c r="H481" s="3"/>
    </row>
    <row r="482">
      <c r="C482" s="316"/>
      <c r="D482" s="319"/>
      <c r="H482" s="3"/>
    </row>
    <row r="483">
      <c r="C483" s="316"/>
      <c r="D483" s="319"/>
      <c r="H483" s="3"/>
    </row>
    <row r="484">
      <c r="C484" s="316"/>
      <c r="D484" s="319"/>
      <c r="H484" s="3"/>
    </row>
    <row r="485">
      <c r="C485" s="316"/>
      <c r="D485" s="319"/>
      <c r="H485" s="3"/>
    </row>
    <row r="486">
      <c r="C486" s="316"/>
      <c r="D486" s="319"/>
      <c r="H486" s="3"/>
    </row>
    <row r="487">
      <c r="C487" s="316"/>
      <c r="D487" s="319"/>
      <c r="H487" s="3"/>
    </row>
    <row r="488">
      <c r="C488" s="316"/>
      <c r="D488" s="319"/>
      <c r="H488" s="3"/>
    </row>
    <row r="489">
      <c r="C489" s="316"/>
      <c r="D489" s="319"/>
      <c r="H489" s="3"/>
    </row>
    <row r="490">
      <c r="C490" s="316"/>
      <c r="D490" s="319"/>
      <c r="H490" s="3"/>
    </row>
    <row r="491">
      <c r="C491" s="316"/>
      <c r="D491" s="319"/>
      <c r="H491" s="3"/>
    </row>
    <row r="492">
      <c r="C492" s="316"/>
      <c r="D492" s="319"/>
      <c r="H492" s="3"/>
    </row>
    <row r="493">
      <c r="C493" s="316"/>
      <c r="D493" s="319"/>
      <c r="H493" s="3"/>
    </row>
    <row r="494">
      <c r="C494" s="316"/>
      <c r="D494" s="319"/>
      <c r="H494" s="3"/>
    </row>
    <row r="495">
      <c r="C495" s="316"/>
      <c r="D495" s="319"/>
      <c r="H495" s="3"/>
    </row>
    <row r="496">
      <c r="C496" s="316"/>
      <c r="D496" s="319"/>
      <c r="H496" s="3"/>
    </row>
    <row r="497">
      <c r="C497" s="316"/>
      <c r="D497" s="319"/>
      <c r="H497" s="3"/>
    </row>
    <row r="498">
      <c r="C498" s="316"/>
      <c r="D498" s="319"/>
      <c r="H498" s="3"/>
    </row>
    <row r="499">
      <c r="C499" s="316"/>
      <c r="D499" s="319"/>
      <c r="H499" s="3"/>
    </row>
    <row r="500">
      <c r="C500" s="316"/>
      <c r="D500" s="319"/>
      <c r="H500" s="3"/>
    </row>
    <row r="501">
      <c r="C501" s="316"/>
      <c r="D501" s="319"/>
      <c r="H501" s="3"/>
    </row>
    <row r="502">
      <c r="C502" s="316"/>
      <c r="D502" s="319"/>
      <c r="H502" s="3"/>
    </row>
    <row r="503">
      <c r="C503" s="316"/>
      <c r="D503" s="319"/>
      <c r="H503" s="3"/>
    </row>
    <row r="504">
      <c r="C504" s="316"/>
      <c r="D504" s="319"/>
      <c r="H504" s="3"/>
    </row>
    <row r="505">
      <c r="C505" s="316"/>
      <c r="D505" s="319"/>
      <c r="H505" s="3"/>
    </row>
    <row r="506">
      <c r="C506" s="316"/>
      <c r="D506" s="319"/>
      <c r="H506" s="3"/>
    </row>
    <row r="507">
      <c r="C507" s="316"/>
      <c r="D507" s="319"/>
      <c r="H507" s="3"/>
    </row>
    <row r="508">
      <c r="C508" s="316"/>
      <c r="D508" s="319"/>
      <c r="H508" s="3"/>
    </row>
    <row r="509">
      <c r="C509" s="316"/>
      <c r="D509" s="319"/>
      <c r="H509" s="3"/>
    </row>
    <row r="510">
      <c r="C510" s="316"/>
      <c r="D510" s="319"/>
      <c r="H510" s="3"/>
    </row>
    <row r="511">
      <c r="C511" s="316"/>
      <c r="D511" s="319"/>
      <c r="H511" s="3"/>
    </row>
    <row r="512">
      <c r="C512" s="316"/>
      <c r="D512" s="319"/>
      <c r="H512" s="3"/>
    </row>
    <row r="513">
      <c r="C513" s="316"/>
      <c r="D513" s="319"/>
      <c r="H513" s="3"/>
    </row>
    <row r="514">
      <c r="C514" s="316"/>
      <c r="D514" s="319"/>
      <c r="H514" s="3"/>
    </row>
    <row r="515">
      <c r="C515" s="316"/>
      <c r="D515" s="319"/>
      <c r="H515" s="3"/>
    </row>
    <row r="516">
      <c r="C516" s="316"/>
      <c r="D516" s="319"/>
      <c r="H516" s="3"/>
    </row>
    <row r="517">
      <c r="C517" s="316"/>
      <c r="D517" s="319"/>
      <c r="H517" s="3"/>
    </row>
    <row r="518">
      <c r="C518" s="316"/>
      <c r="D518" s="319"/>
      <c r="H518" s="3"/>
    </row>
    <row r="519">
      <c r="C519" s="316"/>
      <c r="D519" s="319"/>
      <c r="H519" s="3"/>
    </row>
    <row r="520">
      <c r="C520" s="316"/>
      <c r="D520" s="319"/>
      <c r="H520" s="3"/>
    </row>
    <row r="521">
      <c r="C521" s="316"/>
      <c r="D521" s="319"/>
      <c r="H521" s="3"/>
    </row>
    <row r="522">
      <c r="C522" s="316"/>
      <c r="D522" s="319"/>
      <c r="H522" s="3"/>
    </row>
    <row r="523">
      <c r="C523" s="316"/>
      <c r="D523" s="319"/>
      <c r="H523" s="3"/>
    </row>
    <row r="524">
      <c r="C524" s="316"/>
      <c r="D524" s="319"/>
      <c r="H524" s="3"/>
    </row>
    <row r="525">
      <c r="C525" s="316"/>
      <c r="D525" s="319"/>
      <c r="H525" s="3"/>
    </row>
    <row r="526">
      <c r="C526" s="316"/>
      <c r="D526" s="319"/>
      <c r="H526" s="3"/>
    </row>
    <row r="527">
      <c r="C527" s="316"/>
      <c r="D527" s="319"/>
      <c r="H527" s="3"/>
    </row>
    <row r="528">
      <c r="C528" s="316"/>
      <c r="D528" s="319"/>
      <c r="H528" s="3"/>
    </row>
    <row r="529">
      <c r="C529" s="316"/>
      <c r="D529" s="319"/>
      <c r="H529" s="3"/>
    </row>
    <row r="530">
      <c r="C530" s="316"/>
      <c r="D530" s="319"/>
      <c r="H530" s="3"/>
    </row>
    <row r="531">
      <c r="C531" s="316"/>
      <c r="D531" s="319"/>
      <c r="H531" s="3"/>
    </row>
    <row r="532">
      <c r="C532" s="316"/>
      <c r="D532" s="319"/>
      <c r="H532" s="3"/>
    </row>
    <row r="533">
      <c r="C533" s="316"/>
      <c r="D533" s="319"/>
      <c r="H533" s="3"/>
    </row>
    <row r="534">
      <c r="C534" s="316"/>
      <c r="D534" s="319"/>
      <c r="H534" s="3"/>
    </row>
    <row r="535">
      <c r="C535" s="316"/>
      <c r="D535" s="319"/>
      <c r="H535" s="3"/>
    </row>
    <row r="536">
      <c r="C536" s="316"/>
      <c r="D536" s="319"/>
      <c r="H536" s="3"/>
    </row>
    <row r="537">
      <c r="C537" s="316"/>
      <c r="D537" s="319"/>
      <c r="H537" s="3"/>
    </row>
    <row r="538">
      <c r="C538" s="316"/>
      <c r="D538" s="319"/>
      <c r="H538" s="3"/>
    </row>
    <row r="539">
      <c r="C539" s="316"/>
      <c r="D539" s="319"/>
      <c r="H539" s="3"/>
    </row>
    <row r="540">
      <c r="C540" s="316"/>
      <c r="D540" s="319"/>
      <c r="H540" s="3"/>
    </row>
    <row r="541">
      <c r="C541" s="316"/>
      <c r="D541" s="319"/>
      <c r="H541" s="3"/>
    </row>
    <row r="542">
      <c r="C542" s="316"/>
      <c r="D542" s="319"/>
      <c r="H542" s="3"/>
    </row>
    <row r="543">
      <c r="C543" s="316"/>
      <c r="D543" s="319"/>
      <c r="H543" s="3"/>
    </row>
    <row r="544">
      <c r="C544" s="316"/>
      <c r="D544" s="319"/>
      <c r="H544" s="3"/>
    </row>
    <row r="545">
      <c r="C545" s="316"/>
      <c r="D545" s="319"/>
      <c r="H545" s="3"/>
    </row>
    <row r="546">
      <c r="C546" s="316"/>
      <c r="D546" s="319"/>
      <c r="H546" s="3"/>
    </row>
    <row r="547">
      <c r="C547" s="316"/>
      <c r="D547" s="319"/>
      <c r="H547" s="3"/>
    </row>
    <row r="548">
      <c r="C548" s="316"/>
      <c r="D548" s="319"/>
      <c r="H548" s="3"/>
    </row>
    <row r="549">
      <c r="C549" s="316"/>
      <c r="D549" s="319"/>
      <c r="H549" s="3"/>
    </row>
    <row r="550">
      <c r="C550" s="316"/>
      <c r="D550" s="319"/>
      <c r="H550" s="3"/>
    </row>
    <row r="551">
      <c r="C551" s="316"/>
      <c r="D551" s="319"/>
      <c r="H551" s="3"/>
    </row>
    <row r="552">
      <c r="C552" s="316"/>
      <c r="D552" s="319"/>
      <c r="H552" s="3"/>
    </row>
    <row r="553">
      <c r="C553" s="316"/>
      <c r="D553" s="319"/>
      <c r="H553" s="3"/>
    </row>
    <row r="554">
      <c r="C554" s="316"/>
      <c r="D554" s="319"/>
      <c r="H554" s="3"/>
    </row>
    <row r="555">
      <c r="C555" s="316"/>
      <c r="D555" s="319"/>
      <c r="H555" s="3"/>
    </row>
    <row r="556">
      <c r="C556" s="316"/>
      <c r="D556" s="319"/>
      <c r="H556" s="3"/>
    </row>
    <row r="557">
      <c r="C557" s="316"/>
      <c r="D557" s="319"/>
      <c r="H557" s="3"/>
    </row>
    <row r="558">
      <c r="C558" s="316"/>
      <c r="D558" s="319"/>
      <c r="H558" s="3"/>
    </row>
    <row r="559">
      <c r="C559" s="316"/>
      <c r="D559" s="319"/>
      <c r="H559" s="3"/>
    </row>
    <row r="560">
      <c r="C560" s="316"/>
      <c r="D560" s="319"/>
      <c r="H560" s="3"/>
    </row>
    <row r="561">
      <c r="C561" s="316"/>
      <c r="D561" s="319"/>
      <c r="H561" s="3"/>
    </row>
    <row r="562">
      <c r="C562" s="316"/>
      <c r="D562" s="319"/>
      <c r="H562" s="3"/>
    </row>
    <row r="563">
      <c r="C563" s="316"/>
      <c r="D563" s="319"/>
      <c r="H563" s="3"/>
    </row>
    <row r="564">
      <c r="C564" s="316"/>
      <c r="D564" s="319"/>
      <c r="H564" s="3"/>
    </row>
    <row r="565">
      <c r="C565" s="316"/>
      <c r="D565" s="319"/>
      <c r="H565" s="3"/>
    </row>
    <row r="566">
      <c r="C566" s="316"/>
      <c r="D566" s="319"/>
      <c r="H566" s="3"/>
    </row>
    <row r="567">
      <c r="C567" s="316"/>
      <c r="D567" s="319"/>
      <c r="H567" s="3"/>
    </row>
    <row r="568">
      <c r="C568" s="316"/>
      <c r="D568" s="319"/>
      <c r="H568" s="3"/>
    </row>
    <row r="569">
      <c r="C569" s="316"/>
      <c r="D569" s="319"/>
      <c r="H569" s="3"/>
    </row>
    <row r="570">
      <c r="C570" s="316"/>
      <c r="D570" s="319"/>
      <c r="H570" s="3"/>
    </row>
    <row r="571">
      <c r="C571" s="316"/>
      <c r="D571" s="319"/>
      <c r="H571" s="3"/>
    </row>
    <row r="572">
      <c r="C572" s="316"/>
      <c r="D572" s="319"/>
      <c r="H572" s="3"/>
    </row>
    <row r="573">
      <c r="C573" s="316"/>
      <c r="D573" s="319"/>
      <c r="H573" s="3"/>
    </row>
    <row r="574">
      <c r="C574" s="316"/>
      <c r="D574" s="319"/>
      <c r="H574" s="3"/>
    </row>
    <row r="575">
      <c r="C575" s="316"/>
      <c r="D575" s="319"/>
      <c r="H575" s="3"/>
    </row>
    <row r="576">
      <c r="C576" s="316"/>
      <c r="D576" s="319"/>
      <c r="H576" s="3"/>
    </row>
    <row r="577">
      <c r="C577" s="316"/>
      <c r="D577" s="319"/>
      <c r="H577" s="3"/>
    </row>
    <row r="578">
      <c r="C578" s="316"/>
      <c r="D578" s="319"/>
      <c r="H578" s="3"/>
    </row>
    <row r="579">
      <c r="C579" s="316"/>
      <c r="D579" s="319"/>
      <c r="H579" s="3"/>
    </row>
    <row r="580">
      <c r="C580" s="316"/>
      <c r="D580" s="319"/>
      <c r="H580" s="3"/>
    </row>
    <row r="581">
      <c r="C581" s="316"/>
      <c r="D581" s="319"/>
      <c r="H581" s="3"/>
    </row>
    <row r="582">
      <c r="C582" s="316"/>
      <c r="D582" s="319"/>
      <c r="H582" s="3"/>
    </row>
    <row r="583">
      <c r="C583" s="316"/>
      <c r="D583" s="319"/>
      <c r="H583" s="3"/>
    </row>
    <row r="584">
      <c r="C584" s="316"/>
      <c r="D584" s="319"/>
      <c r="H584" s="3"/>
    </row>
    <row r="585">
      <c r="C585" s="316"/>
      <c r="D585" s="319"/>
      <c r="H585" s="3"/>
    </row>
    <row r="586">
      <c r="C586" s="316"/>
      <c r="D586" s="319"/>
      <c r="H586" s="3"/>
    </row>
    <row r="587">
      <c r="C587" s="316"/>
      <c r="D587" s="319"/>
      <c r="H587" s="3"/>
    </row>
    <row r="588">
      <c r="C588" s="316"/>
      <c r="D588" s="319"/>
      <c r="H588" s="3"/>
    </row>
    <row r="589">
      <c r="C589" s="316"/>
      <c r="D589" s="319"/>
      <c r="H589" s="3"/>
    </row>
    <row r="590">
      <c r="C590" s="316"/>
      <c r="D590" s="319"/>
      <c r="H590" s="3"/>
    </row>
    <row r="591">
      <c r="C591" s="316"/>
      <c r="D591" s="319"/>
      <c r="H591" s="3"/>
    </row>
    <row r="592">
      <c r="C592" s="316"/>
      <c r="D592" s="319"/>
      <c r="H592" s="3"/>
    </row>
    <row r="593">
      <c r="C593" s="316"/>
      <c r="D593" s="319"/>
      <c r="H593" s="3"/>
    </row>
    <row r="594">
      <c r="C594" s="316"/>
      <c r="D594" s="319"/>
      <c r="H594" s="3"/>
    </row>
    <row r="595">
      <c r="C595" s="316"/>
      <c r="D595" s="319"/>
      <c r="H595" s="3"/>
    </row>
    <row r="596">
      <c r="C596" s="316"/>
      <c r="D596" s="319"/>
      <c r="H596" s="3"/>
    </row>
    <row r="597">
      <c r="C597" s="316"/>
      <c r="D597" s="319"/>
      <c r="H597" s="3"/>
    </row>
    <row r="598">
      <c r="C598" s="316"/>
      <c r="D598" s="319"/>
      <c r="H598" s="3"/>
    </row>
    <row r="599">
      <c r="C599" s="316"/>
      <c r="D599" s="319"/>
      <c r="H599" s="3"/>
    </row>
    <row r="600">
      <c r="C600" s="316"/>
      <c r="D600" s="319"/>
      <c r="H600" s="3"/>
    </row>
    <row r="601">
      <c r="C601" s="316"/>
      <c r="D601" s="319"/>
      <c r="H601" s="3"/>
    </row>
    <row r="602">
      <c r="C602" s="316"/>
      <c r="D602" s="319"/>
      <c r="H602" s="3"/>
    </row>
    <row r="603">
      <c r="C603" s="316"/>
      <c r="D603" s="319"/>
      <c r="H603" s="3"/>
    </row>
    <row r="604">
      <c r="C604" s="316"/>
      <c r="D604" s="319"/>
      <c r="H604" s="3"/>
    </row>
    <row r="605">
      <c r="C605" s="316"/>
      <c r="D605" s="319"/>
      <c r="H605" s="3"/>
    </row>
    <row r="606">
      <c r="C606" s="316"/>
      <c r="D606" s="319"/>
      <c r="H606" s="3"/>
    </row>
    <row r="607">
      <c r="C607" s="316"/>
      <c r="D607" s="319"/>
      <c r="H607" s="3"/>
    </row>
    <row r="608">
      <c r="C608" s="316"/>
      <c r="D608" s="319"/>
      <c r="H608" s="3"/>
    </row>
    <row r="609">
      <c r="C609" s="316"/>
      <c r="D609" s="319"/>
      <c r="H609" s="3"/>
    </row>
    <row r="610">
      <c r="C610" s="316"/>
      <c r="D610" s="319"/>
      <c r="H610" s="3"/>
    </row>
    <row r="611">
      <c r="C611" s="316"/>
      <c r="D611" s="319"/>
      <c r="H611" s="3"/>
    </row>
    <row r="612">
      <c r="C612" s="316"/>
      <c r="D612" s="319"/>
      <c r="H612" s="3"/>
    </row>
    <row r="613">
      <c r="C613" s="316"/>
      <c r="D613" s="319"/>
      <c r="H613" s="3"/>
    </row>
    <row r="614">
      <c r="C614" s="316"/>
      <c r="D614" s="319"/>
      <c r="H614" s="3"/>
    </row>
    <row r="615">
      <c r="C615" s="316"/>
      <c r="D615" s="319"/>
      <c r="H615" s="3"/>
    </row>
    <row r="616">
      <c r="C616" s="316"/>
      <c r="D616" s="319"/>
      <c r="H616" s="3"/>
    </row>
    <row r="617">
      <c r="C617" s="316"/>
      <c r="D617" s="319"/>
      <c r="H617" s="3"/>
    </row>
    <row r="618">
      <c r="C618" s="316"/>
      <c r="D618" s="319"/>
      <c r="H618" s="3"/>
    </row>
    <row r="619">
      <c r="C619" s="316"/>
      <c r="D619" s="319"/>
      <c r="H619" s="3"/>
    </row>
    <row r="620">
      <c r="C620" s="316"/>
      <c r="D620" s="319"/>
      <c r="H620" s="3"/>
    </row>
    <row r="621">
      <c r="C621" s="316"/>
      <c r="D621" s="319"/>
      <c r="H621" s="3"/>
    </row>
    <row r="622">
      <c r="C622" s="316"/>
      <c r="D622" s="319"/>
      <c r="H622" s="3"/>
    </row>
    <row r="623">
      <c r="C623" s="316"/>
      <c r="D623" s="319"/>
      <c r="H623" s="3"/>
    </row>
    <row r="624">
      <c r="C624" s="316"/>
      <c r="D624" s="319"/>
      <c r="H624" s="3"/>
    </row>
    <row r="625">
      <c r="C625" s="316"/>
      <c r="D625" s="319"/>
      <c r="H625" s="3"/>
    </row>
    <row r="626">
      <c r="C626" s="316"/>
      <c r="D626" s="319"/>
      <c r="H626" s="3"/>
    </row>
    <row r="627">
      <c r="C627" s="316"/>
      <c r="D627" s="319"/>
      <c r="H627" s="3"/>
    </row>
    <row r="628">
      <c r="C628" s="316"/>
      <c r="D628" s="319"/>
      <c r="H628" s="3"/>
    </row>
    <row r="629">
      <c r="C629" s="316"/>
      <c r="D629" s="319"/>
      <c r="H629" s="3"/>
    </row>
    <row r="630">
      <c r="C630" s="316"/>
      <c r="D630" s="319"/>
      <c r="H630" s="3"/>
    </row>
    <row r="631">
      <c r="C631" s="316"/>
      <c r="D631" s="319"/>
      <c r="H631" s="3"/>
    </row>
    <row r="632">
      <c r="C632" s="316"/>
      <c r="D632" s="319"/>
      <c r="H632" s="3"/>
    </row>
    <row r="633">
      <c r="C633" s="316"/>
      <c r="D633" s="319"/>
      <c r="H633" s="3"/>
    </row>
    <row r="634">
      <c r="C634" s="316"/>
      <c r="D634" s="319"/>
      <c r="H634" s="3"/>
    </row>
    <row r="635">
      <c r="C635" s="316"/>
      <c r="D635" s="319"/>
      <c r="H635" s="3"/>
    </row>
    <row r="636">
      <c r="C636" s="316"/>
      <c r="D636" s="319"/>
      <c r="H636" s="3"/>
    </row>
    <row r="637">
      <c r="C637" s="316"/>
      <c r="D637" s="319"/>
      <c r="H637" s="3"/>
    </row>
    <row r="638">
      <c r="C638" s="316"/>
      <c r="D638" s="319"/>
      <c r="H638" s="3"/>
    </row>
    <row r="639">
      <c r="C639" s="316"/>
      <c r="D639" s="319"/>
      <c r="H639" s="3"/>
    </row>
    <row r="640">
      <c r="C640" s="316"/>
      <c r="D640" s="319"/>
      <c r="H640" s="3"/>
    </row>
    <row r="641">
      <c r="C641" s="316"/>
      <c r="D641" s="319"/>
      <c r="H641" s="3"/>
    </row>
    <row r="642">
      <c r="C642" s="316"/>
      <c r="D642" s="319"/>
      <c r="H642" s="3"/>
    </row>
    <row r="643">
      <c r="C643" s="316"/>
      <c r="D643" s="319"/>
      <c r="H643" s="3"/>
    </row>
    <row r="644">
      <c r="C644" s="316"/>
      <c r="D644" s="319"/>
      <c r="H644" s="3"/>
    </row>
    <row r="645">
      <c r="C645" s="316"/>
      <c r="D645" s="319"/>
      <c r="H645" s="3"/>
    </row>
    <row r="646">
      <c r="C646" s="316"/>
      <c r="D646" s="319"/>
      <c r="H646" s="3"/>
    </row>
    <row r="647">
      <c r="C647" s="316"/>
      <c r="D647" s="319"/>
      <c r="H647" s="3"/>
    </row>
    <row r="648">
      <c r="C648" s="316"/>
      <c r="D648" s="319"/>
      <c r="H648" s="3"/>
    </row>
    <row r="649">
      <c r="C649" s="316"/>
      <c r="D649" s="319"/>
      <c r="H649" s="3"/>
    </row>
    <row r="650">
      <c r="C650" s="316"/>
      <c r="D650" s="319"/>
      <c r="H650" s="3"/>
    </row>
    <row r="651">
      <c r="C651" s="316"/>
      <c r="D651" s="319"/>
      <c r="H651" s="3"/>
    </row>
    <row r="652">
      <c r="C652" s="316"/>
      <c r="D652" s="319"/>
      <c r="H652" s="3"/>
    </row>
    <row r="653">
      <c r="C653" s="316"/>
      <c r="D653" s="319"/>
      <c r="H653" s="3"/>
    </row>
    <row r="654">
      <c r="C654" s="316"/>
      <c r="D654" s="319"/>
      <c r="H654" s="3"/>
    </row>
    <row r="655">
      <c r="C655" s="316"/>
      <c r="D655" s="319"/>
      <c r="H655" s="3"/>
    </row>
    <row r="656">
      <c r="C656" s="316"/>
      <c r="D656" s="319"/>
      <c r="H656" s="3"/>
    </row>
    <row r="657">
      <c r="C657" s="316"/>
      <c r="D657" s="319"/>
      <c r="H657" s="3"/>
    </row>
    <row r="658">
      <c r="C658" s="316"/>
      <c r="D658" s="319"/>
      <c r="H658" s="3"/>
    </row>
    <row r="659">
      <c r="C659" s="316"/>
      <c r="D659" s="319"/>
      <c r="H659" s="3"/>
    </row>
    <row r="660">
      <c r="C660" s="316"/>
      <c r="D660" s="319"/>
      <c r="H660" s="3"/>
    </row>
    <row r="661">
      <c r="C661" s="316"/>
      <c r="D661" s="319"/>
      <c r="H661" s="3"/>
    </row>
    <row r="662">
      <c r="C662" s="316"/>
      <c r="D662" s="319"/>
      <c r="H662" s="3"/>
    </row>
    <row r="663">
      <c r="C663" s="316"/>
      <c r="D663" s="319"/>
      <c r="H663" s="3"/>
    </row>
    <row r="664">
      <c r="C664" s="316"/>
      <c r="D664" s="319"/>
      <c r="H664" s="3"/>
    </row>
    <row r="665">
      <c r="C665" s="316"/>
      <c r="D665" s="319"/>
      <c r="H665" s="3"/>
    </row>
    <row r="666">
      <c r="C666" s="316"/>
      <c r="D666" s="319"/>
      <c r="H666" s="3"/>
    </row>
    <row r="667">
      <c r="C667" s="316"/>
      <c r="D667" s="319"/>
      <c r="H667" s="3"/>
    </row>
    <row r="668">
      <c r="C668" s="316"/>
      <c r="D668" s="319"/>
      <c r="H668" s="3"/>
    </row>
    <row r="669">
      <c r="C669" s="316"/>
      <c r="D669" s="319"/>
      <c r="H669" s="3"/>
    </row>
    <row r="670">
      <c r="C670" s="316"/>
      <c r="D670" s="319"/>
      <c r="H670" s="3"/>
    </row>
    <row r="671">
      <c r="C671" s="316"/>
      <c r="D671" s="319"/>
      <c r="H671" s="3"/>
    </row>
    <row r="672">
      <c r="C672" s="316"/>
      <c r="D672" s="319"/>
      <c r="H672" s="3"/>
    </row>
    <row r="673">
      <c r="C673" s="316"/>
      <c r="D673" s="319"/>
      <c r="H673" s="3"/>
    </row>
    <row r="674">
      <c r="C674" s="316"/>
      <c r="D674" s="319"/>
      <c r="H674" s="3"/>
    </row>
    <row r="675">
      <c r="C675" s="316"/>
      <c r="D675" s="319"/>
      <c r="H675" s="3"/>
    </row>
    <row r="676">
      <c r="C676" s="316"/>
      <c r="D676" s="319"/>
      <c r="H676" s="3"/>
    </row>
    <row r="677">
      <c r="C677" s="316"/>
      <c r="D677" s="319"/>
      <c r="H677" s="3"/>
    </row>
    <row r="678">
      <c r="C678" s="316"/>
      <c r="D678" s="319"/>
      <c r="H678" s="3"/>
    </row>
    <row r="679">
      <c r="C679" s="316"/>
      <c r="D679" s="319"/>
      <c r="H679" s="3"/>
    </row>
    <row r="680">
      <c r="C680" s="316"/>
      <c r="D680" s="319"/>
      <c r="H680" s="3"/>
    </row>
    <row r="681">
      <c r="C681" s="316"/>
      <c r="D681" s="319"/>
      <c r="H681" s="3"/>
    </row>
    <row r="682">
      <c r="C682" s="316"/>
      <c r="D682" s="319"/>
      <c r="H682" s="3"/>
    </row>
    <row r="683">
      <c r="C683" s="316"/>
      <c r="D683" s="319"/>
      <c r="H683" s="3"/>
    </row>
    <row r="684">
      <c r="C684" s="316"/>
      <c r="D684" s="319"/>
      <c r="H684" s="3"/>
    </row>
    <row r="685">
      <c r="C685" s="316"/>
      <c r="D685" s="319"/>
      <c r="H685" s="3"/>
    </row>
    <row r="686">
      <c r="C686" s="316"/>
      <c r="D686" s="319"/>
      <c r="H686" s="3"/>
    </row>
    <row r="687">
      <c r="C687" s="316"/>
      <c r="D687" s="319"/>
      <c r="H687" s="3"/>
    </row>
    <row r="688">
      <c r="C688" s="316"/>
      <c r="D688" s="319"/>
      <c r="H688" s="3"/>
    </row>
    <row r="689">
      <c r="C689" s="316"/>
      <c r="D689" s="319"/>
      <c r="H689" s="3"/>
    </row>
    <row r="690">
      <c r="C690" s="316"/>
      <c r="D690" s="319"/>
      <c r="H690" s="3"/>
    </row>
    <row r="691">
      <c r="C691" s="316"/>
      <c r="D691" s="319"/>
      <c r="H691" s="3"/>
    </row>
    <row r="692">
      <c r="C692" s="316"/>
      <c r="D692" s="319"/>
      <c r="H692" s="3"/>
    </row>
    <row r="693">
      <c r="C693" s="316"/>
      <c r="D693" s="319"/>
      <c r="H693" s="3"/>
    </row>
    <row r="694">
      <c r="C694" s="316"/>
      <c r="D694" s="319"/>
      <c r="H694" s="3"/>
    </row>
    <row r="695">
      <c r="C695" s="316"/>
      <c r="D695" s="319"/>
      <c r="H695" s="3"/>
    </row>
    <row r="696">
      <c r="C696" s="316"/>
      <c r="D696" s="319"/>
      <c r="H696" s="3"/>
    </row>
    <row r="697">
      <c r="C697" s="316"/>
      <c r="D697" s="319"/>
      <c r="H697" s="3"/>
    </row>
    <row r="698">
      <c r="C698" s="316"/>
      <c r="D698" s="319"/>
      <c r="H698" s="3"/>
    </row>
    <row r="699">
      <c r="C699" s="316"/>
      <c r="D699" s="319"/>
      <c r="H699" s="3"/>
    </row>
    <row r="700">
      <c r="C700" s="316"/>
      <c r="D700" s="319"/>
      <c r="H700" s="3"/>
    </row>
    <row r="701">
      <c r="C701" s="316"/>
      <c r="D701" s="319"/>
      <c r="H701" s="3"/>
    </row>
    <row r="702">
      <c r="C702" s="316"/>
      <c r="D702" s="319"/>
      <c r="H702" s="3"/>
    </row>
    <row r="703">
      <c r="C703" s="316"/>
      <c r="D703" s="319"/>
      <c r="H703" s="3"/>
    </row>
    <row r="704">
      <c r="C704" s="316"/>
      <c r="D704" s="319"/>
      <c r="H704" s="3"/>
    </row>
    <row r="705">
      <c r="C705" s="316"/>
      <c r="D705" s="319"/>
      <c r="H705" s="3"/>
    </row>
    <row r="706">
      <c r="C706" s="316"/>
      <c r="D706" s="319"/>
      <c r="H706" s="3"/>
    </row>
    <row r="707">
      <c r="C707" s="316"/>
      <c r="D707" s="319"/>
      <c r="H707" s="3"/>
    </row>
    <row r="708">
      <c r="C708" s="316"/>
      <c r="D708" s="319"/>
      <c r="H708" s="3"/>
    </row>
    <row r="709">
      <c r="C709" s="316"/>
      <c r="D709" s="319"/>
      <c r="H709" s="3"/>
    </row>
    <row r="710">
      <c r="C710" s="316"/>
      <c r="D710" s="319"/>
      <c r="H710" s="3"/>
    </row>
    <row r="711">
      <c r="C711" s="316"/>
      <c r="D711" s="319"/>
      <c r="H711" s="3"/>
    </row>
    <row r="712">
      <c r="C712" s="316"/>
      <c r="D712" s="319"/>
      <c r="H712" s="3"/>
    </row>
    <row r="713">
      <c r="C713" s="316"/>
      <c r="D713" s="319"/>
      <c r="H713" s="3"/>
    </row>
    <row r="714">
      <c r="C714" s="316"/>
      <c r="D714" s="319"/>
      <c r="H714" s="3"/>
    </row>
    <row r="715">
      <c r="C715" s="316"/>
      <c r="D715" s="319"/>
      <c r="H715" s="3"/>
    </row>
    <row r="716">
      <c r="C716" s="316"/>
      <c r="D716" s="319"/>
      <c r="H716" s="3"/>
    </row>
    <row r="717">
      <c r="C717" s="316"/>
      <c r="D717" s="319"/>
      <c r="H717" s="3"/>
    </row>
    <row r="718">
      <c r="C718" s="316"/>
      <c r="D718" s="319"/>
      <c r="H718" s="3"/>
    </row>
    <row r="719">
      <c r="C719" s="316"/>
      <c r="D719" s="319"/>
      <c r="H719" s="3"/>
    </row>
    <row r="720">
      <c r="C720" s="316"/>
      <c r="D720" s="319"/>
      <c r="H720" s="3"/>
    </row>
    <row r="721">
      <c r="C721" s="316"/>
      <c r="D721" s="319"/>
      <c r="H721" s="3"/>
    </row>
    <row r="722">
      <c r="C722" s="316"/>
      <c r="D722" s="319"/>
      <c r="H722" s="3"/>
    </row>
    <row r="723">
      <c r="C723" s="316"/>
      <c r="D723" s="319"/>
      <c r="H723" s="3"/>
    </row>
    <row r="724">
      <c r="C724" s="316"/>
      <c r="D724" s="319"/>
      <c r="H724" s="3"/>
    </row>
    <row r="725">
      <c r="C725" s="316"/>
      <c r="D725" s="319"/>
      <c r="H725" s="3"/>
    </row>
    <row r="726">
      <c r="C726" s="316"/>
      <c r="D726" s="319"/>
      <c r="H726" s="3"/>
    </row>
    <row r="727">
      <c r="C727" s="316"/>
      <c r="D727" s="319"/>
      <c r="H727" s="3"/>
    </row>
    <row r="728">
      <c r="C728" s="316"/>
      <c r="D728" s="319"/>
      <c r="H728" s="3"/>
    </row>
    <row r="729">
      <c r="C729" s="316"/>
      <c r="D729" s="319"/>
      <c r="H729" s="3"/>
    </row>
    <row r="730">
      <c r="C730" s="316"/>
      <c r="D730" s="319"/>
      <c r="H730" s="3"/>
    </row>
    <row r="731">
      <c r="C731" s="316"/>
      <c r="D731" s="319"/>
      <c r="H731" s="3"/>
    </row>
    <row r="732">
      <c r="C732" s="316"/>
      <c r="D732" s="319"/>
      <c r="H732" s="3"/>
    </row>
    <row r="733">
      <c r="C733" s="316"/>
      <c r="D733" s="319"/>
      <c r="H733" s="3"/>
    </row>
    <row r="734">
      <c r="C734" s="316"/>
      <c r="D734" s="319"/>
      <c r="H734" s="3"/>
    </row>
    <row r="735">
      <c r="C735" s="316"/>
      <c r="D735" s="319"/>
      <c r="H735" s="3"/>
    </row>
    <row r="736">
      <c r="C736" s="316"/>
      <c r="D736" s="319"/>
      <c r="H736" s="3"/>
    </row>
    <row r="737">
      <c r="C737" s="316"/>
      <c r="D737" s="319"/>
      <c r="H737" s="3"/>
    </row>
    <row r="738">
      <c r="C738" s="316"/>
      <c r="D738" s="319"/>
      <c r="H738" s="3"/>
    </row>
    <row r="739">
      <c r="C739" s="316"/>
      <c r="D739" s="319"/>
      <c r="H739" s="3"/>
    </row>
    <row r="740">
      <c r="C740" s="316"/>
      <c r="D740" s="319"/>
      <c r="H740" s="3"/>
    </row>
    <row r="741">
      <c r="C741" s="316"/>
      <c r="D741" s="319"/>
      <c r="H741" s="3"/>
    </row>
    <row r="742">
      <c r="C742" s="316"/>
      <c r="D742" s="319"/>
      <c r="H742" s="3"/>
    </row>
    <row r="743">
      <c r="C743" s="316"/>
      <c r="D743" s="319"/>
      <c r="H743" s="3"/>
    </row>
    <row r="744">
      <c r="C744" s="316"/>
      <c r="D744" s="319"/>
      <c r="H744" s="3"/>
    </row>
    <row r="745">
      <c r="C745" s="316"/>
      <c r="D745" s="319"/>
      <c r="H745" s="3"/>
    </row>
    <row r="746">
      <c r="C746" s="316"/>
      <c r="D746" s="319"/>
      <c r="H746" s="3"/>
    </row>
    <row r="747">
      <c r="C747" s="316"/>
      <c r="D747" s="319"/>
      <c r="H747" s="3"/>
    </row>
    <row r="748">
      <c r="C748" s="316"/>
      <c r="D748" s="319"/>
      <c r="H748" s="3"/>
    </row>
    <row r="749">
      <c r="C749" s="316"/>
      <c r="D749" s="319"/>
      <c r="H749" s="3"/>
    </row>
    <row r="750">
      <c r="C750" s="316"/>
      <c r="D750" s="319"/>
      <c r="H750" s="3"/>
    </row>
    <row r="751">
      <c r="C751" s="316"/>
      <c r="D751" s="319"/>
      <c r="H751" s="3"/>
    </row>
    <row r="752">
      <c r="C752" s="316"/>
      <c r="D752" s="319"/>
      <c r="H752" s="3"/>
    </row>
    <row r="753">
      <c r="C753" s="316"/>
      <c r="D753" s="319"/>
      <c r="H753" s="3"/>
    </row>
    <row r="754">
      <c r="C754" s="316"/>
      <c r="D754" s="319"/>
      <c r="H754" s="3"/>
    </row>
    <row r="755">
      <c r="C755" s="316"/>
      <c r="D755" s="319"/>
      <c r="H755" s="3"/>
    </row>
    <row r="756">
      <c r="C756" s="316"/>
      <c r="D756" s="319"/>
      <c r="H756" s="3"/>
    </row>
    <row r="757">
      <c r="C757" s="316"/>
      <c r="D757" s="319"/>
      <c r="H757" s="3"/>
    </row>
    <row r="758">
      <c r="C758" s="316"/>
      <c r="D758" s="319"/>
      <c r="H758" s="3"/>
    </row>
    <row r="759">
      <c r="C759" s="316"/>
      <c r="D759" s="319"/>
      <c r="H759" s="3"/>
    </row>
    <row r="760">
      <c r="C760" s="316"/>
      <c r="D760" s="319"/>
      <c r="H760" s="3"/>
    </row>
    <row r="761">
      <c r="C761" s="316"/>
      <c r="D761" s="319"/>
      <c r="H761" s="3"/>
    </row>
    <row r="762">
      <c r="C762" s="316"/>
      <c r="D762" s="319"/>
      <c r="H762" s="3"/>
    </row>
    <row r="763">
      <c r="C763" s="316"/>
      <c r="D763" s="319"/>
      <c r="H763" s="3"/>
    </row>
    <row r="764">
      <c r="C764" s="316"/>
      <c r="D764" s="319"/>
      <c r="H764" s="3"/>
    </row>
    <row r="765">
      <c r="C765" s="316"/>
      <c r="D765" s="319"/>
      <c r="H765" s="3"/>
    </row>
    <row r="766">
      <c r="C766" s="316"/>
      <c r="D766" s="319"/>
      <c r="H766" s="3"/>
    </row>
    <row r="767">
      <c r="C767" s="316"/>
      <c r="D767" s="319"/>
      <c r="H767" s="3"/>
    </row>
    <row r="768">
      <c r="C768" s="316"/>
      <c r="D768" s="319"/>
      <c r="H768" s="3"/>
    </row>
    <row r="769">
      <c r="C769" s="316"/>
      <c r="D769" s="319"/>
      <c r="H769" s="3"/>
    </row>
    <row r="770">
      <c r="C770" s="316"/>
      <c r="D770" s="319"/>
      <c r="H770" s="3"/>
    </row>
    <row r="771">
      <c r="C771" s="316"/>
      <c r="D771" s="319"/>
      <c r="H771" s="3"/>
    </row>
    <row r="772">
      <c r="C772" s="316"/>
      <c r="D772" s="319"/>
      <c r="H772" s="3"/>
    </row>
    <row r="773">
      <c r="C773" s="316"/>
      <c r="D773" s="319"/>
      <c r="H773" s="3"/>
    </row>
    <row r="774">
      <c r="C774" s="316"/>
      <c r="D774" s="319"/>
      <c r="H774" s="3"/>
    </row>
    <row r="775">
      <c r="C775" s="316"/>
      <c r="D775" s="319"/>
      <c r="H775" s="3"/>
    </row>
    <row r="776">
      <c r="C776" s="316"/>
      <c r="D776" s="319"/>
      <c r="H776" s="3"/>
    </row>
    <row r="777">
      <c r="C777" s="316"/>
      <c r="D777" s="319"/>
      <c r="H777" s="3"/>
    </row>
    <row r="778">
      <c r="C778" s="316"/>
      <c r="D778" s="319"/>
      <c r="H778" s="3"/>
    </row>
    <row r="779">
      <c r="C779" s="316"/>
      <c r="D779" s="319"/>
      <c r="H779" s="3"/>
    </row>
    <row r="780">
      <c r="C780" s="316"/>
      <c r="D780" s="319"/>
      <c r="H780" s="3"/>
    </row>
    <row r="781">
      <c r="C781" s="316"/>
      <c r="D781" s="319"/>
      <c r="H781" s="3"/>
    </row>
    <row r="782">
      <c r="C782" s="316"/>
      <c r="D782" s="319"/>
      <c r="H782" s="3"/>
    </row>
    <row r="783">
      <c r="C783" s="316"/>
      <c r="D783" s="319"/>
      <c r="H783" s="3"/>
    </row>
    <row r="784">
      <c r="C784" s="316"/>
      <c r="D784" s="319"/>
      <c r="H784" s="3"/>
    </row>
    <row r="785">
      <c r="C785" s="316"/>
      <c r="D785" s="319"/>
      <c r="H785" s="3"/>
    </row>
    <row r="786">
      <c r="C786" s="316"/>
      <c r="D786" s="319"/>
      <c r="H786" s="3"/>
    </row>
    <row r="787">
      <c r="C787" s="316"/>
      <c r="D787" s="319"/>
      <c r="H787" s="3"/>
    </row>
    <row r="788">
      <c r="C788" s="316"/>
      <c r="D788" s="319"/>
      <c r="H788" s="3"/>
    </row>
    <row r="789">
      <c r="C789" s="316"/>
      <c r="D789" s="319"/>
      <c r="H789" s="3"/>
    </row>
    <row r="790">
      <c r="C790" s="316"/>
      <c r="D790" s="319"/>
      <c r="H790" s="3"/>
    </row>
    <row r="791">
      <c r="C791" s="316"/>
      <c r="D791" s="319"/>
      <c r="H791" s="3"/>
    </row>
    <row r="792">
      <c r="C792" s="316"/>
      <c r="D792" s="319"/>
      <c r="H792" s="3"/>
    </row>
    <row r="793">
      <c r="C793" s="316"/>
      <c r="D793" s="319"/>
      <c r="H793" s="3"/>
    </row>
    <row r="794">
      <c r="C794" s="316"/>
      <c r="D794" s="319"/>
      <c r="H794" s="3"/>
    </row>
    <row r="795">
      <c r="C795" s="316"/>
      <c r="D795" s="319"/>
      <c r="H795" s="3"/>
    </row>
    <row r="796">
      <c r="C796" s="316"/>
      <c r="D796" s="319"/>
      <c r="H796" s="3"/>
    </row>
    <row r="797">
      <c r="C797" s="316"/>
      <c r="D797" s="319"/>
      <c r="H797" s="3"/>
    </row>
    <row r="798">
      <c r="C798" s="316"/>
      <c r="D798" s="319"/>
      <c r="H798" s="3"/>
    </row>
    <row r="799">
      <c r="C799" s="316"/>
      <c r="D799" s="319"/>
      <c r="H799" s="3"/>
    </row>
    <row r="800">
      <c r="C800" s="316"/>
      <c r="D800" s="319"/>
      <c r="H800" s="3"/>
    </row>
    <row r="801">
      <c r="C801" s="316"/>
      <c r="D801" s="319"/>
      <c r="H801" s="3"/>
    </row>
    <row r="802">
      <c r="C802" s="316"/>
      <c r="D802" s="319"/>
      <c r="H802" s="3"/>
    </row>
    <row r="803">
      <c r="C803" s="316"/>
      <c r="D803" s="319"/>
      <c r="H803" s="3"/>
    </row>
    <row r="804">
      <c r="C804" s="316"/>
      <c r="D804" s="319"/>
      <c r="H804" s="3"/>
    </row>
    <row r="805">
      <c r="C805" s="316"/>
      <c r="D805" s="319"/>
      <c r="H805" s="3"/>
    </row>
    <row r="806">
      <c r="C806" s="316"/>
      <c r="D806" s="319"/>
      <c r="H806" s="3"/>
    </row>
    <row r="807">
      <c r="C807" s="316"/>
      <c r="D807" s="319"/>
      <c r="H807" s="3"/>
    </row>
    <row r="808">
      <c r="C808" s="316"/>
      <c r="D808" s="319"/>
      <c r="H808" s="3"/>
    </row>
    <row r="809">
      <c r="C809" s="316"/>
      <c r="D809" s="319"/>
      <c r="H809" s="3"/>
    </row>
    <row r="810">
      <c r="C810" s="316"/>
      <c r="D810" s="319"/>
      <c r="H810" s="3"/>
    </row>
    <row r="811">
      <c r="C811" s="316"/>
      <c r="D811" s="319"/>
      <c r="H811" s="3"/>
    </row>
    <row r="812">
      <c r="C812" s="316"/>
      <c r="D812" s="319"/>
      <c r="H812" s="3"/>
    </row>
    <row r="813">
      <c r="C813" s="316"/>
      <c r="D813" s="319"/>
      <c r="H813" s="3"/>
    </row>
    <row r="814">
      <c r="C814" s="316"/>
      <c r="D814" s="319"/>
      <c r="H814" s="3"/>
    </row>
    <row r="815">
      <c r="C815" s="316"/>
      <c r="D815" s="319"/>
      <c r="H815" s="3"/>
    </row>
    <row r="816">
      <c r="C816" s="316"/>
      <c r="D816" s="319"/>
      <c r="H816" s="3"/>
    </row>
    <row r="817">
      <c r="C817" s="316"/>
      <c r="D817" s="319"/>
      <c r="H817" s="3"/>
    </row>
    <row r="818">
      <c r="C818" s="316"/>
      <c r="D818" s="319"/>
      <c r="H818" s="3"/>
    </row>
    <row r="819">
      <c r="C819" s="316"/>
      <c r="D819" s="319"/>
      <c r="H819" s="3"/>
    </row>
    <row r="820">
      <c r="C820" s="316"/>
      <c r="D820" s="319"/>
      <c r="H820" s="3"/>
    </row>
    <row r="821">
      <c r="C821" s="316"/>
      <c r="D821" s="319"/>
      <c r="H821" s="3"/>
    </row>
    <row r="822">
      <c r="C822" s="316"/>
      <c r="D822" s="319"/>
      <c r="H822" s="3"/>
    </row>
    <row r="823">
      <c r="C823" s="316"/>
      <c r="D823" s="319"/>
      <c r="H823" s="3"/>
    </row>
    <row r="824">
      <c r="C824" s="316"/>
      <c r="D824" s="319"/>
      <c r="H824" s="3"/>
    </row>
    <row r="825">
      <c r="C825" s="316"/>
      <c r="D825" s="319"/>
      <c r="H825" s="3"/>
    </row>
    <row r="826">
      <c r="C826" s="316"/>
      <c r="D826" s="319"/>
      <c r="H826" s="3"/>
    </row>
    <row r="827">
      <c r="C827" s="316"/>
      <c r="D827" s="319"/>
      <c r="H827" s="3"/>
    </row>
    <row r="828">
      <c r="C828" s="316"/>
      <c r="D828" s="319"/>
      <c r="H828" s="3"/>
    </row>
    <row r="829">
      <c r="C829" s="316"/>
      <c r="D829" s="319"/>
      <c r="H829" s="3"/>
    </row>
    <row r="830">
      <c r="C830" s="316"/>
      <c r="D830" s="319"/>
      <c r="H830" s="3"/>
    </row>
    <row r="831">
      <c r="C831" s="316"/>
      <c r="D831" s="319"/>
      <c r="H831" s="3"/>
    </row>
    <row r="832">
      <c r="C832" s="316"/>
      <c r="D832" s="319"/>
      <c r="H832" s="3"/>
    </row>
    <row r="833">
      <c r="C833" s="316"/>
      <c r="D833" s="319"/>
      <c r="H833" s="3"/>
    </row>
    <row r="834">
      <c r="C834" s="316"/>
      <c r="D834" s="319"/>
      <c r="H834" s="3"/>
    </row>
    <row r="835">
      <c r="C835" s="316"/>
      <c r="D835" s="319"/>
      <c r="H835" s="3"/>
    </row>
    <row r="836">
      <c r="C836" s="316"/>
      <c r="D836" s="319"/>
      <c r="H836" s="3"/>
    </row>
    <row r="837">
      <c r="C837" s="316"/>
      <c r="D837" s="319"/>
      <c r="H837" s="3"/>
    </row>
    <row r="838">
      <c r="C838" s="316"/>
      <c r="D838" s="319"/>
      <c r="H838" s="3"/>
    </row>
    <row r="839">
      <c r="C839" s="316"/>
      <c r="D839" s="319"/>
      <c r="H839" s="3"/>
    </row>
    <row r="840">
      <c r="C840" s="316"/>
      <c r="D840" s="319"/>
      <c r="H840" s="3"/>
    </row>
    <row r="841">
      <c r="C841" s="316"/>
      <c r="D841" s="319"/>
      <c r="H841" s="3"/>
    </row>
    <row r="842">
      <c r="C842" s="316"/>
      <c r="D842" s="319"/>
      <c r="H842" s="3"/>
    </row>
    <row r="843">
      <c r="C843" s="316"/>
      <c r="D843" s="319"/>
      <c r="H843" s="3"/>
    </row>
    <row r="844">
      <c r="C844" s="316"/>
      <c r="D844" s="319"/>
      <c r="H844" s="3"/>
    </row>
    <row r="845">
      <c r="C845" s="316"/>
      <c r="D845" s="319"/>
      <c r="H845" s="3"/>
    </row>
    <row r="846">
      <c r="C846" s="316"/>
      <c r="D846" s="319"/>
      <c r="H846" s="3"/>
    </row>
    <row r="847">
      <c r="C847" s="316"/>
      <c r="D847" s="319"/>
      <c r="H847" s="3"/>
    </row>
    <row r="848">
      <c r="C848" s="316"/>
      <c r="D848" s="319"/>
      <c r="H848" s="3"/>
    </row>
    <row r="849">
      <c r="C849" s="316"/>
      <c r="D849" s="319"/>
      <c r="H849" s="3"/>
    </row>
    <row r="850">
      <c r="C850" s="316"/>
      <c r="D850" s="319"/>
      <c r="H850" s="3"/>
    </row>
    <row r="851">
      <c r="C851" s="316"/>
      <c r="D851" s="319"/>
      <c r="H851" s="3"/>
    </row>
    <row r="852">
      <c r="C852" s="316"/>
      <c r="D852" s="319"/>
      <c r="H852" s="3"/>
    </row>
    <row r="853">
      <c r="C853" s="316"/>
      <c r="D853" s="319"/>
      <c r="H853" s="3"/>
    </row>
    <row r="854">
      <c r="C854" s="316"/>
      <c r="D854" s="319"/>
      <c r="H854" s="3"/>
    </row>
    <row r="855">
      <c r="C855" s="316"/>
      <c r="D855" s="319"/>
      <c r="H855" s="3"/>
    </row>
    <row r="856">
      <c r="C856" s="316"/>
      <c r="D856" s="319"/>
      <c r="H856" s="3"/>
    </row>
    <row r="857">
      <c r="C857" s="316"/>
      <c r="D857" s="319"/>
      <c r="H857" s="3"/>
    </row>
    <row r="858">
      <c r="C858" s="316"/>
      <c r="D858" s="319"/>
      <c r="H858" s="3"/>
    </row>
    <row r="859">
      <c r="C859" s="316"/>
      <c r="D859" s="319"/>
      <c r="H859" s="3"/>
    </row>
    <row r="860">
      <c r="C860" s="316"/>
      <c r="D860" s="319"/>
      <c r="H860" s="3"/>
    </row>
    <row r="861">
      <c r="C861" s="316"/>
      <c r="D861" s="319"/>
      <c r="H861" s="3"/>
    </row>
    <row r="862">
      <c r="C862" s="316"/>
      <c r="D862" s="319"/>
      <c r="H862" s="3"/>
    </row>
    <row r="863">
      <c r="C863" s="316"/>
      <c r="D863" s="319"/>
      <c r="H863" s="3"/>
    </row>
    <row r="864">
      <c r="C864" s="316"/>
      <c r="D864" s="319"/>
      <c r="H864" s="3"/>
    </row>
    <row r="865">
      <c r="C865" s="316"/>
      <c r="D865" s="319"/>
      <c r="H865" s="3"/>
    </row>
    <row r="866">
      <c r="C866" s="316"/>
      <c r="D866" s="319"/>
      <c r="H866" s="3"/>
    </row>
    <row r="867">
      <c r="C867" s="316"/>
      <c r="D867" s="319"/>
      <c r="H867" s="3"/>
    </row>
    <row r="868">
      <c r="C868" s="316"/>
      <c r="D868" s="319"/>
      <c r="H868" s="3"/>
    </row>
    <row r="869">
      <c r="C869" s="316"/>
      <c r="D869" s="319"/>
      <c r="H869" s="3"/>
    </row>
    <row r="870">
      <c r="C870" s="316"/>
      <c r="D870" s="319"/>
      <c r="H870" s="3"/>
    </row>
    <row r="871">
      <c r="C871" s="316"/>
      <c r="D871" s="319"/>
      <c r="H871" s="3"/>
    </row>
    <row r="872">
      <c r="C872" s="316"/>
      <c r="D872" s="319"/>
      <c r="H872" s="3"/>
    </row>
    <row r="873">
      <c r="C873" s="316"/>
      <c r="D873" s="319"/>
      <c r="H873" s="3"/>
    </row>
    <row r="874">
      <c r="C874" s="316"/>
      <c r="D874" s="319"/>
      <c r="H874" s="3"/>
    </row>
    <row r="875">
      <c r="C875" s="316"/>
      <c r="D875" s="319"/>
      <c r="H875" s="3"/>
    </row>
    <row r="876">
      <c r="C876" s="316"/>
      <c r="D876" s="319"/>
      <c r="H876" s="3"/>
    </row>
    <row r="877">
      <c r="C877" s="316"/>
      <c r="D877" s="319"/>
      <c r="H877" s="3"/>
    </row>
    <row r="878">
      <c r="C878" s="316"/>
      <c r="D878" s="319"/>
      <c r="H878" s="3"/>
    </row>
    <row r="879">
      <c r="C879" s="316"/>
      <c r="D879" s="319"/>
      <c r="H879" s="3"/>
    </row>
    <row r="880">
      <c r="C880" s="316"/>
      <c r="D880" s="319"/>
      <c r="H880" s="3"/>
    </row>
    <row r="881">
      <c r="C881" s="316"/>
      <c r="D881" s="319"/>
      <c r="H881" s="3"/>
    </row>
    <row r="882">
      <c r="C882" s="316"/>
      <c r="D882" s="319"/>
      <c r="H882" s="3"/>
    </row>
    <row r="883">
      <c r="C883" s="316"/>
      <c r="D883" s="319"/>
      <c r="H883" s="3"/>
    </row>
    <row r="884">
      <c r="C884" s="316"/>
      <c r="D884" s="319"/>
      <c r="H884" s="3"/>
    </row>
    <row r="885">
      <c r="C885" s="316"/>
      <c r="D885" s="319"/>
      <c r="H885" s="3"/>
    </row>
    <row r="886">
      <c r="C886" s="316"/>
      <c r="D886" s="319"/>
      <c r="H886" s="3"/>
    </row>
    <row r="887">
      <c r="C887" s="316"/>
      <c r="D887" s="319"/>
      <c r="H887" s="3"/>
    </row>
    <row r="888">
      <c r="C888" s="316"/>
      <c r="D888" s="319"/>
      <c r="H888" s="3"/>
    </row>
    <row r="889">
      <c r="C889" s="316"/>
      <c r="D889" s="319"/>
      <c r="H889" s="3"/>
    </row>
    <row r="890">
      <c r="C890" s="316"/>
      <c r="D890" s="319"/>
      <c r="H890" s="3"/>
    </row>
    <row r="891">
      <c r="C891" s="316"/>
      <c r="D891" s="319"/>
      <c r="H891" s="3"/>
    </row>
    <row r="892">
      <c r="C892" s="316"/>
      <c r="D892" s="319"/>
      <c r="H892" s="3"/>
    </row>
    <row r="893">
      <c r="C893" s="316"/>
      <c r="D893" s="319"/>
      <c r="H893" s="3"/>
    </row>
    <row r="894">
      <c r="C894" s="316"/>
      <c r="D894" s="319"/>
      <c r="H894" s="3"/>
    </row>
    <row r="895">
      <c r="C895" s="316"/>
      <c r="D895" s="319"/>
      <c r="H895" s="3"/>
    </row>
    <row r="896">
      <c r="C896" s="316"/>
      <c r="D896" s="319"/>
      <c r="H896" s="3"/>
    </row>
    <row r="897">
      <c r="C897" s="316"/>
      <c r="D897" s="319"/>
      <c r="H897" s="3"/>
    </row>
    <row r="898">
      <c r="C898" s="316"/>
      <c r="D898" s="319"/>
      <c r="H898" s="3"/>
    </row>
    <row r="899">
      <c r="C899" s="316"/>
      <c r="D899" s="319"/>
      <c r="H899" s="3"/>
    </row>
    <row r="900">
      <c r="C900" s="316"/>
      <c r="D900" s="319"/>
      <c r="H900" s="3"/>
    </row>
    <row r="901">
      <c r="C901" s="316"/>
      <c r="D901" s="319"/>
      <c r="H901" s="3"/>
    </row>
    <row r="902">
      <c r="C902" s="316"/>
      <c r="D902" s="319"/>
      <c r="H902" s="3"/>
    </row>
    <row r="903">
      <c r="C903" s="316"/>
      <c r="D903" s="319"/>
      <c r="H903" s="3"/>
    </row>
    <row r="904">
      <c r="C904" s="316"/>
      <c r="D904" s="319"/>
      <c r="H904" s="3"/>
    </row>
    <row r="905">
      <c r="C905" s="316"/>
      <c r="D905" s="319"/>
      <c r="H905" s="3"/>
    </row>
    <row r="906">
      <c r="C906" s="316"/>
      <c r="D906" s="319"/>
      <c r="H906" s="3"/>
    </row>
    <row r="907">
      <c r="C907" s="316"/>
      <c r="D907" s="319"/>
      <c r="H907" s="3"/>
    </row>
    <row r="908">
      <c r="C908" s="316"/>
      <c r="D908" s="319"/>
      <c r="H908" s="3"/>
    </row>
    <row r="909">
      <c r="C909" s="316"/>
      <c r="D909" s="319"/>
      <c r="H909" s="3"/>
    </row>
    <row r="910">
      <c r="C910" s="316"/>
      <c r="D910" s="319"/>
      <c r="H910" s="3"/>
    </row>
    <row r="911">
      <c r="C911" s="316"/>
      <c r="D911" s="319"/>
      <c r="H911" s="3"/>
    </row>
    <row r="912">
      <c r="C912" s="316"/>
      <c r="D912" s="319"/>
      <c r="H912" s="3"/>
    </row>
    <row r="913">
      <c r="C913" s="316"/>
      <c r="D913" s="319"/>
      <c r="H913" s="3"/>
    </row>
    <row r="914">
      <c r="C914" s="316"/>
      <c r="D914" s="319"/>
      <c r="H914" s="3"/>
    </row>
    <row r="915">
      <c r="C915" s="316"/>
      <c r="D915" s="319"/>
      <c r="H915" s="3"/>
    </row>
    <row r="916">
      <c r="C916" s="316"/>
      <c r="D916" s="319"/>
      <c r="H916" s="3"/>
    </row>
    <row r="917">
      <c r="C917" s="316"/>
      <c r="D917" s="319"/>
      <c r="H917" s="3"/>
    </row>
    <row r="918">
      <c r="C918" s="316"/>
      <c r="D918" s="319"/>
      <c r="H918" s="3"/>
    </row>
    <row r="919">
      <c r="C919" s="316"/>
      <c r="D919" s="319"/>
      <c r="H919" s="3"/>
    </row>
    <row r="920">
      <c r="C920" s="316"/>
      <c r="D920" s="319"/>
      <c r="H920" s="3"/>
    </row>
    <row r="921">
      <c r="C921" s="316"/>
      <c r="D921" s="319"/>
      <c r="H921" s="3"/>
    </row>
    <row r="922">
      <c r="C922" s="316"/>
      <c r="D922" s="319"/>
      <c r="H922" s="3"/>
    </row>
    <row r="923">
      <c r="C923" s="316"/>
      <c r="D923" s="319"/>
      <c r="H923" s="3"/>
    </row>
    <row r="924">
      <c r="C924" s="316"/>
      <c r="D924" s="319"/>
      <c r="H924" s="3"/>
    </row>
    <row r="925">
      <c r="C925" s="316"/>
      <c r="D925" s="319"/>
      <c r="H925" s="3"/>
    </row>
    <row r="926">
      <c r="C926" s="316"/>
      <c r="D926" s="319"/>
      <c r="H926" s="3"/>
    </row>
    <row r="927">
      <c r="C927" s="316"/>
      <c r="D927" s="319"/>
      <c r="H927" s="3"/>
    </row>
    <row r="928">
      <c r="C928" s="316"/>
      <c r="D928" s="319"/>
      <c r="H928" s="3"/>
    </row>
    <row r="929">
      <c r="C929" s="316"/>
      <c r="D929" s="319"/>
      <c r="H929" s="3"/>
    </row>
    <row r="930">
      <c r="C930" s="316"/>
      <c r="D930" s="319"/>
      <c r="H930" s="3"/>
    </row>
    <row r="931">
      <c r="C931" s="316"/>
      <c r="D931" s="319"/>
      <c r="H931" s="3"/>
    </row>
    <row r="932">
      <c r="C932" s="316"/>
      <c r="D932" s="319"/>
      <c r="H932" s="3"/>
    </row>
    <row r="933">
      <c r="C933" s="316"/>
      <c r="D933" s="319"/>
      <c r="H933" s="3"/>
    </row>
    <row r="934">
      <c r="C934" s="316"/>
      <c r="D934" s="319"/>
      <c r="H934" s="3"/>
    </row>
    <row r="935">
      <c r="C935" s="316"/>
      <c r="D935" s="319"/>
      <c r="H935" s="3"/>
    </row>
    <row r="936">
      <c r="C936" s="316"/>
      <c r="D936" s="319"/>
      <c r="H936" s="3"/>
    </row>
    <row r="937">
      <c r="C937" s="316"/>
      <c r="D937" s="319"/>
      <c r="H937" s="3"/>
    </row>
    <row r="938">
      <c r="C938" s="316"/>
      <c r="D938" s="319"/>
      <c r="H938" s="3"/>
    </row>
    <row r="939">
      <c r="C939" s="316"/>
      <c r="D939" s="319"/>
      <c r="H939" s="3"/>
    </row>
    <row r="940">
      <c r="C940" s="316"/>
      <c r="D940" s="319"/>
      <c r="H940" s="3"/>
    </row>
    <row r="941">
      <c r="C941" s="316"/>
      <c r="D941" s="319"/>
      <c r="H941" s="3"/>
    </row>
    <row r="942">
      <c r="C942" s="316"/>
      <c r="D942" s="319"/>
      <c r="H942" s="3"/>
    </row>
    <row r="943">
      <c r="C943" s="316"/>
      <c r="D943" s="319"/>
      <c r="H943" s="3"/>
    </row>
    <row r="944">
      <c r="C944" s="316"/>
      <c r="D944" s="319"/>
      <c r="H944" s="3"/>
    </row>
    <row r="945">
      <c r="C945" s="316"/>
      <c r="D945" s="319"/>
      <c r="H945" s="3"/>
    </row>
    <row r="946">
      <c r="C946" s="316"/>
      <c r="D946" s="319"/>
      <c r="H946" s="3"/>
    </row>
    <row r="947">
      <c r="C947" s="316"/>
      <c r="D947" s="319"/>
      <c r="H947" s="3"/>
    </row>
    <row r="948">
      <c r="C948" s="316"/>
      <c r="D948" s="319"/>
      <c r="H948" s="3"/>
    </row>
    <row r="949">
      <c r="C949" s="316"/>
      <c r="D949" s="319"/>
      <c r="H949" s="3"/>
    </row>
    <row r="950">
      <c r="C950" s="316"/>
      <c r="D950" s="319"/>
      <c r="H950" s="3"/>
    </row>
    <row r="951">
      <c r="C951" s="316"/>
      <c r="D951" s="319"/>
      <c r="H951" s="3"/>
    </row>
    <row r="952">
      <c r="C952" s="316"/>
      <c r="D952" s="319"/>
      <c r="H952" s="3"/>
    </row>
    <row r="953">
      <c r="C953" s="316"/>
      <c r="D953" s="319"/>
      <c r="H953" s="3"/>
    </row>
    <row r="954">
      <c r="C954" s="316"/>
      <c r="D954" s="319"/>
      <c r="H954" s="3"/>
    </row>
    <row r="955">
      <c r="C955" s="316"/>
      <c r="D955" s="319"/>
      <c r="H955" s="3"/>
    </row>
    <row r="956">
      <c r="C956" s="316"/>
      <c r="D956" s="319"/>
      <c r="H956" s="3"/>
    </row>
    <row r="957">
      <c r="C957" s="316"/>
      <c r="D957" s="319"/>
      <c r="H957" s="3"/>
    </row>
    <row r="958">
      <c r="C958" s="316"/>
      <c r="D958" s="319"/>
      <c r="H958" s="3"/>
    </row>
    <row r="959">
      <c r="C959" s="316"/>
      <c r="D959" s="319"/>
      <c r="H959" s="3"/>
    </row>
    <row r="960">
      <c r="C960" s="316"/>
      <c r="D960" s="319"/>
      <c r="H960" s="3"/>
    </row>
    <row r="961">
      <c r="C961" s="316"/>
      <c r="D961" s="319"/>
      <c r="H961" s="3"/>
    </row>
    <row r="962">
      <c r="C962" s="316"/>
      <c r="D962" s="319"/>
      <c r="H962" s="3"/>
    </row>
    <row r="963">
      <c r="C963" s="316"/>
      <c r="D963" s="319"/>
      <c r="H963" s="3"/>
    </row>
    <row r="964">
      <c r="C964" s="316"/>
      <c r="D964" s="319"/>
      <c r="H964" s="3"/>
    </row>
    <row r="965">
      <c r="C965" s="316"/>
      <c r="D965" s="319"/>
      <c r="H965" s="3"/>
    </row>
    <row r="966">
      <c r="C966" s="316"/>
      <c r="D966" s="319"/>
      <c r="H966" s="3"/>
    </row>
    <row r="967">
      <c r="C967" s="316"/>
      <c r="D967" s="319"/>
      <c r="H967" s="3"/>
    </row>
    <row r="968">
      <c r="C968" s="316"/>
      <c r="D968" s="319"/>
      <c r="H968" s="3"/>
    </row>
    <row r="969">
      <c r="C969" s="316"/>
      <c r="D969" s="319"/>
      <c r="H969" s="3"/>
    </row>
    <row r="970">
      <c r="C970" s="316"/>
      <c r="D970" s="319"/>
      <c r="H970" s="3"/>
    </row>
    <row r="971">
      <c r="C971" s="316"/>
      <c r="D971" s="319"/>
      <c r="H971" s="3"/>
    </row>
    <row r="972">
      <c r="C972" s="316"/>
      <c r="D972" s="319"/>
      <c r="H972" s="3"/>
    </row>
    <row r="973">
      <c r="C973" s="316"/>
      <c r="D973" s="319"/>
      <c r="H973" s="3"/>
    </row>
    <row r="974">
      <c r="C974" s="316"/>
      <c r="D974" s="319"/>
      <c r="H974" s="3"/>
    </row>
    <row r="975">
      <c r="C975" s="316"/>
      <c r="D975" s="319"/>
      <c r="H975" s="3"/>
    </row>
    <row r="976">
      <c r="C976" s="316"/>
      <c r="D976" s="319"/>
      <c r="H976" s="3"/>
    </row>
    <row r="977">
      <c r="C977" s="316"/>
      <c r="D977" s="319"/>
      <c r="H977" s="3"/>
    </row>
    <row r="978">
      <c r="C978" s="316"/>
      <c r="D978" s="319"/>
      <c r="H978" s="3"/>
    </row>
    <row r="979">
      <c r="C979" s="316"/>
      <c r="D979" s="319"/>
      <c r="H979" s="3"/>
    </row>
    <row r="980">
      <c r="C980" s="316"/>
      <c r="D980" s="319"/>
      <c r="H980" s="3"/>
    </row>
    <row r="981">
      <c r="C981" s="316"/>
      <c r="D981" s="319"/>
      <c r="H981" s="3"/>
    </row>
    <row r="982">
      <c r="C982" s="316"/>
      <c r="D982" s="319"/>
      <c r="H982" s="3"/>
    </row>
    <row r="983">
      <c r="C983" s="316"/>
      <c r="D983" s="319"/>
      <c r="H983" s="3"/>
    </row>
    <row r="984">
      <c r="C984" s="316"/>
      <c r="D984" s="319"/>
      <c r="H984" s="3"/>
    </row>
    <row r="985">
      <c r="C985" s="316"/>
      <c r="D985" s="319"/>
      <c r="H985" s="3"/>
    </row>
    <row r="986">
      <c r="C986" s="316"/>
      <c r="D986" s="319"/>
      <c r="H986" s="3"/>
    </row>
    <row r="987">
      <c r="C987" s="316"/>
      <c r="D987" s="319"/>
      <c r="H987" s="3"/>
    </row>
    <row r="988">
      <c r="C988" s="316"/>
      <c r="D988" s="319"/>
      <c r="H988" s="3"/>
    </row>
    <row r="989">
      <c r="C989" s="316"/>
      <c r="D989" s="319"/>
      <c r="H989" s="3"/>
    </row>
    <row r="990">
      <c r="C990" s="316"/>
      <c r="D990" s="319"/>
      <c r="H990" s="3"/>
    </row>
    <row r="991">
      <c r="C991" s="316"/>
      <c r="D991" s="319"/>
      <c r="H991" s="3"/>
    </row>
    <row r="992">
      <c r="C992" s="316"/>
      <c r="D992" s="319"/>
      <c r="H992" s="3"/>
    </row>
    <row r="993">
      <c r="C993" s="316"/>
      <c r="D993" s="319"/>
      <c r="H993" s="3"/>
    </row>
    <row r="994">
      <c r="C994" s="316"/>
      <c r="D994" s="319"/>
      <c r="H994" s="3"/>
    </row>
    <row r="995">
      <c r="C995" s="316"/>
      <c r="D995" s="319"/>
      <c r="H995" s="3"/>
    </row>
    <row r="996">
      <c r="C996" s="316"/>
      <c r="D996" s="319"/>
      <c r="H996" s="3"/>
    </row>
    <row r="997">
      <c r="C997" s="316"/>
      <c r="D997" s="319"/>
      <c r="H997" s="3"/>
    </row>
  </sheetData>
  <dataValidations>
    <dataValidation type="list" allowBlank="1" showErrorMessage="1" sqref="B2:B138 B140:B181">
      <formula1>"Yr 3,Yr 4"</formula1>
    </dataValidation>
    <dataValidation type="list" allowBlank="1" showErrorMessage="1" sqref="B139">
      <formula1>"Yr 4,Option 2"</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outlineLevelCol="2"/>
  <cols>
    <col customWidth="1" min="1" max="1" width="14.63"/>
    <col customWidth="1" min="2" max="2" width="15.38"/>
    <col customWidth="1" min="3" max="3" width="14.13"/>
    <col collapsed="1" customWidth="1" min="4" max="4" width="3.5"/>
    <col customWidth="1" hidden="1" min="5" max="5" width="17.5" outlineLevel="2"/>
    <col customWidth="1" hidden="1" min="6" max="6" width="17.88" outlineLevel="2"/>
    <col customWidth="1" hidden="1" min="7" max="7" width="21.88" outlineLevel="2"/>
    <col customWidth="1" hidden="1" min="8" max="8" width="16.25" outlineLevel="2"/>
    <col customWidth="1" hidden="1" min="9" max="9" width="18.63" outlineLevel="2"/>
    <col customWidth="1" hidden="1" min="10" max="10" width="19.25" outlineLevel="2"/>
    <col customWidth="1" hidden="1" min="11" max="11" width="18.5" outlineLevel="2"/>
    <col customWidth="1" hidden="1" min="12" max="12" width="15.75" outlineLevel="2"/>
    <col hidden="1" min="13" max="13" width="12.63" outlineLevel="2"/>
    <col customWidth="1" hidden="1" min="14" max="14" width="14.5" outlineLevel="2"/>
    <col customWidth="1" hidden="1" min="15" max="15" width="21.63" outlineLevel="2"/>
    <col customWidth="1" hidden="1" min="16" max="16" width="21.5" outlineLevel="2"/>
    <col customWidth="1" hidden="1" min="17" max="17" width="29.25" outlineLevel="2"/>
    <col customWidth="1" hidden="1" min="18" max="18" width="2.88" outlineLevel="1"/>
    <col customWidth="1" hidden="1" min="19" max="19" width="19.5" outlineLevel="1"/>
    <col customWidth="1" hidden="1" min="20" max="20" width="18.38" outlineLevel="1"/>
    <col customWidth="1" hidden="1" min="21" max="21" width="21.5" outlineLevel="1"/>
    <col customWidth="1" hidden="1" min="22" max="22" width="18.38" outlineLevel="1"/>
    <col customWidth="1" min="27" max="27" width="16.5"/>
    <col customWidth="1" min="29" max="29" width="3.5"/>
    <col customWidth="1" min="30" max="31" width="13.38"/>
    <col customWidth="1" min="32" max="32" width="13.25"/>
    <col customWidth="1" min="33" max="33" width="13.38"/>
    <col customWidth="1" min="34" max="34" width="12.13"/>
    <col customWidth="1" min="35" max="35" width="3.5"/>
    <col customWidth="1" min="36" max="36" width="20.63"/>
    <col customWidth="1" min="37" max="37" width="15.5"/>
  </cols>
  <sheetData>
    <row r="1" ht="28.5" customHeight="1">
      <c r="A1" s="213" t="s">
        <v>966</v>
      </c>
      <c r="B1" s="249"/>
      <c r="C1" s="210"/>
      <c r="D1" s="252" t="s">
        <v>24</v>
      </c>
      <c r="E1" s="254" t="s">
        <v>978</v>
      </c>
      <c r="Q1" s="255"/>
      <c r="R1" s="252"/>
      <c r="S1" s="254" t="s">
        <v>984</v>
      </c>
      <c r="W1" s="254" t="s">
        <v>985</v>
      </c>
      <c r="AC1" s="252"/>
      <c r="AD1" s="254" t="s">
        <v>987</v>
      </c>
      <c r="AI1" s="252"/>
      <c r="AJ1" s="257"/>
      <c r="AK1" s="257"/>
      <c r="AL1" s="257"/>
      <c r="AM1" s="257"/>
      <c r="AN1" s="257"/>
      <c r="AO1" s="257"/>
    </row>
    <row r="2" ht="63.75" customHeight="1">
      <c r="A2" s="18" t="s">
        <v>0</v>
      </c>
      <c r="B2" s="259" t="s">
        <v>991</v>
      </c>
      <c r="C2" s="18" t="s">
        <v>992</v>
      </c>
      <c r="D2" s="252"/>
      <c r="E2" s="18" t="s">
        <v>994</v>
      </c>
      <c r="F2" s="18" t="s">
        <v>995</v>
      </c>
      <c r="G2" s="18" t="s">
        <v>997</v>
      </c>
      <c r="H2" s="260" t="s">
        <v>998</v>
      </c>
      <c r="I2" s="260" t="s">
        <v>1000</v>
      </c>
      <c r="J2" s="72" t="s">
        <v>1001</v>
      </c>
      <c r="K2" s="18" t="s">
        <v>1003</v>
      </c>
      <c r="L2" s="18" t="s">
        <v>1004</v>
      </c>
      <c r="M2" s="18" t="s">
        <v>1006</v>
      </c>
      <c r="N2" s="18" t="s">
        <v>1013</v>
      </c>
      <c r="O2" s="18" t="s">
        <v>1014</v>
      </c>
      <c r="P2" s="18" t="s">
        <v>1016</v>
      </c>
      <c r="Q2" s="261" t="s">
        <v>1019</v>
      </c>
      <c r="R2" s="252"/>
      <c r="S2" s="18" t="s">
        <v>1021</v>
      </c>
      <c r="T2" s="18" t="s">
        <v>1023</v>
      </c>
      <c r="U2" s="261" t="s">
        <v>1024</v>
      </c>
      <c r="V2" s="261"/>
      <c r="W2" s="18" t="s">
        <v>1025</v>
      </c>
      <c r="X2" s="18" t="s">
        <v>1026</v>
      </c>
      <c r="Y2" s="18" t="s">
        <v>1027</v>
      </c>
      <c r="Z2" s="18" t="s">
        <v>1029</v>
      </c>
      <c r="AA2" s="261" t="s">
        <v>1024</v>
      </c>
      <c r="AB2" s="242" t="s">
        <v>19</v>
      </c>
      <c r="AC2" s="252"/>
      <c r="AD2" s="18" t="s">
        <v>1042</v>
      </c>
      <c r="AE2" s="18" t="s">
        <v>1044</v>
      </c>
      <c r="AF2" s="18" t="s">
        <v>1045</v>
      </c>
      <c r="AG2" s="261" t="s">
        <v>1024</v>
      </c>
      <c r="AH2" s="242" t="s">
        <v>19</v>
      </c>
      <c r="AI2" s="252"/>
      <c r="AJ2" s="257"/>
      <c r="AK2" s="257"/>
      <c r="AL2" s="257"/>
      <c r="AM2" s="257"/>
      <c r="AN2" s="257"/>
      <c r="AO2" s="257"/>
    </row>
    <row r="3" ht="30.75" customHeight="1">
      <c r="A3" s="132" t="s">
        <v>1048</v>
      </c>
      <c r="B3" s="264" t="s">
        <v>1051</v>
      </c>
      <c r="C3" s="265">
        <v>45284.0</v>
      </c>
      <c r="D3" s="266"/>
      <c r="E3" s="222">
        <v>44932.0</v>
      </c>
      <c r="F3" s="132" t="s">
        <v>40</v>
      </c>
      <c r="G3" s="3"/>
      <c r="H3" s="132" t="s">
        <v>1065</v>
      </c>
      <c r="I3" s="132" t="s">
        <v>1065</v>
      </c>
      <c r="J3" s="132" t="s">
        <v>1067</v>
      </c>
      <c r="K3" s="267">
        <v>25.0</v>
      </c>
      <c r="L3" s="3"/>
      <c r="M3" s="3"/>
      <c r="N3" s="3"/>
      <c r="O3" s="3"/>
      <c r="P3" s="3"/>
      <c r="Q3" s="3"/>
      <c r="R3" s="266"/>
      <c r="S3" s="269"/>
      <c r="T3" s="3"/>
      <c r="W3" s="269"/>
      <c r="X3" s="269"/>
      <c r="Y3" s="3"/>
      <c r="Z3" s="3"/>
      <c r="AA3" s="3"/>
      <c r="AC3" s="266"/>
      <c r="AD3" s="271"/>
      <c r="AE3" s="271"/>
      <c r="AF3" s="271"/>
      <c r="AG3" s="271"/>
      <c r="AH3" s="271"/>
      <c r="AI3" s="266"/>
      <c r="AJ3" s="272" t="s">
        <v>1082</v>
      </c>
      <c r="AK3" s="273"/>
    </row>
    <row r="4" ht="30.75" customHeight="1">
      <c r="A4" s="132" t="s">
        <v>53</v>
      </c>
      <c r="B4" s="279" t="s">
        <v>1099</v>
      </c>
      <c r="C4" s="229">
        <v>45774.0</v>
      </c>
      <c r="D4" s="280"/>
      <c r="E4" s="281">
        <v>44937.0</v>
      </c>
      <c r="F4" s="132" t="s">
        <v>40</v>
      </c>
      <c r="G4" s="132" t="s">
        <v>1105</v>
      </c>
      <c r="H4" s="132" t="s">
        <v>1065</v>
      </c>
      <c r="I4" s="132" t="s">
        <v>1065</v>
      </c>
      <c r="J4" s="132" t="s">
        <v>1067</v>
      </c>
      <c r="K4" s="267">
        <v>25.0</v>
      </c>
      <c r="L4" s="267">
        <v>25.0</v>
      </c>
      <c r="M4" s="267">
        <v>100.0</v>
      </c>
      <c r="N4" s="267">
        <v>50.0</v>
      </c>
      <c r="O4" s="267" t="s">
        <v>1109</v>
      </c>
      <c r="P4" s="267">
        <v>50.0</v>
      </c>
      <c r="Q4" s="132" t="s">
        <v>1117</v>
      </c>
      <c r="R4" s="280"/>
      <c r="S4" s="267">
        <v>50.0</v>
      </c>
      <c r="T4" s="267">
        <v>50.0</v>
      </c>
      <c r="U4" s="132" t="s">
        <v>1119</v>
      </c>
      <c r="W4" s="267">
        <v>25.0</v>
      </c>
      <c r="X4" s="267">
        <v>50.0</v>
      </c>
      <c r="Y4" s="267">
        <v>50.0</v>
      </c>
      <c r="Z4" s="267">
        <v>100.0</v>
      </c>
      <c r="AA4" s="132" t="s">
        <v>1122</v>
      </c>
      <c r="AB4" s="14"/>
      <c r="AC4" s="280"/>
      <c r="AD4" s="288">
        <v>25.0</v>
      </c>
      <c r="AE4" s="288">
        <v>50.0</v>
      </c>
      <c r="AF4" s="288">
        <v>50.0</v>
      </c>
      <c r="AG4" s="290" t="s">
        <v>1128</v>
      </c>
      <c r="AH4" s="291"/>
      <c r="AI4" s="280"/>
      <c r="AJ4" s="292" t="s">
        <v>1132</v>
      </c>
      <c r="AK4" s="293">
        <v>14.0</v>
      </c>
    </row>
    <row r="5" ht="30.75" customHeight="1">
      <c r="A5" s="132" t="s">
        <v>34</v>
      </c>
      <c r="B5" s="296" t="s">
        <v>1139</v>
      </c>
      <c r="C5" s="132" t="s">
        <v>1141</v>
      </c>
      <c r="D5" s="298"/>
      <c r="E5" s="281">
        <v>44943.0</v>
      </c>
      <c r="F5" s="132" t="s">
        <v>40</v>
      </c>
      <c r="G5" s="239" t="s">
        <v>1145</v>
      </c>
      <c r="H5" s="132" t="s">
        <v>1065</v>
      </c>
      <c r="I5" s="132" t="s">
        <v>1065</v>
      </c>
      <c r="J5" s="132" t="s">
        <v>1067</v>
      </c>
      <c r="K5" s="267">
        <v>25.0</v>
      </c>
      <c r="L5" s="267">
        <v>25.0</v>
      </c>
      <c r="M5" s="267">
        <v>100.0</v>
      </c>
      <c r="N5" s="267">
        <v>50.0</v>
      </c>
      <c r="O5" s="267">
        <v>100.0</v>
      </c>
      <c r="P5" s="267">
        <v>50.0</v>
      </c>
      <c r="Q5" s="3"/>
      <c r="R5" s="303"/>
      <c r="S5" s="267">
        <v>50.0</v>
      </c>
      <c r="T5" s="267">
        <v>50.0</v>
      </c>
      <c r="W5" s="267">
        <v>25.0</v>
      </c>
      <c r="X5" s="267">
        <v>50.0</v>
      </c>
      <c r="Y5" s="267">
        <v>50.0</v>
      </c>
      <c r="Z5" s="267">
        <v>100.0</v>
      </c>
      <c r="AA5" s="132" t="s">
        <v>1146</v>
      </c>
      <c r="AB5" s="11" t="s">
        <v>1147</v>
      </c>
      <c r="AC5" s="298"/>
      <c r="AD5" s="288">
        <v>25.0</v>
      </c>
      <c r="AE5" s="288">
        <v>50.0</v>
      </c>
      <c r="AF5" s="288">
        <v>50.0</v>
      </c>
      <c r="AG5" s="291"/>
      <c r="AH5" s="304" t="s">
        <v>1148</v>
      </c>
      <c r="AI5" s="298"/>
      <c r="AJ5" s="292" t="s">
        <v>1150</v>
      </c>
      <c r="AK5" s="309">
        <f>IF(AK4="","",ROUND(AK4*2*0.725,2))
</f>
        <v>20.3</v>
      </c>
    </row>
    <row r="6" ht="30.75" customHeight="1">
      <c r="A6" s="132" t="s">
        <v>67</v>
      </c>
      <c r="B6" s="279" t="s">
        <v>1162</v>
      </c>
      <c r="C6" s="132" t="s">
        <v>1163</v>
      </c>
      <c r="D6" s="298"/>
      <c r="E6" s="222">
        <v>44946.0</v>
      </c>
      <c r="F6" s="132" t="s">
        <v>40</v>
      </c>
      <c r="G6" s="310" t="s">
        <v>1165</v>
      </c>
      <c r="H6" s="132" t="s">
        <v>1065</v>
      </c>
      <c r="I6" s="132" t="s">
        <v>1065</v>
      </c>
      <c r="J6" s="132" t="s">
        <v>1067</v>
      </c>
      <c r="K6" s="267">
        <v>25.0</v>
      </c>
      <c r="L6" s="267">
        <v>25.0</v>
      </c>
      <c r="M6" s="267">
        <v>100.0</v>
      </c>
      <c r="N6" s="267">
        <v>50.0</v>
      </c>
      <c r="O6" s="267" t="s">
        <v>1109</v>
      </c>
      <c r="P6" s="267">
        <v>50.0</v>
      </c>
      <c r="Q6" s="312" t="s">
        <v>1168</v>
      </c>
      <c r="R6" s="303"/>
      <c r="S6" s="267">
        <v>50.0</v>
      </c>
      <c r="T6" s="267">
        <v>50.0</v>
      </c>
      <c r="U6" s="132" t="s">
        <v>1174</v>
      </c>
      <c r="W6" s="267">
        <v>25.0</v>
      </c>
      <c r="X6" s="267">
        <v>50.0</v>
      </c>
      <c r="Y6" s="267">
        <v>50.0</v>
      </c>
      <c r="Z6" s="267">
        <v>100.0</v>
      </c>
      <c r="AA6" s="132" t="s">
        <v>1178</v>
      </c>
      <c r="AB6" s="14"/>
      <c r="AC6" s="298"/>
      <c r="AD6" s="288">
        <v>25.0</v>
      </c>
      <c r="AE6" s="288">
        <v>50.0</v>
      </c>
      <c r="AF6" s="288">
        <v>50.0</v>
      </c>
      <c r="AG6" s="290" t="s">
        <v>1180</v>
      </c>
      <c r="AH6" s="14"/>
      <c r="AI6" s="298"/>
      <c r="AJ6" s="14"/>
      <c r="AK6" s="315"/>
    </row>
    <row r="7" ht="30.75" customHeight="1">
      <c r="A7" s="132" t="s">
        <v>65</v>
      </c>
      <c r="B7" s="279" t="s">
        <v>1182</v>
      </c>
      <c r="C7" s="132" t="s">
        <v>1183</v>
      </c>
      <c r="D7" s="298"/>
      <c r="E7" s="222">
        <v>44949.0</v>
      </c>
      <c r="F7" s="132" t="s">
        <v>40</v>
      </c>
      <c r="G7" s="132" t="s">
        <v>1186</v>
      </c>
      <c r="H7" s="132" t="s">
        <v>1065</v>
      </c>
      <c r="I7" s="132" t="s">
        <v>1065</v>
      </c>
      <c r="J7" s="132" t="s">
        <v>1188</v>
      </c>
      <c r="K7" s="267">
        <v>25.0</v>
      </c>
      <c r="L7" s="267">
        <v>25.0</v>
      </c>
      <c r="M7" s="267">
        <v>100.0</v>
      </c>
      <c r="N7" s="267">
        <v>50.0</v>
      </c>
      <c r="O7" s="267">
        <v>100.0</v>
      </c>
      <c r="P7" s="267">
        <v>25.0</v>
      </c>
      <c r="Q7" s="312" t="s">
        <v>1194</v>
      </c>
      <c r="R7" s="280"/>
      <c r="S7" s="267">
        <v>50.0</v>
      </c>
      <c r="T7" s="267">
        <v>50.0</v>
      </c>
      <c r="U7" s="132" t="s">
        <v>1195</v>
      </c>
      <c r="W7" s="267">
        <v>25.0</v>
      </c>
      <c r="X7" s="267">
        <v>50.0</v>
      </c>
      <c r="Y7" s="267">
        <v>50.0</v>
      </c>
      <c r="Z7" s="267">
        <v>100.0</v>
      </c>
      <c r="AA7" s="132" t="s">
        <v>1197</v>
      </c>
      <c r="AB7" s="320"/>
      <c r="AC7" s="298"/>
      <c r="AD7" s="321">
        <v>25.0</v>
      </c>
      <c r="AE7" s="321">
        <v>50.0</v>
      </c>
      <c r="AF7" s="321">
        <v>50.0</v>
      </c>
      <c r="AG7" s="11" t="s">
        <v>1200</v>
      </c>
      <c r="AH7" s="14"/>
      <c r="AI7" s="298"/>
      <c r="AJ7" s="14" t="s">
        <v>1201</v>
      </c>
      <c r="AK7" s="51"/>
    </row>
    <row r="8" ht="30.75" customHeight="1">
      <c r="A8" s="132" t="s">
        <v>59</v>
      </c>
      <c r="B8" s="279" t="s">
        <v>1202</v>
      </c>
      <c r="C8" s="265">
        <v>45774.0</v>
      </c>
      <c r="D8" s="298"/>
      <c r="E8" s="222">
        <v>44965.0</v>
      </c>
      <c r="F8" s="132" t="s">
        <v>28</v>
      </c>
      <c r="G8" s="132" t="s">
        <v>1203</v>
      </c>
      <c r="H8" s="132" t="s">
        <v>1065</v>
      </c>
      <c r="I8" s="132" t="s">
        <v>1065</v>
      </c>
      <c r="J8" s="132" t="s">
        <v>1067</v>
      </c>
      <c r="K8" s="267">
        <v>25.0</v>
      </c>
      <c r="L8" s="267">
        <v>25.0</v>
      </c>
      <c r="M8" s="267">
        <v>100.0</v>
      </c>
      <c r="N8" s="267">
        <v>50.0</v>
      </c>
      <c r="O8" s="267" t="s">
        <v>1109</v>
      </c>
      <c r="P8" s="267">
        <v>50.0</v>
      </c>
      <c r="Q8" s="312" t="s">
        <v>1207</v>
      </c>
      <c r="R8" s="303"/>
      <c r="S8" s="267">
        <v>50.0</v>
      </c>
      <c r="T8" s="267">
        <v>50.0</v>
      </c>
      <c r="U8" s="16" t="s">
        <v>1210</v>
      </c>
      <c r="W8" s="267">
        <v>25.0</v>
      </c>
      <c r="X8" s="267">
        <v>50.0</v>
      </c>
      <c r="Y8" s="267">
        <v>50.0</v>
      </c>
      <c r="Z8" s="267">
        <v>100.0</v>
      </c>
      <c r="AA8" s="132" t="s">
        <v>1214</v>
      </c>
      <c r="AC8" s="298"/>
      <c r="AD8" s="321">
        <v>25.0</v>
      </c>
      <c r="AE8" s="321">
        <v>50.0</v>
      </c>
      <c r="AF8" s="321">
        <v>50.0</v>
      </c>
      <c r="AG8" s="11" t="s">
        <v>1215</v>
      </c>
      <c r="AH8" s="14"/>
      <c r="AI8" s="298"/>
      <c r="AJ8" s="14" t="s">
        <v>1216</v>
      </c>
      <c r="AK8" s="322"/>
    </row>
    <row r="9" ht="30.75" customHeight="1">
      <c r="A9" s="132" t="s">
        <v>10</v>
      </c>
      <c r="B9" s="279" t="s">
        <v>1217</v>
      </c>
      <c r="C9" s="229">
        <v>45743.0</v>
      </c>
      <c r="D9" s="298"/>
      <c r="E9" s="222">
        <v>44966.0</v>
      </c>
      <c r="F9" s="132" t="s">
        <v>40</v>
      </c>
      <c r="G9" s="323" t="s">
        <v>1218</v>
      </c>
      <c r="H9" s="132" t="s">
        <v>1065</v>
      </c>
      <c r="I9" s="132" t="s">
        <v>1065</v>
      </c>
      <c r="J9" s="132" t="s">
        <v>1067</v>
      </c>
      <c r="K9" s="267">
        <v>25.0</v>
      </c>
      <c r="L9" s="267">
        <v>25.0</v>
      </c>
      <c r="M9" s="267">
        <v>100.0</v>
      </c>
      <c r="N9" s="267">
        <v>50.0</v>
      </c>
      <c r="O9" s="267" t="s">
        <v>1109</v>
      </c>
      <c r="P9" s="267">
        <v>50.0</v>
      </c>
      <c r="Q9" s="312"/>
      <c r="R9" s="303"/>
      <c r="S9" s="267">
        <v>25.0</v>
      </c>
      <c r="T9" s="267">
        <v>50.0</v>
      </c>
      <c r="W9" s="267">
        <v>25.0</v>
      </c>
      <c r="X9" s="267">
        <v>50.0</v>
      </c>
      <c r="Y9" s="267">
        <v>50.0</v>
      </c>
      <c r="Z9" s="267">
        <v>100.0</v>
      </c>
      <c r="AA9" s="3"/>
      <c r="AB9" s="304" t="s">
        <v>1147</v>
      </c>
      <c r="AC9" s="298"/>
      <c r="AD9" s="267">
        <v>25.0</v>
      </c>
      <c r="AE9" s="267">
        <v>50.0</v>
      </c>
      <c r="AF9" s="267">
        <v>50.0</v>
      </c>
      <c r="AG9" s="324"/>
      <c r="AH9" s="325" t="s">
        <v>1222</v>
      </c>
      <c r="AI9" s="298"/>
      <c r="AJ9" s="324" t="s">
        <v>1224</v>
      </c>
      <c r="AK9" s="326"/>
    </row>
    <row r="10" ht="30.75" customHeight="1">
      <c r="A10" s="327" t="s">
        <v>1225</v>
      </c>
      <c r="B10" s="328" t="s">
        <v>1228</v>
      </c>
      <c r="C10" s="329">
        <v>45101.0</v>
      </c>
      <c r="D10" s="298"/>
      <c r="E10" s="330">
        <v>44970.0</v>
      </c>
      <c r="F10" s="327" t="s">
        <v>40</v>
      </c>
      <c r="G10" s="331" t="s">
        <v>1230</v>
      </c>
      <c r="H10" s="327" t="s">
        <v>1232</v>
      </c>
      <c r="I10" s="327" t="s">
        <v>1232</v>
      </c>
      <c r="J10" s="327" t="s">
        <v>1067</v>
      </c>
      <c r="K10" s="327">
        <v>25.0</v>
      </c>
      <c r="L10" s="3"/>
      <c r="M10" s="3"/>
      <c r="N10" s="3"/>
      <c r="O10" s="3"/>
      <c r="P10" s="3"/>
      <c r="Q10" s="3"/>
      <c r="R10" s="303"/>
      <c r="S10" s="3"/>
      <c r="T10" s="3"/>
      <c r="W10" s="3"/>
      <c r="X10" s="3"/>
      <c r="Y10" s="3"/>
      <c r="Z10" s="3"/>
      <c r="AA10" s="3"/>
      <c r="AB10" s="332"/>
      <c r="AC10" s="298"/>
      <c r="AD10" s="324"/>
      <c r="AE10" s="324"/>
      <c r="AF10" s="324"/>
      <c r="AG10" s="324"/>
      <c r="AH10" s="324"/>
      <c r="AI10" s="298"/>
      <c r="AJ10" s="324" t="s">
        <v>1235</v>
      </c>
      <c r="AK10" s="333"/>
    </row>
    <row r="11" ht="30.75" customHeight="1">
      <c r="A11" s="132" t="s">
        <v>49</v>
      </c>
      <c r="B11" s="279" t="s">
        <v>1236</v>
      </c>
      <c r="C11" s="265">
        <v>45284.0</v>
      </c>
      <c r="D11" s="298"/>
      <c r="E11" s="224">
        <v>44973.0</v>
      </c>
      <c r="F11" s="132" t="s">
        <v>28</v>
      </c>
      <c r="G11" s="334"/>
      <c r="H11" s="132" t="s">
        <v>1065</v>
      </c>
      <c r="I11" s="132" t="s">
        <v>1065</v>
      </c>
      <c r="J11" s="132" t="s">
        <v>1067</v>
      </c>
      <c r="K11" s="267">
        <v>25.0</v>
      </c>
      <c r="L11" s="267">
        <v>25.0</v>
      </c>
      <c r="M11" s="267">
        <v>100.0</v>
      </c>
      <c r="N11" s="267">
        <v>50.0</v>
      </c>
      <c r="O11" s="267" t="s">
        <v>1109</v>
      </c>
      <c r="P11" s="267">
        <v>50.0</v>
      </c>
      <c r="Q11" s="3"/>
      <c r="R11" s="303"/>
      <c r="S11" s="267">
        <v>25.0</v>
      </c>
      <c r="T11" s="267">
        <v>50.0</v>
      </c>
      <c r="W11" s="3"/>
      <c r="X11" s="3"/>
      <c r="Y11" s="3"/>
      <c r="Z11" s="3"/>
      <c r="AA11" s="3"/>
      <c r="AB11" s="332"/>
      <c r="AC11" s="298"/>
      <c r="AD11" s="324"/>
      <c r="AE11" s="324"/>
      <c r="AF11" s="324"/>
      <c r="AG11" s="324"/>
      <c r="AH11" s="324"/>
      <c r="AI11" s="298"/>
      <c r="AJ11" s="324"/>
      <c r="AK11" s="336"/>
    </row>
    <row r="12" ht="30.75" customHeight="1">
      <c r="A12" s="132" t="s">
        <v>46</v>
      </c>
      <c r="B12" s="279" t="s">
        <v>1239</v>
      </c>
      <c r="C12" s="265">
        <v>45255.0</v>
      </c>
      <c r="D12" s="298"/>
      <c r="E12" s="224">
        <v>44974.0</v>
      </c>
      <c r="F12" s="132" t="s">
        <v>28</v>
      </c>
      <c r="G12" s="132" t="s">
        <v>1241</v>
      </c>
      <c r="H12" s="132" t="s">
        <v>1065</v>
      </c>
      <c r="I12" s="132" t="s">
        <v>1065</v>
      </c>
      <c r="J12" s="132" t="s">
        <v>1067</v>
      </c>
      <c r="K12" s="267">
        <v>25.0</v>
      </c>
      <c r="L12" s="267">
        <v>25.0</v>
      </c>
      <c r="M12" s="267">
        <v>100.0</v>
      </c>
      <c r="N12" s="267">
        <v>50.0</v>
      </c>
      <c r="O12" s="267" t="s">
        <v>1109</v>
      </c>
      <c r="P12" s="267">
        <v>50.0</v>
      </c>
      <c r="Q12" s="132" t="s">
        <v>1242</v>
      </c>
      <c r="R12" s="298"/>
      <c r="S12" s="267">
        <v>50.0</v>
      </c>
      <c r="T12" s="267">
        <v>50.0</v>
      </c>
      <c r="W12" s="267">
        <v>25.0</v>
      </c>
      <c r="X12" s="267">
        <v>50.0</v>
      </c>
      <c r="Y12" s="267">
        <v>50.0</v>
      </c>
      <c r="Z12" s="267">
        <v>100.0</v>
      </c>
      <c r="AA12" s="3"/>
      <c r="AB12" s="304" t="s">
        <v>24</v>
      </c>
      <c r="AC12" s="298"/>
      <c r="AD12" s="332"/>
      <c r="AE12" s="332"/>
      <c r="AF12" s="332"/>
      <c r="AG12" s="332"/>
      <c r="AH12" s="332"/>
      <c r="AI12" s="298"/>
      <c r="AJ12" s="340" t="s">
        <v>1244</v>
      </c>
      <c r="AK12" s="341">
        <v>50.0</v>
      </c>
    </row>
    <row r="13" ht="30.75" customHeight="1">
      <c r="A13" s="132" t="s">
        <v>1246</v>
      </c>
      <c r="B13" s="279" t="s">
        <v>1247</v>
      </c>
      <c r="C13" s="229">
        <v>45101.0</v>
      </c>
      <c r="D13" s="298"/>
      <c r="E13" s="222">
        <v>44987.0</v>
      </c>
      <c r="F13" s="132" t="s">
        <v>28</v>
      </c>
      <c r="G13" s="3"/>
      <c r="H13" s="132" t="s">
        <v>1065</v>
      </c>
      <c r="I13" s="132" t="s">
        <v>1065</v>
      </c>
      <c r="J13" s="132" t="s">
        <v>1067</v>
      </c>
      <c r="K13" s="267">
        <v>25.0</v>
      </c>
      <c r="L13" s="342">
        <v>25.0</v>
      </c>
      <c r="M13" s="3"/>
      <c r="N13" s="3"/>
      <c r="O13" s="3"/>
      <c r="P13" s="3"/>
      <c r="Q13" s="3"/>
      <c r="R13" s="298"/>
      <c r="S13" s="267">
        <v>50.0</v>
      </c>
      <c r="T13" s="267">
        <v>50.0</v>
      </c>
      <c r="W13" s="3"/>
      <c r="X13" s="3"/>
      <c r="Y13" s="3"/>
      <c r="Z13" s="3"/>
      <c r="AA13" s="3"/>
      <c r="AB13" s="332"/>
      <c r="AC13" s="298"/>
      <c r="AD13" s="332"/>
      <c r="AE13" s="332"/>
      <c r="AF13" s="332"/>
      <c r="AG13" s="332"/>
      <c r="AH13" s="332"/>
      <c r="AI13" s="298"/>
      <c r="AJ13" s="343" t="s">
        <v>1251</v>
      </c>
      <c r="AK13" s="344">
        <v>25.0</v>
      </c>
    </row>
    <row r="14" ht="30.75" customHeight="1">
      <c r="A14" s="132" t="s">
        <v>27</v>
      </c>
      <c r="B14" s="279" t="s">
        <v>1254</v>
      </c>
      <c r="C14" s="265">
        <v>46323.0</v>
      </c>
      <c r="D14" s="298"/>
      <c r="E14" s="222">
        <v>45040.0</v>
      </c>
      <c r="F14" s="132" t="s">
        <v>28</v>
      </c>
      <c r="G14" s="239" t="s">
        <v>1255</v>
      </c>
      <c r="H14" s="132" t="s">
        <v>1065</v>
      </c>
      <c r="I14" s="132" t="s">
        <v>1065</v>
      </c>
      <c r="J14" s="132" t="s">
        <v>1067</v>
      </c>
      <c r="K14" s="267">
        <v>25.0</v>
      </c>
      <c r="L14" s="267">
        <v>25.0</v>
      </c>
      <c r="M14" s="267">
        <v>100.0</v>
      </c>
      <c r="N14" s="267">
        <v>50.0</v>
      </c>
      <c r="O14" s="267">
        <v>100.0</v>
      </c>
      <c r="P14" s="267">
        <v>25.0</v>
      </c>
      <c r="Q14" s="3"/>
      <c r="R14" s="298"/>
      <c r="S14" s="267">
        <v>25.0</v>
      </c>
      <c r="T14" s="267">
        <v>50.0</v>
      </c>
      <c r="W14" s="267">
        <v>25.0</v>
      </c>
      <c r="X14" s="267">
        <v>50.0</v>
      </c>
      <c r="Y14" s="267">
        <v>50.0</v>
      </c>
      <c r="Z14" s="267">
        <v>100.0</v>
      </c>
      <c r="AA14" s="3"/>
      <c r="AB14" s="332"/>
      <c r="AC14" s="298"/>
      <c r="AD14" s="267">
        <v>25.0</v>
      </c>
      <c r="AE14" s="267">
        <v>50.0</v>
      </c>
      <c r="AF14" s="267">
        <v>50.0</v>
      </c>
      <c r="AG14" s="304"/>
      <c r="AH14" s="304" t="s">
        <v>1148</v>
      </c>
      <c r="AI14" s="298"/>
      <c r="AJ14" s="343" t="s">
        <v>1257</v>
      </c>
      <c r="AK14" s="344">
        <v>25.0</v>
      </c>
    </row>
    <row r="15" ht="30.75" customHeight="1">
      <c r="A15" s="132" t="s">
        <v>50</v>
      </c>
      <c r="B15" s="279" t="s">
        <v>1259</v>
      </c>
      <c r="C15" s="265">
        <v>45284.0</v>
      </c>
      <c r="D15" s="298"/>
      <c r="E15" s="229">
        <v>44992.0</v>
      </c>
      <c r="F15" s="132" t="s">
        <v>40</v>
      </c>
      <c r="G15" s="345" t="s">
        <v>1260</v>
      </c>
      <c r="H15" s="132" t="s">
        <v>1065</v>
      </c>
      <c r="I15" s="132" t="s">
        <v>1065</v>
      </c>
      <c r="J15" s="132" t="s">
        <v>1067</v>
      </c>
      <c r="K15" s="267">
        <v>25.0</v>
      </c>
      <c r="L15" s="267">
        <v>25.0</v>
      </c>
      <c r="M15" s="267">
        <v>100.0</v>
      </c>
      <c r="N15" s="267">
        <v>50.0</v>
      </c>
      <c r="O15" s="267">
        <v>100.0</v>
      </c>
      <c r="P15" s="267">
        <v>25.0</v>
      </c>
      <c r="Q15" s="132" t="s">
        <v>1262</v>
      </c>
      <c r="R15" s="298"/>
      <c r="S15" s="267">
        <v>50.0</v>
      </c>
      <c r="T15" s="267">
        <v>50.0</v>
      </c>
      <c r="W15" s="267">
        <v>25.0</v>
      </c>
      <c r="X15" s="267">
        <v>50.0</v>
      </c>
      <c r="Y15" s="267">
        <v>50.0</v>
      </c>
      <c r="Z15" s="267">
        <v>100.0</v>
      </c>
      <c r="AA15" s="132" t="s">
        <v>1263</v>
      </c>
      <c r="AB15" s="332"/>
      <c r="AC15" s="298"/>
      <c r="AD15" s="267">
        <v>25.0</v>
      </c>
      <c r="AE15" s="267">
        <v>50.0</v>
      </c>
      <c r="AF15" s="346" t="s">
        <v>1265</v>
      </c>
      <c r="AG15" s="332"/>
      <c r="AH15" s="304" t="s">
        <v>1266</v>
      </c>
      <c r="AI15" s="298"/>
      <c r="AJ15" s="343" t="s">
        <v>1267</v>
      </c>
      <c r="AK15" s="344">
        <v>50.0</v>
      </c>
    </row>
    <row r="16" ht="30.75" customHeight="1">
      <c r="A16" s="132" t="s">
        <v>22</v>
      </c>
      <c r="B16" s="279" t="s">
        <v>1268</v>
      </c>
      <c r="C16" s="132" t="s">
        <v>1269</v>
      </c>
      <c r="D16" s="298"/>
      <c r="E16" s="229">
        <v>44995.0</v>
      </c>
      <c r="F16" s="132" t="s">
        <v>40</v>
      </c>
      <c r="G16" s="47" t="s">
        <v>1272</v>
      </c>
      <c r="H16" s="132" t="s">
        <v>1065</v>
      </c>
      <c r="I16" s="132" t="s">
        <v>1065</v>
      </c>
      <c r="J16" s="132" t="s">
        <v>1067</v>
      </c>
      <c r="K16" s="267">
        <v>25.0</v>
      </c>
      <c r="L16" s="267">
        <v>25.0</v>
      </c>
      <c r="M16" s="267">
        <v>100.0</v>
      </c>
      <c r="N16" s="267">
        <v>50.0</v>
      </c>
      <c r="O16" s="267" t="s">
        <v>1109</v>
      </c>
      <c r="P16" s="267">
        <v>25.0</v>
      </c>
      <c r="R16" s="298"/>
      <c r="S16" s="267">
        <v>25.0</v>
      </c>
      <c r="T16" s="267">
        <v>50.0</v>
      </c>
      <c r="W16" s="267">
        <v>25.0</v>
      </c>
      <c r="X16" s="267">
        <v>50.0</v>
      </c>
      <c r="Y16" s="267">
        <v>50.0</v>
      </c>
      <c r="Z16" s="267">
        <v>100.0</v>
      </c>
      <c r="AA16" s="132" t="s">
        <v>1274</v>
      </c>
      <c r="AC16" s="298"/>
      <c r="AD16" s="267">
        <v>25.0</v>
      </c>
      <c r="AE16" s="267">
        <v>50.0</v>
      </c>
      <c r="AF16" s="267">
        <v>50.0</v>
      </c>
      <c r="AG16" s="332"/>
      <c r="AH16" s="304" t="s">
        <v>1146</v>
      </c>
      <c r="AI16" s="298"/>
      <c r="AJ16" s="343" t="s">
        <v>1276</v>
      </c>
      <c r="AK16" s="344">
        <v>25.0</v>
      </c>
    </row>
    <row r="17" ht="30.75" customHeight="1">
      <c r="A17" s="132" t="s">
        <v>1278</v>
      </c>
      <c r="B17" s="279" t="s">
        <v>1279</v>
      </c>
      <c r="C17" s="265">
        <v>45255.0</v>
      </c>
      <c r="D17" s="298"/>
      <c r="E17" s="229">
        <v>45001.0</v>
      </c>
      <c r="F17" s="132" t="s">
        <v>40</v>
      </c>
      <c r="G17" s="3"/>
      <c r="H17" s="132" t="s">
        <v>1065</v>
      </c>
      <c r="I17" s="132" t="s">
        <v>1065</v>
      </c>
      <c r="J17" s="132" t="s">
        <v>1067</v>
      </c>
      <c r="K17" s="267">
        <v>25.0</v>
      </c>
      <c r="L17" s="3"/>
      <c r="M17" s="3"/>
      <c r="N17" s="3"/>
      <c r="O17" s="3"/>
      <c r="P17" s="3"/>
      <c r="Q17" s="3"/>
      <c r="R17" s="298"/>
      <c r="S17" s="3"/>
      <c r="T17" s="3"/>
      <c r="W17" s="3"/>
      <c r="X17" s="3"/>
      <c r="Y17" s="3"/>
      <c r="Z17" s="3"/>
      <c r="AA17" s="3"/>
      <c r="AC17" s="298"/>
      <c r="AD17" s="332"/>
      <c r="AE17" s="332"/>
      <c r="AF17" s="332"/>
      <c r="AG17" s="332"/>
      <c r="AH17" s="332"/>
      <c r="AI17" s="298"/>
      <c r="AJ17" s="343" t="s">
        <v>1282</v>
      </c>
      <c r="AK17" s="344">
        <v>100.0</v>
      </c>
    </row>
    <row r="18" ht="30.75" customHeight="1">
      <c r="A18" s="132" t="s">
        <v>1283</v>
      </c>
      <c r="B18" s="279" t="s">
        <v>1284</v>
      </c>
      <c r="C18" s="265">
        <v>45255.0</v>
      </c>
      <c r="D18" s="303"/>
      <c r="E18" s="229">
        <v>44999.0</v>
      </c>
      <c r="F18" s="132" t="s">
        <v>28</v>
      </c>
      <c r="G18" s="3"/>
      <c r="H18" s="132" t="s">
        <v>1065</v>
      </c>
      <c r="I18" s="132" t="s">
        <v>1065</v>
      </c>
      <c r="J18" s="132" t="s">
        <v>1067</v>
      </c>
      <c r="K18" s="267">
        <v>25.0</v>
      </c>
      <c r="L18" s="3"/>
      <c r="M18" s="3"/>
      <c r="N18" s="3"/>
      <c r="O18" s="3"/>
      <c r="P18" s="3"/>
      <c r="Q18" s="3"/>
      <c r="R18" s="303"/>
      <c r="S18" s="3"/>
      <c r="T18" s="3"/>
      <c r="U18" s="3"/>
      <c r="V18" s="3"/>
      <c r="W18" s="3"/>
      <c r="X18" s="3"/>
      <c r="Y18" s="3"/>
      <c r="Z18" s="3"/>
      <c r="AA18" s="3"/>
      <c r="AB18" s="3"/>
      <c r="AC18" s="303"/>
      <c r="AD18" s="332"/>
      <c r="AE18" s="332"/>
      <c r="AF18" s="332"/>
      <c r="AG18" s="332"/>
      <c r="AH18" s="332"/>
      <c r="AI18" s="303"/>
      <c r="AJ18" s="343" t="s">
        <v>1285</v>
      </c>
      <c r="AK18" s="344">
        <v>100.0</v>
      </c>
      <c r="AL18" s="3"/>
      <c r="AM18" s="3"/>
      <c r="AN18" s="3"/>
      <c r="AO18" s="3"/>
    </row>
    <row r="19" ht="30.75" customHeight="1">
      <c r="A19" s="351" t="s">
        <v>1288</v>
      </c>
      <c r="B19" s="279" t="s">
        <v>1289</v>
      </c>
      <c r="C19" s="265">
        <v>45255.0</v>
      </c>
      <c r="D19" s="298"/>
      <c r="E19" s="222">
        <v>45002.0</v>
      </c>
      <c r="F19" s="132" t="s">
        <v>40</v>
      </c>
      <c r="G19" s="352"/>
      <c r="H19" s="353" t="s">
        <v>1065</v>
      </c>
      <c r="I19" s="9" t="s">
        <v>1065</v>
      </c>
      <c r="J19" s="351" t="s">
        <v>1067</v>
      </c>
      <c r="K19" s="267">
        <v>25.0</v>
      </c>
      <c r="L19" s="18"/>
      <c r="M19" s="18"/>
      <c r="N19" s="261"/>
      <c r="O19" s="18"/>
      <c r="P19" s="18"/>
      <c r="Q19" s="354" t="s">
        <v>1292</v>
      </c>
      <c r="R19" s="298"/>
      <c r="S19" s="3"/>
      <c r="T19" s="3"/>
      <c r="W19" s="3"/>
      <c r="X19" s="3"/>
      <c r="Y19" s="3"/>
      <c r="Z19" s="3"/>
      <c r="AA19" s="3"/>
      <c r="AC19" s="298"/>
      <c r="AD19" s="14"/>
      <c r="AE19" s="14"/>
      <c r="AF19" s="14"/>
      <c r="AG19" s="14"/>
      <c r="AH19" s="14"/>
      <c r="AI19" s="298"/>
      <c r="AJ19" s="14"/>
      <c r="AK19" s="14"/>
    </row>
    <row r="20" ht="30.75" customHeight="1">
      <c r="A20" s="132" t="s">
        <v>57</v>
      </c>
      <c r="B20" s="279" t="s">
        <v>1294</v>
      </c>
      <c r="C20" s="265">
        <v>45774.0</v>
      </c>
      <c r="D20" s="298"/>
      <c r="E20" s="222">
        <v>45005.0</v>
      </c>
      <c r="F20" s="132" t="s">
        <v>40</v>
      </c>
      <c r="G20" s="132" t="s">
        <v>1105</v>
      </c>
      <c r="H20" s="132" t="s">
        <v>1065</v>
      </c>
      <c r="I20" s="132" t="s">
        <v>1065</v>
      </c>
      <c r="J20" s="132" t="s">
        <v>1067</v>
      </c>
      <c r="K20" s="267">
        <v>25.0</v>
      </c>
      <c r="L20" s="267">
        <v>25.0</v>
      </c>
      <c r="M20" s="267">
        <v>100.0</v>
      </c>
      <c r="N20" s="267">
        <v>50.0</v>
      </c>
      <c r="O20" s="267" t="s">
        <v>1109</v>
      </c>
      <c r="P20" s="267">
        <v>50.0</v>
      </c>
      <c r="Q20" s="312" t="s">
        <v>1296</v>
      </c>
      <c r="R20" s="298"/>
      <c r="S20" s="267">
        <v>50.0</v>
      </c>
      <c r="T20" s="267">
        <v>50.0</v>
      </c>
      <c r="U20" s="132" t="s">
        <v>1119</v>
      </c>
      <c r="W20" s="267">
        <v>25.0</v>
      </c>
      <c r="X20" s="267">
        <v>50.0</v>
      </c>
      <c r="Y20" s="267">
        <v>50.0</v>
      </c>
      <c r="Z20" s="267">
        <v>100.0</v>
      </c>
      <c r="AA20" s="132" t="s">
        <v>1122</v>
      </c>
      <c r="AC20" s="298"/>
      <c r="AD20" s="288">
        <v>25.0</v>
      </c>
      <c r="AE20" s="288">
        <v>50.0</v>
      </c>
      <c r="AF20" s="288">
        <v>50.0</v>
      </c>
      <c r="AG20" s="290" t="s">
        <v>1128</v>
      </c>
      <c r="AI20" s="298"/>
    </row>
    <row r="21" ht="30.75" customHeight="1">
      <c r="A21" s="132" t="s">
        <v>55</v>
      </c>
      <c r="B21" s="279" t="s">
        <v>1300</v>
      </c>
      <c r="C21" s="265">
        <v>45255.0</v>
      </c>
      <c r="D21" s="298"/>
      <c r="E21" s="222">
        <v>45007.0</v>
      </c>
      <c r="F21" s="132" t="s">
        <v>28</v>
      </c>
      <c r="G21" s="345" t="s">
        <v>1302</v>
      </c>
      <c r="H21" s="132" t="s">
        <v>1065</v>
      </c>
      <c r="I21" s="132" t="s">
        <v>1065</v>
      </c>
      <c r="J21" s="132" t="s">
        <v>1067</v>
      </c>
      <c r="K21" s="267">
        <v>25.0</v>
      </c>
      <c r="L21" s="267">
        <v>25.0</v>
      </c>
      <c r="M21" s="267">
        <v>100.0</v>
      </c>
      <c r="N21" s="267">
        <v>50.0</v>
      </c>
      <c r="O21" s="267">
        <v>100.0</v>
      </c>
      <c r="P21" s="267">
        <v>50.0</v>
      </c>
      <c r="Q21" s="312" t="s">
        <v>1304</v>
      </c>
      <c r="R21" s="298"/>
      <c r="S21" s="267">
        <v>50.0</v>
      </c>
      <c r="T21" s="267">
        <v>50.0</v>
      </c>
      <c r="U21" s="16" t="s">
        <v>1305</v>
      </c>
      <c r="W21" s="267">
        <v>25.0</v>
      </c>
      <c r="X21" s="267">
        <v>50.0</v>
      </c>
      <c r="Y21" s="267">
        <v>50.0</v>
      </c>
      <c r="Z21" s="267">
        <v>100.0</v>
      </c>
      <c r="AA21" s="132" t="s">
        <v>1307</v>
      </c>
      <c r="AB21" s="16" t="s">
        <v>1147</v>
      </c>
      <c r="AC21" s="298"/>
      <c r="AD21" s="288">
        <v>25.0</v>
      </c>
      <c r="AE21" s="288">
        <v>50.0</v>
      </c>
      <c r="AF21" s="288">
        <v>50.0</v>
      </c>
      <c r="AG21" s="132" t="s">
        <v>1308</v>
      </c>
      <c r="AI21" s="298"/>
    </row>
    <row r="22" ht="30.75" customHeight="1">
      <c r="A22" s="132" t="s">
        <v>25</v>
      </c>
      <c r="B22" s="279" t="s">
        <v>1309</v>
      </c>
      <c r="C22" s="265">
        <v>45255.0</v>
      </c>
      <c r="D22" s="298"/>
      <c r="E22" s="222">
        <v>45008.0</v>
      </c>
      <c r="F22" s="132" t="s">
        <v>40</v>
      </c>
      <c r="G22" s="16" t="s">
        <v>1310</v>
      </c>
      <c r="H22" s="132" t="s">
        <v>1065</v>
      </c>
      <c r="I22" s="132" t="s">
        <v>1065</v>
      </c>
      <c r="J22" s="132" t="s">
        <v>1067</v>
      </c>
      <c r="K22" s="267">
        <v>25.0</v>
      </c>
      <c r="L22" s="267">
        <v>25.0</v>
      </c>
      <c r="M22" s="267">
        <v>100.0</v>
      </c>
      <c r="N22" s="267">
        <v>50.0</v>
      </c>
      <c r="O22" s="267" t="s">
        <v>1109</v>
      </c>
      <c r="P22" s="267">
        <v>25.0</v>
      </c>
      <c r="Q22" s="3"/>
      <c r="R22" s="298"/>
      <c r="S22" s="267">
        <v>50.0</v>
      </c>
      <c r="T22" s="267">
        <v>50.0</v>
      </c>
      <c r="U22" s="16" t="s">
        <v>1313</v>
      </c>
      <c r="V22" s="16" t="s">
        <v>1314</v>
      </c>
      <c r="W22" s="3"/>
      <c r="X22" s="3"/>
      <c r="Y22" s="3"/>
      <c r="Z22" s="3"/>
      <c r="AA22" s="3"/>
      <c r="AC22" s="298"/>
      <c r="AI22" s="298"/>
    </row>
    <row r="23" ht="30.75" customHeight="1">
      <c r="A23" s="364" t="s">
        <v>1316</v>
      </c>
      <c r="B23" s="365" t="s">
        <v>1319</v>
      </c>
      <c r="C23" s="366">
        <v>45255.0</v>
      </c>
      <c r="D23" s="303"/>
      <c r="E23" s="367">
        <v>45012.0</v>
      </c>
      <c r="F23" s="364" t="s">
        <v>28</v>
      </c>
      <c r="G23" s="368"/>
      <c r="H23" s="364" t="s">
        <v>1065</v>
      </c>
      <c r="I23" s="364" t="s">
        <v>1065</v>
      </c>
      <c r="J23" s="364" t="s">
        <v>1067</v>
      </c>
      <c r="K23" s="364">
        <v>25.0</v>
      </c>
      <c r="L23" s="368"/>
      <c r="M23" s="368"/>
      <c r="N23" s="368"/>
      <c r="O23" s="368"/>
      <c r="P23" s="368"/>
      <c r="Q23" s="3"/>
      <c r="R23" s="303"/>
      <c r="S23" s="3"/>
      <c r="T23" s="3"/>
      <c r="U23" s="3"/>
      <c r="V23" s="3"/>
      <c r="W23" s="3"/>
      <c r="X23" s="3"/>
      <c r="Y23" s="3"/>
      <c r="Z23" s="3"/>
      <c r="AA23" s="3"/>
      <c r="AB23" s="3"/>
      <c r="AC23" s="303"/>
      <c r="AD23" s="3"/>
      <c r="AE23" s="3"/>
      <c r="AF23" s="3"/>
      <c r="AG23" s="3"/>
      <c r="AH23" s="3"/>
      <c r="AI23" s="303"/>
      <c r="AJ23" s="3"/>
      <c r="AK23" s="3"/>
      <c r="AL23" s="3"/>
      <c r="AM23" s="3"/>
      <c r="AN23" s="3"/>
      <c r="AO23" s="3"/>
    </row>
    <row r="24" ht="30.75" customHeight="1">
      <c r="A24" s="132" t="s">
        <v>38</v>
      </c>
      <c r="B24" s="279" t="s">
        <v>1324</v>
      </c>
      <c r="C24" s="265">
        <v>45255.0</v>
      </c>
      <c r="D24" s="303"/>
      <c r="E24" s="222">
        <v>45014.0</v>
      </c>
      <c r="F24" s="132" t="s">
        <v>28</v>
      </c>
      <c r="G24" s="132" t="s">
        <v>1325</v>
      </c>
      <c r="H24" s="132" t="s">
        <v>1065</v>
      </c>
      <c r="I24" s="132" t="s">
        <v>1065</v>
      </c>
      <c r="J24" s="132" t="s">
        <v>1067</v>
      </c>
      <c r="K24" s="267">
        <v>25.0</v>
      </c>
      <c r="L24" s="267">
        <v>25.0</v>
      </c>
      <c r="M24" s="267">
        <v>100.0</v>
      </c>
      <c r="N24" s="267">
        <v>50.0</v>
      </c>
      <c r="O24" s="267" t="s">
        <v>1109</v>
      </c>
      <c r="P24" s="267">
        <v>50.0</v>
      </c>
      <c r="Q24" s="132" t="s">
        <v>1327</v>
      </c>
      <c r="R24" s="303"/>
      <c r="S24" s="267">
        <v>50.0</v>
      </c>
      <c r="T24" s="267">
        <v>50.0</v>
      </c>
      <c r="U24" s="132" t="s">
        <v>1330</v>
      </c>
      <c r="V24" s="3"/>
      <c r="W24" s="267">
        <v>50.0</v>
      </c>
      <c r="X24" s="267">
        <v>50.0</v>
      </c>
      <c r="Y24" s="267">
        <v>50.0</v>
      </c>
      <c r="Z24" s="267">
        <v>100.0</v>
      </c>
      <c r="AA24" s="132" t="s">
        <v>1333</v>
      </c>
      <c r="AB24" s="3"/>
      <c r="AC24" s="303"/>
      <c r="AD24" s="267">
        <v>25.0</v>
      </c>
      <c r="AE24" s="267">
        <v>50.0</v>
      </c>
      <c r="AF24" s="267">
        <v>50.0</v>
      </c>
      <c r="AG24" s="132" t="s">
        <v>1335</v>
      </c>
      <c r="AH24" s="132" t="s">
        <v>1336</v>
      </c>
      <c r="AI24" s="303"/>
      <c r="AJ24" s="3"/>
      <c r="AK24" s="3"/>
      <c r="AL24" s="3"/>
      <c r="AM24" s="3"/>
      <c r="AN24" s="3"/>
      <c r="AO24" s="3"/>
    </row>
    <row r="25" ht="30.75" customHeight="1">
      <c r="A25" s="132" t="s">
        <v>69</v>
      </c>
      <c r="B25" s="279" t="s">
        <v>1338</v>
      </c>
      <c r="C25" s="265">
        <v>45255.0</v>
      </c>
      <c r="D25" s="298"/>
      <c r="E25" s="222">
        <v>45015.0</v>
      </c>
      <c r="F25" s="132" t="s">
        <v>40</v>
      </c>
      <c r="G25" s="16" t="s">
        <v>1340</v>
      </c>
      <c r="H25" s="132" t="s">
        <v>1065</v>
      </c>
      <c r="I25" s="132" t="s">
        <v>1065</v>
      </c>
      <c r="J25" s="132" t="s">
        <v>1067</v>
      </c>
      <c r="K25" s="267">
        <v>25.0</v>
      </c>
      <c r="L25" s="267">
        <v>25.0</v>
      </c>
      <c r="M25" s="267">
        <v>100.0</v>
      </c>
      <c r="N25" s="267">
        <v>50.0</v>
      </c>
      <c r="O25" s="267" t="s">
        <v>1109</v>
      </c>
      <c r="P25" s="267">
        <v>50.0</v>
      </c>
      <c r="R25" s="298"/>
      <c r="S25" s="3"/>
      <c r="T25" s="3"/>
      <c r="W25" s="3"/>
      <c r="X25" s="3"/>
      <c r="Y25" s="3"/>
      <c r="Z25" s="3"/>
      <c r="AA25" s="3"/>
      <c r="AC25" s="298"/>
      <c r="AI25" s="298"/>
    </row>
    <row r="26" ht="30.75" customHeight="1">
      <c r="A26" s="132" t="s">
        <v>62</v>
      </c>
      <c r="B26" s="279" t="s">
        <v>1342</v>
      </c>
      <c r="C26" s="265">
        <v>45255.0</v>
      </c>
      <c r="D26" s="303"/>
      <c r="E26" s="222">
        <v>45019.0</v>
      </c>
      <c r="F26" s="132" t="s">
        <v>28</v>
      </c>
      <c r="G26" s="3"/>
      <c r="H26" s="132" t="s">
        <v>1065</v>
      </c>
      <c r="I26" s="132" t="s">
        <v>1065</v>
      </c>
      <c r="J26" s="132" t="s">
        <v>1067</v>
      </c>
      <c r="K26" s="267">
        <v>25.0</v>
      </c>
      <c r="L26" s="267">
        <v>25.0</v>
      </c>
      <c r="M26" s="267">
        <v>100.0</v>
      </c>
      <c r="N26" s="267">
        <v>50.0</v>
      </c>
      <c r="O26" s="267" t="s">
        <v>1109</v>
      </c>
      <c r="P26" s="267">
        <v>50.0</v>
      </c>
      <c r="Q26" s="3"/>
      <c r="R26" s="303"/>
      <c r="S26" s="267">
        <v>50.0</v>
      </c>
      <c r="T26" s="267">
        <v>50.0</v>
      </c>
      <c r="U26" s="3"/>
      <c r="V26" s="3"/>
      <c r="W26" s="267">
        <v>25.0</v>
      </c>
      <c r="X26" s="267">
        <v>50.0</v>
      </c>
      <c r="Y26" s="267">
        <v>50.0</v>
      </c>
      <c r="Z26" s="267">
        <v>100.0</v>
      </c>
      <c r="AA26" s="132" t="s">
        <v>1146</v>
      </c>
      <c r="AB26" s="3"/>
      <c r="AC26" s="303"/>
      <c r="AD26" s="267">
        <v>25.0</v>
      </c>
      <c r="AE26" s="267">
        <v>50.0</v>
      </c>
      <c r="AF26" s="267">
        <v>50.0</v>
      </c>
      <c r="AG26" s="132" t="s">
        <v>1146</v>
      </c>
      <c r="AH26" s="3"/>
      <c r="AI26" s="303"/>
      <c r="AJ26" s="3"/>
      <c r="AK26" s="3"/>
      <c r="AL26" s="3"/>
      <c r="AM26" s="3"/>
      <c r="AN26" s="3"/>
      <c r="AO26" s="3"/>
    </row>
    <row r="27" ht="30.75" customHeight="1">
      <c r="A27" s="132" t="s">
        <v>43</v>
      </c>
      <c r="B27" s="279" t="s">
        <v>1345</v>
      </c>
      <c r="C27" s="229">
        <v>46323.0</v>
      </c>
      <c r="D27" s="303"/>
      <c r="E27" s="222">
        <v>45028.0</v>
      </c>
      <c r="F27" s="132" t="s">
        <v>28</v>
      </c>
      <c r="G27" s="16" t="s">
        <v>1347</v>
      </c>
      <c r="H27" s="132" t="s">
        <v>1065</v>
      </c>
      <c r="I27" s="132" t="s">
        <v>1065</v>
      </c>
      <c r="J27" s="132" t="s">
        <v>1067</v>
      </c>
      <c r="K27" s="267">
        <v>25.0</v>
      </c>
      <c r="L27" s="267">
        <v>25.0</v>
      </c>
      <c r="M27" s="267">
        <v>100.0</v>
      </c>
      <c r="N27" s="267">
        <v>50.0</v>
      </c>
      <c r="O27" s="267">
        <v>100.0</v>
      </c>
      <c r="P27" s="267">
        <v>50.0</v>
      </c>
      <c r="Q27" s="312" t="s">
        <v>1350</v>
      </c>
      <c r="R27" s="303"/>
      <c r="S27" s="267">
        <v>25.0</v>
      </c>
      <c r="T27" s="267">
        <v>50.0</v>
      </c>
      <c r="U27" s="3"/>
      <c r="V27" s="3"/>
      <c r="W27" s="267">
        <v>25.0</v>
      </c>
      <c r="X27" s="267">
        <v>50.0</v>
      </c>
      <c r="Y27" s="267">
        <v>50.0</v>
      </c>
      <c r="Z27" s="267">
        <v>100.0</v>
      </c>
      <c r="AA27" s="132"/>
      <c r="AB27" s="132" t="s">
        <v>1314</v>
      </c>
      <c r="AC27" s="303"/>
      <c r="AD27" s="267">
        <v>25.0</v>
      </c>
      <c r="AE27" s="267">
        <v>50.0</v>
      </c>
      <c r="AF27" s="267">
        <v>50.0</v>
      </c>
      <c r="AG27" s="3"/>
      <c r="AH27" s="132" t="s">
        <v>1314</v>
      </c>
      <c r="AI27" s="303"/>
      <c r="AJ27" s="3"/>
      <c r="AK27" s="3"/>
      <c r="AL27" s="3"/>
      <c r="AM27" s="3"/>
      <c r="AN27" s="3"/>
      <c r="AO27" s="3"/>
    </row>
    <row r="28" ht="30.75" customHeight="1">
      <c r="A28" s="132" t="s">
        <v>1353</v>
      </c>
      <c r="B28" s="279" t="s">
        <v>1354</v>
      </c>
      <c r="C28" s="265">
        <v>45255.0</v>
      </c>
      <c r="D28" s="303"/>
      <c r="E28" s="224">
        <v>45035.0</v>
      </c>
      <c r="F28" s="132" t="s">
        <v>28</v>
      </c>
      <c r="G28" s="3"/>
      <c r="H28" s="132" t="s">
        <v>1065</v>
      </c>
      <c r="I28" s="132" t="s">
        <v>1065</v>
      </c>
      <c r="J28" s="132" t="s">
        <v>1067</v>
      </c>
      <c r="K28" s="267">
        <v>25.0</v>
      </c>
      <c r="L28" s="3"/>
      <c r="M28" s="3"/>
      <c r="N28" s="3"/>
      <c r="O28" s="3"/>
      <c r="P28" s="3"/>
      <c r="Q28" s="3"/>
      <c r="R28" s="303"/>
      <c r="S28" s="3"/>
      <c r="T28" s="3"/>
      <c r="U28" s="3"/>
      <c r="V28" s="3"/>
      <c r="W28" s="3"/>
      <c r="X28" s="3"/>
      <c r="Y28" s="3"/>
      <c r="Z28" s="3"/>
      <c r="AA28" s="3"/>
      <c r="AB28" s="3"/>
      <c r="AC28" s="303"/>
      <c r="AD28" s="3"/>
      <c r="AE28" s="3"/>
      <c r="AF28" s="3"/>
      <c r="AG28" s="3"/>
      <c r="AH28" s="3"/>
      <c r="AI28" s="303"/>
      <c r="AJ28" s="3"/>
      <c r="AK28" s="3"/>
      <c r="AL28" s="3"/>
      <c r="AM28" s="3"/>
      <c r="AN28" s="3"/>
      <c r="AO28" s="3"/>
    </row>
    <row r="29" ht="30.75" customHeight="1">
      <c r="A29" s="132" t="s">
        <v>82</v>
      </c>
      <c r="B29" s="279" t="s">
        <v>1357</v>
      </c>
      <c r="C29" s="265">
        <v>45255.0</v>
      </c>
      <c r="D29" s="298"/>
      <c r="E29" s="222">
        <v>45037.0</v>
      </c>
      <c r="F29" s="132" t="s">
        <v>40</v>
      </c>
      <c r="G29" s="16" t="s">
        <v>1359</v>
      </c>
      <c r="H29" s="132" t="s">
        <v>1065</v>
      </c>
      <c r="I29" s="132" t="s">
        <v>1065</v>
      </c>
      <c r="J29" s="132" t="s">
        <v>1067</v>
      </c>
      <c r="K29" s="267">
        <v>25.0</v>
      </c>
      <c r="L29" s="267">
        <v>25.0</v>
      </c>
      <c r="M29" s="267">
        <v>100.0</v>
      </c>
      <c r="N29" s="267">
        <v>50.0</v>
      </c>
      <c r="O29" s="267">
        <v>100.0</v>
      </c>
      <c r="P29" s="267">
        <v>25.0</v>
      </c>
      <c r="Q29" s="16" t="s">
        <v>1361</v>
      </c>
      <c r="R29" s="298"/>
      <c r="S29" s="3"/>
      <c r="T29" s="3"/>
      <c r="W29" s="3"/>
      <c r="X29" s="3"/>
      <c r="Y29" s="3"/>
      <c r="Z29" s="3"/>
      <c r="AA29" s="3"/>
      <c r="AC29" s="298"/>
      <c r="AI29" s="298"/>
    </row>
    <row r="30" ht="30.75" customHeight="1">
      <c r="A30" s="132" t="s">
        <v>1362</v>
      </c>
      <c r="B30" s="279" t="s">
        <v>1363</v>
      </c>
      <c r="C30" s="265">
        <v>45255.0</v>
      </c>
      <c r="D30" s="303"/>
      <c r="E30" s="222">
        <v>45042.0</v>
      </c>
      <c r="F30" s="132" t="s">
        <v>28</v>
      </c>
      <c r="G30" s="3"/>
      <c r="H30" s="132" t="s">
        <v>1065</v>
      </c>
      <c r="I30" s="132" t="s">
        <v>1065</v>
      </c>
      <c r="J30" s="132" t="s">
        <v>1067</v>
      </c>
      <c r="K30" s="267">
        <v>25.0</v>
      </c>
      <c r="L30" s="3"/>
      <c r="M30" s="3"/>
      <c r="N30" s="3"/>
      <c r="O30" s="3"/>
      <c r="P30" s="3"/>
      <c r="Q30" s="132" t="s">
        <v>1366</v>
      </c>
      <c r="R30" s="303"/>
      <c r="S30" s="3"/>
      <c r="T30" s="3"/>
      <c r="U30" s="3"/>
      <c r="V30" s="3"/>
      <c r="W30" s="3"/>
      <c r="X30" s="3"/>
      <c r="Y30" s="3"/>
      <c r="Z30" s="3"/>
      <c r="AA30" s="3"/>
      <c r="AB30" s="3"/>
      <c r="AC30" s="303"/>
      <c r="AD30" s="3"/>
      <c r="AE30" s="3"/>
      <c r="AF30" s="3"/>
      <c r="AG30" s="3"/>
      <c r="AH30" s="3"/>
      <c r="AI30" s="303"/>
      <c r="AJ30" s="3"/>
      <c r="AK30" s="3"/>
      <c r="AL30" s="3"/>
      <c r="AM30" s="3"/>
      <c r="AN30" s="3"/>
      <c r="AO30" s="3"/>
    </row>
    <row r="31" ht="30.75" customHeight="1">
      <c r="A31" s="132" t="s">
        <v>73</v>
      </c>
      <c r="B31" s="279" t="s">
        <v>1369</v>
      </c>
      <c r="C31" s="265">
        <v>45255.0</v>
      </c>
      <c r="D31" s="298"/>
      <c r="E31" s="222">
        <v>45048.0</v>
      </c>
      <c r="F31" s="132" t="s">
        <v>1370</v>
      </c>
      <c r="G31" s="16" t="s">
        <v>1371</v>
      </c>
      <c r="H31" s="132" t="s">
        <v>1065</v>
      </c>
      <c r="I31" s="132" t="s">
        <v>1065</v>
      </c>
      <c r="J31" s="132" t="s">
        <v>1067</v>
      </c>
      <c r="K31" s="267">
        <v>25.0</v>
      </c>
      <c r="L31" s="267">
        <v>25.0</v>
      </c>
      <c r="M31" s="267">
        <v>100.0</v>
      </c>
      <c r="N31" s="267">
        <v>50.0</v>
      </c>
      <c r="O31" s="267" t="s">
        <v>1109</v>
      </c>
      <c r="P31" s="267">
        <v>25.0</v>
      </c>
      <c r="Q31" s="16" t="s">
        <v>1373</v>
      </c>
      <c r="R31" s="298"/>
      <c r="S31" s="267">
        <v>50.0</v>
      </c>
      <c r="T31" s="267">
        <v>50.0</v>
      </c>
      <c r="U31" s="16" t="s">
        <v>1376</v>
      </c>
      <c r="W31" s="3"/>
      <c r="X31" s="3"/>
      <c r="Y31" s="3"/>
      <c r="Z31" s="3"/>
      <c r="AA31" s="3"/>
      <c r="AC31" s="298"/>
      <c r="AI31" s="298"/>
    </row>
    <row r="32" ht="30.75" customHeight="1">
      <c r="A32" s="132" t="s">
        <v>33</v>
      </c>
      <c r="B32" s="279" t="s">
        <v>1377</v>
      </c>
      <c r="C32" s="265">
        <v>45255.0</v>
      </c>
      <c r="D32" s="298"/>
      <c r="E32" s="222">
        <v>45050.0</v>
      </c>
      <c r="F32" s="132" t="s">
        <v>40</v>
      </c>
      <c r="G32" s="16" t="s">
        <v>1379</v>
      </c>
      <c r="H32" s="132" t="s">
        <v>1065</v>
      </c>
      <c r="I32" s="132" t="s">
        <v>1065</v>
      </c>
      <c r="J32" s="132" t="s">
        <v>1067</v>
      </c>
      <c r="K32" s="267">
        <v>25.0</v>
      </c>
      <c r="L32" s="267">
        <v>25.0</v>
      </c>
      <c r="M32" s="267">
        <v>100.0</v>
      </c>
      <c r="N32" s="267">
        <v>50.0</v>
      </c>
      <c r="O32" s="267" t="s">
        <v>1109</v>
      </c>
      <c r="P32" s="267">
        <v>25.0</v>
      </c>
      <c r="R32" s="298"/>
      <c r="S32" s="267">
        <v>25.0</v>
      </c>
      <c r="T32" s="267">
        <v>50.0</v>
      </c>
      <c r="W32" s="3"/>
      <c r="X32" s="3"/>
      <c r="Y32" s="3"/>
      <c r="Z32" s="3"/>
      <c r="AA32" s="3"/>
      <c r="AC32" s="298"/>
      <c r="AI32" s="298"/>
    </row>
    <row r="33" ht="30.75" customHeight="1">
      <c r="A33" s="132" t="s">
        <v>71</v>
      </c>
      <c r="B33" s="279" t="s">
        <v>1381</v>
      </c>
      <c r="C33" s="265">
        <v>45255.0</v>
      </c>
      <c r="D33" s="303"/>
      <c r="E33" s="224">
        <v>45044.0</v>
      </c>
      <c r="F33" s="132" t="s">
        <v>28</v>
      </c>
      <c r="G33" s="132" t="s">
        <v>1383</v>
      </c>
      <c r="H33" s="132" t="s">
        <v>1065</v>
      </c>
      <c r="I33" s="132" t="s">
        <v>1065</v>
      </c>
      <c r="J33" s="132" t="s">
        <v>1067</v>
      </c>
      <c r="K33" s="267">
        <v>25.0</v>
      </c>
      <c r="L33" s="267">
        <v>25.0</v>
      </c>
      <c r="M33" s="267">
        <v>100.0</v>
      </c>
      <c r="N33" s="267">
        <v>50.0</v>
      </c>
      <c r="O33" s="267" t="s">
        <v>1109</v>
      </c>
      <c r="P33" s="267">
        <v>50.0</v>
      </c>
      <c r="Q33" s="132" t="s">
        <v>1385</v>
      </c>
      <c r="R33" s="303"/>
      <c r="S33" s="267">
        <v>50.0</v>
      </c>
      <c r="T33" s="267">
        <v>50.0</v>
      </c>
      <c r="U33" s="132" t="s">
        <v>1387</v>
      </c>
      <c r="V33" s="3"/>
      <c r="W33" s="3"/>
      <c r="X33" s="3"/>
      <c r="Y33" s="3"/>
      <c r="Z33" s="3"/>
      <c r="AA33" s="3"/>
      <c r="AB33" s="3"/>
      <c r="AC33" s="303"/>
      <c r="AD33" s="3"/>
      <c r="AE33" s="3"/>
      <c r="AF33" s="3"/>
      <c r="AG33" s="3"/>
      <c r="AH33" s="3"/>
      <c r="AI33" s="303"/>
      <c r="AJ33" s="3"/>
      <c r="AK33" s="3"/>
      <c r="AL33" s="3"/>
      <c r="AM33" s="3"/>
      <c r="AN33" s="3"/>
      <c r="AO33" s="3"/>
    </row>
    <row r="34" ht="30.75" customHeight="1">
      <c r="A34" s="132" t="s">
        <v>58</v>
      </c>
      <c r="B34" s="279" t="s">
        <v>1390</v>
      </c>
      <c r="C34" s="265">
        <v>46323.0</v>
      </c>
      <c r="D34" s="303"/>
      <c r="E34" s="224">
        <v>45056.0</v>
      </c>
      <c r="F34" s="132" t="s">
        <v>28</v>
      </c>
      <c r="G34" s="16" t="s">
        <v>1392</v>
      </c>
      <c r="H34" s="132" t="s">
        <v>1065</v>
      </c>
      <c r="I34" s="132" t="s">
        <v>1065</v>
      </c>
      <c r="J34" s="132" t="s">
        <v>1067</v>
      </c>
      <c r="K34" s="267">
        <v>25.0</v>
      </c>
      <c r="L34" s="267">
        <v>25.0</v>
      </c>
      <c r="M34" s="267">
        <v>100.0</v>
      </c>
      <c r="N34" s="267">
        <v>50.0</v>
      </c>
      <c r="O34" s="267" t="s">
        <v>1109</v>
      </c>
      <c r="P34" s="267">
        <v>50.0</v>
      </c>
      <c r="Q34" s="312" t="s">
        <v>1395</v>
      </c>
      <c r="R34" s="303"/>
      <c r="S34" s="267">
        <v>50.0</v>
      </c>
      <c r="T34" s="267">
        <v>50.0</v>
      </c>
      <c r="U34" s="132" t="s">
        <v>1210</v>
      </c>
      <c r="V34" s="3"/>
      <c r="W34" s="267">
        <v>25.0</v>
      </c>
      <c r="X34" s="267">
        <v>50.0</v>
      </c>
      <c r="Y34" s="383">
        <v>50.0</v>
      </c>
      <c r="Z34" s="383">
        <v>100.0</v>
      </c>
      <c r="AA34" s="132" t="s">
        <v>1402</v>
      </c>
      <c r="AB34" s="3"/>
      <c r="AC34" s="303"/>
      <c r="AD34" s="267">
        <v>25.0</v>
      </c>
      <c r="AE34" s="267">
        <v>50.0</v>
      </c>
      <c r="AF34" s="267">
        <v>50.0</v>
      </c>
      <c r="AG34" s="132" t="s">
        <v>1404</v>
      </c>
      <c r="AH34" s="132" t="s">
        <v>1147</v>
      </c>
      <c r="AI34" s="303"/>
      <c r="AJ34" s="3"/>
      <c r="AK34" s="3"/>
      <c r="AL34" s="3"/>
      <c r="AM34" s="3"/>
      <c r="AN34" s="3"/>
      <c r="AO34" s="3"/>
    </row>
    <row r="35" ht="30.75" customHeight="1">
      <c r="A35" s="132" t="s">
        <v>41</v>
      </c>
      <c r="B35" s="279" t="s">
        <v>1406</v>
      </c>
      <c r="C35" s="265">
        <v>45255.0</v>
      </c>
      <c r="D35" s="303"/>
      <c r="E35" s="224">
        <v>45056.0</v>
      </c>
      <c r="F35" s="132" t="s">
        <v>28</v>
      </c>
      <c r="G35" s="16" t="s">
        <v>1407</v>
      </c>
      <c r="H35" s="132" t="s">
        <v>1065</v>
      </c>
      <c r="I35" s="132" t="s">
        <v>1065</v>
      </c>
      <c r="J35" s="132" t="s">
        <v>1067</v>
      </c>
      <c r="K35" s="267">
        <v>25.0</v>
      </c>
      <c r="L35" s="267">
        <v>25.0</v>
      </c>
      <c r="M35" s="267">
        <v>100.0</v>
      </c>
      <c r="N35" s="267">
        <v>50.0</v>
      </c>
      <c r="O35" s="267">
        <v>100.0</v>
      </c>
      <c r="P35" s="267">
        <v>50.0</v>
      </c>
      <c r="Q35" s="3"/>
      <c r="R35" s="303"/>
      <c r="S35" s="267">
        <v>50.0</v>
      </c>
      <c r="T35" s="267">
        <v>50.0</v>
      </c>
      <c r="U35" s="3"/>
      <c r="V35" s="3"/>
      <c r="W35" s="267">
        <v>25.0</v>
      </c>
      <c r="X35" s="267">
        <v>50.0</v>
      </c>
      <c r="Y35" s="267">
        <v>50.0</v>
      </c>
      <c r="Z35" s="267">
        <v>100.0</v>
      </c>
      <c r="AA35" s="132" t="s">
        <v>1410</v>
      </c>
      <c r="AB35" s="3"/>
      <c r="AC35" s="303"/>
      <c r="AD35" s="267">
        <v>25.0</v>
      </c>
      <c r="AE35" s="267">
        <v>50.0</v>
      </c>
      <c r="AF35" s="267">
        <v>50.0</v>
      </c>
      <c r="AG35" s="132" t="s">
        <v>1411</v>
      </c>
      <c r="AH35" s="3"/>
      <c r="AI35" s="303"/>
      <c r="AJ35" s="3"/>
      <c r="AK35" s="3"/>
      <c r="AL35" s="3"/>
      <c r="AM35" s="3"/>
      <c r="AN35" s="3"/>
      <c r="AO35" s="3"/>
    </row>
    <row r="36" ht="30.75" customHeight="1">
      <c r="A36" s="132" t="s">
        <v>75</v>
      </c>
      <c r="B36" s="279" t="s">
        <v>1412</v>
      </c>
      <c r="C36" s="265">
        <v>45255.0</v>
      </c>
      <c r="D36" s="298"/>
      <c r="E36" s="222">
        <v>45069.0</v>
      </c>
      <c r="F36" s="132" t="s">
        <v>40</v>
      </c>
      <c r="G36" s="16" t="s">
        <v>1414</v>
      </c>
      <c r="H36" s="132" t="s">
        <v>1065</v>
      </c>
      <c r="I36" s="132" t="s">
        <v>1065</v>
      </c>
      <c r="J36" s="132" t="s">
        <v>1067</v>
      </c>
      <c r="K36" s="267">
        <v>25.0</v>
      </c>
      <c r="L36" s="267">
        <v>25.0</v>
      </c>
      <c r="M36" s="267">
        <v>100.0</v>
      </c>
      <c r="N36" s="267">
        <v>50.0</v>
      </c>
      <c r="O36" s="267" t="s">
        <v>1109</v>
      </c>
      <c r="P36" s="267">
        <v>25.0</v>
      </c>
      <c r="R36" s="298"/>
      <c r="S36" s="267">
        <v>50.0</v>
      </c>
      <c r="T36" s="267">
        <v>50.0</v>
      </c>
      <c r="W36" s="267">
        <v>25.0</v>
      </c>
      <c r="X36" s="267">
        <v>50.0</v>
      </c>
      <c r="Y36" s="267">
        <v>50.0</v>
      </c>
      <c r="Z36" s="267">
        <v>100.0</v>
      </c>
      <c r="AA36" s="132" t="s">
        <v>1146</v>
      </c>
      <c r="AC36" s="298"/>
      <c r="AD36" s="267">
        <v>25.0</v>
      </c>
      <c r="AE36" s="267">
        <v>50.0</v>
      </c>
      <c r="AF36" s="267">
        <v>50.0</v>
      </c>
      <c r="AG36" s="132" t="s">
        <v>1146</v>
      </c>
      <c r="AI36" s="298"/>
    </row>
    <row r="37" ht="30.75" customHeight="1">
      <c r="A37" s="132" t="s">
        <v>1416</v>
      </c>
      <c r="B37" s="279" t="s">
        <v>1417</v>
      </c>
      <c r="C37" s="265">
        <v>45255.0</v>
      </c>
      <c r="D37" s="298"/>
      <c r="E37" s="222">
        <v>45076.0</v>
      </c>
      <c r="F37" s="132" t="s">
        <v>40</v>
      </c>
      <c r="G37" s="395" t="s">
        <v>1418</v>
      </c>
      <c r="H37" s="132" t="s">
        <v>1065</v>
      </c>
      <c r="I37" s="132" t="s">
        <v>1065</v>
      </c>
      <c r="J37" s="132" t="s">
        <v>1188</v>
      </c>
      <c r="K37" s="267">
        <v>25.0</v>
      </c>
      <c r="R37" s="298"/>
      <c r="S37" s="3"/>
      <c r="T37" s="3"/>
      <c r="W37" s="3"/>
      <c r="X37" s="3"/>
      <c r="Y37" s="3"/>
      <c r="Z37" s="3"/>
      <c r="AA37" s="3"/>
      <c r="AC37" s="298"/>
      <c r="AI37" s="298"/>
    </row>
    <row r="38" ht="30.75" customHeight="1">
      <c r="A38" s="132" t="s">
        <v>88</v>
      </c>
      <c r="B38" s="279" t="s">
        <v>1419</v>
      </c>
      <c r="C38" s="265">
        <v>45622.0</v>
      </c>
      <c r="D38" s="298"/>
      <c r="E38" s="222">
        <v>45079.0</v>
      </c>
      <c r="F38" s="132" t="s">
        <v>28</v>
      </c>
      <c r="G38" s="47" t="s">
        <v>1420</v>
      </c>
      <c r="H38" s="132" t="s">
        <v>1065</v>
      </c>
      <c r="I38" s="132" t="s">
        <v>1065</v>
      </c>
      <c r="J38" s="132" t="s">
        <v>1188</v>
      </c>
      <c r="K38" s="267">
        <v>25.0</v>
      </c>
      <c r="L38" s="267">
        <v>25.0</v>
      </c>
      <c r="M38" s="267">
        <v>100.0</v>
      </c>
      <c r="N38" s="267">
        <v>50.0</v>
      </c>
      <c r="O38" s="267" t="s">
        <v>1109</v>
      </c>
      <c r="P38" s="267">
        <v>50.0</v>
      </c>
      <c r="R38" s="298"/>
      <c r="S38" s="267">
        <v>50.0</v>
      </c>
      <c r="T38" s="267">
        <v>50.0</v>
      </c>
      <c r="W38" s="3"/>
      <c r="X38" s="3"/>
      <c r="Y38" s="3"/>
      <c r="Z38" s="3"/>
      <c r="AA38" s="3"/>
      <c r="AC38" s="298"/>
      <c r="AI38" s="298"/>
    </row>
    <row r="39" ht="30.75" customHeight="1">
      <c r="A39" s="132" t="s">
        <v>91</v>
      </c>
      <c r="B39" s="279" t="s">
        <v>1421</v>
      </c>
      <c r="C39" s="132" t="s">
        <v>1422</v>
      </c>
      <c r="D39" s="298"/>
      <c r="E39" s="222">
        <v>45079.0</v>
      </c>
      <c r="F39" s="132" t="s">
        <v>28</v>
      </c>
      <c r="G39" s="47" t="s">
        <v>1423</v>
      </c>
      <c r="H39" s="132" t="s">
        <v>1065</v>
      </c>
      <c r="I39" s="132" t="s">
        <v>1065</v>
      </c>
      <c r="J39" s="132" t="s">
        <v>1188</v>
      </c>
      <c r="K39" s="267">
        <v>25.0</v>
      </c>
      <c r="L39" s="267">
        <v>25.0</v>
      </c>
      <c r="M39" s="267">
        <v>100.0</v>
      </c>
      <c r="N39" s="267">
        <v>50.0</v>
      </c>
      <c r="O39" s="267" t="s">
        <v>1109</v>
      </c>
      <c r="P39" s="267">
        <v>50.0</v>
      </c>
      <c r="R39" s="298"/>
      <c r="S39" s="267">
        <v>50.0</v>
      </c>
      <c r="T39" s="267">
        <v>50.0</v>
      </c>
      <c r="W39" s="3"/>
      <c r="X39" s="3"/>
      <c r="Y39" s="3"/>
      <c r="Z39" s="3"/>
      <c r="AA39" s="3"/>
      <c r="AC39" s="298"/>
      <c r="AI39" s="298"/>
    </row>
    <row r="40" ht="30.75" customHeight="1">
      <c r="A40" s="132" t="s">
        <v>66</v>
      </c>
      <c r="B40" s="279" t="s">
        <v>1424</v>
      </c>
      <c r="C40" s="265">
        <v>45255.0</v>
      </c>
      <c r="D40" s="298"/>
      <c r="E40" s="222">
        <v>45079.0</v>
      </c>
      <c r="F40" s="132" t="s">
        <v>40</v>
      </c>
      <c r="G40" s="47" t="s">
        <v>1426</v>
      </c>
      <c r="H40" s="132" t="s">
        <v>1065</v>
      </c>
      <c r="I40" s="132" t="s">
        <v>1065</v>
      </c>
      <c r="J40" s="132" t="s">
        <v>1067</v>
      </c>
      <c r="K40" s="267">
        <v>25.0</v>
      </c>
      <c r="L40" s="267">
        <v>25.0</v>
      </c>
      <c r="M40" s="267">
        <v>100.0</v>
      </c>
      <c r="N40" s="267">
        <v>50.0</v>
      </c>
      <c r="O40" s="267" t="s">
        <v>1109</v>
      </c>
      <c r="P40" s="267">
        <v>25.0</v>
      </c>
      <c r="Q40" s="132" t="s">
        <v>1428</v>
      </c>
      <c r="R40" s="298"/>
      <c r="S40" s="267">
        <v>50.0</v>
      </c>
      <c r="T40" s="267">
        <v>50.0</v>
      </c>
      <c r="W40" s="3"/>
      <c r="X40" s="3"/>
      <c r="Y40" s="3"/>
      <c r="Z40" s="3"/>
      <c r="AA40" s="3"/>
      <c r="AC40" s="298"/>
      <c r="AI40" s="298"/>
    </row>
    <row r="41" ht="30.75" customHeight="1">
      <c r="A41" s="132" t="s">
        <v>1430</v>
      </c>
      <c r="B41" s="279" t="s">
        <v>1431</v>
      </c>
      <c r="C41" s="265">
        <v>45255.0</v>
      </c>
      <c r="D41" s="298"/>
      <c r="E41" s="222">
        <v>45083.0</v>
      </c>
      <c r="F41" s="132" t="s">
        <v>40</v>
      </c>
      <c r="G41" s="47" t="s">
        <v>1432</v>
      </c>
      <c r="H41" s="132" t="s">
        <v>1065</v>
      </c>
      <c r="I41" s="132" t="s">
        <v>1065</v>
      </c>
      <c r="J41" s="132" t="s">
        <v>1067</v>
      </c>
      <c r="K41" s="267">
        <v>25.0</v>
      </c>
      <c r="R41" s="298"/>
      <c r="S41" s="3"/>
      <c r="T41" s="3"/>
      <c r="W41" s="3"/>
      <c r="X41" s="3"/>
      <c r="Y41" s="3"/>
      <c r="Z41" s="3"/>
      <c r="AA41" s="3"/>
      <c r="AC41" s="298"/>
      <c r="AI41" s="298"/>
    </row>
    <row r="42" ht="30.75" customHeight="1">
      <c r="A42" s="132" t="s">
        <v>51</v>
      </c>
      <c r="B42" s="279" t="s">
        <v>1434</v>
      </c>
      <c r="C42" s="132" t="s">
        <v>1435</v>
      </c>
      <c r="D42" s="303"/>
      <c r="E42" s="222">
        <v>45096.0</v>
      </c>
      <c r="F42" s="132" t="s">
        <v>28</v>
      </c>
      <c r="G42" s="47" t="s">
        <v>1436</v>
      </c>
      <c r="H42" s="132" t="s">
        <v>1065</v>
      </c>
      <c r="I42" s="132" t="s">
        <v>1065</v>
      </c>
      <c r="J42" s="132" t="s">
        <v>1067</v>
      </c>
      <c r="K42" s="267">
        <v>25.0</v>
      </c>
      <c r="L42" s="267">
        <v>25.0</v>
      </c>
      <c r="M42" s="267">
        <v>100.0</v>
      </c>
      <c r="N42" s="267">
        <v>50.0</v>
      </c>
      <c r="O42" s="3"/>
      <c r="P42" s="267">
        <v>50.0</v>
      </c>
      <c r="Q42" s="132" t="s">
        <v>1442</v>
      </c>
      <c r="R42" s="303"/>
      <c r="S42" s="267">
        <v>50.0</v>
      </c>
      <c r="T42" s="267">
        <v>50.0</v>
      </c>
      <c r="U42" s="132" t="s">
        <v>1445</v>
      </c>
      <c r="V42" s="3"/>
      <c r="W42" s="267">
        <v>25.0</v>
      </c>
      <c r="X42" s="267">
        <v>50.0</v>
      </c>
      <c r="Y42" s="267">
        <v>50.0</v>
      </c>
      <c r="Z42" s="267">
        <v>100.0</v>
      </c>
      <c r="AA42" s="132" t="s">
        <v>1451</v>
      </c>
      <c r="AB42" s="47" t="s">
        <v>1452</v>
      </c>
      <c r="AC42" s="303"/>
      <c r="AD42" s="267">
        <v>25.0</v>
      </c>
      <c r="AE42" s="267">
        <v>50.0</v>
      </c>
      <c r="AF42" s="267">
        <v>50.0</v>
      </c>
      <c r="AG42" s="132" t="s">
        <v>1454</v>
      </c>
      <c r="AH42" s="132" t="s">
        <v>1455</v>
      </c>
      <c r="AI42" s="303"/>
      <c r="AJ42" s="3"/>
      <c r="AK42" s="3"/>
      <c r="AL42" s="3"/>
      <c r="AM42" s="3"/>
      <c r="AN42" s="3"/>
      <c r="AO42" s="3"/>
    </row>
    <row r="43" ht="30.75" customHeight="1">
      <c r="A43" s="132" t="s">
        <v>93</v>
      </c>
      <c r="B43" s="279" t="s">
        <v>1457</v>
      </c>
      <c r="C43" s="265">
        <v>46323.0</v>
      </c>
      <c r="D43" s="303"/>
      <c r="E43" s="222">
        <v>45097.0</v>
      </c>
      <c r="F43" s="132" t="s">
        <v>28</v>
      </c>
      <c r="G43" s="47" t="s">
        <v>1459</v>
      </c>
      <c r="H43" s="132" t="s">
        <v>1065</v>
      </c>
      <c r="I43" s="132" t="s">
        <v>1065</v>
      </c>
      <c r="J43" s="132" t="s">
        <v>1067</v>
      </c>
      <c r="K43" s="267">
        <v>25.0</v>
      </c>
      <c r="L43" s="267">
        <v>25.0</v>
      </c>
      <c r="M43" s="267">
        <v>100.0</v>
      </c>
      <c r="N43" s="267">
        <v>50.0</v>
      </c>
      <c r="O43" s="267" t="s">
        <v>1109</v>
      </c>
      <c r="P43" s="267">
        <v>50.0</v>
      </c>
      <c r="Q43" s="132" t="s">
        <v>1463</v>
      </c>
      <c r="R43" s="303"/>
      <c r="S43" s="267">
        <v>50.0</v>
      </c>
      <c r="T43" s="267">
        <v>50.0</v>
      </c>
      <c r="U43" s="3"/>
      <c r="V43" s="3"/>
      <c r="W43" s="267">
        <v>25.0</v>
      </c>
      <c r="X43" s="267">
        <v>50.0</v>
      </c>
      <c r="Y43" s="267">
        <v>50.0</v>
      </c>
      <c r="Z43" s="267">
        <v>100.0</v>
      </c>
      <c r="AA43" s="132" t="s">
        <v>1146</v>
      </c>
      <c r="AB43" s="3"/>
      <c r="AC43" s="303"/>
      <c r="AD43" s="267">
        <v>25.0</v>
      </c>
      <c r="AE43" s="267">
        <v>50.0</v>
      </c>
      <c r="AF43" s="267">
        <v>50.0</v>
      </c>
      <c r="AG43" s="3"/>
      <c r="AH43" s="3"/>
      <c r="AI43" s="303"/>
      <c r="AJ43" s="3"/>
      <c r="AK43" s="3"/>
      <c r="AL43" s="3"/>
      <c r="AM43" s="3"/>
      <c r="AN43" s="3"/>
      <c r="AO43" s="3"/>
    </row>
    <row r="44" ht="30.75" customHeight="1">
      <c r="A44" s="132" t="s">
        <v>70</v>
      </c>
      <c r="B44" s="279" t="s">
        <v>1466</v>
      </c>
      <c r="C44" s="265">
        <v>46323.0</v>
      </c>
      <c r="D44" s="303"/>
      <c r="E44" s="222">
        <v>45097.0</v>
      </c>
      <c r="F44" s="132" t="s">
        <v>40</v>
      </c>
      <c r="G44" s="47" t="s">
        <v>1468</v>
      </c>
      <c r="H44" s="132" t="s">
        <v>1065</v>
      </c>
      <c r="I44" s="132" t="s">
        <v>1065</v>
      </c>
      <c r="J44" s="132" t="s">
        <v>1067</v>
      </c>
      <c r="K44" s="267">
        <v>25.0</v>
      </c>
      <c r="L44" s="267">
        <v>25.0</v>
      </c>
      <c r="M44" s="267">
        <v>100.0</v>
      </c>
      <c r="N44" s="267">
        <v>50.0</v>
      </c>
      <c r="O44" s="267" t="s">
        <v>1109</v>
      </c>
      <c r="P44" s="267">
        <v>50.0</v>
      </c>
      <c r="Q44" s="3"/>
      <c r="R44" s="303"/>
      <c r="S44" s="267">
        <v>50.0</v>
      </c>
      <c r="T44" s="267">
        <v>50.0</v>
      </c>
      <c r="U44" s="3"/>
      <c r="V44" s="3"/>
      <c r="W44" s="267">
        <v>25.0</v>
      </c>
      <c r="X44" s="267">
        <v>50.0</v>
      </c>
      <c r="Y44" s="267">
        <v>50.0</v>
      </c>
      <c r="Z44" s="267">
        <v>100.0</v>
      </c>
      <c r="AA44" s="132" t="s">
        <v>1146</v>
      </c>
      <c r="AB44" s="132" t="s">
        <v>1470</v>
      </c>
      <c r="AC44" s="303"/>
      <c r="AD44" s="267">
        <v>25.0</v>
      </c>
      <c r="AE44" s="267">
        <v>50.0</v>
      </c>
      <c r="AF44" s="267">
        <v>50.0</v>
      </c>
      <c r="AG44" s="3"/>
      <c r="AH44" s="3"/>
      <c r="AI44" s="303"/>
      <c r="AJ44" s="3"/>
      <c r="AK44" s="3"/>
      <c r="AL44" s="3"/>
      <c r="AM44" s="3"/>
      <c r="AN44" s="3"/>
      <c r="AO44" s="3"/>
    </row>
    <row r="45" ht="30.75" customHeight="1">
      <c r="A45" s="403" t="s">
        <v>78</v>
      </c>
      <c r="B45" s="279" t="s">
        <v>1474</v>
      </c>
      <c r="C45" s="265">
        <v>46323.0</v>
      </c>
      <c r="D45" s="298"/>
      <c r="E45" s="222">
        <v>45103.0</v>
      </c>
      <c r="F45" s="132" t="s">
        <v>40</v>
      </c>
      <c r="G45" s="132" t="s">
        <v>1476</v>
      </c>
      <c r="H45" s="132" t="s">
        <v>1065</v>
      </c>
      <c r="I45" s="132" t="s">
        <v>1065</v>
      </c>
      <c r="J45" s="132" t="s">
        <v>1067</v>
      </c>
      <c r="K45" s="267">
        <v>25.0</v>
      </c>
      <c r="L45" s="267">
        <v>25.0</v>
      </c>
      <c r="M45" s="267">
        <v>100.0</v>
      </c>
      <c r="N45" s="267">
        <v>50.0</v>
      </c>
      <c r="O45" s="267">
        <v>100.0</v>
      </c>
      <c r="P45" s="267">
        <v>25.0</v>
      </c>
      <c r="Q45" s="16" t="s">
        <v>1480</v>
      </c>
      <c r="R45" s="298"/>
      <c r="S45" s="342">
        <v>50.0</v>
      </c>
      <c r="T45" s="342">
        <v>50.0</v>
      </c>
      <c r="W45" s="267">
        <v>25.0</v>
      </c>
      <c r="X45" s="267">
        <v>50.0</v>
      </c>
      <c r="Y45" s="267">
        <v>50.0</v>
      </c>
      <c r="Z45" s="267">
        <v>100.0</v>
      </c>
      <c r="AA45" s="132" t="s">
        <v>1486</v>
      </c>
      <c r="AC45" s="298"/>
      <c r="AD45" s="267">
        <v>25.0</v>
      </c>
      <c r="AE45" s="267">
        <v>50.0</v>
      </c>
      <c r="AF45" s="267">
        <v>50.0</v>
      </c>
      <c r="AG45" s="132" t="s">
        <v>1146</v>
      </c>
      <c r="AH45" s="16" t="s">
        <v>1336</v>
      </c>
      <c r="AI45" s="407" t="s">
        <v>1487</v>
      </c>
    </row>
    <row r="46" ht="30.75" customHeight="1">
      <c r="A46" s="132" t="s">
        <v>85</v>
      </c>
      <c r="B46" s="279" t="s">
        <v>1489</v>
      </c>
      <c r="C46" s="265">
        <v>46353.0</v>
      </c>
      <c r="D46" s="298"/>
      <c r="E46" s="222">
        <v>45106.0</v>
      </c>
      <c r="F46" s="132" t="s">
        <v>28</v>
      </c>
      <c r="G46" s="47" t="s">
        <v>1491</v>
      </c>
      <c r="H46" s="132" t="s">
        <v>1065</v>
      </c>
      <c r="I46" s="132" t="s">
        <v>1065</v>
      </c>
      <c r="J46" s="132" t="s">
        <v>1492</v>
      </c>
      <c r="K46" s="267">
        <v>25.0</v>
      </c>
      <c r="L46" s="267">
        <v>25.0</v>
      </c>
      <c r="M46" s="267">
        <v>100.0</v>
      </c>
      <c r="N46" s="267">
        <v>50.0</v>
      </c>
      <c r="O46" s="267" t="s">
        <v>1109</v>
      </c>
      <c r="P46" s="267">
        <v>50.0</v>
      </c>
      <c r="Q46" s="16" t="s">
        <v>1494</v>
      </c>
      <c r="R46" s="298"/>
      <c r="S46" s="267">
        <v>50.0</v>
      </c>
      <c r="T46" s="267">
        <v>50.0</v>
      </c>
      <c r="W46" s="267">
        <v>25.0</v>
      </c>
      <c r="X46" s="267">
        <v>50.0</v>
      </c>
      <c r="Y46" s="267">
        <v>50.0</v>
      </c>
      <c r="Z46" s="267">
        <v>100.0</v>
      </c>
      <c r="AA46" s="132" t="s">
        <v>1496</v>
      </c>
      <c r="AC46" s="298"/>
      <c r="AD46" s="267">
        <v>25.0</v>
      </c>
      <c r="AE46" s="267">
        <v>50.0</v>
      </c>
      <c r="AF46" s="267">
        <v>50.0</v>
      </c>
      <c r="AG46" s="132" t="s">
        <v>1146</v>
      </c>
      <c r="AI46" s="298"/>
    </row>
    <row r="47" ht="30.75" customHeight="1">
      <c r="A47" s="132" t="s">
        <v>89</v>
      </c>
      <c r="B47" s="279" t="s">
        <v>1498</v>
      </c>
      <c r="C47" s="265">
        <v>45255.0</v>
      </c>
      <c r="D47" s="298"/>
      <c r="E47" s="222">
        <v>45139.0</v>
      </c>
      <c r="F47" s="132" t="s">
        <v>28</v>
      </c>
      <c r="G47" s="395" t="s">
        <v>1499</v>
      </c>
      <c r="H47" s="132" t="s">
        <v>1065</v>
      </c>
      <c r="I47" s="132" t="s">
        <v>1065</v>
      </c>
      <c r="J47" s="132" t="s">
        <v>1492</v>
      </c>
      <c r="K47" s="267">
        <v>25.0</v>
      </c>
      <c r="L47" s="267">
        <v>25.0</v>
      </c>
      <c r="M47" s="267">
        <v>100.0</v>
      </c>
      <c r="N47" s="267">
        <v>50.0</v>
      </c>
      <c r="O47" s="267" t="s">
        <v>1109</v>
      </c>
      <c r="P47" s="267">
        <v>50.0</v>
      </c>
      <c r="Q47" s="16" t="s">
        <v>1504</v>
      </c>
      <c r="R47" s="298"/>
      <c r="S47" s="342">
        <v>50.0</v>
      </c>
      <c r="T47" s="342">
        <v>50.0</v>
      </c>
      <c r="U47" s="16" t="s">
        <v>1508</v>
      </c>
      <c r="W47" s="267">
        <v>25.0</v>
      </c>
      <c r="X47" s="267">
        <v>50.0</v>
      </c>
      <c r="Y47" s="267">
        <v>50.0</v>
      </c>
      <c r="Z47" s="267">
        <v>100.0</v>
      </c>
      <c r="AA47" s="132" t="s">
        <v>1521</v>
      </c>
      <c r="AC47" s="298"/>
      <c r="AD47" s="267">
        <v>25.0</v>
      </c>
      <c r="AE47" s="267">
        <v>50.0</v>
      </c>
      <c r="AF47" s="267">
        <v>50.0</v>
      </c>
      <c r="AG47" s="16" t="s">
        <v>1524</v>
      </c>
      <c r="AI47" s="298"/>
    </row>
    <row r="48" ht="30.75" customHeight="1">
      <c r="A48" s="132" t="s">
        <v>1526</v>
      </c>
      <c r="B48" s="279" t="s">
        <v>1527</v>
      </c>
      <c r="C48" s="265">
        <v>45255.0</v>
      </c>
      <c r="D48" s="298"/>
      <c r="E48" s="222">
        <v>45117.0</v>
      </c>
      <c r="F48" s="132" t="s">
        <v>40</v>
      </c>
      <c r="G48" s="47" t="s">
        <v>1528</v>
      </c>
      <c r="H48" s="132" t="s">
        <v>1065</v>
      </c>
      <c r="I48" s="132" t="s">
        <v>1065</v>
      </c>
      <c r="J48" s="132" t="s">
        <v>1067</v>
      </c>
      <c r="K48" s="267">
        <v>25.0</v>
      </c>
      <c r="L48" s="267">
        <v>25.0</v>
      </c>
      <c r="M48" s="267">
        <v>50.0</v>
      </c>
      <c r="N48" s="267">
        <v>50.0</v>
      </c>
      <c r="O48" s="267">
        <v>100.0</v>
      </c>
      <c r="P48" s="267">
        <v>50.0</v>
      </c>
      <c r="Q48" s="16" t="s">
        <v>1535</v>
      </c>
      <c r="R48" s="298"/>
      <c r="S48" s="3"/>
      <c r="T48" s="3"/>
      <c r="W48" s="3"/>
      <c r="X48" s="3"/>
      <c r="Y48" s="3"/>
      <c r="Z48" s="3"/>
      <c r="AA48" s="3"/>
      <c r="AC48" s="298"/>
      <c r="AI48" s="298"/>
    </row>
    <row r="49" ht="30.75" customHeight="1">
      <c r="A49" s="132" t="s">
        <v>126</v>
      </c>
      <c r="B49" s="279" t="s">
        <v>1543</v>
      </c>
      <c r="C49" s="265">
        <v>45378.0</v>
      </c>
      <c r="D49" s="298"/>
      <c r="E49" s="222">
        <v>45117.0</v>
      </c>
      <c r="F49" s="132" t="s">
        <v>40</v>
      </c>
      <c r="G49" s="47" t="s">
        <v>1545</v>
      </c>
      <c r="H49" s="132" t="s">
        <v>1065</v>
      </c>
      <c r="I49" s="132" t="s">
        <v>1065</v>
      </c>
      <c r="J49" s="132" t="s">
        <v>1067</v>
      </c>
      <c r="K49" s="267">
        <v>25.0</v>
      </c>
      <c r="L49" s="267">
        <v>25.0</v>
      </c>
      <c r="M49" s="267">
        <v>100.0</v>
      </c>
      <c r="N49" s="267">
        <v>50.0</v>
      </c>
      <c r="O49" s="267">
        <v>100.0</v>
      </c>
      <c r="P49" s="267">
        <v>25.0</v>
      </c>
      <c r="Q49" s="16" t="s">
        <v>1552</v>
      </c>
      <c r="R49" s="298"/>
      <c r="S49" s="267">
        <v>50.0</v>
      </c>
      <c r="T49" s="267">
        <v>50.0</v>
      </c>
      <c r="U49" s="16" t="s">
        <v>1556</v>
      </c>
      <c r="V49" s="16" t="s">
        <v>1314</v>
      </c>
      <c r="W49" s="267">
        <v>25.0</v>
      </c>
      <c r="X49" s="267">
        <v>50.0</v>
      </c>
      <c r="Y49" s="267">
        <v>50.0</v>
      </c>
      <c r="Z49" s="267">
        <v>100.0</v>
      </c>
      <c r="AA49" s="132" t="s">
        <v>1561</v>
      </c>
      <c r="AC49" s="298"/>
      <c r="AI49" s="298"/>
    </row>
    <row r="50" ht="30.75" customHeight="1">
      <c r="A50" s="132" t="s">
        <v>32</v>
      </c>
      <c r="B50" s="279" t="s">
        <v>1564</v>
      </c>
      <c r="C50" s="132" t="s">
        <v>1566</v>
      </c>
      <c r="D50" s="298"/>
      <c r="E50" s="222">
        <v>45118.0</v>
      </c>
      <c r="F50" s="132" t="s">
        <v>40</v>
      </c>
      <c r="G50" s="47" t="s">
        <v>1569</v>
      </c>
      <c r="H50" s="132" t="s">
        <v>1065</v>
      </c>
      <c r="I50" s="132" t="s">
        <v>1065</v>
      </c>
      <c r="J50" s="132" t="s">
        <v>1067</v>
      </c>
      <c r="K50" s="267">
        <v>25.0</v>
      </c>
      <c r="L50" s="267">
        <v>25.0</v>
      </c>
      <c r="M50" s="267">
        <v>100.0</v>
      </c>
      <c r="N50" s="267">
        <v>50.0</v>
      </c>
      <c r="O50" s="267" t="s">
        <v>1109</v>
      </c>
      <c r="P50" s="267">
        <v>25.0</v>
      </c>
      <c r="Q50" s="16" t="s">
        <v>1573</v>
      </c>
      <c r="R50" s="298"/>
      <c r="S50" s="267">
        <v>50.0</v>
      </c>
      <c r="T50" s="267">
        <v>50.0</v>
      </c>
      <c r="U50" s="16" t="s">
        <v>1574</v>
      </c>
      <c r="W50" s="267">
        <v>25.0</v>
      </c>
      <c r="X50" s="267">
        <v>50.0</v>
      </c>
      <c r="Y50" s="267">
        <v>50.0</v>
      </c>
      <c r="Z50" s="267">
        <v>100.0</v>
      </c>
      <c r="AA50" s="132" t="s">
        <v>1575</v>
      </c>
      <c r="AC50" s="298"/>
      <c r="AD50" s="267">
        <v>25.0</v>
      </c>
      <c r="AE50" s="267">
        <v>50.0</v>
      </c>
      <c r="AF50" s="267">
        <v>50.0</v>
      </c>
      <c r="AG50" s="16" t="s">
        <v>1576</v>
      </c>
      <c r="AH50" s="16" t="s">
        <v>1579</v>
      </c>
      <c r="AI50" s="298"/>
    </row>
    <row r="51" ht="30.75" customHeight="1">
      <c r="A51" s="132" t="s">
        <v>74</v>
      </c>
      <c r="B51" s="279" t="s">
        <v>1582</v>
      </c>
      <c r="C51" s="265">
        <v>46323.0</v>
      </c>
      <c r="D51" s="298"/>
      <c r="E51" s="222">
        <v>45121.0</v>
      </c>
      <c r="F51" s="132" t="s">
        <v>28</v>
      </c>
      <c r="G51" s="426" t="s">
        <v>1583</v>
      </c>
      <c r="H51" s="132" t="s">
        <v>1065</v>
      </c>
      <c r="I51" s="132" t="s">
        <v>1065</v>
      </c>
      <c r="J51" s="132" t="s">
        <v>1067</v>
      </c>
      <c r="K51" s="267">
        <v>25.0</v>
      </c>
      <c r="L51" s="267">
        <v>25.0</v>
      </c>
      <c r="M51" s="267">
        <v>100.0</v>
      </c>
      <c r="N51" s="267">
        <v>50.0</v>
      </c>
      <c r="O51" s="267" t="s">
        <v>1109</v>
      </c>
      <c r="P51" s="267">
        <v>50.0</v>
      </c>
      <c r="Q51" s="16" t="s">
        <v>1586</v>
      </c>
      <c r="R51" s="298"/>
      <c r="S51" s="267">
        <v>50.0</v>
      </c>
      <c r="T51" s="267">
        <v>50.0</v>
      </c>
      <c r="U51" s="16" t="s">
        <v>1588</v>
      </c>
      <c r="W51" s="267">
        <v>25.0</v>
      </c>
      <c r="X51" s="267">
        <v>50.0</v>
      </c>
      <c r="Y51" s="267">
        <v>50.0</v>
      </c>
      <c r="Z51" s="267">
        <v>100.0</v>
      </c>
      <c r="AA51" s="132" t="s">
        <v>1590</v>
      </c>
      <c r="AC51" s="298"/>
      <c r="AD51" s="267">
        <v>25.0</v>
      </c>
      <c r="AE51" s="267">
        <v>50.0</v>
      </c>
      <c r="AF51" s="267">
        <v>50.0</v>
      </c>
      <c r="AG51" s="132" t="s">
        <v>1594</v>
      </c>
      <c r="AH51" s="16" t="s">
        <v>1596</v>
      </c>
      <c r="AI51" s="298"/>
    </row>
    <row r="52" ht="30.75" customHeight="1">
      <c r="A52" s="132" t="s">
        <v>120</v>
      </c>
      <c r="B52" s="279" t="s">
        <v>1598</v>
      </c>
      <c r="C52" s="265">
        <v>45774.0</v>
      </c>
      <c r="D52" s="298"/>
      <c r="E52" s="222">
        <v>45131.0</v>
      </c>
      <c r="F52" s="132" t="s">
        <v>28</v>
      </c>
      <c r="G52" s="426" t="s">
        <v>1602</v>
      </c>
      <c r="H52" s="132" t="s">
        <v>1065</v>
      </c>
      <c r="I52" s="132" t="s">
        <v>1065</v>
      </c>
      <c r="J52" s="132" t="s">
        <v>1067</v>
      </c>
      <c r="K52" s="267">
        <v>25.0</v>
      </c>
      <c r="L52" s="267">
        <v>25.0</v>
      </c>
      <c r="M52" s="267">
        <v>100.0</v>
      </c>
      <c r="N52" s="267">
        <v>50.0</v>
      </c>
      <c r="O52" s="267" t="s">
        <v>1109</v>
      </c>
      <c r="P52" s="267">
        <v>50.0</v>
      </c>
      <c r="Q52" s="16" t="s">
        <v>1606</v>
      </c>
      <c r="R52" s="298"/>
      <c r="S52" s="342">
        <v>50.0</v>
      </c>
      <c r="T52" s="342">
        <v>50.0</v>
      </c>
      <c r="U52" s="16" t="s">
        <v>1608</v>
      </c>
      <c r="W52" s="267">
        <v>25.0</v>
      </c>
      <c r="X52" s="267">
        <v>50.0</v>
      </c>
      <c r="Y52" s="267">
        <v>50.0</v>
      </c>
      <c r="Z52" s="267">
        <v>100.0</v>
      </c>
      <c r="AA52" s="132" t="s">
        <v>1610</v>
      </c>
      <c r="AC52" s="298"/>
      <c r="AI52" s="298"/>
    </row>
    <row r="53" ht="30.75" customHeight="1">
      <c r="A53" s="132" t="s">
        <v>90</v>
      </c>
      <c r="B53" s="279" t="s">
        <v>1612</v>
      </c>
      <c r="C53" s="132" t="s">
        <v>1613</v>
      </c>
      <c r="D53" s="298"/>
      <c r="E53" s="222">
        <v>45140.0</v>
      </c>
      <c r="F53" s="132" t="s">
        <v>28</v>
      </c>
      <c r="G53" s="434" t="s">
        <v>1615</v>
      </c>
      <c r="H53" s="132" t="s">
        <v>1065</v>
      </c>
      <c r="I53" s="132" t="s">
        <v>1065</v>
      </c>
      <c r="J53" s="132" t="s">
        <v>1067</v>
      </c>
      <c r="K53" s="267">
        <v>25.0</v>
      </c>
      <c r="L53" s="267">
        <v>25.0</v>
      </c>
      <c r="M53" s="267">
        <v>100.0</v>
      </c>
      <c r="N53" s="267">
        <v>50.0</v>
      </c>
      <c r="O53" s="267" t="s">
        <v>1109</v>
      </c>
      <c r="P53" s="267">
        <v>25.0</v>
      </c>
      <c r="Q53" s="16" t="s">
        <v>1619</v>
      </c>
      <c r="R53" s="298"/>
      <c r="S53" s="342">
        <v>50.0</v>
      </c>
      <c r="T53" s="342">
        <v>50.0</v>
      </c>
      <c r="W53" s="267">
        <v>25.0</v>
      </c>
      <c r="X53" s="267">
        <v>50.0</v>
      </c>
      <c r="Y53" s="267">
        <v>50.0</v>
      </c>
      <c r="Z53" s="267">
        <v>100.0</v>
      </c>
      <c r="AA53" s="132" t="s">
        <v>1622</v>
      </c>
      <c r="AC53" s="298"/>
      <c r="AD53" s="267">
        <v>25.0</v>
      </c>
      <c r="AE53" s="267">
        <v>50.0</v>
      </c>
      <c r="AF53" s="267">
        <v>50.0</v>
      </c>
      <c r="AG53" s="16" t="s">
        <v>1625</v>
      </c>
      <c r="AI53" s="298"/>
    </row>
    <row r="54" ht="30.75" customHeight="1">
      <c r="A54" s="132" t="s">
        <v>81</v>
      </c>
      <c r="B54" s="279" t="s">
        <v>1628</v>
      </c>
      <c r="C54" s="132" t="s">
        <v>1629</v>
      </c>
      <c r="D54" s="298"/>
      <c r="E54" s="222">
        <v>45140.0</v>
      </c>
      <c r="F54" s="132" t="s">
        <v>28</v>
      </c>
      <c r="G54" s="434" t="s">
        <v>1632</v>
      </c>
      <c r="H54" s="132" t="s">
        <v>1065</v>
      </c>
      <c r="I54" s="132" t="s">
        <v>1065</v>
      </c>
      <c r="J54" s="132" t="s">
        <v>1067</v>
      </c>
      <c r="K54" s="267">
        <v>25.0</v>
      </c>
      <c r="L54" s="267">
        <v>25.0</v>
      </c>
      <c r="M54" s="267">
        <v>100.0</v>
      </c>
      <c r="N54" s="267">
        <v>50.0</v>
      </c>
      <c r="O54" s="267" t="s">
        <v>1109</v>
      </c>
      <c r="P54" s="267">
        <v>50.0</v>
      </c>
      <c r="R54" s="298"/>
      <c r="S54" s="342">
        <v>50.0</v>
      </c>
      <c r="T54" s="342">
        <v>50.0</v>
      </c>
      <c r="U54" s="16" t="s">
        <v>1633</v>
      </c>
      <c r="W54" s="267">
        <v>25.0</v>
      </c>
      <c r="X54" s="267">
        <v>50.0</v>
      </c>
      <c r="Y54" s="342">
        <v>50.0</v>
      </c>
      <c r="Z54" s="267">
        <v>100.0</v>
      </c>
      <c r="AA54" s="3"/>
      <c r="AC54" s="298"/>
      <c r="AD54" s="267">
        <v>25.0</v>
      </c>
      <c r="AE54" s="267">
        <v>50.0</v>
      </c>
      <c r="AF54" s="267">
        <v>50.0</v>
      </c>
      <c r="AG54" s="132" t="s">
        <v>1146</v>
      </c>
      <c r="AH54" s="16" t="s">
        <v>1636</v>
      </c>
      <c r="AI54" s="298"/>
    </row>
    <row r="55" ht="30.75" customHeight="1">
      <c r="A55" s="132" t="s">
        <v>87</v>
      </c>
      <c r="B55" s="279" t="s">
        <v>1638</v>
      </c>
      <c r="C55" s="132" t="s">
        <v>1639</v>
      </c>
      <c r="D55" s="298"/>
      <c r="E55" s="222">
        <v>45141.0</v>
      </c>
      <c r="F55" s="132" t="s">
        <v>40</v>
      </c>
      <c r="G55" s="426" t="s">
        <v>1641</v>
      </c>
      <c r="H55" s="132" t="s">
        <v>1065</v>
      </c>
      <c r="I55" s="132" t="s">
        <v>1065</v>
      </c>
      <c r="J55" s="132" t="s">
        <v>1067</v>
      </c>
      <c r="K55" s="267">
        <v>25.0</v>
      </c>
      <c r="L55" s="267">
        <v>25.0</v>
      </c>
      <c r="M55" s="267">
        <v>100.0</v>
      </c>
      <c r="N55" s="267">
        <v>50.0</v>
      </c>
      <c r="O55" s="267">
        <v>100.0</v>
      </c>
      <c r="P55" s="267">
        <v>25.0</v>
      </c>
      <c r="Q55" s="16" t="s">
        <v>1647</v>
      </c>
      <c r="R55" s="298"/>
      <c r="S55" s="342">
        <v>50.0</v>
      </c>
      <c r="T55" s="342">
        <v>50.0</v>
      </c>
      <c r="U55" s="16" t="s">
        <v>1651</v>
      </c>
      <c r="V55" s="16" t="s">
        <v>1652</v>
      </c>
      <c r="W55" s="267">
        <v>25.0</v>
      </c>
      <c r="X55" s="267">
        <v>50.0</v>
      </c>
      <c r="Y55" s="267">
        <v>50.0</v>
      </c>
      <c r="Z55" s="267">
        <v>100.0</v>
      </c>
      <c r="AA55" s="132" t="s">
        <v>1654</v>
      </c>
      <c r="AC55" s="298"/>
      <c r="AD55" s="267">
        <v>25.0</v>
      </c>
      <c r="AE55" s="267">
        <v>50.0</v>
      </c>
      <c r="AF55" s="267">
        <v>50.0</v>
      </c>
      <c r="AG55" s="16" t="s">
        <v>1658</v>
      </c>
      <c r="AH55" s="16" t="s">
        <v>1636</v>
      </c>
      <c r="AI55" s="298"/>
    </row>
    <row r="56" ht="30.75" customHeight="1">
      <c r="A56" s="132" t="s">
        <v>1634</v>
      </c>
      <c r="B56" s="279" t="s">
        <v>1661</v>
      </c>
      <c r="C56" s="265">
        <v>45255.0</v>
      </c>
      <c r="D56" s="298"/>
      <c r="E56" s="222">
        <v>45148.0</v>
      </c>
      <c r="F56" s="132" t="s">
        <v>40</v>
      </c>
      <c r="G56" s="132" t="s">
        <v>1662</v>
      </c>
      <c r="H56" s="132" t="s">
        <v>1065</v>
      </c>
      <c r="I56" s="132" t="s">
        <v>1065</v>
      </c>
      <c r="J56" s="132" t="s">
        <v>1067</v>
      </c>
      <c r="K56" s="267">
        <v>25.0</v>
      </c>
      <c r="Q56" s="16" t="s">
        <v>1668</v>
      </c>
      <c r="R56" s="298"/>
      <c r="S56" s="3"/>
      <c r="T56" s="3"/>
      <c r="W56" s="3"/>
      <c r="X56" s="3"/>
      <c r="Y56" s="3"/>
      <c r="Z56" s="3"/>
      <c r="AA56" s="3"/>
      <c r="AC56" s="298"/>
      <c r="AI56" s="298"/>
    </row>
    <row r="57" ht="30.75" customHeight="1">
      <c r="A57" s="132" t="s">
        <v>1645</v>
      </c>
      <c r="B57" s="279" t="s">
        <v>1670</v>
      </c>
      <c r="C57" s="265">
        <v>45255.0</v>
      </c>
      <c r="D57" s="298"/>
      <c r="E57" s="222">
        <v>45152.0</v>
      </c>
      <c r="F57" s="132" t="s">
        <v>40</v>
      </c>
      <c r="G57" s="16" t="s">
        <v>1671</v>
      </c>
      <c r="H57" s="132" t="s">
        <v>1065</v>
      </c>
      <c r="I57" s="132" t="s">
        <v>1065</v>
      </c>
      <c r="J57" s="132" t="s">
        <v>1067</v>
      </c>
      <c r="K57" s="267">
        <v>25.0</v>
      </c>
      <c r="L57" s="267">
        <v>25.0</v>
      </c>
      <c r="N57" s="267">
        <v>50.0</v>
      </c>
      <c r="O57" s="267">
        <v>100.0</v>
      </c>
      <c r="P57" s="267">
        <v>25.0</v>
      </c>
      <c r="R57" s="298"/>
      <c r="S57" s="3"/>
      <c r="T57" s="3"/>
      <c r="W57" s="3"/>
      <c r="X57" s="3"/>
      <c r="Y57" s="3"/>
      <c r="Z57" s="3"/>
      <c r="AA57" s="3"/>
      <c r="AC57" s="298"/>
      <c r="AI57" s="298"/>
    </row>
    <row r="58" ht="30.75" customHeight="1">
      <c r="A58" s="132" t="s">
        <v>193</v>
      </c>
      <c r="B58" s="279" t="s">
        <v>1680</v>
      </c>
      <c r="C58" s="265">
        <v>45255.0</v>
      </c>
      <c r="D58" s="303"/>
      <c r="E58" s="222">
        <v>45153.0</v>
      </c>
      <c r="F58" s="132" t="s">
        <v>28</v>
      </c>
      <c r="G58" s="16" t="s">
        <v>1682</v>
      </c>
      <c r="H58" s="132" t="s">
        <v>1065</v>
      </c>
      <c r="I58" s="132" t="s">
        <v>1065</v>
      </c>
      <c r="J58" s="132" t="s">
        <v>1067</v>
      </c>
      <c r="K58" s="267">
        <v>25.0</v>
      </c>
      <c r="L58" s="267">
        <v>25.0</v>
      </c>
      <c r="M58" s="267">
        <v>100.0</v>
      </c>
      <c r="N58" s="267">
        <v>50.0</v>
      </c>
      <c r="O58" s="267" t="s">
        <v>1109</v>
      </c>
      <c r="P58" s="267">
        <v>50.0</v>
      </c>
      <c r="Q58" s="132" t="s">
        <v>1688</v>
      </c>
      <c r="R58" s="303"/>
      <c r="S58" s="342">
        <v>50.0</v>
      </c>
      <c r="T58" s="342">
        <v>50.0</v>
      </c>
      <c r="U58" s="132" t="s">
        <v>1692</v>
      </c>
      <c r="V58" s="3"/>
      <c r="W58" s="267">
        <v>25.0</v>
      </c>
      <c r="X58" s="267">
        <v>50.0</v>
      </c>
      <c r="Y58" s="267">
        <v>50.0</v>
      </c>
      <c r="Z58" s="267">
        <v>100.0</v>
      </c>
      <c r="AA58" s="132" t="s">
        <v>1697</v>
      </c>
      <c r="AB58" s="3"/>
      <c r="AC58" s="303"/>
      <c r="AD58" s="3"/>
      <c r="AE58" s="3"/>
      <c r="AF58" s="3"/>
      <c r="AG58" s="3"/>
      <c r="AH58" s="3"/>
      <c r="AI58" s="303"/>
      <c r="AJ58" s="3"/>
      <c r="AK58" s="3"/>
      <c r="AL58" s="3"/>
      <c r="AM58" s="3"/>
      <c r="AN58" s="3"/>
      <c r="AO58" s="3"/>
    </row>
    <row r="59" ht="30.75" customHeight="1">
      <c r="A59" s="132" t="s">
        <v>1623</v>
      </c>
      <c r="B59" s="279" t="s">
        <v>1700</v>
      </c>
      <c r="C59" s="265">
        <v>45255.0</v>
      </c>
      <c r="D59" s="303"/>
      <c r="E59" s="222">
        <v>45154.0</v>
      </c>
      <c r="F59" s="132" t="s">
        <v>649</v>
      </c>
      <c r="G59" s="16" t="s">
        <v>1703</v>
      </c>
      <c r="H59" s="132" t="s">
        <v>1065</v>
      </c>
      <c r="I59" s="132" t="s">
        <v>1065</v>
      </c>
      <c r="J59" s="132" t="s">
        <v>1067</v>
      </c>
      <c r="K59" s="267">
        <v>25.0</v>
      </c>
      <c r="L59" s="3"/>
      <c r="M59" s="3"/>
      <c r="N59" s="3"/>
      <c r="O59" s="3"/>
      <c r="P59" s="3"/>
      <c r="Q59" s="132" t="s">
        <v>1705</v>
      </c>
      <c r="R59" s="303"/>
      <c r="S59" s="3"/>
      <c r="T59" s="3"/>
      <c r="U59" s="3"/>
      <c r="V59" s="3"/>
      <c r="W59" s="3"/>
      <c r="X59" s="3"/>
      <c r="Y59" s="3"/>
      <c r="Z59" s="3"/>
      <c r="AA59" s="3"/>
      <c r="AB59" s="3"/>
      <c r="AC59" s="303"/>
      <c r="AD59" s="3"/>
      <c r="AE59" s="3"/>
      <c r="AF59" s="3"/>
      <c r="AG59" s="3"/>
      <c r="AH59" s="3"/>
      <c r="AI59" s="303"/>
      <c r="AJ59" s="3"/>
      <c r="AK59" s="3"/>
      <c r="AL59" s="3"/>
      <c r="AM59" s="3"/>
      <c r="AN59" s="3"/>
      <c r="AO59" s="3"/>
    </row>
    <row r="60" ht="30.75" customHeight="1">
      <c r="A60" s="132" t="s">
        <v>1657</v>
      </c>
      <c r="B60" s="279" t="s">
        <v>1708</v>
      </c>
      <c r="C60" s="265">
        <v>45255.0</v>
      </c>
      <c r="D60" s="298"/>
      <c r="E60" s="222">
        <v>45155.0</v>
      </c>
      <c r="F60" s="132" t="s">
        <v>28</v>
      </c>
      <c r="G60" s="132" t="s">
        <v>1711</v>
      </c>
      <c r="H60" s="132" t="s">
        <v>1065</v>
      </c>
      <c r="I60" s="132" t="s">
        <v>1065</v>
      </c>
      <c r="J60" s="132" t="s">
        <v>1067</v>
      </c>
      <c r="K60" s="267">
        <v>25.0</v>
      </c>
      <c r="L60" s="267">
        <v>25.0</v>
      </c>
      <c r="N60" s="267">
        <v>50.0</v>
      </c>
      <c r="P60" s="267">
        <v>25.0</v>
      </c>
      <c r="Q60" s="16" t="s">
        <v>1717</v>
      </c>
      <c r="R60" s="298"/>
      <c r="S60" s="3"/>
      <c r="T60" s="3"/>
      <c r="W60" s="3"/>
      <c r="X60" s="3"/>
      <c r="Y60" s="3"/>
      <c r="Z60" s="3"/>
      <c r="AA60" s="3"/>
      <c r="AC60" s="298"/>
      <c r="AI60" s="298"/>
    </row>
    <row r="61" ht="30.75" customHeight="1">
      <c r="A61" s="132" t="s">
        <v>86</v>
      </c>
      <c r="B61" s="279" t="s">
        <v>1720</v>
      </c>
      <c r="C61" s="265">
        <v>46323.0</v>
      </c>
      <c r="D61" s="298"/>
      <c r="E61" s="222">
        <v>45156.0</v>
      </c>
      <c r="F61" s="132" t="s">
        <v>40</v>
      </c>
      <c r="G61" s="132" t="s">
        <v>1721</v>
      </c>
      <c r="H61" s="132" t="s">
        <v>1065</v>
      </c>
      <c r="I61" s="132" t="s">
        <v>1065</v>
      </c>
      <c r="J61" s="132" t="s">
        <v>1067</v>
      </c>
      <c r="K61" s="267">
        <v>25.0</v>
      </c>
      <c r="L61" s="267">
        <v>25.0</v>
      </c>
      <c r="M61" s="267">
        <v>100.0</v>
      </c>
      <c r="N61" s="267">
        <v>50.0</v>
      </c>
      <c r="O61" s="267" t="s">
        <v>1109</v>
      </c>
      <c r="P61" s="267">
        <v>25.0</v>
      </c>
      <c r="Q61" s="16" t="s">
        <v>1727</v>
      </c>
      <c r="R61" s="298"/>
      <c r="S61" s="342">
        <v>50.0</v>
      </c>
      <c r="T61" s="342">
        <v>50.0</v>
      </c>
      <c r="U61" s="16" t="s">
        <v>1734</v>
      </c>
      <c r="V61" s="403"/>
      <c r="W61" s="267">
        <v>25.0</v>
      </c>
      <c r="X61" s="267">
        <v>50.0</v>
      </c>
      <c r="Y61" s="267">
        <v>50.0</v>
      </c>
      <c r="Z61" s="267">
        <v>100.0</v>
      </c>
      <c r="AA61" s="132" t="s">
        <v>1739</v>
      </c>
      <c r="AB61" s="16" t="s">
        <v>1740</v>
      </c>
      <c r="AC61" s="298"/>
      <c r="AI61" s="298"/>
    </row>
    <row r="62" ht="30.75" customHeight="1">
      <c r="A62" s="132" t="s">
        <v>84</v>
      </c>
      <c r="B62" s="279" t="s">
        <v>1741</v>
      </c>
      <c r="C62" s="265">
        <v>45255.0</v>
      </c>
      <c r="D62" s="303"/>
      <c r="E62" s="222">
        <v>45160.0</v>
      </c>
      <c r="F62" s="132" t="s">
        <v>28</v>
      </c>
      <c r="G62" s="132" t="s">
        <v>1743</v>
      </c>
      <c r="H62" s="132" t="s">
        <v>1065</v>
      </c>
      <c r="I62" s="132" t="s">
        <v>1065</v>
      </c>
      <c r="J62" s="132" t="s">
        <v>1067</v>
      </c>
      <c r="K62" s="267">
        <v>25.0</v>
      </c>
      <c r="L62" s="267">
        <v>25.0</v>
      </c>
      <c r="M62" s="267">
        <v>100.0</v>
      </c>
      <c r="N62" s="267">
        <v>50.0</v>
      </c>
      <c r="O62" s="267" t="s">
        <v>1109</v>
      </c>
      <c r="P62" s="267">
        <v>25.0</v>
      </c>
      <c r="Q62" s="132" t="s">
        <v>1745</v>
      </c>
      <c r="R62" s="303"/>
      <c r="S62" s="267">
        <v>50.0</v>
      </c>
      <c r="T62" s="267">
        <v>50.0</v>
      </c>
      <c r="U62" s="3"/>
      <c r="V62" s="3"/>
      <c r="W62" s="267">
        <v>25.0</v>
      </c>
      <c r="X62" s="267">
        <v>50.0</v>
      </c>
      <c r="Y62" s="267">
        <v>50.0</v>
      </c>
      <c r="Z62" s="267">
        <v>100.0</v>
      </c>
      <c r="AA62" s="3"/>
      <c r="AB62" s="3"/>
      <c r="AC62" s="303"/>
      <c r="AD62" s="267">
        <v>25.0</v>
      </c>
      <c r="AE62" s="267">
        <v>50.0</v>
      </c>
      <c r="AF62" s="267">
        <v>50.0</v>
      </c>
      <c r="AG62" s="3"/>
      <c r="AH62" s="3"/>
      <c r="AI62" s="303"/>
      <c r="AJ62" s="3"/>
      <c r="AK62" s="3"/>
      <c r="AL62" s="3"/>
      <c r="AM62" s="3"/>
      <c r="AN62" s="3"/>
      <c r="AO62" s="3"/>
    </row>
    <row r="63" ht="30.75" customHeight="1">
      <c r="A63" s="132" t="s">
        <v>147</v>
      </c>
      <c r="B63" s="279" t="s">
        <v>1751</v>
      </c>
      <c r="C63" s="47" t="s">
        <v>1753</v>
      </c>
      <c r="D63" s="298"/>
      <c r="E63" s="222">
        <v>45161.0</v>
      </c>
      <c r="F63" s="132" t="s">
        <v>40</v>
      </c>
      <c r="G63" s="16" t="s">
        <v>1755</v>
      </c>
      <c r="H63" s="132" t="s">
        <v>1065</v>
      </c>
      <c r="I63" s="132" t="s">
        <v>1065</v>
      </c>
      <c r="J63" s="132" t="s">
        <v>1188</v>
      </c>
      <c r="K63" s="267">
        <v>25.0</v>
      </c>
      <c r="L63" s="267">
        <v>25.0</v>
      </c>
      <c r="M63" s="267">
        <v>100.0</v>
      </c>
      <c r="N63" s="267">
        <v>50.0</v>
      </c>
      <c r="O63" s="267" t="s">
        <v>1109</v>
      </c>
      <c r="P63" s="267">
        <v>50.0</v>
      </c>
      <c r="R63" s="298"/>
      <c r="S63" s="267">
        <v>50.0</v>
      </c>
      <c r="T63" s="267">
        <v>50.0</v>
      </c>
      <c r="W63" s="267">
        <v>25.0</v>
      </c>
      <c r="X63" s="267">
        <v>50.0</v>
      </c>
      <c r="Y63" s="267">
        <v>50.0</v>
      </c>
      <c r="Z63" s="267">
        <v>100.0</v>
      </c>
      <c r="AA63" s="132" t="s">
        <v>1146</v>
      </c>
      <c r="AB63" s="16" t="s">
        <v>1757</v>
      </c>
      <c r="AC63" s="298"/>
      <c r="AI63" s="298"/>
    </row>
    <row r="64" ht="30.75" customHeight="1">
      <c r="A64" s="132" t="s">
        <v>116</v>
      </c>
      <c r="B64" s="279" t="s">
        <v>1763</v>
      </c>
      <c r="C64" s="47" t="s">
        <v>1765</v>
      </c>
      <c r="D64" s="298"/>
      <c r="E64" s="222">
        <v>45162.0</v>
      </c>
      <c r="F64" s="132" t="s">
        <v>40</v>
      </c>
      <c r="G64" s="132" t="s">
        <v>1768</v>
      </c>
      <c r="H64" s="132" t="s">
        <v>1065</v>
      </c>
      <c r="I64" s="132" t="s">
        <v>1065</v>
      </c>
      <c r="J64" s="132" t="s">
        <v>1067</v>
      </c>
      <c r="K64" s="267">
        <v>25.0</v>
      </c>
      <c r="L64" s="267">
        <v>25.0</v>
      </c>
      <c r="M64" s="267">
        <v>100.0</v>
      </c>
      <c r="N64" s="267">
        <v>50.0</v>
      </c>
      <c r="O64" s="267" t="s">
        <v>1109</v>
      </c>
      <c r="P64" s="267">
        <v>25.0</v>
      </c>
      <c r="R64" s="298"/>
      <c r="S64" s="267">
        <v>50.0</v>
      </c>
      <c r="T64" s="267">
        <v>50.0</v>
      </c>
      <c r="W64" s="267">
        <v>25.0</v>
      </c>
      <c r="X64" s="267">
        <v>50.0</v>
      </c>
      <c r="Y64" s="267">
        <v>50.0</v>
      </c>
      <c r="Z64" s="267">
        <v>100.0</v>
      </c>
      <c r="AA64" s="132" t="s">
        <v>1146</v>
      </c>
      <c r="AC64" s="298"/>
      <c r="AI64" s="298"/>
    </row>
    <row r="65" ht="30.75" customHeight="1">
      <c r="A65" s="132" t="s">
        <v>127</v>
      </c>
      <c r="B65" s="279" t="s">
        <v>1772</v>
      </c>
      <c r="C65" s="265">
        <v>45805.0</v>
      </c>
      <c r="D65" s="298"/>
      <c r="E65" s="222">
        <v>45168.0</v>
      </c>
      <c r="F65" s="132" t="s">
        <v>40</v>
      </c>
      <c r="G65" s="16" t="s">
        <v>1774</v>
      </c>
      <c r="H65" s="132" t="s">
        <v>1065</v>
      </c>
      <c r="I65" s="132" t="s">
        <v>1065</v>
      </c>
      <c r="J65" s="132" t="s">
        <v>1067</v>
      </c>
      <c r="K65" s="267">
        <v>25.0</v>
      </c>
      <c r="L65" s="267">
        <v>25.0</v>
      </c>
      <c r="M65" s="267">
        <v>100.0</v>
      </c>
      <c r="N65" s="267">
        <v>50.0</v>
      </c>
      <c r="O65" s="267" t="s">
        <v>1109</v>
      </c>
      <c r="P65" s="267">
        <v>25.0</v>
      </c>
      <c r="R65" s="298"/>
      <c r="S65" s="267">
        <v>50.0</v>
      </c>
      <c r="T65" s="267">
        <v>50.0</v>
      </c>
      <c r="W65" s="267">
        <v>25.0</v>
      </c>
      <c r="X65" s="267">
        <v>50.0</v>
      </c>
      <c r="Y65" s="267">
        <v>50.0</v>
      </c>
      <c r="Z65" s="267">
        <v>100.0</v>
      </c>
      <c r="AA65" s="132" t="s">
        <v>1146</v>
      </c>
      <c r="AC65" s="298"/>
      <c r="AI65" s="298"/>
    </row>
    <row r="66" ht="30.75" customHeight="1">
      <c r="A66" s="132" t="s">
        <v>125</v>
      </c>
      <c r="B66" s="279" t="s">
        <v>1778</v>
      </c>
      <c r="C66" s="132" t="s">
        <v>1779</v>
      </c>
      <c r="D66" s="298"/>
      <c r="E66" s="281">
        <v>45174.0</v>
      </c>
      <c r="F66" s="132" t="s">
        <v>649</v>
      </c>
      <c r="G66" s="16" t="s">
        <v>1781</v>
      </c>
      <c r="H66" s="132" t="s">
        <v>1065</v>
      </c>
      <c r="I66" s="132" t="s">
        <v>1065</v>
      </c>
      <c r="J66" s="132" t="s">
        <v>1067</v>
      </c>
      <c r="K66" s="267">
        <v>25.0</v>
      </c>
      <c r="L66" s="267">
        <v>25.0</v>
      </c>
      <c r="M66" s="267">
        <v>100.0</v>
      </c>
      <c r="N66" s="267">
        <v>50.0</v>
      </c>
      <c r="O66" s="267" t="s">
        <v>1109</v>
      </c>
      <c r="P66" s="267">
        <v>25.0</v>
      </c>
      <c r="Q66" s="132" t="s">
        <v>1786</v>
      </c>
      <c r="R66" s="298"/>
      <c r="S66" s="267">
        <v>50.0</v>
      </c>
      <c r="T66" s="267">
        <v>50.0</v>
      </c>
      <c r="W66" s="267">
        <v>25.0</v>
      </c>
      <c r="X66" s="267">
        <v>50.0</v>
      </c>
      <c r="Y66" s="267">
        <v>50.0</v>
      </c>
      <c r="Z66" s="267">
        <v>100.0</v>
      </c>
      <c r="AA66" s="132" t="s">
        <v>1788</v>
      </c>
      <c r="AC66" s="298"/>
      <c r="AD66" s="267">
        <v>25.0</v>
      </c>
      <c r="AE66" s="267">
        <v>50.0</v>
      </c>
      <c r="AF66" s="267">
        <v>50.0</v>
      </c>
      <c r="AG66" s="16" t="s">
        <v>1790</v>
      </c>
      <c r="AI66" s="298"/>
    </row>
    <row r="67" ht="30.75" customHeight="1">
      <c r="A67" s="132" t="s">
        <v>1792</v>
      </c>
      <c r="B67" s="279" t="s">
        <v>1794</v>
      </c>
      <c r="C67" s="265">
        <v>45255.0</v>
      </c>
      <c r="D67" s="298"/>
      <c r="E67" s="222">
        <v>45176.0</v>
      </c>
      <c r="F67" s="132" t="s">
        <v>40</v>
      </c>
      <c r="G67" s="16" t="s">
        <v>1796</v>
      </c>
      <c r="H67" s="132" t="s">
        <v>1065</v>
      </c>
      <c r="I67" s="132" t="s">
        <v>1065</v>
      </c>
      <c r="J67" s="132" t="s">
        <v>1067</v>
      </c>
      <c r="K67" s="267">
        <v>25.0</v>
      </c>
      <c r="R67" s="298"/>
      <c r="S67" s="3"/>
      <c r="T67" s="3"/>
      <c r="W67" s="3"/>
      <c r="X67" s="3"/>
      <c r="Y67" s="3"/>
      <c r="Z67" s="3"/>
      <c r="AA67" s="3"/>
      <c r="AC67" s="298"/>
      <c r="AI67" s="298"/>
    </row>
    <row r="68" ht="30.75" customHeight="1">
      <c r="A68" s="132" t="s">
        <v>122</v>
      </c>
      <c r="B68" s="279" t="s">
        <v>1799</v>
      </c>
      <c r="C68" s="265">
        <v>45958.0</v>
      </c>
      <c r="D68" s="298"/>
      <c r="E68" s="222">
        <v>45187.0</v>
      </c>
      <c r="F68" s="132" t="s">
        <v>40</v>
      </c>
      <c r="G68" s="16" t="s">
        <v>1801</v>
      </c>
      <c r="H68" s="132" t="s">
        <v>1065</v>
      </c>
      <c r="I68" s="132" t="s">
        <v>1065</v>
      </c>
      <c r="J68" s="132" t="s">
        <v>1188</v>
      </c>
      <c r="K68" s="267">
        <v>25.0</v>
      </c>
      <c r="L68" s="267">
        <v>25.0</v>
      </c>
      <c r="M68" s="267">
        <v>100.0</v>
      </c>
      <c r="N68" s="267">
        <v>50.0</v>
      </c>
      <c r="O68" s="267">
        <v>100.0</v>
      </c>
      <c r="P68" s="267">
        <v>25.0</v>
      </c>
      <c r="Q68" s="16" t="s">
        <v>1805</v>
      </c>
      <c r="R68" s="298"/>
      <c r="S68" s="267">
        <v>50.0</v>
      </c>
      <c r="T68" s="267">
        <v>50.0</v>
      </c>
      <c r="U68" s="16" t="s">
        <v>1809</v>
      </c>
      <c r="V68" s="16" t="s">
        <v>1147</v>
      </c>
      <c r="W68" s="267">
        <v>25.0</v>
      </c>
      <c r="X68" s="267">
        <v>50.0</v>
      </c>
      <c r="Y68" s="267">
        <v>50.0</v>
      </c>
      <c r="Z68" s="267">
        <v>100.0</v>
      </c>
      <c r="AA68" s="132" t="s">
        <v>1812</v>
      </c>
      <c r="AC68" s="298"/>
      <c r="AD68" s="267">
        <v>25.0</v>
      </c>
      <c r="AE68" s="267">
        <v>50.0</v>
      </c>
      <c r="AF68" s="267">
        <v>50.0</v>
      </c>
      <c r="AG68" s="16" t="s">
        <v>1815</v>
      </c>
      <c r="AH68" s="16" t="s">
        <v>1147</v>
      </c>
      <c r="AI68" s="298"/>
    </row>
    <row r="69" ht="30.75" customHeight="1">
      <c r="A69" s="132" t="s">
        <v>148</v>
      </c>
      <c r="B69" s="279" t="s">
        <v>1818</v>
      </c>
      <c r="C69" s="265">
        <v>45805.0</v>
      </c>
      <c r="D69" s="298"/>
      <c r="E69" s="222">
        <v>45188.0</v>
      </c>
      <c r="F69" s="132" t="s">
        <v>40</v>
      </c>
      <c r="G69" s="16" t="s">
        <v>1821</v>
      </c>
      <c r="H69" s="132" t="s">
        <v>1065</v>
      </c>
      <c r="I69" s="132" t="s">
        <v>1065</v>
      </c>
      <c r="J69" s="132" t="s">
        <v>1067</v>
      </c>
      <c r="K69" s="267">
        <v>25.0</v>
      </c>
      <c r="L69" s="267">
        <v>25.0</v>
      </c>
      <c r="M69" s="267">
        <v>100.0</v>
      </c>
      <c r="N69" s="267">
        <v>50.0</v>
      </c>
      <c r="O69" s="267" t="s">
        <v>1109</v>
      </c>
      <c r="P69" s="267">
        <v>25.0</v>
      </c>
      <c r="Q69" s="16" t="s">
        <v>1823</v>
      </c>
      <c r="R69" s="298"/>
      <c r="S69" s="267">
        <v>50.0</v>
      </c>
      <c r="T69" s="267">
        <v>50.0</v>
      </c>
      <c r="W69" s="267">
        <v>25.0</v>
      </c>
      <c r="X69" s="267">
        <v>50.0</v>
      </c>
      <c r="Y69" s="267">
        <v>50.0</v>
      </c>
      <c r="Z69" s="267">
        <v>100.0</v>
      </c>
      <c r="AA69" s="3"/>
      <c r="AC69" s="298"/>
      <c r="AI69" s="298"/>
    </row>
    <row r="70" ht="30.75" customHeight="1">
      <c r="A70" s="132" t="s">
        <v>96</v>
      </c>
      <c r="B70" s="279" t="s">
        <v>1826</v>
      </c>
      <c r="C70" s="132" t="s">
        <v>1827</v>
      </c>
      <c r="D70" s="298"/>
      <c r="E70" s="222">
        <v>45189.0</v>
      </c>
      <c r="F70" s="132" t="s">
        <v>649</v>
      </c>
      <c r="G70" s="47" t="s">
        <v>1829</v>
      </c>
      <c r="H70" s="132" t="s">
        <v>1065</v>
      </c>
      <c r="I70" s="132" t="s">
        <v>1065</v>
      </c>
      <c r="J70" s="132" t="s">
        <v>1067</v>
      </c>
      <c r="K70" s="267">
        <v>25.0</v>
      </c>
      <c r="L70" s="267">
        <v>25.0</v>
      </c>
      <c r="M70" s="267">
        <v>100.0</v>
      </c>
      <c r="N70" s="267">
        <v>50.0</v>
      </c>
      <c r="O70" s="267" t="s">
        <v>1109</v>
      </c>
      <c r="P70" s="267">
        <v>25.0</v>
      </c>
      <c r="Q70" s="16" t="s">
        <v>1833</v>
      </c>
      <c r="R70" s="298"/>
      <c r="S70" s="267">
        <v>50.0</v>
      </c>
      <c r="T70" s="267">
        <v>50.0</v>
      </c>
      <c r="U70" s="16" t="s">
        <v>1836</v>
      </c>
      <c r="W70" s="267">
        <v>25.0</v>
      </c>
      <c r="X70" s="267">
        <v>50.0</v>
      </c>
      <c r="Y70" s="267">
        <v>50.0</v>
      </c>
      <c r="Z70" s="267">
        <v>100.0</v>
      </c>
      <c r="AA70" s="132" t="s">
        <v>1838</v>
      </c>
      <c r="AB70" s="16" t="s">
        <v>1840</v>
      </c>
      <c r="AC70" s="298"/>
      <c r="AD70" s="267">
        <v>25.0</v>
      </c>
      <c r="AE70" s="267">
        <v>50.0</v>
      </c>
      <c r="AF70" s="267">
        <v>50.0</v>
      </c>
      <c r="AG70" s="132" t="s">
        <v>1841</v>
      </c>
      <c r="AI70" s="298"/>
    </row>
    <row r="71" ht="30.75" customHeight="1">
      <c r="A71" s="132" t="s">
        <v>152</v>
      </c>
      <c r="B71" s="279" t="s">
        <v>1845</v>
      </c>
      <c r="C71" s="132" t="s">
        <v>1847</v>
      </c>
      <c r="D71" s="298"/>
      <c r="E71" s="281">
        <v>45191.0</v>
      </c>
      <c r="F71" s="132" t="s">
        <v>649</v>
      </c>
      <c r="G71" s="47" t="s">
        <v>1849</v>
      </c>
      <c r="H71" s="132" t="s">
        <v>1065</v>
      </c>
      <c r="I71" s="132" t="s">
        <v>1065</v>
      </c>
      <c r="J71" s="132" t="s">
        <v>1067</v>
      </c>
      <c r="K71" s="267">
        <v>25.0</v>
      </c>
      <c r="L71" s="267">
        <v>25.0</v>
      </c>
      <c r="M71" s="267">
        <v>100.0</v>
      </c>
      <c r="N71" s="267">
        <v>50.0</v>
      </c>
      <c r="O71" s="267" t="s">
        <v>1109</v>
      </c>
      <c r="P71" s="267">
        <v>50.0</v>
      </c>
      <c r="R71" s="298"/>
      <c r="S71" s="267">
        <v>50.0</v>
      </c>
      <c r="T71" s="267">
        <v>50.0</v>
      </c>
      <c r="U71" s="16" t="s">
        <v>1652</v>
      </c>
      <c r="W71" s="267">
        <v>25.0</v>
      </c>
      <c r="X71" s="267">
        <v>50.0</v>
      </c>
      <c r="Y71" s="267">
        <v>50.0</v>
      </c>
      <c r="Z71" s="267">
        <v>100.0</v>
      </c>
      <c r="AA71" s="132" t="s">
        <v>1146</v>
      </c>
      <c r="AB71" s="16" t="s">
        <v>1851</v>
      </c>
      <c r="AC71" s="298"/>
      <c r="AI71" s="298"/>
    </row>
    <row r="72" ht="30.75" customHeight="1">
      <c r="A72" s="132" t="s">
        <v>135</v>
      </c>
      <c r="B72" s="279" t="s">
        <v>1853</v>
      </c>
      <c r="C72" s="265">
        <v>45805.0</v>
      </c>
      <c r="D72" s="298"/>
      <c r="E72" s="222">
        <v>45195.0</v>
      </c>
      <c r="F72" s="132" t="s">
        <v>28</v>
      </c>
      <c r="G72" s="16" t="s">
        <v>1855</v>
      </c>
      <c r="H72" s="132" t="s">
        <v>1065</v>
      </c>
      <c r="I72" s="132" t="s">
        <v>1065</v>
      </c>
      <c r="J72" s="132" t="s">
        <v>1067</v>
      </c>
      <c r="K72" s="267">
        <v>25.0</v>
      </c>
      <c r="L72" s="267">
        <v>25.0</v>
      </c>
      <c r="M72" s="267">
        <v>100.0</v>
      </c>
      <c r="N72" s="267">
        <v>50.0</v>
      </c>
      <c r="O72" s="267" t="s">
        <v>1109</v>
      </c>
      <c r="P72" s="267">
        <v>50.0</v>
      </c>
      <c r="Q72" s="16" t="s">
        <v>1860</v>
      </c>
      <c r="R72" s="298"/>
      <c r="S72" s="267">
        <v>50.0</v>
      </c>
      <c r="T72" s="267">
        <v>50.0</v>
      </c>
      <c r="U72" s="16" t="s">
        <v>1864</v>
      </c>
      <c r="W72" s="267">
        <v>25.0</v>
      </c>
      <c r="X72" s="267">
        <v>50.0</v>
      </c>
      <c r="Y72" s="267">
        <v>50.0</v>
      </c>
      <c r="Z72" s="267">
        <v>100.0</v>
      </c>
      <c r="AA72" s="132" t="s">
        <v>1868</v>
      </c>
      <c r="AB72" s="16" t="s">
        <v>1869</v>
      </c>
      <c r="AC72" s="298"/>
      <c r="AI72" s="298"/>
    </row>
    <row r="73" ht="30.75" customHeight="1">
      <c r="A73" s="132" t="s">
        <v>1685</v>
      </c>
      <c r="B73" s="279" t="s">
        <v>1871</v>
      </c>
      <c r="C73" s="265">
        <v>45255.0</v>
      </c>
      <c r="D73" s="298"/>
      <c r="E73" s="281">
        <v>45196.0</v>
      </c>
      <c r="F73" s="132" t="s">
        <v>649</v>
      </c>
      <c r="G73" s="132" t="s">
        <v>1874</v>
      </c>
      <c r="H73" s="132" t="s">
        <v>1065</v>
      </c>
      <c r="I73" s="132" t="s">
        <v>1065</v>
      </c>
      <c r="J73" s="132" t="s">
        <v>1067</v>
      </c>
      <c r="K73" s="267">
        <v>25.0</v>
      </c>
      <c r="L73" s="267">
        <v>25.0</v>
      </c>
      <c r="Q73" s="16" t="s">
        <v>1878</v>
      </c>
      <c r="R73" s="298"/>
      <c r="S73" s="3"/>
      <c r="T73" s="3"/>
      <c r="W73" s="3"/>
      <c r="X73" s="3"/>
      <c r="Y73" s="3"/>
      <c r="Z73" s="3"/>
      <c r="AA73" s="3"/>
      <c r="AC73" s="298"/>
      <c r="AI73" s="298"/>
    </row>
    <row r="74" ht="30.75" customHeight="1">
      <c r="A74" s="132" t="s">
        <v>114</v>
      </c>
      <c r="B74" s="279" t="s">
        <v>1881</v>
      </c>
      <c r="C74" s="265">
        <v>45255.0</v>
      </c>
      <c r="D74" s="298"/>
      <c r="E74" s="222">
        <v>45198.0</v>
      </c>
      <c r="F74" s="132" t="s">
        <v>40</v>
      </c>
      <c r="G74" s="16" t="s">
        <v>1883</v>
      </c>
      <c r="H74" s="132" t="s">
        <v>1065</v>
      </c>
      <c r="I74" s="132" t="s">
        <v>1065</v>
      </c>
      <c r="J74" s="132" t="s">
        <v>1188</v>
      </c>
      <c r="K74" s="267">
        <v>25.0</v>
      </c>
      <c r="L74" s="267">
        <v>25.0</v>
      </c>
      <c r="M74" s="267">
        <v>100.0</v>
      </c>
      <c r="N74" s="267">
        <v>50.0</v>
      </c>
      <c r="O74" s="267" t="s">
        <v>1109</v>
      </c>
      <c r="P74" s="267">
        <v>50.0</v>
      </c>
      <c r="R74" s="298"/>
      <c r="S74" s="267">
        <v>50.0</v>
      </c>
      <c r="T74" s="267">
        <v>50.0</v>
      </c>
      <c r="W74" s="267">
        <v>25.0</v>
      </c>
      <c r="X74" s="267">
        <v>50.0</v>
      </c>
      <c r="Y74" s="267">
        <v>50.0</v>
      </c>
      <c r="Z74" s="267">
        <v>100.0</v>
      </c>
      <c r="AA74" s="132" t="s">
        <v>1146</v>
      </c>
      <c r="AC74" s="298"/>
      <c r="AI74" s="298"/>
    </row>
    <row r="75" ht="30.75" customHeight="1">
      <c r="A75" s="132" t="s">
        <v>1649</v>
      </c>
      <c r="B75" s="279" t="s">
        <v>1887</v>
      </c>
      <c r="C75" s="265">
        <v>45255.0</v>
      </c>
      <c r="D75" s="303"/>
      <c r="E75" s="222">
        <v>45201.0</v>
      </c>
      <c r="F75" s="132" t="s">
        <v>649</v>
      </c>
      <c r="G75" s="132" t="s">
        <v>1889</v>
      </c>
      <c r="H75" s="132" t="s">
        <v>1065</v>
      </c>
      <c r="I75" s="132" t="s">
        <v>1065</v>
      </c>
      <c r="J75" s="132" t="s">
        <v>1067</v>
      </c>
      <c r="K75" s="267">
        <v>25.0</v>
      </c>
      <c r="L75" s="267">
        <v>25.0</v>
      </c>
      <c r="M75" s="3"/>
      <c r="N75" s="267">
        <v>50.0</v>
      </c>
      <c r="O75" s="267" t="s">
        <v>1109</v>
      </c>
      <c r="P75" s="267">
        <v>25.0</v>
      </c>
      <c r="Q75" s="132" t="s">
        <v>1893</v>
      </c>
      <c r="R75" s="303"/>
      <c r="S75" s="3"/>
      <c r="T75" s="3"/>
      <c r="U75" s="3"/>
      <c r="V75" s="3"/>
      <c r="W75" s="132"/>
      <c r="X75" s="132"/>
      <c r="Y75" s="132"/>
      <c r="Z75" s="3"/>
      <c r="AA75" s="3"/>
      <c r="AB75" s="3"/>
      <c r="AC75" s="303"/>
      <c r="AD75" s="3"/>
      <c r="AE75" s="3"/>
      <c r="AF75" s="3"/>
      <c r="AG75" s="3"/>
      <c r="AH75" s="3"/>
      <c r="AI75" s="303"/>
      <c r="AJ75" s="3"/>
      <c r="AK75" s="3"/>
      <c r="AL75" s="3"/>
      <c r="AM75" s="3"/>
      <c r="AN75" s="3"/>
      <c r="AO75" s="3"/>
    </row>
    <row r="76" ht="30.75" customHeight="1">
      <c r="A76" s="132" t="s">
        <v>145</v>
      </c>
      <c r="B76" s="279" t="s">
        <v>1897</v>
      </c>
      <c r="C76" s="265">
        <v>45255.0</v>
      </c>
      <c r="D76" s="298"/>
      <c r="E76" s="222">
        <v>45202.0</v>
      </c>
      <c r="F76" s="132" t="s">
        <v>40</v>
      </c>
      <c r="G76" s="16" t="s">
        <v>1900</v>
      </c>
      <c r="H76" s="132" t="s">
        <v>1065</v>
      </c>
      <c r="I76" s="132" t="s">
        <v>1065</v>
      </c>
      <c r="J76" s="132" t="s">
        <v>1067</v>
      </c>
      <c r="K76" s="267">
        <v>25.0</v>
      </c>
      <c r="L76" s="267">
        <v>25.0</v>
      </c>
      <c r="M76" s="267">
        <v>100.0</v>
      </c>
      <c r="N76" s="267">
        <v>50.0</v>
      </c>
      <c r="O76" s="267" t="s">
        <v>1109</v>
      </c>
      <c r="P76" s="267">
        <v>50.0</v>
      </c>
      <c r="R76" s="298"/>
      <c r="S76" s="3"/>
      <c r="T76" s="3"/>
      <c r="W76" s="3"/>
      <c r="X76" s="3"/>
      <c r="Y76" s="3"/>
      <c r="Z76" s="3"/>
      <c r="AA76" s="3"/>
      <c r="AC76" s="298"/>
      <c r="AI76" s="298"/>
    </row>
    <row r="77" ht="30.75" customHeight="1">
      <c r="A77" s="132" t="s">
        <v>141</v>
      </c>
      <c r="B77" s="279" t="s">
        <v>1904</v>
      </c>
      <c r="C77" s="265">
        <v>45255.0</v>
      </c>
      <c r="D77" s="298"/>
      <c r="E77" s="222">
        <v>45202.0</v>
      </c>
      <c r="F77" s="132" t="s">
        <v>28</v>
      </c>
      <c r="G77" s="16" t="s">
        <v>1905</v>
      </c>
      <c r="H77" s="132" t="s">
        <v>1065</v>
      </c>
      <c r="I77" s="132" t="s">
        <v>1065</v>
      </c>
      <c r="J77" s="132" t="s">
        <v>1067</v>
      </c>
      <c r="K77" s="267">
        <v>25.0</v>
      </c>
      <c r="L77" s="267">
        <v>25.0</v>
      </c>
      <c r="M77" s="267">
        <v>100.0</v>
      </c>
      <c r="N77" s="267">
        <v>50.0</v>
      </c>
      <c r="O77" s="267">
        <v>100.0</v>
      </c>
      <c r="P77" s="267">
        <v>50.0</v>
      </c>
      <c r="Q77" s="16" t="s">
        <v>1910</v>
      </c>
      <c r="R77" s="298"/>
      <c r="S77" s="3"/>
      <c r="T77" s="3"/>
      <c r="W77" s="3"/>
      <c r="X77" s="3"/>
      <c r="Y77" s="3"/>
      <c r="Z77" s="3"/>
      <c r="AA77" s="3"/>
      <c r="AC77" s="298"/>
      <c r="AI77" s="298"/>
    </row>
    <row r="78" ht="30.75" customHeight="1">
      <c r="A78" s="132" t="s">
        <v>133</v>
      </c>
      <c r="B78" s="279" t="s">
        <v>1911</v>
      </c>
      <c r="C78" s="132" t="s">
        <v>1914</v>
      </c>
      <c r="D78" s="298"/>
      <c r="E78" s="222">
        <v>45202.0</v>
      </c>
      <c r="F78" s="132" t="s">
        <v>40</v>
      </c>
      <c r="G78" s="47" t="s">
        <v>1915</v>
      </c>
      <c r="H78" s="132" t="s">
        <v>1065</v>
      </c>
      <c r="I78" s="132" t="s">
        <v>1065</v>
      </c>
      <c r="J78" s="132" t="s">
        <v>1067</v>
      </c>
      <c r="K78" s="267">
        <v>25.0</v>
      </c>
      <c r="L78" s="267">
        <v>25.0</v>
      </c>
      <c r="M78" s="267">
        <v>100.0</v>
      </c>
      <c r="N78" s="267">
        <v>50.0</v>
      </c>
      <c r="O78" s="267">
        <v>100.0</v>
      </c>
      <c r="P78" s="267">
        <v>50.0</v>
      </c>
      <c r="Q78" s="16" t="s">
        <v>1920</v>
      </c>
      <c r="R78" s="298"/>
      <c r="S78" s="267">
        <v>50.0</v>
      </c>
      <c r="T78" s="267">
        <v>50.0</v>
      </c>
      <c r="U78" s="16" t="s">
        <v>1922</v>
      </c>
      <c r="W78" s="267">
        <v>25.0</v>
      </c>
      <c r="X78" s="267">
        <v>50.0</v>
      </c>
      <c r="Y78" s="267">
        <v>50.0</v>
      </c>
      <c r="Z78" s="267">
        <v>100.0</v>
      </c>
      <c r="AA78" s="132" t="s">
        <v>1927</v>
      </c>
      <c r="AB78" s="16" t="s">
        <v>1928</v>
      </c>
      <c r="AC78" s="298"/>
      <c r="AD78" s="16"/>
      <c r="AE78" s="16"/>
      <c r="AF78" s="16"/>
      <c r="AG78" s="16"/>
      <c r="AH78" s="16"/>
      <c r="AI78" s="298"/>
      <c r="AJ78" s="16" t="s">
        <v>1930</v>
      </c>
    </row>
    <row r="79" ht="30.75" customHeight="1">
      <c r="A79" s="132" t="s">
        <v>153</v>
      </c>
      <c r="B79" s="279" t="s">
        <v>1931</v>
      </c>
      <c r="C79" s="265">
        <v>45255.0</v>
      </c>
      <c r="D79" s="303"/>
      <c r="E79" s="224">
        <v>45210.0</v>
      </c>
      <c r="F79" s="132" t="s">
        <v>649</v>
      </c>
      <c r="G79" s="132" t="s">
        <v>1933</v>
      </c>
      <c r="H79" s="132" t="s">
        <v>1065</v>
      </c>
      <c r="I79" s="132" t="s">
        <v>1065</v>
      </c>
      <c r="J79" s="132" t="s">
        <v>1067</v>
      </c>
      <c r="K79" s="267">
        <v>25.0</v>
      </c>
      <c r="L79" s="267">
        <v>25.0</v>
      </c>
      <c r="M79" s="267">
        <v>100.0</v>
      </c>
      <c r="N79" s="267">
        <v>50.0</v>
      </c>
      <c r="O79" s="267" t="s">
        <v>1109</v>
      </c>
      <c r="P79" s="267">
        <v>50.0</v>
      </c>
      <c r="Q79" s="3"/>
      <c r="R79" s="303"/>
      <c r="S79" s="267">
        <v>50.0</v>
      </c>
      <c r="T79" s="267">
        <v>50.0</v>
      </c>
      <c r="U79" s="3"/>
      <c r="V79" s="3"/>
      <c r="W79" s="267">
        <v>25.0</v>
      </c>
      <c r="X79" s="267">
        <v>50.0</v>
      </c>
      <c r="Y79" s="267">
        <v>50.0</v>
      </c>
      <c r="Z79" s="267">
        <v>100.0</v>
      </c>
      <c r="AA79" s="132" t="s">
        <v>1146</v>
      </c>
      <c r="AB79" s="3"/>
      <c r="AC79" s="303"/>
      <c r="AD79" s="3"/>
      <c r="AE79" s="3"/>
      <c r="AF79" s="3"/>
      <c r="AG79" s="3"/>
      <c r="AH79" s="3"/>
      <c r="AI79" s="303"/>
      <c r="AJ79" s="3"/>
      <c r="AK79" s="3"/>
      <c r="AL79" s="3"/>
      <c r="AM79" s="3"/>
      <c r="AN79" s="3"/>
      <c r="AO79" s="3"/>
    </row>
    <row r="80" ht="30.75" customHeight="1">
      <c r="A80" s="132" t="s">
        <v>164</v>
      </c>
      <c r="B80" s="279" t="s">
        <v>1939</v>
      </c>
      <c r="C80" s="132" t="s">
        <v>1940</v>
      </c>
      <c r="D80" s="303"/>
      <c r="E80" s="232">
        <v>45210.0</v>
      </c>
      <c r="F80" s="132" t="s">
        <v>736</v>
      </c>
      <c r="G80" s="132" t="s">
        <v>1943</v>
      </c>
      <c r="H80" s="132" t="s">
        <v>1065</v>
      </c>
      <c r="I80" s="132" t="s">
        <v>1065</v>
      </c>
      <c r="J80" s="132" t="s">
        <v>1067</v>
      </c>
      <c r="K80" s="267">
        <v>25.0</v>
      </c>
      <c r="L80" s="267">
        <v>25.0</v>
      </c>
      <c r="M80" s="267">
        <v>100.0</v>
      </c>
      <c r="N80" s="267">
        <v>50.0</v>
      </c>
      <c r="O80" s="267" t="s">
        <v>1109</v>
      </c>
      <c r="P80" s="267">
        <v>50.0</v>
      </c>
      <c r="Q80" s="132" t="s">
        <v>1949</v>
      </c>
      <c r="R80" s="303"/>
      <c r="S80" s="132" t="s">
        <v>1951</v>
      </c>
      <c r="T80" s="267">
        <v>50.0</v>
      </c>
      <c r="U80" s="132" t="s">
        <v>1954</v>
      </c>
      <c r="V80" s="132" t="s">
        <v>1314</v>
      </c>
      <c r="W80" s="267">
        <v>25.0</v>
      </c>
      <c r="X80" s="267">
        <v>50.0</v>
      </c>
      <c r="Y80" s="267">
        <v>50.0</v>
      </c>
      <c r="Z80" s="267">
        <v>100.0</v>
      </c>
      <c r="AA80" s="132" t="s">
        <v>1959</v>
      </c>
      <c r="AB80" s="3"/>
      <c r="AC80" s="303"/>
      <c r="AD80" s="3"/>
      <c r="AE80" s="3"/>
      <c r="AF80" s="3"/>
      <c r="AG80" s="3"/>
      <c r="AH80" s="3"/>
      <c r="AI80" s="303"/>
      <c r="AJ80" s="3"/>
      <c r="AK80" s="3"/>
      <c r="AL80" s="3"/>
      <c r="AM80" s="3"/>
      <c r="AN80" s="3"/>
      <c r="AO80" s="3"/>
    </row>
    <row r="81" ht="30.75" customHeight="1">
      <c r="A81" s="132" t="s">
        <v>1673</v>
      </c>
      <c r="B81" s="279" t="s">
        <v>1962</v>
      </c>
      <c r="C81" s="265">
        <v>45255.0</v>
      </c>
      <c r="D81" s="303"/>
      <c r="E81" s="224">
        <v>45215.0</v>
      </c>
      <c r="F81" s="132" t="s">
        <v>649</v>
      </c>
      <c r="G81" s="132" t="s">
        <v>1964</v>
      </c>
      <c r="H81" s="132" t="s">
        <v>1065</v>
      </c>
      <c r="I81" s="132" t="s">
        <v>1065</v>
      </c>
      <c r="J81" s="132" t="s">
        <v>1067</v>
      </c>
      <c r="K81" s="267">
        <v>25.0</v>
      </c>
      <c r="L81" s="267">
        <v>25.0</v>
      </c>
      <c r="M81" s="267">
        <v>25.0</v>
      </c>
      <c r="N81" s="267">
        <v>50.0</v>
      </c>
      <c r="O81" s="267" t="s">
        <v>1109</v>
      </c>
      <c r="P81" s="267">
        <v>25.0</v>
      </c>
      <c r="Q81" s="132" t="s">
        <v>1968</v>
      </c>
      <c r="R81" s="303"/>
      <c r="S81" s="3"/>
      <c r="T81" s="3"/>
      <c r="U81" s="3"/>
      <c r="V81" s="3"/>
      <c r="W81" s="3"/>
      <c r="X81" s="3"/>
      <c r="Y81" s="3"/>
      <c r="Z81" s="3"/>
      <c r="AA81" s="3"/>
      <c r="AB81" s="3"/>
      <c r="AC81" s="303"/>
      <c r="AD81" s="3"/>
      <c r="AE81" s="3"/>
      <c r="AF81" s="3"/>
      <c r="AG81" s="3"/>
      <c r="AH81" s="3"/>
      <c r="AI81" s="303"/>
      <c r="AJ81" s="3"/>
      <c r="AK81" s="3"/>
      <c r="AL81" s="3"/>
      <c r="AM81" s="3"/>
      <c r="AN81" s="3"/>
      <c r="AO81" s="3"/>
    </row>
    <row r="82" ht="30.75" customHeight="1">
      <c r="A82" s="132" t="s">
        <v>192</v>
      </c>
      <c r="B82" s="279" t="s">
        <v>1971</v>
      </c>
      <c r="C82" s="265">
        <v>46323.0</v>
      </c>
      <c r="D82" s="298"/>
      <c r="E82" s="224">
        <v>45215.0</v>
      </c>
      <c r="F82" s="132" t="s">
        <v>28</v>
      </c>
      <c r="G82" s="132" t="s">
        <v>1972</v>
      </c>
      <c r="H82" s="132" t="s">
        <v>1065</v>
      </c>
      <c r="I82" s="132" t="s">
        <v>1065</v>
      </c>
      <c r="J82" s="132" t="s">
        <v>1067</v>
      </c>
      <c r="K82" s="267">
        <v>25.0</v>
      </c>
      <c r="L82" s="267">
        <v>25.0</v>
      </c>
      <c r="M82" s="267">
        <v>100.0</v>
      </c>
      <c r="N82" s="267">
        <v>50.0</v>
      </c>
      <c r="O82" s="267" t="s">
        <v>1109</v>
      </c>
      <c r="P82" s="267">
        <v>50.0</v>
      </c>
      <c r="Q82" s="132" t="s">
        <v>1980</v>
      </c>
      <c r="R82" s="298"/>
      <c r="S82" s="267">
        <v>50.0</v>
      </c>
      <c r="T82" s="267">
        <v>50.0</v>
      </c>
      <c r="U82" s="16" t="s">
        <v>1983</v>
      </c>
      <c r="W82" s="267">
        <v>25.0</v>
      </c>
      <c r="X82" s="267">
        <v>50.0</v>
      </c>
      <c r="Y82" s="267">
        <v>50.0</v>
      </c>
      <c r="Z82" s="267">
        <v>100.0</v>
      </c>
      <c r="AA82" s="132" t="s">
        <v>1987</v>
      </c>
      <c r="AC82" s="298"/>
      <c r="AI82" s="298"/>
    </row>
    <row r="83" ht="30.75" customHeight="1">
      <c r="A83" s="132" t="s">
        <v>162</v>
      </c>
      <c r="B83" s="485" t="s">
        <v>1990</v>
      </c>
      <c r="C83" s="132" t="s">
        <v>1993</v>
      </c>
      <c r="D83" s="298"/>
      <c r="E83" s="224">
        <v>45216.0</v>
      </c>
      <c r="F83" s="132" t="s">
        <v>40</v>
      </c>
      <c r="G83" s="16" t="s">
        <v>1995</v>
      </c>
      <c r="H83" s="132" t="s">
        <v>1065</v>
      </c>
      <c r="I83" s="132" t="s">
        <v>1065</v>
      </c>
      <c r="J83" s="132" t="s">
        <v>1188</v>
      </c>
      <c r="K83" s="267">
        <v>25.0</v>
      </c>
      <c r="L83" s="267">
        <v>25.0</v>
      </c>
      <c r="M83" s="267">
        <v>100.0</v>
      </c>
      <c r="N83" s="267">
        <v>50.0</v>
      </c>
      <c r="O83" s="267" t="s">
        <v>1769</v>
      </c>
      <c r="P83" s="267">
        <v>25.0</v>
      </c>
      <c r="Q83" s="132" t="s">
        <v>2001</v>
      </c>
      <c r="R83" s="298"/>
      <c r="S83" s="267">
        <v>50.0</v>
      </c>
      <c r="T83" s="267">
        <v>50.0</v>
      </c>
      <c r="U83" s="132" t="s">
        <v>2004</v>
      </c>
      <c r="W83" s="267">
        <v>25.0</v>
      </c>
      <c r="X83" s="267">
        <v>50.0</v>
      </c>
      <c r="Y83" s="267">
        <v>50.0</v>
      </c>
      <c r="Z83" s="267">
        <v>100.0</v>
      </c>
      <c r="AA83" s="132" t="s">
        <v>2009</v>
      </c>
      <c r="AC83" s="298"/>
      <c r="AI83" s="298"/>
    </row>
    <row r="84" ht="30.75" customHeight="1">
      <c r="A84" s="132" t="s">
        <v>117</v>
      </c>
      <c r="B84" s="279" t="s">
        <v>2010</v>
      </c>
      <c r="C84" s="132" t="s">
        <v>2012</v>
      </c>
      <c r="D84" s="303"/>
      <c r="E84" s="232">
        <v>45218.0</v>
      </c>
      <c r="F84" s="132" t="s">
        <v>649</v>
      </c>
      <c r="G84" s="132" t="s">
        <v>2014</v>
      </c>
      <c r="H84" s="132" t="s">
        <v>1065</v>
      </c>
      <c r="I84" s="132" t="s">
        <v>1065</v>
      </c>
      <c r="J84" s="132" t="s">
        <v>1067</v>
      </c>
      <c r="K84" s="267">
        <v>25.0</v>
      </c>
      <c r="L84" s="267">
        <v>25.0</v>
      </c>
      <c r="M84" s="267">
        <v>100.0</v>
      </c>
      <c r="N84" s="267">
        <v>50.0</v>
      </c>
      <c r="O84" s="267" t="s">
        <v>1109</v>
      </c>
      <c r="P84" s="267">
        <v>50.0</v>
      </c>
      <c r="Q84" s="3"/>
      <c r="R84" s="303"/>
      <c r="S84" s="267">
        <v>50.0</v>
      </c>
      <c r="T84" s="267">
        <v>50.0</v>
      </c>
      <c r="U84" s="3"/>
      <c r="V84" s="3"/>
      <c r="W84" s="267">
        <v>25.0</v>
      </c>
      <c r="X84" s="267">
        <v>50.0</v>
      </c>
      <c r="Y84" s="267">
        <v>50.0</v>
      </c>
      <c r="Z84" s="267">
        <v>100.0</v>
      </c>
      <c r="AA84" s="132" t="s">
        <v>2017</v>
      </c>
      <c r="AB84" s="3"/>
      <c r="AC84" s="303"/>
      <c r="AD84" s="267">
        <v>25.0</v>
      </c>
      <c r="AE84" s="267">
        <v>50.0</v>
      </c>
      <c r="AF84" s="267">
        <v>50.0</v>
      </c>
      <c r="AG84" s="132" t="s">
        <v>2017</v>
      </c>
      <c r="AH84" s="3"/>
      <c r="AI84" s="303"/>
      <c r="AJ84" s="3"/>
      <c r="AK84" s="3"/>
      <c r="AL84" s="3"/>
      <c r="AM84" s="3"/>
      <c r="AN84" s="3"/>
      <c r="AO84" s="3"/>
    </row>
    <row r="85" ht="30.75" customHeight="1">
      <c r="A85" s="132" t="s">
        <v>178</v>
      </c>
      <c r="B85" s="279" t="s">
        <v>2020</v>
      </c>
      <c r="C85" s="132" t="s">
        <v>2021</v>
      </c>
      <c r="D85" s="303"/>
      <c r="E85" s="224">
        <v>45222.0</v>
      </c>
      <c r="F85" s="132" t="s">
        <v>40</v>
      </c>
      <c r="G85" s="132" t="s">
        <v>2022</v>
      </c>
      <c r="H85" s="132" t="s">
        <v>1065</v>
      </c>
      <c r="I85" s="132" t="s">
        <v>1065</v>
      </c>
      <c r="J85" s="132" t="s">
        <v>1067</v>
      </c>
      <c r="K85" s="267">
        <v>25.0</v>
      </c>
      <c r="L85" s="267">
        <v>25.0</v>
      </c>
      <c r="M85" s="267">
        <v>100.0</v>
      </c>
      <c r="N85" s="267">
        <v>50.0</v>
      </c>
      <c r="O85" s="267">
        <v>100.0</v>
      </c>
      <c r="P85" s="267">
        <v>25.0</v>
      </c>
      <c r="Q85" s="132" t="s">
        <v>2026</v>
      </c>
      <c r="R85" s="303"/>
      <c r="S85" s="267">
        <v>50.0</v>
      </c>
      <c r="T85" s="267">
        <v>50.0</v>
      </c>
      <c r="U85" s="132" t="s">
        <v>2029</v>
      </c>
      <c r="V85" s="3"/>
      <c r="W85" s="267">
        <v>25.0</v>
      </c>
      <c r="X85" s="267">
        <v>50.0</v>
      </c>
      <c r="Y85" s="267">
        <v>50.0</v>
      </c>
      <c r="Z85" s="267">
        <v>100.0</v>
      </c>
      <c r="AA85" s="132" t="s">
        <v>2034</v>
      </c>
      <c r="AB85" s="3"/>
      <c r="AC85" s="303"/>
      <c r="AD85" s="3"/>
      <c r="AE85" s="3"/>
      <c r="AF85" s="3"/>
      <c r="AG85" s="3"/>
      <c r="AH85" s="3"/>
      <c r="AI85" s="303"/>
      <c r="AJ85" s="3"/>
      <c r="AK85" s="3"/>
      <c r="AL85" s="3"/>
      <c r="AM85" s="3"/>
      <c r="AN85" s="3"/>
      <c r="AO85" s="3"/>
    </row>
    <row r="86" ht="30.75" customHeight="1">
      <c r="A86" s="132" t="s">
        <v>154</v>
      </c>
      <c r="B86" s="279" t="s">
        <v>2036</v>
      </c>
      <c r="C86" s="265">
        <v>45256.0</v>
      </c>
      <c r="D86" s="298"/>
      <c r="E86" s="232">
        <v>45224.0</v>
      </c>
      <c r="F86" s="132" t="s">
        <v>649</v>
      </c>
      <c r="G86" s="16" t="s">
        <v>2037</v>
      </c>
      <c r="H86" s="132" t="s">
        <v>1065</v>
      </c>
      <c r="I86" s="132" t="s">
        <v>1065</v>
      </c>
      <c r="J86" s="132" t="s">
        <v>1067</v>
      </c>
      <c r="K86" s="267">
        <v>25.0</v>
      </c>
      <c r="L86" s="267">
        <v>25.0</v>
      </c>
      <c r="M86" s="267">
        <v>100.0</v>
      </c>
      <c r="N86" s="267">
        <v>50.0</v>
      </c>
      <c r="O86" s="267" t="s">
        <v>1109</v>
      </c>
      <c r="P86" s="267">
        <v>50.0</v>
      </c>
      <c r="R86" s="298"/>
      <c r="S86" s="267">
        <v>50.0</v>
      </c>
      <c r="T86" s="267">
        <v>50.0</v>
      </c>
      <c r="U86" s="16" t="s">
        <v>1652</v>
      </c>
      <c r="W86" s="3"/>
      <c r="X86" s="3"/>
      <c r="Y86" s="3"/>
      <c r="Z86" s="3"/>
      <c r="AA86" s="3"/>
      <c r="AC86" s="298"/>
      <c r="AI86" s="298"/>
    </row>
    <row r="87" ht="30.75" customHeight="1">
      <c r="A87" s="132" t="s">
        <v>196</v>
      </c>
      <c r="B87" s="279" t="s">
        <v>2041</v>
      </c>
      <c r="C87" s="265">
        <v>45378.0</v>
      </c>
      <c r="D87" s="298"/>
      <c r="E87" s="232">
        <v>45224.0</v>
      </c>
      <c r="F87" s="132" t="s">
        <v>736</v>
      </c>
      <c r="G87" s="16" t="s">
        <v>2043</v>
      </c>
      <c r="H87" s="132" t="s">
        <v>1065</v>
      </c>
      <c r="I87" s="132" t="s">
        <v>1065</v>
      </c>
      <c r="J87" s="132" t="s">
        <v>1067</v>
      </c>
      <c r="K87" s="267">
        <v>25.0</v>
      </c>
      <c r="L87" s="267">
        <v>25.0</v>
      </c>
      <c r="M87" s="267">
        <v>100.0</v>
      </c>
      <c r="N87" s="267">
        <v>50.0</v>
      </c>
      <c r="O87" s="267" t="s">
        <v>1109</v>
      </c>
      <c r="P87" s="267">
        <v>50.0</v>
      </c>
      <c r="R87" s="298"/>
      <c r="S87" s="267">
        <v>50.0</v>
      </c>
      <c r="T87" s="267">
        <v>50.0</v>
      </c>
      <c r="U87" s="16" t="s">
        <v>1652</v>
      </c>
      <c r="W87" s="267">
        <v>25.0</v>
      </c>
      <c r="X87" s="267">
        <v>50.0</v>
      </c>
      <c r="Y87" s="267">
        <v>50.0</v>
      </c>
      <c r="Z87" s="267">
        <v>100.0</v>
      </c>
      <c r="AA87" s="132" t="s">
        <v>2017</v>
      </c>
      <c r="AC87" s="298"/>
      <c r="AI87" s="298"/>
    </row>
    <row r="88" ht="30.75" customHeight="1">
      <c r="A88" s="132" t="s">
        <v>216</v>
      </c>
      <c r="B88" s="279" t="s">
        <v>2048</v>
      </c>
      <c r="C88" s="265">
        <v>46323.0</v>
      </c>
      <c r="D88" s="303"/>
      <c r="E88" s="232">
        <v>45224.0</v>
      </c>
      <c r="F88" s="132" t="s">
        <v>28</v>
      </c>
      <c r="G88" s="16" t="s">
        <v>2050</v>
      </c>
      <c r="H88" s="132" t="s">
        <v>1065</v>
      </c>
      <c r="I88" s="132" t="s">
        <v>1065</v>
      </c>
      <c r="J88" s="132" t="s">
        <v>1067</v>
      </c>
      <c r="K88" s="267">
        <v>25.0</v>
      </c>
      <c r="L88" s="267">
        <v>25.0</v>
      </c>
      <c r="M88" s="267">
        <v>100.0</v>
      </c>
      <c r="N88" s="267">
        <v>50.0</v>
      </c>
      <c r="O88" s="267" t="s">
        <v>1109</v>
      </c>
      <c r="P88" s="267">
        <v>50.0</v>
      </c>
      <c r="Q88" s="3"/>
      <c r="R88" s="303"/>
      <c r="S88" s="383">
        <v>50.0</v>
      </c>
      <c r="T88" s="383">
        <v>50.0</v>
      </c>
      <c r="U88" s="3"/>
      <c r="V88" s="3"/>
      <c r="W88" s="267">
        <v>25.0</v>
      </c>
      <c r="X88" s="267">
        <v>50.0</v>
      </c>
      <c r="Y88" s="267">
        <v>50.0</v>
      </c>
      <c r="Z88" s="267">
        <v>100.0</v>
      </c>
      <c r="AA88" s="3"/>
      <c r="AB88" s="3"/>
      <c r="AC88" s="303"/>
      <c r="AD88" s="3"/>
      <c r="AE88" s="3"/>
      <c r="AF88" s="3"/>
      <c r="AG88" s="3"/>
      <c r="AH88" s="3"/>
      <c r="AI88" s="303"/>
      <c r="AJ88" s="3"/>
      <c r="AK88" s="3"/>
      <c r="AL88" s="3"/>
      <c r="AM88" s="3"/>
      <c r="AN88" s="3"/>
      <c r="AO88" s="3"/>
    </row>
    <row r="89" ht="30.75" customHeight="1">
      <c r="A89" s="132" t="s">
        <v>1666</v>
      </c>
      <c r="B89" s="279" t="s">
        <v>2054</v>
      </c>
      <c r="C89" s="265">
        <v>45284.0</v>
      </c>
      <c r="D89" s="298"/>
      <c r="E89" s="222">
        <v>45232.0</v>
      </c>
      <c r="F89" s="132" t="s">
        <v>1370</v>
      </c>
      <c r="G89" s="16" t="s">
        <v>2055</v>
      </c>
      <c r="H89" s="132" t="s">
        <v>1065</v>
      </c>
      <c r="I89" s="132" t="s">
        <v>1065</v>
      </c>
      <c r="J89" s="132" t="s">
        <v>1067</v>
      </c>
      <c r="K89" s="267">
        <v>25.0</v>
      </c>
      <c r="L89" s="267">
        <v>25.0</v>
      </c>
      <c r="M89" s="267">
        <v>100.0</v>
      </c>
      <c r="N89" s="267">
        <v>50.0</v>
      </c>
      <c r="O89" s="267">
        <v>100.0</v>
      </c>
      <c r="P89" s="267">
        <v>25.0</v>
      </c>
      <c r="R89" s="298"/>
      <c r="S89" s="3"/>
      <c r="T89" s="3"/>
      <c r="W89" s="3"/>
      <c r="X89" s="3"/>
      <c r="Y89" s="3"/>
      <c r="Z89" s="3"/>
      <c r="AA89" s="3"/>
      <c r="AC89" s="298"/>
      <c r="AI89" s="298"/>
    </row>
    <row r="90" ht="30.75" customHeight="1">
      <c r="A90" s="132" t="s">
        <v>151</v>
      </c>
      <c r="B90" s="279" t="s">
        <v>2059</v>
      </c>
      <c r="C90" s="265">
        <v>45866.0</v>
      </c>
      <c r="D90" s="303"/>
      <c r="E90" s="281">
        <v>45236.0</v>
      </c>
      <c r="F90" s="132" t="s">
        <v>28</v>
      </c>
      <c r="G90" s="132" t="s">
        <v>2060</v>
      </c>
      <c r="H90" s="132" t="s">
        <v>1065</v>
      </c>
      <c r="I90" s="132" t="s">
        <v>1065</v>
      </c>
      <c r="J90" s="132" t="s">
        <v>1067</v>
      </c>
      <c r="K90" s="267">
        <v>25.0</v>
      </c>
      <c r="L90" s="267">
        <v>25.0</v>
      </c>
      <c r="M90" s="267">
        <v>100.0</v>
      </c>
      <c r="N90" s="267">
        <v>50.0</v>
      </c>
      <c r="O90" s="267" t="s">
        <v>1109</v>
      </c>
      <c r="P90" s="267">
        <v>25.0</v>
      </c>
      <c r="Q90" s="132" t="s">
        <v>2066</v>
      </c>
      <c r="R90" s="303"/>
      <c r="S90" s="267">
        <v>50.0</v>
      </c>
      <c r="T90" s="267">
        <v>50.0</v>
      </c>
      <c r="U90" s="132" t="s">
        <v>2069</v>
      </c>
      <c r="V90" s="3"/>
      <c r="W90" s="267">
        <v>25.0</v>
      </c>
      <c r="X90" s="267">
        <v>50.0</v>
      </c>
      <c r="Y90" s="267">
        <v>50.0</v>
      </c>
      <c r="Z90" s="267">
        <v>100.0</v>
      </c>
      <c r="AA90" s="132" t="s">
        <v>2073</v>
      </c>
      <c r="AB90" s="3"/>
      <c r="AC90" s="303"/>
      <c r="AD90" s="3"/>
      <c r="AE90" s="3"/>
      <c r="AF90" s="3"/>
      <c r="AG90" s="3"/>
      <c r="AH90" s="3"/>
      <c r="AI90" s="303"/>
      <c r="AJ90" s="3"/>
      <c r="AK90" s="3"/>
      <c r="AL90" s="3"/>
      <c r="AM90" s="3"/>
      <c r="AN90" s="3"/>
      <c r="AO90" s="3"/>
    </row>
    <row r="91" ht="30.75" customHeight="1">
      <c r="A91" s="132" t="s">
        <v>157</v>
      </c>
      <c r="B91" s="279" t="s">
        <v>2076</v>
      </c>
      <c r="C91" s="265">
        <v>45255.0</v>
      </c>
      <c r="D91" s="298"/>
      <c r="E91" s="281">
        <v>45236.0</v>
      </c>
      <c r="F91" s="132" t="s">
        <v>736</v>
      </c>
      <c r="G91" s="16" t="s">
        <v>2077</v>
      </c>
      <c r="H91" s="132" t="s">
        <v>1065</v>
      </c>
      <c r="I91" s="132" t="s">
        <v>1065</v>
      </c>
      <c r="J91" s="132" t="s">
        <v>1067</v>
      </c>
      <c r="K91" s="267">
        <v>25.0</v>
      </c>
      <c r="L91" s="267">
        <v>25.0</v>
      </c>
      <c r="N91" s="267">
        <v>50.0</v>
      </c>
      <c r="P91" s="267">
        <v>25.0</v>
      </c>
      <c r="R91" s="298"/>
      <c r="S91" s="267">
        <v>50.0</v>
      </c>
      <c r="T91" s="267">
        <v>50.0</v>
      </c>
      <c r="U91" s="16" t="s">
        <v>2078</v>
      </c>
      <c r="W91" s="267">
        <v>25.0</v>
      </c>
      <c r="X91" s="267">
        <v>50.0</v>
      </c>
      <c r="Y91" s="267">
        <v>50.0</v>
      </c>
      <c r="Z91" s="267">
        <v>100.0</v>
      </c>
      <c r="AA91" s="132" t="s">
        <v>2079</v>
      </c>
      <c r="AC91" s="298"/>
      <c r="AI91" s="298"/>
    </row>
    <row r="92" ht="30.75" customHeight="1">
      <c r="A92" s="132" t="s">
        <v>180</v>
      </c>
      <c r="B92" s="279" t="s">
        <v>2080</v>
      </c>
      <c r="C92" s="265">
        <v>45284.0</v>
      </c>
      <c r="D92" s="303"/>
      <c r="E92" s="222">
        <v>45239.0</v>
      </c>
      <c r="F92" s="132" t="s">
        <v>28</v>
      </c>
      <c r="G92" s="132" t="s">
        <v>2081</v>
      </c>
      <c r="H92" s="132" t="s">
        <v>1065</v>
      </c>
      <c r="I92" s="132" t="s">
        <v>1065</v>
      </c>
      <c r="J92" s="132" t="s">
        <v>1067</v>
      </c>
      <c r="K92" s="267">
        <v>25.0</v>
      </c>
      <c r="L92" s="267">
        <v>25.0</v>
      </c>
      <c r="M92" s="267">
        <v>100.0</v>
      </c>
      <c r="N92" s="267">
        <v>50.0</v>
      </c>
      <c r="O92" s="486" t="s">
        <v>1109</v>
      </c>
      <c r="P92" s="267">
        <v>50.0</v>
      </c>
      <c r="Q92" s="132" t="s">
        <v>2083</v>
      </c>
      <c r="R92" s="303"/>
      <c r="S92" s="267">
        <v>50.0</v>
      </c>
      <c r="T92" s="267">
        <v>50.0</v>
      </c>
      <c r="U92" s="132" t="s">
        <v>2085</v>
      </c>
      <c r="V92" s="3"/>
      <c r="W92" s="267">
        <v>25.0</v>
      </c>
      <c r="X92" s="267">
        <v>50.0</v>
      </c>
      <c r="Y92" s="267">
        <v>50.0</v>
      </c>
      <c r="Z92" s="267">
        <v>100.0</v>
      </c>
      <c r="AA92" s="132" t="s">
        <v>2090</v>
      </c>
      <c r="AB92" s="3"/>
      <c r="AC92" s="303"/>
      <c r="AD92" s="3"/>
      <c r="AE92" s="3"/>
      <c r="AF92" s="3"/>
      <c r="AG92" s="3"/>
      <c r="AH92" s="3"/>
      <c r="AI92" s="303"/>
      <c r="AJ92" s="3"/>
      <c r="AK92" s="3"/>
      <c r="AL92" s="3"/>
      <c r="AM92" s="3"/>
      <c r="AN92" s="3"/>
      <c r="AO92" s="3"/>
    </row>
    <row r="93" ht="30.75" customHeight="1">
      <c r="A93" s="132" t="s">
        <v>183</v>
      </c>
      <c r="B93" s="279" t="s">
        <v>2094</v>
      </c>
      <c r="C93" s="265">
        <v>45378.0</v>
      </c>
      <c r="D93" s="298"/>
      <c r="E93" s="222">
        <v>45244.0</v>
      </c>
      <c r="F93" s="132" t="s">
        <v>736</v>
      </c>
      <c r="G93" s="16" t="s">
        <v>2095</v>
      </c>
      <c r="H93" s="132" t="s">
        <v>1065</v>
      </c>
      <c r="I93" s="132" t="s">
        <v>1065</v>
      </c>
      <c r="J93" s="132" t="s">
        <v>1067</v>
      </c>
      <c r="K93" s="267">
        <v>25.0</v>
      </c>
      <c r="L93" s="267">
        <v>25.0</v>
      </c>
      <c r="M93" s="267">
        <v>100.0</v>
      </c>
      <c r="N93" s="267">
        <v>50.0</v>
      </c>
      <c r="O93" s="267">
        <v>100.0</v>
      </c>
      <c r="P93" s="267">
        <v>50.0</v>
      </c>
      <c r="Q93" s="16" t="s">
        <v>2100</v>
      </c>
      <c r="R93" s="298"/>
      <c r="S93" s="267">
        <v>50.0</v>
      </c>
      <c r="T93" s="267">
        <v>50.0</v>
      </c>
      <c r="U93" s="16" t="s">
        <v>2103</v>
      </c>
      <c r="V93" s="16" t="s">
        <v>1147</v>
      </c>
      <c r="W93" s="267">
        <v>25.0</v>
      </c>
      <c r="X93" s="267">
        <v>50.0</v>
      </c>
      <c r="Y93" s="267">
        <v>50.0</v>
      </c>
      <c r="Z93" s="267">
        <v>100.0</v>
      </c>
      <c r="AA93" s="132" t="s">
        <v>2105</v>
      </c>
      <c r="AB93" s="16" t="s">
        <v>2106</v>
      </c>
      <c r="AC93" s="298"/>
      <c r="AI93" s="298"/>
    </row>
    <row r="94" ht="30.75" customHeight="1">
      <c r="A94" s="132" t="s">
        <v>169</v>
      </c>
      <c r="B94" s="279" t="s">
        <v>2107</v>
      </c>
      <c r="C94" s="229">
        <v>45042.0</v>
      </c>
      <c r="D94" s="298"/>
      <c r="E94" s="224">
        <v>45244.0</v>
      </c>
      <c r="F94" s="132" t="s">
        <v>649</v>
      </c>
      <c r="G94" s="132" t="s">
        <v>2109</v>
      </c>
      <c r="H94" s="132" t="s">
        <v>1065</v>
      </c>
      <c r="I94" s="132" t="s">
        <v>1065</v>
      </c>
      <c r="J94" s="132" t="s">
        <v>1067</v>
      </c>
      <c r="K94" s="267">
        <v>25.0</v>
      </c>
      <c r="L94" s="267">
        <v>25.0</v>
      </c>
      <c r="M94" s="267">
        <v>100.0</v>
      </c>
      <c r="N94" s="267">
        <v>50.0</v>
      </c>
      <c r="P94" s="267">
        <v>50.0</v>
      </c>
      <c r="R94" s="298"/>
      <c r="S94" s="3"/>
      <c r="T94" s="3"/>
      <c r="W94" s="3"/>
      <c r="X94" s="3"/>
      <c r="Y94" s="3"/>
      <c r="Z94" s="3"/>
      <c r="AA94" s="132"/>
      <c r="AC94" s="298"/>
      <c r="AI94" s="298"/>
    </row>
    <row r="95" ht="30.75" customHeight="1">
      <c r="A95" s="132" t="s">
        <v>211</v>
      </c>
      <c r="B95" s="279" t="s">
        <v>2110</v>
      </c>
      <c r="C95" s="229">
        <v>45042.0</v>
      </c>
      <c r="D95" s="303"/>
      <c r="E95" s="224">
        <v>45245.0</v>
      </c>
      <c r="F95" s="132" t="s">
        <v>28</v>
      </c>
      <c r="G95" s="132" t="s">
        <v>2111</v>
      </c>
      <c r="H95" s="132" t="s">
        <v>1065</v>
      </c>
      <c r="I95" s="132" t="s">
        <v>1065</v>
      </c>
      <c r="J95" s="132" t="s">
        <v>1067</v>
      </c>
      <c r="K95" s="267">
        <v>25.0</v>
      </c>
      <c r="L95" s="267">
        <v>25.0</v>
      </c>
      <c r="M95" s="267">
        <v>100.0</v>
      </c>
      <c r="N95" s="267">
        <v>50.0</v>
      </c>
      <c r="O95" s="267" t="s">
        <v>1109</v>
      </c>
      <c r="P95" s="267">
        <v>50.0</v>
      </c>
      <c r="Q95" s="132" t="s">
        <v>2113</v>
      </c>
      <c r="R95" s="303"/>
      <c r="S95" s="267">
        <v>50.0</v>
      </c>
      <c r="T95" s="267">
        <v>50.0</v>
      </c>
      <c r="U95" s="132" t="s">
        <v>2116</v>
      </c>
      <c r="V95" s="132" t="s">
        <v>2117</v>
      </c>
      <c r="W95" s="3"/>
      <c r="X95" s="3"/>
      <c r="Y95" s="3"/>
      <c r="Z95" s="3"/>
      <c r="AA95" s="132"/>
      <c r="AB95" s="3"/>
      <c r="AC95" s="303"/>
      <c r="AD95" s="3"/>
      <c r="AE95" s="3"/>
      <c r="AF95" s="3"/>
      <c r="AG95" s="3"/>
      <c r="AH95" s="3"/>
      <c r="AI95" s="303"/>
      <c r="AJ95" s="3"/>
      <c r="AK95" s="3"/>
      <c r="AL95" s="3"/>
      <c r="AM95" s="3"/>
      <c r="AN95" s="3"/>
      <c r="AO95" s="3"/>
    </row>
    <row r="96" ht="30.75" customHeight="1">
      <c r="A96" s="132" t="s">
        <v>128</v>
      </c>
      <c r="B96" s="279" t="s">
        <v>2120</v>
      </c>
      <c r="C96" s="229">
        <v>46323.0</v>
      </c>
      <c r="D96" s="298"/>
      <c r="E96" s="224">
        <v>45245.0</v>
      </c>
      <c r="F96" s="132" t="s">
        <v>736</v>
      </c>
      <c r="G96" s="132" t="s">
        <v>2121</v>
      </c>
      <c r="H96" s="132" t="s">
        <v>1065</v>
      </c>
      <c r="I96" s="132" t="s">
        <v>1065</v>
      </c>
      <c r="J96" s="132" t="s">
        <v>1067</v>
      </c>
      <c r="K96" s="267">
        <v>25.0</v>
      </c>
      <c r="L96" s="267">
        <v>25.0</v>
      </c>
      <c r="M96" s="267">
        <v>100.0</v>
      </c>
      <c r="N96" s="267">
        <v>50.0</v>
      </c>
      <c r="P96" s="267">
        <v>25.0</v>
      </c>
      <c r="Q96" s="132" t="s">
        <v>2123</v>
      </c>
      <c r="R96" s="298"/>
      <c r="S96" s="267">
        <v>50.0</v>
      </c>
      <c r="T96" s="267">
        <v>50.0</v>
      </c>
      <c r="U96" s="132" t="s">
        <v>2126</v>
      </c>
      <c r="W96" s="267">
        <v>25.0</v>
      </c>
      <c r="X96" s="132" t="s">
        <v>2127</v>
      </c>
      <c r="Y96" s="132" t="s">
        <v>2127</v>
      </c>
      <c r="Z96" s="267">
        <v>100.0</v>
      </c>
      <c r="AA96" s="132" t="s">
        <v>2130</v>
      </c>
      <c r="AB96" s="16" t="s">
        <v>2131</v>
      </c>
      <c r="AC96" s="298"/>
      <c r="AD96" s="267">
        <v>25.0</v>
      </c>
      <c r="AE96" s="267">
        <v>50.0</v>
      </c>
      <c r="AF96" s="267">
        <v>50.0</v>
      </c>
      <c r="AG96" s="16" t="s">
        <v>2132</v>
      </c>
      <c r="AH96" s="16" t="s">
        <v>2133</v>
      </c>
      <c r="AI96" s="298"/>
    </row>
    <row r="97" ht="30.75" customHeight="1">
      <c r="A97" s="132" t="s">
        <v>215</v>
      </c>
      <c r="B97" s="279" t="s">
        <v>2134</v>
      </c>
      <c r="C97" s="229">
        <v>45042.0</v>
      </c>
      <c r="D97" s="298"/>
      <c r="E97" s="224">
        <v>45250.0</v>
      </c>
      <c r="F97" s="132" t="s">
        <v>40</v>
      </c>
      <c r="G97" s="132" t="s">
        <v>2136</v>
      </c>
      <c r="H97" s="132" t="s">
        <v>1065</v>
      </c>
      <c r="I97" s="132" t="s">
        <v>1065</v>
      </c>
      <c r="J97" s="132" t="s">
        <v>1188</v>
      </c>
      <c r="K97" s="267">
        <v>25.0</v>
      </c>
      <c r="L97" s="267">
        <v>25.0</v>
      </c>
      <c r="M97" s="267">
        <v>100.0</v>
      </c>
      <c r="N97" s="267">
        <v>50.0</v>
      </c>
      <c r="O97" s="267" t="s">
        <v>1109</v>
      </c>
      <c r="P97" s="267">
        <v>25.0</v>
      </c>
      <c r="R97" s="298"/>
      <c r="S97" s="267">
        <v>50.0</v>
      </c>
      <c r="T97" s="267">
        <v>50.0</v>
      </c>
      <c r="W97" s="267">
        <v>25.0</v>
      </c>
      <c r="X97" s="267">
        <v>50.0</v>
      </c>
      <c r="Y97" s="267">
        <v>50.0</v>
      </c>
      <c r="Z97" s="267">
        <v>100.0</v>
      </c>
      <c r="AA97" s="132"/>
      <c r="AC97" s="298"/>
      <c r="AI97" s="298"/>
    </row>
    <row r="98" ht="30.75" customHeight="1">
      <c r="A98" s="132" t="s">
        <v>195</v>
      </c>
      <c r="B98" s="279" t="s">
        <v>2138</v>
      </c>
      <c r="C98" s="229">
        <v>46231.0</v>
      </c>
      <c r="D98" s="298"/>
      <c r="E98" s="224">
        <v>45251.0</v>
      </c>
      <c r="F98" s="132" t="s">
        <v>736</v>
      </c>
      <c r="G98" s="132" t="s">
        <v>2139</v>
      </c>
      <c r="H98" s="132" t="s">
        <v>1065</v>
      </c>
      <c r="I98" s="132" t="s">
        <v>1065</v>
      </c>
      <c r="J98" s="132" t="s">
        <v>1188</v>
      </c>
      <c r="K98" s="267">
        <v>25.0</v>
      </c>
      <c r="L98" s="267">
        <v>25.0</v>
      </c>
      <c r="M98" s="267">
        <v>100.0</v>
      </c>
      <c r="N98" s="267">
        <v>50.0</v>
      </c>
      <c r="P98" s="267">
        <v>25.0</v>
      </c>
      <c r="R98" s="298"/>
      <c r="S98" s="267">
        <v>50.0</v>
      </c>
      <c r="T98" s="267">
        <v>50.0</v>
      </c>
      <c r="W98" s="267">
        <v>25.0</v>
      </c>
      <c r="X98" s="267">
        <v>50.0</v>
      </c>
      <c r="Y98" s="267">
        <v>50.0</v>
      </c>
      <c r="Z98" s="267">
        <v>100.0</v>
      </c>
      <c r="AA98" s="132" t="s">
        <v>2141</v>
      </c>
      <c r="AC98" s="298"/>
      <c r="AI98" s="298"/>
    </row>
    <row r="99" ht="30.75" customHeight="1">
      <c r="A99" s="132" t="s">
        <v>176</v>
      </c>
      <c r="B99" s="491" t="s">
        <v>2143</v>
      </c>
      <c r="C99" s="47" t="s">
        <v>2144</v>
      </c>
      <c r="D99" s="298"/>
      <c r="E99" s="224">
        <v>45252.0</v>
      </c>
      <c r="F99" s="132" t="s">
        <v>736</v>
      </c>
      <c r="G99" s="132" t="s">
        <v>2145</v>
      </c>
      <c r="H99" s="132" t="s">
        <v>1065</v>
      </c>
      <c r="I99" s="132" t="s">
        <v>1065</v>
      </c>
      <c r="J99" s="132" t="s">
        <v>1067</v>
      </c>
      <c r="K99" s="267">
        <v>25.0</v>
      </c>
      <c r="L99" s="267">
        <v>25.0</v>
      </c>
      <c r="M99" s="267">
        <v>100.0</v>
      </c>
      <c r="N99" s="267">
        <v>50.0</v>
      </c>
      <c r="O99" s="267" t="s">
        <v>1109</v>
      </c>
      <c r="P99" s="267">
        <v>25.0</v>
      </c>
      <c r="Q99" s="16" t="s">
        <v>2146</v>
      </c>
      <c r="R99" s="298"/>
      <c r="S99" s="267">
        <v>50.0</v>
      </c>
      <c r="T99" s="267">
        <v>50.0</v>
      </c>
      <c r="W99" s="267">
        <v>25.0</v>
      </c>
      <c r="X99" s="267">
        <v>50.0</v>
      </c>
      <c r="Y99" s="267">
        <v>50.0</v>
      </c>
      <c r="Z99" s="267">
        <v>100.0</v>
      </c>
      <c r="AA99" s="132" t="s">
        <v>1146</v>
      </c>
      <c r="AC99" s="298"/>
      <c r="AI99" s="298"/>
    </row>
    <row r="100" ht="30.75" customHeight="1">
      <c r="A100" s="132" t="s">
        <v>1719</v>
      </c>
      <c r="B100" s="279" t="s">
        <v>2148</v>
      </c>
      <c r="C100" s="229">
        <v>45042.0</v>
      </c>
      <c r="D100" s="298"/>
      <c r="E100" s="224">
        <v>45252.0</v>
      </c>
      <c r="F100" s="132" t="s">
        <v>1370</v>
      </c>
      <c r="G100" s="132" t="s">
        <v>2149</v>
      </c>
      <c r="H100" s="132" t="s">
        <v>1065</v>
      </c>
      <c r="I100" s="132" t="s">
        <v>1065</v>
      </c>
      <c r="J100" s="132" t="s">
        <v>1067</v>
      </c>
      <c r="K100" s="267">
        <v>25.0</v>
      </c>
      <c r="L100" s="267">
        <v>25.0</v>
      </c>
      <c r="N100" s="267">
        <v>50.0</v>
      </c>
      <c r="P100" s="267">
        <v>50.0</v>
      </c>
      <c r="Q100" s="16" t="s">
        <v>2153</v>
      </c>
      <c r="R100" s="298"/>
      <c r="S100" s="3"/>
      <c r="T100" s="3"/>
      <c r="W100" s="3"/>
      <c r="X100" s="3"/>
      <c r="Y100" s="3"/>
      <c r="Z100" s="3"/>
      <c r="AA100" s="132"/>
      <c r="AC100" s="298"/>
      <c r="AI100" s="298"/>
    </row>
    <row r="101" ht="30.75" customHeight="1">
      <c r="A101" s="132" t="s">
        <v>138</v>
      </c>
      <c r="B101" s="279" t="s">
        <v>2156</v>
      </c>
      <c r="C101" s="229">
        <v>45042.0</v>
      </c>
      <c r="D101" s="298"/>
      <c r="E101" s="224">
        <v>45257.0</v>
      </c>
      <c r="F101" s="132" t="s">
        <v>40</v>
      </c>
      <c r="G101" s="132" t="s">
        <v>2157</v>
      </c>
      <c r="H101" s="132" t="s">
        <v>1065</v>
      </c>
      <c r="I101" s="132" t="s">
        <v>1065</v>
      </c>
      <c r="J101" s="132" t="s">
        <v>1188</v>
      </c>
      <c r="K101" s="267">
        <v>25.0</v>
      </c>
      <c r="L101" s="267">
        <v>25.0</v>
      </c>
      <c r="M101" s="267">
        <v>100.0</v>
      </c>
      <c r="N101" s="267">
        <v>50.0</v>
      </c>
      <c r="O101" s="267">
        <v>100.0</v>
      </c>
      <c r="P101" s="267">
        <v>25.0</v>
      </c>
      <c r="R101" s="298"/>
      <c r="S101" s="267">
        <v>50.0</v>
      </c>
      <c r="T101" s="267">
        <v>50.0</v>
      </c>
      <c r="W101" s="267">
        <v>25.0</v>
      </c>
      <c r="X101" s="267">
        <v>50.0</v>
      </c>
      <c r="Y101" s="267">
        <v>50.0</v>
      </c>
      <c r="Z101" s="267">
        <v>100.0</v>
      </c>
      <c r="AA101" s="132" t="s">
        <v>1146</v>
      </c>
      <c r="AB101" s="16" t="s">
        <v>2160</v>
      </c>
      <c r="AC101" s="298"/>
      <c r="AI101" s="298"/>
    </row>
    <row r="102" ht="30.75" customHeight="1">
      <c r="A102" s="132" t="s">
        <v>228</v>
      </c>
      <c r="B102" s="279" t="s">
        <v>2161</v>
      </c>
      <c r="C102" s="229">
        <v>45042.0</v>
      </c>
      <c r="D102" s="298"/>
      <c r="E102" s="232">
        <v>45257.0</v>
      </c>
      <c r="F102" s="132" t="s">
        <v>649</v>
      </c>
      <c r="G102" s="132" t="s">
        <v>2163</v>
      </c>
      <c r="H102" s="132" t="s">
        <v>1065</v>
      </c>
      <c r="I102" s="132" t="s">
        <v>1065</v>
      </c>
      <c r="J102" s="132" t="s">
        <v>1067</v>
      </c>
      <c r="K102" s="267">
        <v>25.0</v>
      </c>
      <c r="L102" s="267">
        <v>25.0</v>
      </c>
      <c r="M102" s="267">
        <v>100.0</v>
      </c>
      <c r="N102" s="267">
        <v>50.0</v>
      </c>
      <c r="P102" s="267">
        <v>25.0</v>
      </c>
      <c r="R102" s="298"/>
      <c r="S102" s="267">
        <v>50.0</v>
      </c>
      <c r="T102" s="267">
        <v>50.0</v>
      </c>
      <c r="W102" s="267">
        <v>25.0</v>
      </c>
      <c r="X102" s="267">
        <v>50.0</v>
      </c>
      <c r="Y102" s="267">
        <v>50.0</v>
      </c>
      <c r="Z102" s="267">
        <v>100.0</v>
      </c>
      <c r="AA102" s="132" t="s">
        <v>1146</v>
      </c>
      <c r="AC102" s="298"/>
      <c r="AI102" s="298"/>
    </row>
    <row r="103" ht="30.75" customHeight="1">
      <c r="A103" s="132" t="s">
        <v>184</v>
      </c>
      <c r="B103" s="279" t="s">
        <v>2165</v>
      </c>
      <c r="C103" s="229">
        <v>45042.0</v>
      </c>
      <c r="D103" s="298"/>
      <c r="E103" s="232">
        <v>45258.0</v>
      </c>
      <c r="F103" s="132" t="s">
        <v>736</v>
      </c>
      <c r="G103" s="132" t="s">
        <v>2166</v>
      </c>
      <c r="H103" s="132" t="s">
        <v>1065</v>
      </c>
      <c r="I103" s="132" t="s">
        <v>1065</v>
      </c>
      <c r="J103" s="132" t="s">
        <v>1067</v>
      </c>
      <c r="K103" s="267">
        <v>25.0</v>
      </c>
      <c r="L103" s="267">
        <v>25.0</v>
      </c>
      <c r="M103" s="267">
        <v>100.0</v>
      </c>
      <c r="N103" s="267">
        <v>100.0</v>
      </c>
      <c r="O103" s="132" t="s">
        <v>1109</v>
      </c>
      <c r="P103" s="267">
        <v>50.0</v>
      </c>
      <c r="Q103" s="16" t="s">
        <v>2170</v>
      </c>
      <c r="R103" s="298"/>
      <c r="S103" s="267">
        <v>50.0</v>
      </c>
      <c r="T103" s="267">
        <v>50.0</v>
      </c>
      <c r="W103" s="267">
        <v>25.0</v>
      </c>
      <c r="X103" s="267">
        <v>50.0</v>
      </c>
      <c r="Y103" s="267">
        <v>50.0</v>
      </c>
      <c r="Z103" s="267">
        <v>100.0</v>
      </c>
      <c r="AA103" s="132" t="s">
        <v>1146</v>
      </c>
      <c r="AC103" s="298"/>
      <c r="AI103" s="298"/>
    </row>
    <row r="104" ht="72.75" customHeight="1">
      <c r="A104" s="132" t="s">
        <v>1681</v>
      </c>
      <c r="B104" s="279" t="s">
        <v>2173</v>
      </c>
      <c r="C104" s="229">
        <v>45042.0</v>
      </c>
      <c r="D104" s="298"/>
      <c r="E104" s="224">
        <v>45259.0</v>
      </c>
      <c r="F104" s="132" t="s">
        <v>1370</v>
      </c>
      <c r="G104" s="132" t="s">
        <v>2175</v>
      </c>
      <c r="H104" s="132" t="s">
        <v>1065</v>
      </c>
      <c r="I104" s="132" t="s">
        <v>1065</v>
      </c>
      <c r="J104" s="132" t="s">
        <v>1188</v>
      </c>
      <c r="K104" s="267">
        <v>25.0</v>
      </c>
      <c r="L104" s="267">
        <v>25.0</v>
      </c>
      <c r="N104" s="267">
        <v>50.0</v>
      </c>
      <c r="O104" s="267">
        <v>100.0</v>
      </c>
      <c r="P104" s="267">
        <v>25.0</v>
      </c>
      <c r="Q104" s="16" t="s">
        <v>2178</v>
      </c>
      <c r="R104" s="298"/>
      <c r="S104" s="3"/>
      <c r="T104" s="3"/>
      <c r="W104" s="3"/>
      <c r="X104" s="3"/>
      <c r="Y104" s="3"/>
      <c r="Z104" s="3"/>
      <c r="AA104" s="132"/>
      <c r="AC104" s="298"/>
      <c r="AI104" s="298"/>
    </row>
    <row r="105" ht="30.75" customHeight="1">
      <c r="A105" s="132" t="s">
        <v>227</v>
      </c>
      <c r="B105" s="279" t="s">
        <v>2180</v>
      </c>
      <c r="C105" s="229">
        <v>45042.0</v>
      </c>
      <c r="D105" s="298"/>
      <c r="E105" s="224">
        <v>45259.0</v>
      </c>
      <c r="F105" s="132" t="s">
        <v>40</v>
      </c>
      <c r="G105" s="16" t="s">
        <v>2183</v>
      </c>
      <c r="H105" s="132" t="s">
        <v>1065</v>
      </c>
      <c r="I105" s="132" t="s">
        <v>1065</v>
      </c>
      <c r="J105" s="132" t="s">
        <v>1188</v>
      </c>
      <c r="K105" s="267">
        <v>25.0</v>
      </c>
      <c r="L105" s="267">
        <v>25.0</v>
      </c>
      <c r="M105" s="267">
        <v>100.0</v>
      </c>
      <c r="N105" s="267">
        <v>50.0</v>
      </c>
      <c r="O105" s="267" t="s">
        <v>1109</v>
      </c>
      <c r="P105" s="267">
        <v>25.0</v>
      </c>
      <c r="Q105" s="16" t="s">
        <v>2184</v>
      </c>
      <c r="R105" s="298"/>
      <c r="S105" s="267">
        <v>50.0</v>
      </c>
      <c r="T105" s="267">
        <v>50.0</v>
      </c>
      <c r="U105" s="16" t="s">
        <v>2185</v>
      </c>
      <c r="V105" s="16" t="s">
        <v>2186</v>
      </c>
      <c r="W105" s="267">
        <v>25.0</v>
      </c>
      <c r="X105" s="267">
        <v>50.0</v>
      </c>
      <c r="Y105" s="267">
        <v>50.0</v>
      </c>
      <c r="Z105" s="267">
        <v>100.0</v>
      </c>
      <c r="AA105" s="132" t="s">
        <v>2187</v>
      </c>
      <c r="AB105" s="16" t="s">
        <v>2188</v>
      </c>
      <c r="AC105" s="298"/>
      <c r="AI105" s="298"/>
    </row>
    <row r="106" ht="30.75" customHeight="1">
      <c r="A106" s="132" t="s">
        <v>229</v>
      </c>
      <c r="B106" s="279" t="s">
        <v>2189</v>
      </c>
      <c r="C106" s="229">
        <v>45042.0</v>
      </c>
      <c r="D106" s="298"/>
      <c r="E106" s="224">
        <v>45260.0</v>
      </c>
      <c r="F106" s="132" t="s">
        <v>736</v>
      </c>
      <c r="G106" s="16" t="s">
        <v>2190</v>
      </c>
      <c r="H106" s="132" t="s">
        <v>1065</v>
      </c>
      <c r="I106" s="132" t="s">
        <v>1065</v>
      </c>
      <c r="J106" s="132" t="s">
        <v>1188</v>
      </c>
      <c r="K106" s="267">
        <v>25.0</v>
      </c>
      <c r="L106" s="267">
        <v>25.0</v>
      </c>
      <c r="M106" s="267">
        <v>100.0</v>
      </c>
      <c r="N106" s="267">
        <v>50.0</v>
      </c>
      <c r="O106" s="267" t="s">
        <v>1109</v>
      </c>
      <c r="P106" s="267">
        <v>25.0</v>
      </c>
      <c r="Q106" s="16" t="s">
        <v>2191</v>
      </c>
      <c r="R106" s="298"/>
      <c r="S106" s="267">
        <v>50.0</v>
      </c>
      <c r="T106" s="267">
        <v>50.0</v>
      </c>
      <c r="U106" s="16" t="s">
        <v>2192</v>
      </c>
      <c r="W106" s="267">
        <v>25.0</v>
      </c>
      <c r="X106" s="267">
        <v>50.0</v>
      </c>
      <c r="Y106" s="267">
        <v>50.0</v>
      </c>
      <c r="Z106" s="267">
        <v>100.0</v>
      </c>
      <c r="AA106" s="132" t="s">
        <v>2193</v>
      </c>
      <c r="AC106" s="298"/>
      <c r="AI106" s="298"/>
    </row>
    <row r="107" ht="30.75" customHeight="1">
      <c r="A107" s="132" t="s">
        <v>190</v>
      </c>
      <c r="B107" s="279" t="s">
        <v>2194</v>
      </c>
      <c r="C107" s="229">
        <v>45378.0</v>
      </c>
      <c r="D107" s="298"/>
      <c r="E107" s="224">
        <v>45261.0</v>
      </c>
      <c r="F107" s="132" t="s">
        <v>736</v>
      </c>
      <c r="G107" s="16" t="s">
        <v>2195</v>
      </c>
      <c r="H107" s="132" t="s">
        <v>1065</v>
      </c>
      <c r="I107" s="132" t="s">
        <v>1065</v>
      </c>
      <c r="J107" s="132" t="s">
        <v>1188</v>
      </c>
      <c r="K107" s="267">
        <v>25.0</v>
      </c>
      <c r="L107" s="267">
        <v>25.0</v>
      </c>
      <c r="M107" s="267">
        <v>100.0</v>
      </c>
      <c r="N107" s="267">
        <v>50.0</v>
      </c>
      <c r="P107" s="267">
        <v>50.0</v>
      </c>
      <c r="Q107" s="16" t="s">
        <v>2196</v>
      </c>
      <c r="R107" s="298"/>
      <c r="S107" s="267">
        <v>50.0</v>
      </c>
      <c r="T107" s="267">
        <v>50.0</v>
      </c>
      <c r="U107" s="16" t="s">
        <v>2197</v>
      </c>
      <c r="V107" s="16" t="s">
        <v>1147</v>
      </c>
      <c r="W107" s="267">
        <v>25.0</v>
      </c>
      <c r="X107" s="267">
        <v>50.0</v>
      </c>
      <c r="Y107" s="267">
        <v>50.0</v>
      </c>
      <c r="Z107" s="267">
        <v>100.0</v>
      </c>
      <c r="AA107" s="132" t="s">
        <v>2198</v>
      </c>
      <c r="AC107" s="298"/>
      <c r="AI107" s="298"/>
    </row>
    <row r="108" ht="30.75" customHeight="1">
      <c r="A108" s="132" t="s">
        <v>188</v>
      </c>
      <c r="B108" s="279" t="s">
        <v>2199</v>
      </c>
      <c r="C108" s="229">
        <v>45042.0</v>
      </c>
      <c r="D108" s="298"/>
      <c r="E108" s="222">
        <v>45261.0</v>
      </c>
      <c r="F108" s="132" t="s">
        <v>40</v>
      </c>
      <c r="G108" s="16" t="s">
        <v>2200</v>
      </c>
      <c r="H108" s="132" t="s">
        <v>1065</v>
      </c>
      <c r="I108" s="132" t="s">
        <v>1065</v>
      </c>
      <c r="J108" s="132" t="s">
        <v>1067</v>
      </c>
      <c r="K108" s="267">
        <v>25.0</v>
      </c>
      <c r="L108" s="267">
        <v>25.0</v>
      </c>
      <c r="M108" s="267">
        <v>100.0</v>
      </c>
      <c r="N108" s="267">
        <v>50.0</v>
      </c>
      <c r="O108" s="267" t="s">
        <v>1109</v>
      </c>
      <c r="P108" s="267">
        <v>25.0</v>
      </c>
      <c r="Q108" s="16" t="s">
        <v>2201</v>
      </c>
      <c r="R108" s="298"/>
      <c r="S108" s="267">
        <v>50.0</v>
      </c>
      <c r="T108" s="267">
        <v>50.0</v>
      </c>
      <c r="U108" s="16" t="s">
        <v>2202</v>
      </c>
      <c r="V108" s="16" t="s">
        <v>1147</v>
      </c>
      <c r="W108" s="267">
        <v>25.0</v>
      </c>
      <c r="X108" s="267">
        <v>50.0</v>
      </c>
      <c r="Y108" s="267">
        <v>50.0</v>
      </c>
      <c r="Z108" s="267">
        <v>100.0</v>
      </c>
      <c r="AA108" s="132" t="s">
        <v>2203</v>
      </c>
      <c r="AC108" s="298"/>
      <c r="AI108" s="298"/>
    </row>
    <row r="109" ht="30.75" customHeight="1">
      <c r="A109" s="132" t="s">
        <v>2204</v>
      </c>
      <c r="B109" s="279" t="s">
        <v>2205</v>
      </c>
      <c r="C109" s="229">
        <v>45042.0</v>
      </c>
      <c r="D109" s="298"/>
      <c r="E109" s="222">
        <v>45265.0</v>
      </c>
      <c r="F109" s="132" t="s">
        <v>40</v>
      </c>
      <c r="G109" s="16" t="s">
        <v>2206</v>
      </c>
      <c r="H109" s="132" t="s">
        <v>1065</v>
      </c>
      <c r="I109" s="132" t="s">
        <v>1065</v>
      </c>
      <c r="J109" s="132" t="s">
        <v>1067</v>
      </c>
      <c r="K109" s="267">
        <v>25.0</v>
      </c>
      <c r="Q109" s="16" t="s">
        <v>2207</v>
      </c>
      <c r="R109" s="298"/>
      <c r="S109" s="3"/>
      <c r="T109" s="3"/>
      <c r="W109" s="3"/>
      <c r="X109" s="3"/>
      <c r="Y109" s="3"/>
      <c r="Z109" s="3"/>
      <c r="AA109" s="132"/>
      <c r="AC109" s="298"/>
      <c r="AI109" s="298"/>
    </row>
    <row r="110" ht="30.75" customHeight="1">
      <c r="A110" s="132" t="s">
        <v>1699</v>
      </c>
      <c r="B110" s="279" t="s">
        <v>2208</v>
      </c>
      <c r="C110" s="229">
        <v>45042.0</v>
      </c>
      <c r="D110" s="298"/>
      <c r="E110" s="222">
        <v>45265.0</v>
      </c>
      <c r="F110" s="132" t="s">
        <v>736</v>
      </c>
      <c r="G110" s="16" t="s">
        <v>2209</v>
      </c>
      <c r="H110" s="132" t="s">
        <v>1065</v>
      </c>
      <c r="I110" s="132" t="s">
        <v>1065</v>
      </c>
      <c r="J110" s="132" t="s">
        <v>1067</v>
      </c>
      <c r="K110" s="267">
        <v>25.0</v>
      </c>
      <c r="L110" s="267">
        <v>25.0</v>
      </c>
      <c r="P110" s="267">
        <v>25.0</v>
      </c>
      <c r="R110" s="298"/>
      <c r="S110" s="3"/>
      <c r="T110" s="3"/>
      <c r="W110" s="3"/>
      <c r="X110" s="3"/>
      <c r="Y110" s="3"/>
      <c r="Z110" s="3"/>
      <c r="AA110" s="132"/>
      <c r="AC110" s="298"/>
      <c r="AI110" s="298"/>
    </row>
    <row r="111" ht="30.75" customHeight="1">
      <c r="A111" s="132" t="s">
        <v>279</v>
      </c>
      <c r="B111" s="279" t="s">
        <v>2210</v>
      </c>
      <c r="C111" s="229">
        <v>45042.0</v>
      </c>
      <c r="D111" s="298"/>
      <c r="E111" s="224">
        <v>45271.0</v>
      </c>
      <c r="F111" s="132" t="s">
        <v>736</v>
      </c>
      <c r="G111" s="16" t="s">
        <v>2211</v>
      </c>
      <c r="H111" s="132" t="s">
        <v>1065</v>
      </c>
      <c r="I111" s="132" t="s">
        <v>1065</v>
      </c>
      <c r="J111" s="132" t="s">
        <v>1067</v>
      </c>
      <c r="K111" s="267">
        <v>25.0</v>
      </c>
      <c r="L111" s="267">
        <v>25.0</v>
      </c>
      <c r="M111" s="267">
        <v>100.0</v>
      </c>
      <c r="N111" s="267">
        <v>50.0</v>
      </c>
      <c r="O111" s="267" t="s">
        <v>1109</v>
      </c>
      <c r="P111" s="267">
        <v>50.0</v>
      </c>
      <c r="R111" s="298"/>
      <c r="S111" s="267">
        <v>50.0</v>
      </c>
      <c r="T111" s="267">
        <v>50.0</v>
      </c>
      <c r="W111" s="267">
        <v>25.0</v>
      </c>
      <c r="X111" s="267">
        <v>50.0</v>
      </c>
      <c r="Y111" s="267">
        <v>50.0</v>
      </c>
      <c r="Z111" s="267">
        <v>100.0</v>
      </c>
      <c r="AA111" s="132" t="s">
        <v>1146</v>
      </c>
      <c r="AC111" s="298"/>
      <c r="AI111" s="298"/>
    </row>
    <row r="112" ht="30.75" customHeight="1">
      <c r="A112" s="132" t="s">
        <v>1761</v>
      </c>
      <c r="B112" s="279" t="s">
        <v>2212</v>
      </c>
      <c r="C112" s="229">
        <v>45042.0</v>
      </c>
      <c r="D112" s="298"/>
      <c r="E112" s="224">
        <v>45273.0</v>
      </c>
      <c r="F112" s="132" t="s">
        <v>736</v>
      </c>
      <c r="G112" s="16" t="s">
        <v>2213</v>
      </c>
      <c r="H112" s="132" t="s">
        <v>1065</v>
      </c>
      <c r="I112" s="132" t="s">
        <v>1065</v>
      </c>
      <c r="J112" s="132" t="s">
        <v>1067</v>
      </c>
      <c r="K112" s="267">
        <v>25.0</v>
      </c>
      <c r="L112" s="267">
        <v>25.0</v>
      </c>
      <c r="M112" s="267">
        <v>50.0</v>
      </c>
      <c r="N112" s="267">
        <v>50.0</v>
      </c>
      <c r="P112" s="267">
        <v>50.0</v>
      </c>
      <c r="Q112" s="16" t="s">
        <v>2214</v>
      </c>
      <c r="R112" s="298"/>
      <c r="S112" s="3"/>
      <c r="T112" s="3"/>
      <c r="W112" s="3"/>
      <c r="X112" s="3"/>
      <c r="Y112" s="3"/>
      <c r="Z112" s="3"/>
      <c r="AA112" s="132"/>
      <c r="AC112" s="298"/>
      <c r="AI112" s="298"/>
    </row>
    <row r="113" ht="30.75" customHeight="1">
      <c r="A113" s="132" t="s">
        <v>168</v>
      </c>
      <c r="B113" s="279" t="s">
        <v>2215</v>
      </c>
      <c r="C113" s="229">
        <v>45042.0</v>
      </c>
      <c r="D113" s="298"/>
      <c r="E113" s="224">
        <v>45273.0</v>
      </c>
      <c r="F113" s="132" t="s">
        <v>649</v>
      </c>
      <c r="G113" s="16" t="s">
        <v>2216</v>
      </c>
      <c r="H113" s="132" t="s">
        <v>1065</v>
      </c>
      <c r="I113" s="132" t="s">
        <v>1065</v>
      </c>
      <c r="J113" s="132" t="s">
        <v>1067</v>
      </c>
      <c r="K113" s="267">
        <v>25.0</v>
      </c>
      <c r="L113" s="267">
        <v>25.0</v>
      </c>
      <c r="M113" s="267">
        <v>100.0</v>
      </c>
      <c r="N113" s="267">
        <v>50.0</v>
      </c>
      <c r="O113" s="267">
        <v>100.0</v>
      </c>
      <c r="P113" s="267">
        <v>25.0</v>
      </c>
      <c r="Q113" s="16" t="s">
        <v>2217</v>
      </c>
      <c r="R113" s="298"/>
      <c r="S113" s="267">
        <v>50.0</v>
      </c>
      <c r="T113" s="267">
        <v>50.0</v>
      </c>
      <c r="U113" s="16" t="s">
        <v>2218</v>
      </c>
      <c r="W113" s="267">
        <v>25.0</v>
      </c>
      <c r="X113" s="267">
        <v>50.0</v>
      </c>
      <c r="Y113" s="267">
        <v>50.0</v>
      </c>
      <c r="Z113" s="267">
        <v>100.0</v>
      </c>
      <c r="AA113" s="132" t="s">
        <v>2219</v>
      </c>
      <c r="AC113" s="298"/>
      <c r="AI113" s="298"/>
    </row>
    <row r="114" ht="30.75" customHeight="1">
      <c r="A114" s="132" t="s">
        <v>2220</v>
      </c>
      <c r="B114" s="279" t="s">
        <v>2221</v>
      </c>
      <c r="C114" s="229">
        <v>45042.0</v>
      </c>
      <c r="D114" s="298"/>
      <c r="E114" s="224">
        <v>45274.0</v>
      </c>
      <c r="F114" s="132" t="s">
        <v>649</v>
      </c>
      <c r="G114" s="132" t="s">
        <v>2222</v>
      </c>
      <c r="H114" s="132" t="s">
        <v>1065</v>
      </c>
      <c r="I114" s="132" t="s">
        <v>1065</v>
      </c>
      <c r="J114" s="132" t="s">
        <v>1067</v>
      </c>
      <c r="K114" s="267">
        <v>25.0</v>
      </c>
      <c r="R114" s="298"/>
      <c r="S114" s="3"/>
      <c r="T114" s="3"/>
      <c r="W114" s="3"/>
      <c r="X114" s="3"/>
      <c r="Y114" s="3"/>
      <c r="Z114" s="3"/>
      <c r="AA114" s="3"/>
      <c r="AC114" s="298"/>
      <c r="AI114" s="298"/>
    </row>
    <row r="115" ht="30.75" customHeight="1">
      <c r="A115" s="132" t="s">
        <v>314</v>
      </c>
      <c r="B115" s="279" t="s">
        <v>2223</v>
      </c>
      <c r="C115" s="229">
        <v>45042.0</v>
      </c>
      <c r="D115" s="298"/>
      <c r="E115" s="232">
        <v>45278.0</v>
      </c>
      <c r="F115" s="132" t="s">
        <v>649</v>
      </c>
      <c r="G115" s="132" t="s">
        <v>2224</v>
      </c>
      <c r="H115" s="132" t="s">
        <v>1065</v>
      </c>
      <c r="I115" s="132" t="s">
        <v>1065</v>
      </c>
      <c r="J115" s="132" t="s">
        <v>1067</v>
      </c>
      <c r="K115" s="267">
        <v>25.0</v>
      </c>
      <c r="L115" s="267">
        <v>25.0</v>
      </c>
      <c r="M115" s="267">
        <v>100.0</v>
      </c>
      <c r="N115" s="267">
        <v>50.0</v>
      </c>
      <c r="O115" s="267" t="s">
        <v>1109</v>
      </c>
      <c r="P115" s="267">
        <v>25.0</v>
      </c>
      <c r="Q115" s="16" t="s">
        <v>2225</v>
      </c>
      <c r="R115" s="298"/>
      <c r="S115" s="267">
        <v>50.0</v>
      </c>
      <c r="T115" s="267">
        <v>50.0</v>
      </c>
      <c r="U115" s="16" t="s">
        <v>2226</v>
      </c>
      <c r="W115" s="3"/>
      <c r="X115" s="3"/>
      <c r="Y115" s="3"/>
      <c r="Z115" s="3"/>
      <c r="AA115" s="3"/>
      <c r="AC115" s="298"/>
      <c r="AI115" s="298"/>
    </row>
    <row r="116" ht="30.75" customHeight="1">
      <c r="A116" s="132" t="s">
        <v>243</v>
      </c>
      <c r="B116" s="279" t="s">
        <v>2227</v>
      </c>
      <c r="C116" s="229">
        <v>45042.0</v>
      </c>
      <c r="D116" s="298"/>
      <c r="E116" s="224">
        <v>45279.0</v>
      </c>
      <c r="F116" s="132" t="s">
        <v>40</v>
      </c>
      <c r="G116" s="132" t="s">
        <v>2228</v>
      </c>
      <c r="H116" s="132" t="s">
        <v>1065</v>
      </c>
      <c r="I116" s="132" t="s">
        <v>1065</v>
      </c>
      <c r="J116" s="132" t="s">
        <v>1067</v>
      </c>
      <c r="K116" s="267">
        <v>25.0</v>
      </c>
      <c r="L116" s="267">
        <v>25.0</v>
      </c>
      <c r="M116" s="267">
        <v>100.0</v>
      </c>
      <c r="N116" s="267">
        <v>50.0</v>
      </c>
      <c r="O116" s="267" t="s">
        <v>1109</v>
      </c>
      <c r="P116" s="267">
        <v>25.0</v>
      </c>
      <c r="Q116" s="16" t="s">
        <v>2229</v>
      </c>
      <c r="R116" s="407"/>
      <c r="S116" s="267">
        <v>50.0</v>
      </c>
      <c r="T116" s="267">
        <v>50.0</v>
      </c>
      <c r="U116" s="16" t="s">
        <v>2230</v>
      </c>
      <c r="W116" s="267">
        <v>25.0</v>
      </c>
      <c r="X116" s="267">
        <v>50.0</v>
      </c>
      <c r="Y116" s="267">
        <v>50.0</v>
      </c>
      <c r="Z116" s="267">
        <v>50.0</v>
      </c>
      <c r="AA116" s="132" t="s">
        <v>2231</v>
      </c>
      <c r="AB116" s="16" t="s">
        <v>2232</v>
      </c>
      <c r="AC116" s="298"/>
      <c r="AI116" s="298"/>
    </row>
    <row r="117" ht="30.75" customHeight="1">
      <c r="A117" s="132" t="s">
        <v>1712</v>
      </c>
      <c r="B117" s="279" t="s">
        <v>2233</v>
      </c>
      <c r="C117" s="229">
        <v>45042.0</v>
      </c>
      <c r="D117" s="298"/>
      <c r="E117" s="224">
        <v>45279.0</v>
      </c>
      <c r="F117" s="132" t="s">
        <v>1370</v>
      </c>
      <c r="G117" s="132" t="s">
        <v>2234</v>
      </c>
      <c r="H117" s="132" t="s">
        <v>1065</v>
      </c>
      <c r="I117" s="132" t="s">
        <v>1065</v>
      </c>
      <c r="J117" s="132" t="s">
        <v>1067</v>
      </c>
      <c r="K117" s="267">
        <v>25.0</v>
      </c>
      <c r="Q117" s="16" t="s">
        <v>2235</v>
      </c>
      <c r="R117" s="298"/>
      <c r="S117" s="3"/>
      <c r="T117" s="3"/>
      <c r="W117" s="3"/>
      <c r="X117" s="3"/>
      <c r="Y117" s="3"/>
      <c r="Z117" s="3"/>
      <c r="AA117" s="3"/>
      <c r="AC117" s="298"/>
      <c r="AI117" s="298"/>
    </row>
    <row r="118" ht="30.75" customHeight="1">
      <c r="A118" s="132" t="s">
        <v>254</v>
      </c>
      <c r="B118" s="279" t="s">
        <v>2236</v>
      </c>
      <c r="C118" s="47" t="s">
        <v>2237</v>
      </c>
      <c r="D118" s="298"/>
      <c r="E118" s="224">
        <v>45280.0</v>
      </c>
      <c r="F118" s="132" t="s">
        <v>40</v>
      </c>
      <c r="G118" s="132" t="s">
        <v>2238</v>
      </c>
      <c r="H118" s="132" t="s">
        <v>1065</v>
      </c>
      <c r="I118" s="132" t="s">
        <v>1065</v>
      </c>
      <c r="J118" s="132" t="s">
        <v>1067</v>
      </c>
      <c r="K118" s="267">
        <v>25.0</v>
      </c>
      <c r="L118" s="267">
        <v>25.0</v>
      </c>
      <c r="M118" s="267">
        <v>100.0</v>
      </c>
      <c r="N118" s="267">
        <v>50.0</v>
      </c>
      <c r="O118" s="267" t="s">
        <v>1109</v>
      </c>
      <c r="P118" s="267">
        <v>50.0</v>
      </c>
      <c r="Q118" s="16" t="s">
        <v>2239</v>
      </c>
      <c r="R118" s="298"/>
      <c r="S118" s="267">
        <v>50.0</v>
      </c>
      <c r="T118" s="267">
        <v>50.0</v>
      </c>
      <c r="U118" s="16" t="s">
        <v>2240</v>
      </c>
      <c r="V118" s="16" t="s">
        <v>1147</v>
      </c>
      <c r="W118" s="267">
        <v>25.0</v>
      </c>
      <c r="X118" s="267">
        <v>50.0</v>
      </c>
      <c r="Y118" s="267">
        <v>50.0</v>
      </c>
      <c r="Z118" s="267">
        <v>100.0</v>
      </c>
      <c r="AA118" s="132" t="s">
        <v>2241</v>
      </c>
      <c r="AC118" s="298"/>
      <c r="AI118" s="298"/>
    </row>
    <row r="119" ht="30.75" customHeight="1">
      <c r="A119" s="132" t="s">
        <v>272</v>
      </c>
      <c r="B119" s="279" t="s">
        <v>2242</v>
      </c>
      <c r="C119" s="229">
        <v>45774.0</v>
      </c>
      <c r="D119" s="298"/>
      <c r="E119" s="224">
        <v>45280.0</v>
      </c>
      <c r="F119" s="132" t="s">
        <v>736</v>
      </c>
      <c r="G119" s="16" t="s">
        <v>2243</v>
      </c>
      <c r="H119" s="132" t="s">
        <v>1065</v>
      </c>
      <c r="I119" s="132" t="s">
        <v>1065</v>
      </c>
      <c r="J119" s="132" t="s">
        <v>1067</v>
      </c>
      <c r="K119" s="267">
        <v>25.0</v>
      </c>
      <c r="L119" s="267">
        <v>25.0</v>
      </c>
      <c r="M119" s="267">
        <v>100.0</v>
      </c>
      <c r="N119" s="267">
        <v>50.0</v>
      </c>
      <c r="O119" s="267" t="s">
        <v>1109</v>
      </c>
      <c r="P119" s="267">
        <v>25.0</v>
      </c>
      <c r="Q119" s="16" t="s">
        <v>2244</v>
      </c>
      <c r="R119" s="298"/>
      <c r="S119" s="267">
        <v>50.0</v>
      </c>
      <c r="T119" s="267">
        <v>50.0</v>
      </c>
      <c r="U119" s="16" t="s">
        <v>2245</v>
      </c>
      <c r="V119" s="16" t="s">
        <v>1147</v>
      </c>
      <c r="W119" s="3"/>
      <c r="X119" s="3"/>
      <c r="Y119" s="3"/>
      <c r="Z119" s="3"/>
      <c r="AA119" s="3"/>
      <c r="AC119" s="298"/>
      <c r="AI119" s="298"/>
    </row>
    <row r="120" ht="30.75" customHeight="1">
      <c r="A120" s="496" t="s">
        <v>236</v>
      </c>
      <c r="B120" s="279" t="s">
        <v>2246</v>
      </c>
      <c r="C120" s="132" t="s">
        <v>2247</v>
      </c>
      <c r="D120" s="298"/>
      <c r="E120" s="222">
        <v>45294.0</v>
      </c>
      <c r="F120" s="132" t="s">
        <v>40</v>
      </c>
      <c r="G120" s="132" t="s">
        <v>2248</v>
      </c>
      <c r="H120" s="132" t="s">
        <v>1065</v>
      </c>
      <c r="I120" s="132" t="s">
        <v>1065</v>
      </c>
      <c r="J120" s="132" t="s">
        <v>1067</v>
      </c>
      <c r="K120" s="267">
        <v>25.0</v>
      </c>
      <c r="L120" s="267">
        <v>25.0</v>
      </c>
      <c r="M120" s="267">
        <v>100.0</v>
      </c>
      <c r="N120" s="267">
        <v>50.0</v>
      </c>
      <c r="O120" s="267">
        <v>100.0</v>
      </c>
      <c r="P120" s="267">
        <v>25.0</v>
      </c>
      <c r="Q120" s="16" t="s">
        <v>2249</v>
      </c>
      <c r="R120" s="298"/>
      <c r="S120" s="267">
        <v>50.0</v>
      </c>
      <c r="T120" s="267">
        <v>50.0</v>
      </c>
      <c r="U120" s="16" t="s">
        <v>2250</v>
      </c>
      <c r="W120" s="267">
        <v>25.0</v>
      </c>
      <c r="X120" s="267">
        <v>50.0</v>
      </c>
      <c r="Y120" s="267">
        <v>50.0</v>
      </c>
      <c r="Z120" s="267">
        <v>100.0</v>
      </c>
      <c r="AA120" s="132" t="s">
        <v>2251</v>
      </c>
      <c r="AB120" s="16" t="s">
        <v>2252</v>
      </c>
      <c r="AC120" s="298"/>
      <c r="AI120" s="298"/>
    </row>
    <row r="121" ht="30.75" customHeight="1">
      <c r="A121" s="132" t="s">
        <v>278</v>
      </c>
      <c r="B121" s="279" t="s">
        <v>2253</v>
      </c>
      <c r="C121" s="132" t="s">
        <v>2254</v>
      </c>
      <c r="D121" s="298"/>
      <c r="E121" s="224">
        <v>45294.0</v>
      </c>
      <c r="F121" s="132" t="s">
        <v>736</v>
      </c>
      <c r="G121" s="132" t="s">
        <v>2255</v>
      </c>
      <c r="H121" s="132" t="s">
        <v>1065</v>
      </c>
      <c r="I121" s="132" t="s">
        <v>1065</v>
      </c>
      <c r="J121" s="132" t="s">
        <v>1067</v>
      </c>
      <c r="K121" s="267">
        <v>25.0</v>
      </c>
      <c r="L121" s="267">
        <v>25.0</v>
      </c>
      <c r="M121" s="267">
        <v>100.0</v>
      </c>
      <c r="N121" s="267">
        <v>50.0</v>
      </c>
      <c r="O121" s="267">
        <v>100.0</v>
      </c>
      <c r="P121" s="267">
        <v>25.0</v>
      </c>
      <c r="Q121" s="16" t="s">
        <v>2256</v>
      </c>
      <c r="R121" s="298"/>
      <c r="S121" s="267">
        <v>50.0</v>
      </c>
      <c r="T121" s="267">
        <v>50.0</v>
      </c>
      <c r="U121" s="16" t="s">
        <v>2250</v>
      </c>
      <c r="V121" s="16" t="s">
        <v>1314</v>
      </c>
      <c r="W121" s="267">
        <v>25.0</v>
      </c>
      <c r="X121" s="267">
        <v>50.0</v>
      </c>
      <c r="Y121" s="267">
        <v>50.0</v>
      </c>
      <c r="Z121" s="267">
        <v>100.0</v>
      </c>
      <c r="AA121" s="132" t="s">
        <v>2251</v>
      </c>
      <c r="AB121" s="16" t="s">
        <v>2257</v>
      </c>
      <c r="AC121" s="298"/>
      <c r="AI121" s="298"/>
    </row>
    <row r="122" ht="30.75" customHeight="1">
      <c r="A122" s="132" t="s">
        <v>274</v>
      </c>
      <c r="B122" s="279" t="s">
        <v>2258</v>
      </c>
      <c r="C122" s="229">
        <v>45409.0</v>
      </c>
      <c r="D122" s="298"/>
      <c r="E122" s="222">
        <v>45295.0</v>
      </c>
      <c r="F122" s="132" t="s">
        <v>649</v>
      </c>
      <c r="G122" s="132" t="s">
        <v>2259</v>
      </c>
      <c r="H122" s="132" t="s">
        <v>1065</v>
      </c>
      <c r="I122" s="132" t="s">
        <v>1065</v>
      </c>
      <c r="J122" s="132" t="s">
        <v>1067</v>
      </c>
      <c r="K122" s="267">
        <v>25.0</v>
      </c>
      <c r="L122" s="267">
        <v>25.0</v>
      </c>
      <c r="M122" s="267">
        <v>100.0</v>
      </c>
      <c r="N122" s="267">
        <v>50.0</v>
      </c>
      <c r="O122" s="267">
        <v>100.0</v>
      </c>
      <c r="P122" s="267">
        <v>25.0</v>
      </c>
      <c r="Q122" s="16" t="s">
        <v>2260</v>
      </c>
      <c r="R122" s="298"/>
      <c r="S122" s="267">
        <v>50.0</v>
      </c>
      <c r="T122" s="267">
        <v>50.0</v>
      </c>
      <c r="W122" s="3"/>
      <c r="X122" s="3"/>
      <c r="Y122" s="3"/>
      <c r="Z122" s="3"/>
      <c r="AA122" s="3"/>
      <c r="AC122" s="298"/>
      <c r="AI122" s="298"/>
    </row>
    <row r="123" ht="30.75" customHeight="1">
      <c r="A123" s="132" t="s">
        <v>186</v>
      </c>
      <c r="B123" s="279" t="s">
        <v>2261</v>
      </c>
      <c r="C123" s="265">
        <v>45774.0</v>
      </c>
      <c r="D123" s="303"/>
      <c r="E123" s="222">
        <v>45299.0</v>
      </c>
      <c r="F123" s="132" t="s">
        <v>649</v>
      </c>
      <c r="G123" s="132" t="s">
        <v>2262</v>
      </c>
      <c r="H123" s="132" t="s">
        <v>1065</v>
      </c>
      <c r="I123" s="132" t="s">
        <v>1065</v>
      </c>
      <c r="J123" s="132" t="s">
        <v>1067</v>
      </c>
      <c r="K123" s="267">
        <v>25.0</v>
      </c>
      <c r="L123" s="267">
        <v>25.0</v>
      </c>
      <c r="M123" s="267">
        <v>100.0</v>
      </c>
      <c r="N123" s="267">
        <v>50.0</v>
      </c>
      <c r="O123" s="267" t="s">
        <v>1769</v>
      </c>
      <c r="P123" s="267">
        <v>50.0</v>
      </c>
      <c r="Q123" s="16" t="s">
        <v>2263</v>
      </c>
      <c r="R123" s="303"/>
      <c r="S123" s="267">
        <v>50.0</v>
      </c>
      <c r="T123" s="267">
        <v>50.0</v>
      </c>
      <c r="U123" s="16" t="s">
        <v>2264</v>
      </c>
      <c r="V123" s="132" t="s">
        <v>1147</v>
      </c>
      <c r="W123" s="267">
        <v>25.0</v>
      </c>
      <c r="X123" s="267">
        <v>50.0</v>
      </c>
      <c r="Y123" s="267">
        <v>50.0</v>
      </c>
      <c r="Z123" s="267">
        <v>100.0</v>
      </c>
      <c r="AA123" s="132" t="s">
        <v>2265</v>
      </c>
      <c r="AB123" s="47" t="s">
        <v>2266</v>
      </c>
      <c r="AC123" s="303"/>
      <c r="AD123" s="3"/>
      <c r="AE123" s="3"/>
      <c r="AF123" s="3"/>
      <c r="AG123" s="3"/>
      <c r="AH123" s="3"/>
      <c r="AI123" s="303"/>
      <c r="AJ123" s="3"/>
      <c r="AK123" s="3"/>
      <c r="AL123" s="3"/>
      <c r="AM123" s="3"/>
      <c r="AN123" s="3"/>
      <c r="AO123" s="3"/>
    </row>
    <row r="124" ht="30.75" customHeight="1">
      <c r="A124" s="132" t="s">
        <v>231</v>
      </c>
      <c r="B124" s="279" t="s">
        <v>2267</v>
      </c>
      <c r="C124" s="265">
        <v>45621.0</v>
      </c>
      <c r="D124" s="303"/>
      <c r="E124" s="222">
        <v>45299.0</v>
      </c>
      <c r="F124" s="132" t="s">
        <v>736</v>
      </c>
      <c r="G124" s="132" t="s">
        <v>2268</v>
      </c>
      <c r="H124" s="132" t="s">
        <v>1065</v>
      </c>
      <c r="I124" s="132" t="s">
        <v>1065</v>
      </c>
      <c r="J124" s="132" t="s">
        <v>1067</v>
      </c>
      <c r="K124" s="267">
        <v>25.0</v>
      </c>
      <c r="L124" s="267">
        <v>25.0</v>
      </c>
      <c r="M124" s="267">
        <v>100.0</v>
      </c>
      <c r="N124" s="267">
        <v>50.0</v>
      </c>
      <c r="O124" s="267" t="s">
        <v>1769</v>
      </c>
      <c r="P124" s="267">
        <v>50.0</v>
      </c>
      <c r="R124" s="303"/>
      <c r="S124" s="267">
        <v>50.0</v>
      </c>
      <c r="T124" s="267">
        <v>50.0</v>
      </c>
      <c r="U124" s="3"/>
      <c r="V124" s="3"/>
      <c r="W124" s="267">
        <v>25.0</v>
      </c>
      <c r="X124" s="267">
        <v>50.0</v>
      </c>
      <c r="Y124" s="267">
        <v>50.0</v>
      </c>
      <c r="Z124" s="267">
        <v>100.0</v>
      </c>
      <c r="AA124" s="132" t="s">
        <v>2017</v>
      </c>
      <c r="AB124" s="3"/>
      <c r="AC124" s="303"/>
      <c r="AD124" s="3"/>
      <c r="AE124" s="3"/>
      <c r="AF124" s="3"/>
      <c r="AG124" s="3"/>
      <c r="AH124" s="3"/>
      <c r="AI124" s="303"/>
      <c r="AJ124" s="3"/>
      <c r="AK124" s="3"/>
      <c r="AL124" s="3"/>
      <c r="AM124" s="3"/>
      <c r="AN124" s="3"/>
      <c r="AO124" s="3"/>
    </row>
    <row r="125" ht="30.75" customHeight="1">
      <c r="A125" s="124" t="s">
        <v>2269</v>
      </c>
      <c r="B125" s="506"/>
      <c r="C125" s="425"/>
      <c r="D125" s="298"/>
      <c r="E125" s="507">
        <v>45302.0</v>
      </c>
      <c r="F125" s="425"/>
      <c r="G125" s="424" t="s">
        <v>2270</v>
      </c>
      <c r="H125" s="425"/>
      <c r="I125" s="425"/>
      <c r="J125" s="425"/>
      <c r="K125" s="124">
        <v>25.0</v>
      </c>
      <c r="L125" s="425"/>
      <c r="M125" s="425"/>
      <c r="N125" s="425"/>
      <c r="O125" s="425"/>
      <c r="P125" s="425"/>
      <c r="Q125" s="124" t="s">
        <v>2271</v>
      </c>
      <c r="R125" s="303"/>
      <c r="S125" s="425"/>
      <c r="T125" s="425"/>
      <c r="U125" s="318"/>
      <c r="V125" s="318"/>
      <c r="W125" s="425"/>
      <c r="X125" s="425"/>
      <c r="Y125" s="425"/>
      <c r="Z125" s="425"/>
      <c r="AA125" s="425"/>
      <c r="AB125" s="318"/>
      <c r="AC125" s="298"/>
      <c r="AD125" s="318"/>
      <c r="AE125" s="318"/>
      <c r="AF125" s="318"/>
      <c r="AG125" s="318"/>
      <c r="AH125" s="318"/>
      <c r="AI125" s="298"/>
      <c r="AJ125" s="318"/>
      <c r="AK125" s="318"/>
      <c r="AL125" s="318"/>
      <c r="AM125" s="318"/>
      <c r="AN125" s="318"/>
      <c r="AO125" s="318"/>
    </row>
    <row r="126" ht="30.75" customHeight="1">
      <c r="A126" s="132" t="s">
        <v>207</v>
      </c>
      <c r="B126" s="279" t="s">
        <v>2272</v>
      </c>
      <c r="C126" s="265">
        <v>45622.0</v>
      </c>
      <c r="D126" s="298"/>
      <c r="E126" s="232">
        <v>45307.0</v>
      </c>
      <c r="F126" s="132" t="s">
        <v>28</v>
      </c>
      <c r="G126" s="132"/>
      <c r="H126" s="132" t="s">
        <v>1065</v>
      </c>
      <c r="I126" s="132" t="s">
        <v>1065</v>
      </c>
      <c r="J126" s="132" t="s">
        <v>1067</v>
      </c>
      <c r="K126" s="267">
        <v>25.0</v>
      </c>
      <c r="L126" s="267">
        <v>25.0</v>
      </c>
      <c r="M126" s="267">
        <v>100.0</v>
      </c>
      <c r="N126" s="267">
        <v>50.0</v>
      </c>
      <c r="O126" s="267" t="s">
        <v>1109</v>
      </c>
      <c r="P126" s="267">
        <v>50.0</v>
      </c>
      <c r="Q126" s="16" t="s">
        <v>2273</v>
      </c>
      <c r="R126" s="298"/>
      <c r="S126" s="267">
        <v>50.0</v>
      </c>
      <c r="T126" s="267">
        <v>50.0</v>
      </c>
      <c r="U126" s="16" t="s">
        <v>2274</v>
      </c>
      <c r="W126" s="267">
        <v>25.0</v>
      </c>
      <c r="X126" s="267">
        <v>50.0</v>
      </c>
      <c r="Y126" s="267">
        <v>50.0</v>
      </c>
      <c r="Z126" s="267">
        <v>100.0</v>
      </c>
      <c r="AA126" s="132" t="s">
        <v>2275</v>
      </c>
      <c r="AC126" s="298"/>
      <c r="AI126" s="298"/>
    </row>
    <row r="127" ht="30.75" customHeight="1">
      <c r="A127" s="132" t="s">
        <v>259</v>
      </c>
      <c r="B127" s="47">
        <v>8.4902183E7</v>
      </c>
      <c r="C127" s="265">
        <v>45652.0</v>
      </c>
      <c r="D127" s="298"/>
      <c r="E127" s="232">
        <v>45307.0</v>
      </c>
      <c r="F127" s="3"/>
      <c r="G127" s="132" t="s">
        <v>2276</v>
      </c>
      <c r="H127" s="132" t="s">
        <v>1065</v>
      </c>
      <c r="I127" s="132" t="s">
        <v>1065</v>
      </c>
      <c r="J127" s="132" t="s">
        <v>1067</v>
      </c>
      <c r="K127" s="510">
        <v>25.0</v>
      </c>
      <c r="L127" s="383">
        <v>25.0</v>
      </c>
      <c r="M127" s="267">
        <v>100.0</v>
      </c>
      <c r="N127" s="383">
        <v>50.0</v>
      </c>
      <c r="O127" s="267" t="s">
        <v>1109</v>
      </c>
      <c r="P127" s="267">
        <v>25.0</v>
      </c>
      <c r="Q127" s="16" t="s">
        <v>2277</v>
      </c>
      <c r="R127" s="298"/>
      <c r="S127" s="267">
        <v>50.0</v>
      </c>
      <c r="T127" s="267">
        <v>50.0</v>
      </c>
      <c r="U127" s="16" t="s">
        <v>2278</v>
      </c>
      <c r="W127" s="3"/>
      <c r="X127" s="3"/>
      <c r="Y127" s="3"/>
      <c r="Z127" s="3"/>
      <c r="AA127" s="3"/>
      <c r="AC127" s="298"/>
      <c r="AI127" s="298"/>
    </row>
    <row r="128" ht="30.75" customHeight="1">
      <c r="A128" s="132" t="s">
        <v>263</v>
      </c>
      <c r="B128" s="279" t="s">
        <v>2279</v>
      </c>
      <c r="C128" s="265">
        <v>45622.0</v>
      </c>
      <c r="D128" s="298"/>
      <c r="E128" s="232">
        <v>45307.0</v>
      </c>
      <c r="F128" s="132" t="s">
        <v>1370</v>
      </c>
      <c r="G128" s="132"/>
      <c r="H128" s="132" t="s">
        <v>1065</v>
      </c>
      <c r="I128" s="132" t="s">
        <v>1065</v>
      </c>
      <c r="J128" s="132" t="s">
        <v>1067</v>
      </c>
      <c r="K128" s="267">
        <v>25.0</v>
      </c>
      <c r="L128" s="267">
        <v>25.0</v>
      </c>
      <c r="M128" s="267">
        <v>100.0</v>
      </c>
      <c r="N128" s="267">
        <v>50.0</v>
      </c>
      <c r="O128" s="267" t="s">
        <v>1769</v>
      </c>
      <c r="P128" s="267">
        <v>25.0</v>
      </c>
      <c r="Q128" s="132" t="s">
        <v>2280</v>
      </c>
      <c r="R128" s="298"/>
      <c r="S128" s="267">
        <v>50.0</v>
      </c>
      <c r="T128" s="267">
        <v>50.0</v>
      </c>
      <c r="U128" s="16" t="s">
        <v>2281</v>
      </c>
      <c r="W128" s="267">
        <v>25.0</v>
      </c>
      <c r="X128" s="3"/>
      <c r="Y128" s="3"/>
      <c r="Z128" s="267">
        <v>100.0</v>
      </c>
      <c r="AA128" s="132" t="s">
        <v>2282</v>
      </c>
      <c r="AC128" s="298"/>
      <c r="AI128" s="298"/>
    </row>
    <row r="129" ht="30.75" customHeight="1">
      <c r="A129" s="132" t="s">
        <v>209</v>
      </c>
      <c r="B129" s="279" t="s">
        <v>2283</v>
      </c>
      <c r="C129" s="265">
        <v>45652.0</v>
      </c>
      <c r="D129" s="298"/>
      <c r="E129" s="281">
        <v>45320.0</v>
      </c>
      <c r="F129" s="132" t="s">
        <v>28</v>
      </c>
      <c r="G129" s="132" t="s">
        <v>2284</v>
      </c>
      <c r="H129" s="132" t="s">
        <v>1065</v>
      </c>
      <c r="I129" s="132" t="s">
        <v>1065</v>
      </c>
      <c r="J129" s="132" t="s">
        <v>1067</v>
      </c>
      <c r="K129" s="267">
        <v>25.0</v>
      </c>
      <c r="L129" s="267">
        <v>25.0</v>
      </c>
      <c r="M129" s="267">
        <v>100.0</v>
      </c>
      <c r="N129" s="267">
        <v>50.0</v>
      </c>
      <c r="P129" s="267">
        <v>25.0</v>
      </c>
      <c r="Q129" s="16" t="s">
        <v>2285</v>
      </c>
      <c r="R129" s="298"/>
      <c r="S129" s="267">
        <v>50.0</v>
      </c>
      <c r="T129" s="267">
        <v>50.0</v>
      </c>
      <c r="U129" s="16" t="s">
        <v>2286</v>
      </c>
      <c r="W129" s="267">
        <v>25.0</v>
      </c>
      <c r="X129" s="267">
        <v>50.0</v>
      </c>
      <c r="Y129" s="267">
        <v>50.0</v>
      </c>
      <c r="Z129" s="267">
        <v>100.0</v>
      </c>
      <c r="AA129" s="132" t="s">
        <v>2287</v>
      </c>
      <c r="AC129" s="298"/>
      <c r="AI129" s="298"/>
    </row>
    <row r="130" ht="30.75" customHeight="1">
      <c r="A130" s="132" t="s">
        <v>255</v>
      </c>
      <c r="B130" s="279" t="s">
        <v>2288</v>
      </c>
      <c r="C130" s="132" t="s">
        <v>2289</v>
      </c>
      <c r="D130" s="298"/>
      <c r="E130" s="222">
        <v>45328.0</v>
      </c>
      <c r="F130" s="132" t="s">
        <v>1370</v>
      </c>
      <c r="G130" s="132" t="s">
        <v>2290</v>
      </c>
      <c r="H130" s="132" t="s">
        <v>1065</v>
      </c>
      <c r="I130" s="132" t="s">
        <v>1065</v>
      </c>
      <c r="J130" s="132" t="s">
        <v>1067</v>
      </c>
      <c r="K130" s="267">
        <v>25.0</v>
      </c>
      <c r="L130" s="267">
        <v>25.0</v>
      </c>
      <c r="M130" s="267">
        <v>100.0</v>
      </c>
      <c r="N130" s="267">
        <v>50.0</v>
      </c>
      <c r="O130" s="267">
        <v>100.0</v>
      </c>
      <c r="P130" s="267">
        <v>25.0</v>
      </c>
      <c r="Q130" s="16" t="s">
        <v>2291</v>
      </c>
      <c r="R130" s="298"/>
      <c r="S130" s="267">
        <v>50.0</v>
      </c>
      <c r="T130" s="267">
        <v>50.0</v>
      </c>
      <c r="U130" s="16" t="s">
        <v>2292</v>
      </c>
      <c r="W130" s="267">
        <v>25.0</v>
      </c>
      <c r="X130" s="267">
        <v>50.0</v>
      </c>
      <c r="Y130" s="267">
        <v>50.0</v>
      </c>
      <c r="Z130" s="267">
        <v>100.0</v>
      </c>
      <c r="AA130" s="132" t="s">
        <v>1146</v>
      </c>
      <c r="AC130" s="298"/>
      <c r="AI130" s="298"/>
    </row>
    <row r="131" ht="30.75" customHeight="1">
      <c r="A131" s="132" t="s">
        <v>283</v>
      </c>
      <c r="B131" s="279" t="s">
        <v>2293</v>
      </c>
      <c r="C131" s="265">
        <v>45622.0</v>
      </c>
      <c r="D131" s="298"/>
      <c r="E131" s="222">
        <v>45328.0</v>
      </c>
      <c r="F131" s="132" t="s">
        <v>649</v>
      </c>
      <c r="G131" s="132" t="s">
        <v>2294</v>
      </c>
      <c r="H131" s="132" t="s">
        <v>1065</v>
      </c>
      <c r="I131" s="132" t="s">
        <v>1065</v>
      </c>
      <c r="J131" s="132" t="s">
        <v>1188</v>
      </c>
      <c r="K131" s="267">
        <v>25.0</v>
      </c>
      <c r="L131" s="267">
        <v>25.0</v>
      </c>
      <c r="M131" s="267">
        <v>100.0</v>
      </c>
      <c r="N131" s="267">
        <v>50.0</v>
      </c>
      <c r="O131" s="267" t="s">
        <v>1109</v>
      </c>
      <c r="P131" s="267">
        <v>25.0</v>
      </c>
      <c r="Q131" s="16" t="s">
        <v>2295</v>
      </c>
      <c r="R131" s="298"/>
      <c r="S131" s="267">
        <v>50.0</v>
      </c>
      <c r="T131" s="267">
        <v>50.0</v>
      </c>
      <c r="U131" s="16" t="s">
        <v>2296</v>
      </c>
      <c r="W131" s="267">
        <v>25.0</v>
      </c>
      <c r="X131" s="267">
        <v>50.0</v>
      </c>
      <c r="Y131" s="267">
        <v>50.0</v>
      </c>
      <c r="Z131" s="267">
        <v>100.0</v>
      </c>
      <c r="AA131" s="132" t="s">
        <v>2297</v>
      </c>
      <c r="AC131" s="298"/>
      <c r="AI131" s="298"/>
    </row>
    <row r="132" ht="30.75" customHeight="1">
      <c r="A132" s="132" t="s">
        <v>277</v>
      </c>
      <c r="B132" s="279" t="s">
        <v>2298</v>
      </c>
      <c r="C132" s="265">
        <v>45622.0</v>
      </c>
      <c r="D132" s="298"/>
      <c r="E132" s="222">
        <v>45328.0</v>
      </c>
      <c r="F132" s="132" t="s">
        <v>649</v>
      </c>
      <c r="G132" s="132" t="s">
        <v>2299</v>
      </c>
      <c r="H132" s="132" t="s">
        <v>1065</v>
      </c>
      <c r="I132" s="132" t="s">
        <v>1065</v>
      </c>
      <c r="J132" s="132" t="s">
        <v>1067</v>
      </c>
      <c r="K132" s="267">
        <v>25.0</v>
      </c>
      <c r="L132" s="267">
        <v>25.0</v>
      </c>
      <c r="M132" s="267">
        <v>100.0</v>
      </c>
      <c r="N132" s="267">
        <v>50.0</v>
      </c>
      <c r="O132" s="267" t="s">
        <v>1109</v>
      </c>
      <c r="P132" s="267">
        <v>25.0</v>
      </c>
      <c r="Q132" s="16" t="s">
        <v>2295</v>
      </c>
      <c r="R132" s="298"/>
      <c r="S132" s="267">
        <v>50.0</v>
      </c>
      <c r="T132" s="267">
        <v>50.0</v>
      </c>
      <c r="U132" s="16" t="s">
        <v>2296</v>
      </c>
      <c r="W132" s="267">
        <v>25.0</v>
      </c>
      <c r="X132" s="267">
        <v>50.0</v>
      </c>
      <c r="Y132" s="267">
        <v>50.0</v>
      </c>
      <c r="Z132" s="267">
        <v>100.0</v>
      </c>
      <c r="AA132" s="132" t="s">
        <v>2297</v>
      </c>
      <c r="AC132" s="298"/>
      <c r="AI132" s="298"/>
    </row>
    <row r="133" ht="30.75" customHeight="1">
      <c r="A133" s="132" t="s">
        <v>347</v>
      </c>
      <c r="B133" s="279" t="s">
        <v>2300</v>
      </c>
      <c r="C133" s="265">
        <v>45652.0</v>
      </c>
      <c r="D133" s="303"/>
      <c r="E133" s="222">
        <v>45328.0</v>
      </c>
      <c r="F133" s="132" t="s">
        <v>28</v>
      </c>
      <c r="G133" s="132" t="s">
        <v>2301</v>
      </c>
      <c r="H133" s="132" t="s">
        <v>1065</v>
      </c>
      <c r="I133" s="132" t="s">
        <v>1065</v>
      </c>
      <c r="J133" s="132" t="s">
        <v>1067</v>
      </c>
      <c r="K133" s="267">
        <v>25.0</v>
      </c>
      <c r="L133" s="267">
        <v>25.0</v>
      </c>
      <c r="M133" s="3"/>
      <c r="N133" s="267">
        <v>50.0</v>
      </c>
      <c r="O133" s="3"/>
      <c r="P133" s="267">
        <v>50.0</v>
      </c>
      <c r="Q133" s="132" t="s">
        <v>2302</v>
      </c>
      <c r="R133" s="303"/>
      <c r="S133" s="3"/>
      <c r="T133" s="3"/>
      <c r="U133" s="3"/>
      <c r="V133" s="3"/>
      <c r="W133" s="3"/>
      <c r="X133" s="3"/>
      <c r="Y133" s="3"/>
      <c r="Z133" s="3"/>
      <c r="AA133" s="3"/>
      <c r="AB133" s="3"/>
      <c r="AC133" s="303"/>
      <c r="AD133" s="3"/>
      <c r="AE133" s="3"/>
      <c r="AF133" s="3"/>
      <c r="AG133" s="3"/>
      <c r="AH133" s="3"/>
      <c r="AI133" s="303"/>
      <c r="AJ133" s="3"/>
      <c r="AK133" s="3"/>
      <c r="AL133" s="3"/>
      <c r="AM133" s="3"/>
      <c r="AN133" s="3"/>
      <c r="AO133" s="3"/>
    </row>
    <row r="134" ht="30.75" customHeight="1">
      <c r="A134" s="132" t="s">
        <v>217</v>
      </c>
      <c r="B134" s="279" t="s">
        <v>2303</v>
      </c>
      <c r="C134" s="265">
        <v>45622.0</v>
      </c>
      <c r="D134" s="298"/>
      <c r="E134" s="222">
        <v>45328.0</v>
      </c>
      <c r="F134" s="132" t="s">
        <v>736</v>
      </c>
      <c r="G134" s="16" t="s">
        <v>2304</v>
      </c>
      <c r="H134" s="132" t="s">
        <v>1065</v>
      </c>
      <c r="I134" s="132" t="s">
        <v>1065</v>
      </c>
      <c r="J134" s="132" t="s">
        <v>1067</v>
      </c>
      <c r="K134" s="267">
        <v>25.0</v>
      </c>
      <c r="L134" s="267">
        <v>25.0</v>
      </c>
      <c r="M134" s="267">
        <v>100.0</v>
      </c>
      <c r="N134" s="267">
        <v>50.0</v>
      </c>
      <c r="O134" s="3"/>
      <c r="P134" s="267">
        <v>25.0</v>
      </c>
      <c r="R134" s="298"/>
      <c r="S134" s="267">
        <v>50.0</v>
      </c>
      <c r="T134" s="267">
        <v>50.0</v>
      </c>
      <c r="W134" s="267">
        <v>25.0</v>
      </c>
      <c r="X134" s="267">
        <v>50.0</v>
      </c>
      <c r="Y134" s="267">
        <v>50.0</v>
      </c>
      <c r="Z134" s="267">
        <v>100.0</v>
      </c>
      <c r="AA134" s="132" t="s">
        <v>2305</v>
      </c>
      <c r="AB134" s="16" t="s">
        <v>2306</v>
      </c>
      <c r="AC134" s="298"/>
      <c r="AI134" s="298"/>
    </row>
    <row r="135" ht="30.75" customHeight="1">
      <c r="A135" s="132" t="s">
        <v>1773</v>
      </c>
      <c r="B135" s="279" t="s">
        <v>2307</v>
      </c>
      <c r="C135" s="265">
        <v>45622.0</v>
      </c>
      <c r="D135" s="303"/>
      <c r="E135" s="222">
        <v>45330.0</v>
      </c>
      <c r="F135" s="132" t="s">
        <v>28</v>
      </c>
      <c r="G135" s="132" t="s">
        <v>2308</v>
      </c>
      <c r="H135" s="132" t="s">
        <v>1065</v>
      </c>
      <c r="I135" s="132" t="s">
        <v>1065</v>
      </c>
      <c r="J135" s="132" t="s">
        <v>1067</v>
      </c>
      <c r="K135" s="267">
        <v>25.0</v>
      </c>
      <c r="L135" s="267">
        <v>25.0</v>
      </c>
      <c r="M135" s="3"/>
      <c r="N135" s="267">
        <v>50.0</v>
      </c>
      <c r="O135" s="267" t="s">
        <v>1109</v>
      </c>
      <c r="P135" s="267">
        <v>25.0</v>
      </c>
      <c r="Q135" s="132" t="s">
        <v>2309</v>
      </c>
      <c r="R135" s="303"/>
      <c r="S135" s="3"/>
      <c r="T135" s="3"/>
      <c r="U135" s="3"/>
      <c r="V135" s="3"/>
      <c r="W135" s="3"/>
      <c r="X135" s="3"/>
      <c r="Y135" s="3"/>
      <c r="Z135" s="3"/>
      <c r="AA135" s="3"/>
      <c r="AB135" s="132"/>
      <c r="AC135" s="303"/>
      <c r="AD135" s="3"/>
      <c r="AE135" s="3"/>
      <c r="AF135" s="3"/>
      <c r="AG135" s="3"/>
      <c r="AH135" s="3"/>
      <c r="AI135" s="303"/>
      <c r="AJ135" s="3"/>
      <c r="AK135" s="3"/>
      <c r="AL135" s="3"/>
      <c r="AM135" s="3"/>
      <c r="AN135" s="3"/>
      <c r="AO135" s="3"/>
    </row>
    <row r="136" ht="30.75" customHeight="1">
      <c r="A136" s="132" t="s">
        <v>353</v>
      </c>
      <c r="B136" s="279" t="s">
        <v>2310</v>
      </c>
      <c r="C136" s="265">
        <v>45622.0</v>
      </c>
      <c r="D136" s="298"/>
      <c r="E136" s="224">
        <v>45331.0</v>
      </c>
      <c r="F136" s="132" t="s">
        <v>736</v>
      </c>
      <c r="G136" s="132" t="s">
        <v>2311</v>
      </c>
      <c r="H136" s="132" t="s">
        <v>1065</v>
      </c>
      <c r="I136" s="132" t="s">
        <v>1065</v>
      </c>
      <c r="J136" s="132" t="s">
        <v>1067</v>
      </c>
      <c r="K136" s="267">
        <v>25.0</v>
      </c>
      <c r="L136" s="267">
        <v>25.0</v>
      </c>
      <c r="M136" s="267">
        <v>100.0</v>
      </c>
      <c r="N136" s="267">
        <v>50.0</v>
      </c>
      <c r="O136" s="267" t="s">
        <v>1109</v>
      </c>
      <c r="P136" s="267">
        <v>50.0</v>
      </c>
      <c r="Q136" s="132" t="s">
        <v>2312</v>
      </c>
      <c r="R136" s="298"/>
      <c r="S136" s="3"/>
      <c r="T136" s="3"/>
      <c r="W136" s="3"/>
      <c r="X136" s="3"/>
      <c r="Y136" s="3"/>
      <c r="Z136" s="3"/>
      <c r="AA136" s="3"/>
      <c r="AC136" s="298"/>
      <c r="AI136" s="298"/>
    </row>
    <row r="137" ht="30.75" customHeight="1">
      <c r="A137" s="132" t="s">
        <v>262</v>
      </c>
      <c r="B137" s="279" t="s">
        <v>2313</v>
      </c>
      <c r="C137" s="265">
        <v>45622.0</v>
      </c>
      <c r="D137" s="298"/>
      <c r="E137" s="224">
        <v>45331.0</v>
      </c>
      <c r="F137" s="132" t="s">
        <v>736</v>
      </c>
      <c r="G137" s="132" t="s">
        <v>2314</v>
      </c>
      <c r="H137" s="132" t="s">
        <v>1065</v>
      </c>
      <c r="I137" s="132" t="s">
        <v>1065</v>
      </c>
      <c r="J137" s="132" t="s">
        <v>1067</v>
      </c>
      <c r="K137" s="267">
        <v>25.0</v>
      </c>
      <c r="L137" s="383">
        <v>25.0</v>
      </c>
      <c r="M137" s="267">
        <v>100.0</v>
      </c>
      <c r="N137" s="383">
        <v>50.0</v>
      </c>
      <c r="P137" s="267">
        <v>25.0</v>
      </c>
      <c r="Q137" s="132" t="s">
        <v>2315</v>
      </c>
      <c r="R137" s="298"/>
      <c r="S137" s="3"/>
      <c r="T137" s="3"/>
      <c r="W137" s="3"/>
      <c r="X137" s="3"/>
      <c r="Y137" s="3"/>
      <c r="Z137" s="3"/>
      <c r="AA137" s="3"/>
      <c r="AC137" s="298"/>
      <c r="AI137" s="298"/>
    </row>
    <row r="138" ht="30.75" customHeight="1">
      <c r="A138" s="132" t="s">
        <v>2316</v>
      </c>
      <c r="B138" s="279" t="s">
        <v>2317</v>
      </c>
      <c r="C138" s="265">
        <v>45622.0</v>
      </c>
      <c r="D138" s="298"/>
      <c r="E138" s="224">
        <v>45335.0</v>
      </c>
      <c r="F138" s="132" t="s">
        <v>625</v>
      </c>
      <c r="G138" s="132" t="s">
        <v>2318</v>
      </c>
      <c r="H138" s="132" t="s">
        <v>1065</v>
      </c>
      <c r="I138" s="132" t="s">
        <v>1065</v>
      </c>
      <c r="J138" s="132" t="s">
        <v>1067</v>
      </c>
      <c r="K138" s="267">
        <v>25.0</v>
      </c>
      <c r="R138" s="298"/>
      <c r="S138" s="3"/>
      <c r="T138" s="3"/>
      <c r="W138" s="3"/>
      <c r="X138" s="3"/>
      <c r="Y138" s="3"/>
      <c r="Z138" s="3"/>
      <c r="AA138" s="3"/>
      <c r="AC138" s="298"/>
      <c r="AI138" s="298"/>
    </row>
    <row r="139" ht="30.75" customHeight="1">
      <c r="A139" s="132" t="s">
        <v>287</v>
      </c>
      <c r="B139" s="279" t="s">
        <v>2319</v>
      </c>
      <c r="C139" s="265">
        <v>45622.0</v>
      </c>
      <c r="D139" s="303"/>
      <c r="E139" s="224">
        <v>45336.0</v>
      </c>
      <c r="F139" s="132" t="s">
        <v>28</v>
      </c>
      <c r="G139" s="132" t="s">
        <v>2320</v>
      </c>
      <c r="H139" s="132" t="s">
        <v>1065</v>
      </c>
      <c r="I139" s="132" t="s">
        <v>1065</v>
      </c>
      <c r="J139" s="132" t="s">
        <v>1067</v>
      </c>
      <c r="K139" s="267">
        <v>25.0</v>
      </c>
      <c r="L139" s="383">
        <v>25.0</v>
      </c>
      <c r="M139" s="267">
        <v>100.0</v>
      </c>
      <c r="N139" s="383">
        <v>50.0</v>
      </c>
      <c r="O139" s="267" t="s">
        <v>1109</v>
      </c>
      <c r="P139" s="383">
        <v>50.0</v>
      </c>
      <c r="Q139" s="132" t="s">
        <v>2321</v>
      </c>
      <c r="R139" s="303"/>
      <c r="S139" s="267">
        <v>50.0</v>
      </c>
      <c r="T139" s="267">
        <v>50.0</v>
      </c>
      <c r="U139" s="132" t="s">
        <v>2322</v>
      </c>
      <c r="V139" s="3"/>
      <c r="W139" s="267">
        <v>25.0</v>
      </c>
      <c r="X139" s="267">
        <v>50.0</v>
      </c>
      <c r="Y139" s="267">
        <v>50.0</v>
      </c>
      <c r="Z139" s="267">
        <v>100.0</v>
      </c>
      <c r="AA139" s="132" t="s">
        <v>2323</v>
      </c>
      <c r="AB139" s="3"/>
      <c r="AC139" s="303"/>
      <c r="AD139" s="3"/>
      <c r="AE139" s="3"/>
      <c r="AF139" s="3"/>
      <c r="AG139" s="3"/>
      <c r="AH139" s="3"/>
      <c r="AI139" s="303"/>
      <c r="AJ139" s="3"/>
      <c r="AK139" s="3"/>
      <c r="AL139" s="3"/>
      <c r="AM139" s="3"/>
      <c r="AN139" s="3"/>
      <c r="AO139" s="3"/>
    </row>
    <row r="140" ht="30.75" customHeight="1">
      <c r="A140" s="132" t="s">
        <v>244</v>
      </c>
      <c r="B140" s="279" t="s">
        <v>2324</v>
      </c>
      <c r="C140" s="265">
        <v>45743.0</v>
      </c>
      <c r="D140" s="298"/>
      <c r="E140" s="222">
        <v>45336.0</v>
      </c>
      <c r="F140" s="132" t="s">
        <v>1370</v>
      </c>
      <c r="G140" s="16" t="s">
        <v>2325</v>
      </c>
      <c r="H140" s="132" t="s">
        <v>1065</v>
      </c>
      <c r="I140" s="132" t="s">
        <v>1065</v>
      </c>
      <c r="J140" s="132" t="s">
        <v>1067</v>
      </c>
      <c r="K140" s="267">
        <v>25.0</v>
      </c>
      <c r="L140" s="267">
        <v>25.0</v>
      </c>
      <c r="M140" s="267">
        <v>100.0</v>
      </c>
      <c r="N140" s="383">
        <v>50.0</v>
      </c>
      <c r="O140" s="267" t="s">
        <v>1109</v>
      </c>
      <c r="P140" s="267">
        <v>25.0</v>
      </c>
      <c r="Q140" s="16" t="s">
        <v>2326</v>
      </c>
      <c r="R140" s="298"/>
      <c r="S140" s="267">
        <v>50.0</v>
      </c>
      <c r="T140" s="267">
        <v>50.0</v>
      </c>
      <c r="U140" s="16" t="s">
        <v>2327</v>
      </c>
      <c r="W140" s="267">
        <v>25.0</v>
      </c>
      <c r="X140" s="267">
        <v>50.0</v>
      </c>
      <c r="Y140" s="267">
        <v>50.0</v>
      </c>
      <c r="Z140" s="267">
        <v>100.0</v>
      </c>
      <c r="AA140" s="132" t="s">
        <v>2328</v>
      </c>
      <c r="AC140" s="298"/>
      <c r="AI140" s="298"/>
    </row>
    <row r="141" ht="30.75" customHeight="1">
      <c r="A141" s="132" t="s">
        <v>256</v>
      </c>
      <c r="B141" s="47">
        <v>2.4869247E7</v>
      </c>
      <c r="C141" s="265">
        <v>45622.0</v>
      </c>
      <c r="D141" s="298"/>
      <c r="E141" s="222">
        <v>41685.0</v>
      </c>
      <c r="F141" s="132" t="s">
        <v>1370</v>
      </c>
      <c r="G141" s="132" t="s">
        <v>2329</v>
      </c>
      <c r="H141" s="132" t="s">
        <v>1065</v>
      </c>
      <c r="I141" s="132" t="s">
        <v>1065</v>
      </c>
      <c r="J141" s="132" t="s">
        <v>1067</v>
      </c>
      <c r="K141" s="267">
        <v>25.0</v>
      </c>
      <c r="L141" s="267">
        <v>25.0</v>
      </c>
      <c r="M141" s="267">
        <v>100.0</v>
      </c>
      <c r="N141" s="383">
        <v>50.0</v>
      </c>
      <c r="O141" s="267" t="s">
        <v>1109</v>
      </c>
      <c r="P141" s="383">
        <v>50.0</v>
      </c>
      <c r="Q141" s="16" t="s">
        <v>2330</v>
      </c>
      <c r="R141" s="298"/>
      <c r="S141" s="267">
        <v>50.0</v>
      </c>
      <c r="T141" s="267">
        <v>50.0</v>
      </c>
      <c r="W141" s="511" t="s">
        <v>2331</v>
      </c>
      <c r="X141" s="267">
        <v>50.0</v>
      </c>
      <c r="Y141" s="267">
        <v>50.0</v>
      </c>
      <c r="Z141" s="267">
        <v>100.0</v>
      </c>
      <c r="AA141" s="132" t="s">
        <v>1146</v>
      </c>
      <c r="AC141" s="298"/>
      <c r="AI141" s="298"/>
    </row>
    <row r="142" ht="30.75" customHeight="1">
      <c r="A142" s="132" t="s">
        <v>311</v>
      </c>
      <c r="B142" s="279" t="s">
        <v>2332</v>
      </c>
      <c r="C142" s="265">
        <v>45622.0</v>
      </c>
      <c r="D142" s="298"/>
      <c r="E142" s="222">
        <v>45337.0</v>
      </c>
      <c r="F142" s="132" t="s">
        <v>736</v>
      </c>
      <c r="G142" s="132" t="s">
        <v>2333</v>
      </c>
      <c r="H142" s="132" t="s">
        <v>1065</v>
      </c>
      <c r="I142" s="132" t="s">
        <v>1065</v>
      </c>
      <c r="J142" s="132" t="s">
        <v>1067</v>
      </c>
      <c r="K142" s="267">
        <v>25.0</v>
      </c>
      <c r="L142" s="267">
        <v>25.0</v>
      </c>
      <c r="M142" s="267">
        <v>100.0</v>
      </c>
      <c r="N142" s="383">
        <v>50.0</v>
      </c>
      <c r="O142" s="267">
        <v>100.0</v>
      </c>
      <c r="P142" s="267">
        <v>25.0</v>
      </c>
      <c r="Q142" s="16" t="s">
        <v>2334</v>
      </c>
      <c r="R142" s="298"/>
      <c r="S142" s="267">
        <v>50.0</v>
      </c>
      <c r="T142" s="267">
        <v>50.0</v>
      </c>
      <c r="U142" s="16" t="s">
        <v>2335</v>
      </c>
      <c r="W142" s="267">
        <v>25.0</v>
      </c>
      <c r="X142" s="267">
        <v>50.0</v>
      </c>
      <c r="Y142" s="267">
        <v>50.0</v>
      </c>
      <c r="Z142" s="267">
        <v>100.0</v>
      </c>
      <c r="AA142" s="132" t="s">
        <v>2336</v>
      </c>
      <c r="AC142" s="298"/>
      <c r="AI142" s="298"/>
    </row>
    <row r="143" ht="30.75" customHeight="1">
      <c r="A143" s="132" t="s">
        <v>260</v>
      </c>
      <c r="B143" s="279" t="s">
        <v>2337</v>
      </c>
      <c r="C143" s="265">
        <v>45622.0</v>
      </c>
      <c r="D143" s="298"/>
      <c r="E143" s="222">
        <v>45343.0</v>
      </c>
      <c r="F143" s="132" t="s">
        <v>625</v>
      </c>
      <c r="G143" s="132" t="s">
        <v>2338</v>
      </c>
      <c r="H143" s="132" t="s">
        <v>1065</v>
      </c>
      <c r="I143" s="132" t="s">
        <v>1065</v>
      </c>
      <c r="J143" s="132" t="s">
        <v>1188</v>
      </c>
      <c r="K143" s="267">
        <v>25.0</v>
      </c>
      <c r="L143" s="267">
        <v>25.0</v>
      </c>
      <c r="M143" s="267">
        <v>100.0</v>
      </c>
      <c r="N143" s="383">
        <v>50.0</v>
      </c>
      <c r="O143" s="267">
        <v>100.0</v>
      </c>
      <c r="P143" s="383">
        <v>50.0</v>
      </c>
      <c r="R143" s="298"/>
      <c r="S143" s="267">
        <v>50.0</v>
      </c>
      <c r="T143" s="267">
        <v>50.0</v>
      </c>
      <c r="U143" s="16" t="s">
        <v>2339</v>
      </c>
      <c r="W143" s="267">
        <v>25.0</v>
      </c>
      <c r="X143" s="267">
        <v>50.0</v>
      </c>
      <c r="Y143" s="267">
        <v>50.0</v>
      </c>
      <c r="Z143" s="267">
        <v>100.0</v>
      </c>
      <c r="AA143" s="132" t="s">
        <v>2340</v>
      </c>
      <c r="AC143" s="298"/>
      <c r="AI143" s="298"/>
    </row>
    <row r="144" ht="30.75" customHeight="1">
      <c r="A144" s="132" t="s">
        <v>2341</v>
      </c>
      <c r="B144" s="279" t="s">
        <v>2342</v>
      </c>
      <c r="C144" s="265">
        <v>45622.0</v>
      </c>
      <c r="D144" s="298"/>
      <c r="E144" s="222">
        <v>45343.0</v>
      </c>
      <c r="F144" s="132" t="s">
        <v>736</v>
      </c>
      <c r="H144" s="132" t="s">
        <v>1065</v>
      </c>
      <c r="I144" s="132" t="s">
        <v>1065</v>
      </c>
      <c r="J144" s="132" t="s">
        <v>1188</v>
      </c>
      <c r="K144" s="267">
        <v>25.0</v>
      </c>
      <c r="Q144" s="16" t="s">
        <v>2343</v>
      </c>
      <c r="R144" s="298"/>
      <c r="S144" s="3"/>
      <c r="T144" s="3"/>
      <c r="W144" s="3"/>
      <c r="X144" s="3"/>
      <c r="Y144" s="3"/>
      <c r="Z144" s="3"/>
      <c r="AA144" s="3"/>
      <c r="AC144" s="298"/>
      <c r="AI144" s="298"/>
    </row>
    <row r="145" ht="30.75" customHeight="1">
      <c r="A145" s="132" t="s">
        <v>307</v>
      </c>
      <c r="B145" s="279" t="s">
        <v>2344</v>
      </c>
      <c r="C145" s="265">
        <v>45622.0</v>
      </c>
      <c r="D145" s="298"/>
      <c r="E145" s="222">
        <v>45345.0</v>
      </c>
      <c r="F145" s="132" t="s">
        <v>736</v>
      </c>
      <c r="G145" s="132" t="s">
        <v>2345</v>
      </c>
      <c r="H145" s="132" t="s">
        <v>1065</v>
      </c>
      <c r="I145" s="132" t="s">
        <v>1065</v>
      </c>
      <c r="J145" s="132" t="s">
        <v>1188</v>
      </c>
      <c r="K145" s="267">
        <v>25.0</v>
      </c>
      <c r="L145" s="267">
        <v>25.0</v>
      </c>
      <c r="M145" s="267">
        <v>100.0</v>
      </c>
      <c r="N145" s="383">
        <v>50.0</v>
      </c>
      <c r="P145" s="383">
        <v>50.0</v>
      </c>
      <c r="R145" s="298"/>
      <c r="S145" s="267">
        <v>50.0</v>
      </c>
      <c r="T145" s="267">
        <v>50.0</v>
      </c>
      <c r="W145" s="267">
        <v>25.0</v>
      </c>
      <c r="X145" s="267">
        <v>50.0</v>
      </c>
      <c r="Y145" s="267">
        <v>50.0</v>
      </c>
      <c r="Z145" s="267">
        <v>100.0</v>
      </c>
      <c r="AA145" s="3"/>
      <c r="AB145" s="16" t="s">
        <v>1146</v>
      </c>
      <c r="AC145" s="298"/>
      <c r="AI145" s="298"/>
    </row>
    <row r="146" ht="30.75" customHeight="1">
      <c r="A146" s="132" t="s">
        <v>319</v>
      </c>
      <c r="B146" s="279" t="s">
        <v>2346</v>
      </c>
      <c r="C146" s="265">
        <v>45652.0</v>
      </c>
      <c r="D146" s="298"/>
      <c r="E146" s="222">
        <v>45349.0</v>
      </c>
      <c r="F146" s="132" t="s">
        <v>649</v>
      </c>
      <c r="G146" s="132" t="s">
        <v>2347</v>
      </c>
      <c r="H146" s="132" t="s">
        <v>1065</v>
      </c>
      <c r="I146" s="132" t="s">
        <v>1065</v>
      </c>
      <c r="J146" s="132" t="s">
        <v>1067</v>
      </c>
      <c r="K146" s="267">
        <v>25.0</v>
      </c>
      <c r="L146" s="267">
        <v>25.0</v>
      </c>
      <c r="M146" s="267">
        <v>100.0</v>
      </c>
      <c r="N146" s="267">
        <v>50.0</v>
      </c>
      <c r="O146" s="267" t="s">
        <v>1109</v>
      </c>
      <c r="P146" s="267">
        <v>25.0</v>
      </c>
      <c r="Q146" s="16" t="s">
        <v>2348</v>
      </c>
      <c r="R146" s="298"/>
      <c r="S146" s="3"/>
      <c r="T146" s="3"/>
      <c r="W146" s="3"/>
      <c r="X146" s="3"/>
      <c r="Y146" s="3"/>
      <c r="Z146" s="3"/>
      <c r="AA146" s="3"/>
      <c r="AC146" s="298"/>
      <c r="AI146" s="298"/>
    </row>
    <row r="147" ht="30.75" customHeight="1">
      <c r="A147" s="132" t="s">
        <v>336</v>
      </c>
      <c r="B147" s="279" t="s">
        <v>2349</v>
      </c>
      <c r="C147" s="265">
        <v>45652.0</v>
      </c>
      <c r="D147" s="298"/>
      <c r="E147" s="222">
        <v>45349.0</v>
      </c>
      <c r="F147" s="132" t="s">
        <v>736</v>
      </c>
      <c r="G147" s="132"/>
      <c r="H147" s="132" t="s">
        <v>1065</v>
      </c>
      <c r="I147" s="132" t="s">
        <v>1065</v>
      </c>
      <c r="J147" s="132" t="s">
        <v>1067</v>
      </c>
      <c r="K147" s="267">
        <v>25.0</v>
      </c>
      <c r="L147" s="267">
        <v>25.0</v>
      </c>
      <c r="M147" s="267">
        <v>100.0</v>
      </c>
      <c r="N147" s="267">
        <v>50.0</v>
      </c>
      <c r="O147" s="267" t="s">
        <v>1109</v>
      </c>
      <c r="P147" s="267">
        <v>25.0</v>
      </c>
      <c r="Q147" s="16" t="s">
        <v>2350</v>
      </c>
      <c r="R147" s="298"/>
      <c r="S147" s="383">
        <v>50.0</v>
      </c>
      <c r="T147" s="383">
        <v>50.0</v>
      </c>
      <c r="U147" s="16" t="s">
        <v>2351</v>
      </c>
      <c r="W147" s="267">
        <v>25.0</v>
      </c>
      <c r="X147" s="267">
        <v>50.0</v>
      </c>
      <c r="Y147" s="267">
        <v>50.0</v>
      </c>
      <c r="Z147" s="267">
        <v>100.0</v>
      </c>
      <c r="AA147" s="132" t="s">
        <v>2352</v>
      </c>
      <c r="AC147" s="298"/>
      <c r="AI147" s="298"/>
    </row>
    <row r="148" ht="30.75" customHeight="1">
      <c r="A148" s="132" t="s">
        <v>304</v>
      </c>
      <c r="B148" s="279" t="s">
        <v>2353</v>
      </c>
      <c r="C148" s="265">
        <v>45652.0</v>
      </c>
      <c r="D148" s="303"/>
      <c r="E148" s="222">
        <v>45352.0</v>
      </c>
      <c r="F148" s="132" t="s">
        <v>625</v>
      </c>
      <c r="G148" s="132" t="s">
        <v>2354</v>
      </c>
      <c r="H148" s="132" t="s">
        <v>1065</v>
      </c>
      <c r="I148" s="132" t="s">
        <v>1065</v>
      </c>
      <c r="J148" s="132" t="s">
        <v>1067</v>
      </c>
      <c r="K148" s="267">
        <v>25.0</v>
      </c>
      <c r="L148" s="383">
        <v>25.0</v>
      </c>
      <c r="M148" s="321">
        <v>100.0</v>
      </c>
      <c r="N148" s="383">
        <v>50.0</v>
      </c>
      <c r="O148" s="267">
        <v>100.0</v>
      </c>
      <c r="P148" s="383">
        <v>50.0</v>
      </c>
      <c r="Q148" s="132" t="s">
        <v>2355</v>
      </c>
      <c r="R148" s="303"/>
      <c r="S148" s="383">
        <v>50.0</v>
      </c>
      <c r="T148" s="383">
        <v>50.0</v>
      </c>
      <c r="U148" s="132" t="s">
        <v>2356</v>
      </c>
      <c r="V148" s="3"/>
      <c r="W148" s="267">
        <v>25.0</v>
      </c>
      <c r="X148" s="267">
        <v>50.0</v>
      </c>
      <c r="Y148" s="267">
        <v>50.0</v>
      </c>
      <c r="Z148" s="267">
        <v>100.0</v>
      </c>
      <c r="AA148" s="132" t="s">
        <v>2357</v>
      </c>
      <c r="AB148" s="3"/>
      <c r="AC148" s="303"/>
      <c r="AD148" s="3"/>
      <c r="AE148" s="3"/>
      <c r="AF148" s="3"/>
      <c r="AG148" s="3"/>
      <c r="AH148" s="3"/>
      <c r="AI148" s="303"/>
      <c r="AJ148" s="3"/>
      <c r="AK148" s="3"/>
      <c r="AL148" s="3"/>
      <c r="AM148" s="3"/>
      <c r="AN148" s="3"/>
      <c r="AO148" s="3"/>
    </row>
    <row r="149" ht="30.75" customHeight="1">
      <c r="A149" s="132" t="s">
        <v>286</v>
      </c>
      <c r="B149" s="279" t="s">
        <v>2358</v>
      </c>
      <c r="C149" s="265">
        <v>45622.0</v>
      </c>
      <c r="D149" s="298"/>
      <c r="E149" s="224">
        <v>45362.0</v>
      </c>
      <c r="F149" s="132" t="s">
        <v>736</v>
      </c>
      <c r="G149" s="132" t="s">
        <v>2359</v>
      </c>
      <c r="H149" s="132" t="s">
        <v>1065</v>
      </c>
      <c r="I149" s="132" t="s">
        <v>1065</v>
      </c>
      <c r="J149" s="132" t="s">
        <v>1067</v>
      </c>
      <c r="K149" s="267">
        <v>25.0</v>
      </c>
      <c r="L149" s="383">
        <v>25.0</v>
      </c>
      <c r="M149" s="267">
        <v>100.0</v>
      </c>
      <c r="N149" s="383">
        <v>50.0</v>
      </c>
      <c r="O149" s="267" t="s">
        <v>1109</v>
      </c>
      <c r="P149" s="383">
        <v>50.0</v>
      </c>
      <c r="Q149" s="132" t="s">
        <v>2360</v>
      </c>
      <c r="R149" s="298"/>
      <c r="S149" s="3"/>
      <c r="T149" s="3"/>
      <c r="W149" s="3"/>
      <c r="X149" s="3"/>
      <c r="Y149" s="3"/>
      <c r="Z149" s="3"/>
      <c r="AA149" s="3"/>
      <c r="AC149" s="298"/>
      <c r="AI149" s="298"/>
    </row>
    <row r="150" ht="30.75" customHeight="1">
      <c r="A150" s="132" t="s">
        <v>597</v>
      </c>
      <c r="B150" s="279" t="s">
        <v>2361</v>
      </c>
      <c r="C150" s="265">
        <v>45622.0</v>
      </c>
      <c r="D150" s="298"/>
      <c r="E150" s="224">
        <v>45364.0</v>
      </c>
      <c r="F150" s="132" t="s">
        <v>736</v>
      </c>
      <c r="G150" s="132" t="s">
        <v>2362</v>
      </c>
      <c r="H150" s="132" t="s">
        <v>1065</v>
      </c>
      <c r="I150" s="132" t="s">
        <v>1065</v>
      </c>
      <c r="J150" s="132" t="s">
        <v>1067</v>
      </c>
      <c r="K150" s="267">
        <v>25.0</v>
      </c>
      <c r="L150" s="267">
        <v>25.0</v>
      </c>
      <c r="N150" s="383">
        <v>50.0</v>
      </c>
      <c r="P150" s="267">
        <v>25.0</v>
      </c>
      <c r="R150" s="298"/>
      <c r="S150" s="3"/>
      <c r="T150" s="3"/>
      <c r="W150" s="3"/>
      <c r="X150" s="3"/>
      <c r="Y150" s="3"/>
      <c r="Z150" s="3"/>
      <c r="AA150" s="3"/>
      <c r="AC150" s="298"/>
      <c r="AI150" s="298"/>
    </row>
    <row r="151" ht="30.75" customHeight="1">
      <c r="A151" s="132" t="s">
        <v>2363</v>
      </c>
      <c r="B151" s="279" t="s">
        <v>2364</v>
      </c>
      <c r="C151" s="265">
        <v>45622.0</v>
      </c>
      <c r="D151" s="303"/>
      <c r="E151" s="224">
        <v>45365.0</v>
      </c>
      <c r="F151" s="132" t="s">
        <v>736</v>
      </c>
      <c r="G151" s="132" t="s">
        <v>2365</v>
      </c>
      <c r="J151" s="132" t="s">
        <v>1067</v>
      </c>
      <c r="K151" s="267">
        <v>25.0</v>
      </c>
      <c r="L151" s="3"/>
      <c r="M151" s="3"/>
      <c r="N151" s="3"/>
      <c r="O151" s="3"/>
      <c r="P151" s="3"/>
      <c r="Q151" s="132" t="s">
        <v>2366</v>
      </c>
      <c r="R151" s="303"/>
      <c r="S151" s="3"/>
      <c r="T151" s="3"/>
      <c r="U151" s="3"/>
      <c r="V151" s="3"/>
      <c r="W151" s="3"/>
      <c r="X151" s="3"/>
      <c r="Y151" s="3"/>
      <c r="Z151" s="3"/>
      <c r="AA151" s="3"/>
      <c r="AB151" s="3"/>
      <c r="AC151" s="303"/>
      <c r="AD151" s="3"/>
      <c r="AE151" s="3"/>
      <c r="AF151" s="3"/>
      <c r="AG151" s="3"/>
      <c r="AH151" s="3"/>
      <c r="AI151" s="303"/>
      <c r="AJ151" s="3"/>
      <c r="AK151" s="3"/>
      <c r="AL151" s="3"/>
      <c r="AM151" s="3"/>
      <c r="AN151" s="3"/>
      <c r="AO151" s="3"/>
    </row>
    <row r="152" ht="30.75" customHeight="1">
      <c r="A152" s="9" t="s">
        <v>296</v>
      </c>
      <c r="B152" s="512" t="s">
        <v>2368</v>
      </c>
      <c r="C152" s="513">
        <v>45622.0</v>
      </c>
      <c r="D152" s="298"/>
      <c r="E152" s="484">
        <v>45370.0</v>
      </c>
      <c r="F152" s="39" t="s">
        <v>736</v>
      </c>
      <c r="G152" s="16" t="s">
        <v>2369</v>
      </c>
      <c r="H152" s="132" t="s">
        <v>1065</v>
      </c>
      <c r="I152" s="132" t="s">
        <v>1065</v>
      </c>
      <c r="J152" s="132" t="s">
        <v>1067</v>
      </c>
      <c r="K152" s="267">
        <v>25.0</v>
      </c>
      <c r="L152" s="267">
        <v>25.0</v>
      </c>
      <c r="M152" s="267">
        <v>100.0</v>
      </c>
      <c r="N152" s="267">
        <v>50.0</v>
      </c>
      <c r="O152" s="267" t="s">
        <v>1769</v>
      </c>
      <c r="P152" s="267">
        <v>25.0</v>
      </c>
      <c r="R152" s="298"/>
      <c r="S152" s="267">
        <v>50.0</v>
      </c>
      <c r="T152" s="267">
        <v>50.0</v>
      </c>
      <c r="W152" s="267">
        <v>25.0</v>
      </c>
      <c r="X152" s="267">
        <v>50.0</v>
      </c>
      <c r="Y152" s="267">
        <v>50.0</v>
      </c>
      <c r="Z152" s="267">
        <v>100.0</v>
      </c>
      <c r="AA152" s="3"/>
      <c r="AB152" s="16" t="s">
        <v>1146</v>
      </c>
      <c r="AC152" s="298"/>
      <c r="AI152" s="298"/>
    </row>
    <row r="153" ht="30.75" customHeight="1">
      <c r="A153" s="9" t="s">
        <v>315</v>
      </c>
      <c r="B153" s="512" t="s">
        <v>2370</v>
      </c>
      <c r="C153" s="514">
        <v>45622.0</v>
      </c>
      <c r="D153" s="298"/>
      <c r="E153" s="515">
        <v>45372.0</v>
      </c>
      <c r="F153" s="9" t="s">
        <v>649</v>
      </c>
      <c r="G153" s="16" t="s">
        <v>2371</v>
      </c>
      <c r="H153" s="132" t="s">
        <v>1065</v>
      </c>
      <c r="I153" s="132" t="s">
        <v>1065</v>
      </c>
      <c r="J153" s="132" t="s">
        <v>1067</v>
      </c>
      <c r="K153" s="267">
        <v>25.0</v>
      </c>
      <c r="L153" s="267">
        <v>25.0</v>
      </c>
      <c r="M153" s="267">
        <v>100.0</v>
      </c>
      <c r="N153" s="267">
        <v>50.0</v>
      </c>
      <c r="O153" s="267" t="s">
        <v>1769</v>
      </c>
      <c r="P153" s="267">
        <v>25.0</v>
      </c>
      <c r="Q153" s="132" t="s">
        <v>2372</v>
      </c>
      <c r="R153" s="298"/>
      <c r="S153" s="267">
        <v>50.0</v>
      </c>
      <c r="T153" s="267">
        <v>50.0</v>
      </c>
      <c r="U153" s="16" t="s">
        <v>2373</v>
      </c>
      <c r="W153" s="267">
        <v>25.0</v>
      </c>
      <c r="X153" s="267">
        <v>50.0</v>
      </c>
      <c r="Y153" s="267">
        <v>50.0</v>
      </c>
      <c r="Z153" s="267">
        <v>100.0</v>
      </c>
      <c r="AA153" s="132" t="s">
        <v>2375</v>
      </c>
      <c r="AC153" s="298"/>
      <c r="AI153" s="298"/>
    </row>
    <row r="154" ht="30.75" customHeight="1">
      <c r="A154" s="132" t="s">
        <v>317</v>
      </c>
      <c r="B154" s="264" t="s">
        <v>2377</v>
      </c>
      <c r="C154" s="265">
        <v>45622.0</v>
      </c>
      <c r="D154" s="298"/>
      <c r="E154" s="224">
        <v>45378.0</v>
      </c>
      <c r="F154" s="132" t="s">
        <v>736</v>
      </c>
      <c r="G154" s="132" t="s">
        <v>2379</v>
      </c>
      <c r="H154" s="132" t="s">
        <v>1065</v>
      </c>
      <c r="I154" s="132" t="s">
        <v>1065</v>
      </c>
      <c r="J154" s="132" t="s">
        <v>1067</v>
      </c>
      <c r="K154" s="267">
        <v>25.0</v>
      </c>
      <c r="L154" s="267">
        <v>25.0</v>
      </c>
      <c r="M154" s="267">
        <v>100.0</v>
      </c>
      <c r="N154" s="267">
        <v>50.0</v>
      </c>
      <c r="O154" s="267" t="s">
        <v>1769</v>
      </c>
      <c r="P154" s="383">
        <v>50.0</v>
      </c>
      <c r="Q154" s="16" t="s">
        <v>2381</v>
      </c>
      <c r="R154" s="298"/>
      <c r="S154" s="267">
        <v>50.0</v>
      </c>
      <c r="T154" s="267">
        <v>50.0</v>
      </c>
      <c r="U154" s="132" t="s">
        <v>2382</v>
      </c>
      <c r="W154" s="267">
        <v>25.0</v>
      </c>
      <c r="X154" s="267">
        <v>50.0</v>
      </c>
      <c r="Y154" s="267">
        <v>50.0</v>
      </c>
      <c r="Z154" s="267" t="s">
        <v>2383</v>
      </c>
      <c r="AA154" s="132" t="s">
        <v>2384</v>
      </c>
      <c r="AC154" s="298"/>
      <c r="AI154" s="298"/>
    </row>
    <row r="155" ht="30.75" customHeight="1">
      <c r="A155" s="132" t="s">
        <v>368</v>
      </c>
      <c r="B155" s="279" t="s">
        <v>2385</v>
      </c>
      <c r="C155" s="265">
        <v>45622.0</v>
      </c>
      <c r="D155" s="303"/>
      <c r="E155" s="224">
        <v>45380.0</v>
      </c>
      <c r="F155" s="132" t="s">
        <v>625</v>
      </c>
      <c r="G155" s="132" t="s">
        <v>2379</v>
      </c>
      <c r="H155" s="132" t="s">
        <v>1065</v>
      </c>
      <c r="I155" s="132" t="s">
        <v>1065</v>
      </c>
      <c r="J155" s="132" t="s">
        <v>1067</v>
      </c>
      <c r="K155" s="267">
        <v>25.0</v>
      </c>
      <c r="L155" s="267">
        <v>25.0</v>
      </c>
      <c r="M155" s="267">
        <v>100.0</v>
      </c>
      <c r="N155" s="267">
        <v>50.0</v>
      </c>
      <c r="O155" s="267" t="s">
        <v>1769</v>
      </c>
      <c r="P155" s="267">
        <v>50.0</v>
      </c>
      <c r="Q155" s="16" t="s">
        <v>2386</v>
      </c>
      <c r="R155" s="303"/>
      <c r="S155" s="267">
        <v>50.0</v>
      </c>
      <c r="T155" s="267">
        <v>50.0</v>
      </c>
      <c r="U155" s="132" t="s">
        <v>2387</v>
      </c>
      <c r="V155" s="3"/>
      <c r="W155" s="267">
        <v>25.0</v>
      </c>
      <c r="X155" s="267">
        <v>50.0</v>
      </c>
      <c r="Y155" s="267">
        <v>50.0</v>
      </c>
      <c r="Z155" s="267">
        <v>100.0</v>
      </c>
      <c r="AA155" s="132" t="s">
        <v>2388</v>
      </c>
      <c r="AB155" s="3"/>
      <c r="AC155" s="303"/>
      <c r="AD155" s="3"/>
      <c r="AE155" s="3"/>
      <c r="AF155" s="3"/>
      <c r="AG155" s="3"/>
      <c r="AH155" s="3"/>
      <c r="AI155" s="303"/>
      <c r="AJ155" s="3"/>
      <c r="AK155" s="3"/>
      <c r="AL155" s="3"/>
      <c r="AM155" s="3"/>
      <c r="AN155" s="3"/>
      <c r="AO155" s="3"/>
    </row>
    <row r="156" ht="30.75" customHeight="1">
      <c r="A156" s="132" t="s">
        <v>394</v>
      </c>
      <c r="B156" s="279" t="s">
        <v>2389</v>
      </c>
      <c r="C156" s="265">
        <v>45774.0</v>
      </c>
      <c r="D156" s="303"/>
      <c r="E156" s="224">
        <v>45383.0</v>
      </c>
      <c r="F156" s="132" t="s">
        <v>625</v>
      </c>
      <c r="G156" s="132" t="s">
        <v>2390</v>
      </c>
      <c r="H156" s="132" t="s">
        <v>1065</v>
      </c>
      <c r="I156" s="132" t="s">
        <v>1065</v>
      </c>
      <c r="J156" s="132" t="s">
        <v>1067</v>
      </c>
      <c r="K156" s="267">
        <v>25.0</v>
      </c>
      <c r="L156" s="267">
        <v>25.0</v>
      </c>
      <c r="M156" s="267">
        <v>100.0</v>
      </c>
      <c r="N156" s="267">
        <v>50.0</v>
      </c>
      <c r="O156" s="267" t="s">
        <v>1769</v>
      </c>
      <c r="P156" s="267">
        <v>25.0</v>
      </c>
      <c r="Q156" s="16" t="s">
        <v>2391</v>
      </c>
      <c r="R156" s="303"/>
      <c r="S156" s="267">
        <v>50.0</v>
      </c>
      <c r="T156" s="267">
        <v>50.0</v>
      </c>
      <c r="U156" s="132" t="s">
        <v>2392</v>
      </c>
      <c r="V156" s="3"/>
      <c r="W156" s="267">
        <v>25.0</v>
      </c>
      <c r="X156" s="267">
        <v>50.0</v>
      </c>
      <c r="Y156" s="267">
        <v>50.0</v>
      </c>
      <c r="Z156" s="267">
        <v>100.0</v>
      </c>
      <c r="AA156" s="132" t="s">
        <v>2393</v>
      </c>
      <c r="AB156" s="3"/>
      <c r="AC156" s="303"/>
      <c r="AD156" s="3"/>
      <c r="AE156" s="3"/>
      <c r="AF156" s="3"/>
      <c r="AG156" s="3"/>
      <c r="AH156" s="3"/>
      <c r="AI156" s="303"/>
      <c r="AJ156" s="3"/>
      <c r="AK156" s="3"/>
      <c r="AL156" s="3"/>
      <c r="AM156" s="3"/>
      <c r="AN156" s="3"/>
      <c r="AO156" s="3"/>
    </row>
    <row r="157" ht="30.75" customHeight="1">
      <c r="A157" s="132" t="s">
        <v>1787</v>
      </c>
      <c r="B157" s="279" t="s">
        <v>2394</v>
      </c>
      <c r="C157" s="265">
        <v>45622.0</v>
      </c>
      <c r="D157" s="298"/>
      <c r="E157" s="224">
        <v>45383.0</v>
      </c>
      <c r="F157" s="132" t="s">
        <v>28</v>
      </c>
      <c r="G157" s="132" t="s">
        <v>2379</v>
      </c>
      <c r="H157" s="132" t="s">
        <v>1065</v>
      </c>
      <c r="I157" s="132" t="s">
        <v>1065</v>
      </c>
      <c r="J157" s="132" t="s">
        <v>1067</v>
      </c>
      <c r="K157" s="267">
        <v>25.0</v>
      </c>
      <c r="L157" s="267">
        <v>25.0</v>
      </c>
      <c r="N157" s="267">
        <v>50.0</v>
      </c>
      <c r="P157" s="267">
        <v>50.0</v>
      </c>
      <c r="Q157" s="16" t="s">
        <v>2395</v>
      </c>
      <c r="R157" s="298"/>
      <c r="S157" s="3"/>
      <c r="T157" s="3"/>
      <c r="W157" s="3"/>
      <c r="X157" s="3"/>
      <c r="Y157" s="3"/>
      <c r="Z157" s="3"/>
      <c r="AA157" s="523"/>
      <c r="AC157" s="298"/>
      <c r="AI157" s="298"/>
    </row>
    <row r="158" ht="30.75" customHeight="1">
      <c r="A158" s="132" t="s">
        <v>340</v>
      </c>
      <c r="B158" s="279" t="s">
        <v>2396</v>
      </c>
      <c r="C158" s="265">
        <v>45622.0</v>
      </c>
      <c r="D158" s="298"/>
      <c r="E158" s="222">
        <v>45384.0</v>
      </c>
      <c r="F158" s="132" t="s">
        <v>1370</v>
      </c>
      <c r="G158" s="16" t="s">
        <v>2397</v>
      </c>
      <c r="H158" s="132" t="s">
        <v>1065</v>
      </c>
      <c r="I158" s="132" t="s">
        <v>1065</v>
      </c>
      <c r="J158" s="132" t="s">
        <v>1067</v>
      </c>
      <c r="K158" s="267">
        <v>25.0</v>
      </c>
      <c r="L158" s="267">
        <v>25.0</v>
      </c>
      <c r="M158" s="267">
        <v>100.0</v>
      </c>
      <c r="N158" s="383">
        <v>50.0</v>
      </c>
      <c r="O158" s="267" t="s">
        <v>1109</v>
      </c>
      <c r="P158" s="267">
        <v>25.0</v>
      </c>
      <c r="R158" s="298"/>
      <c r="S158" s="267">
        <v>50.0</v>
      </c>
      <c r="T158" s="267">
        <v>50.0</v>
      </c>
      <c r="W158" s="267">
        <v>25.0</v>
      </c>
      <c r="X158" s="267">
        <v>50.0</v>
      </c>
      <c r="Y158" s="267">
        <v>50.0</v>
      </c>
      <c r="Z158" s="267">
        <v>100.0</v>
      </c>
      <c r="AA158" s="132" t="s">
        <v>1146</v>
      </c>
      <c r="AC158" s="298"/>
      <c r="AI158" s="298"/>
    </row>
    <row r="159" ht="30.75" customHeight="1">
      <c r="A159" s="132" t="s">
        <v>301</v>
      </c>
      <c r="B159" s="264" t="s">
        <v>2400</v>
      </c>
      <c r="C159" s="265">
        <v>45622.0</v>
      </c>
      <c r="D159" s="298"/>
      <c r="E159" s="224">
        <v>45385.0</v>
      </c>
      <c r="F159" s="132" t="s">
        <v>736</v>
      </c>
      <c r="G159" s="16" t="s">
        <v>2401</v>
      </c>
      <c r="H159" s="132" t="s">
        <v>1065</v>
      </c>
      <c r="I159" s="132" t="s">
        <v>1065</v>
      </c>
      <c r="J159" s="132" t="s">
        <v>1067</v>
      </c>
      <c r="K159" s="267">
        <v>25.0</v>
      </c>
      <c r="L159" s="267">
        <v>25.0</v>
      </c>
      <c r="M159" s="267">
        <v>100.0</v>
      </c>
      <c r="N159" s="383">
        <v>50.0</v>
      </c>
      <c r="O159" s="267">
        <v>100.0</v>
      </c>
      <c r="P159" s="267">
        <v>25.0</v>
      </c>
      <c r="R159" s="298"/>
      <c r="S159" s="267">
        <v>50.0</v>
      </c>
      <c r="T159" s="267">
        <v>50.0</v>
      </c>
      <c r="U159" s="16" t="s">
        <v>2402</v>
      </c>
      <c r="W159" s="267">
        <v>25.0</v>
      </c>
      <c r="X159" s="267">
        <v>50.0</v>
      </c>
      <c r="Y159" s="267">
        <v>50.0</v>
      </c>
      <c r="Z159" s="267">
        <v>100.0</v>
      </c>
      <c r="AA159" s="132" t="s">
        <v>1146</v>
      </c>
      <c r="AC159" s="298"/>
      <c r="AI159" s="298"/>
    </row>
    <row r="160" ht="30.75" customHeight="1">
      <c r="A160" s="132" t="s">
        <v>322</v>
      </c>
      <c r="B160" s="279" t="s">
        <v>2403</v>
      </c>
      <c r="C160" s="265">
        <v>45622.0</v>
      </c>
      <c r="D160" s="298"/>
      <c r="E160" s="224">
        <v>45386.0</v>
      </c>
      <c r="F160" s="132" t="s">
        <v>736</v>
      </c>
      <c r="G160" s="132" t="s">
        <v>2404</v>
      </c>
      <c r="H160" s="132" t="s">
        <v>1065</v>
      </c>
      <c r="I160" s="132" t="s">
        <v>1065</v>
      </c>
      <c r="J160" s="132" t="s">
        <v>1067</v>
      </c>
      <c r="K160" s="267">
        <v>25.0</v>
      </c>
      <c r="L160" s="267">
        <v>25.0</v>
      </c>
      <c r="M160" s="267">
        <v>100.0</v>
      </c>
      <c r="N160" s="383">
        <v>50.0</v>
      </c>
      <c r="O160" s="267">
        <v>100.0</v>
      </c>
      <c r="P160" s="383">
        <v>50.0</v>
      </c>
      <c r="R160" s="298"/>
      <c r="S160" s="267">
        <v>50.0</v>
      </c>
      <c r="T160" s="267">
        <v>50.0</v>
      </c>
      <c r="W160" s="267">
        <v>25.0</v>
      </c>
      <c r="X160" s="267">
        <v>50.0</v>
      </c>
      <c r="Y160" s="267">
        <v>50.0</v>
      </c>
      <c r="Z160" s="267">
        <v>100.0</v>
      </c>
      <c r="AA160" s="132" t="s">
        <v>1146</v>
      </c>
      <c r="AC160" s="298"/>
      <c r="AI160" s="298"/>
    </row>
    <row r="161" ht="30.75" customHeight="1">
      <c r="A161" s="132" t="s">
        <v>599</v>
      </c>
      <c r="B161" s="279" t="s">
        <v>2405</v>
      </c>
      <c r="C161" s="265">
        <v>45622.0</v>
      </c>
      <c r="D161" s="298"/>
      <c r="E161" s="222">
        <v>45390.0</v>
      </c>
      <c r="F161" s="132" t="s">
        <v>649</v>
      </c>
      <c r="G161" s="132" t="s">
        <v>2406</v>
      </c>
      <c r="H161" s="132" t="s">
        <v>1065</v>
      </c>
      <c r="I161" s="132" t="s">
        <v>1065</v>
      </c>
      <c r="J161" s="132" t="s">
        <v>1067</v>
      </c>
      <c r="K161" s="267">
        <v>25.0</v>
      </c>
      <c r="L161" s="267">
        <v>25.0</v>
      </c>
      <c r="N161" s="383">
        <v>50.0</v>
      </c>
      <c r="O161" s="267" t="s">
        <v>1769</v>
      </c>
      <c r="P161" s="267">
        <v>25.0</v>
      </c>
      <c r="Q161" s="16" t="s">
        <v>2407</v>
      </c>
      <c r="R161" s="298"/>
      <c r="S161" s="3"/>
      <c r="T161" s="3"/>
      <c r="W161" s="3"/>
      <c r="X161" s="3"/>
      <c r="Y161" s="3"/>
      <c r="Z161" s="3"/>
      <c r="AA161" s="3"/>
      <c r="AC161" s="298"/>
      <c r="AI161" s="298"/>
    </row>
    <row r="162" ht="30.75" customHeight="1">
      <c r="A162" s="132" t="s">
        <v>375</v>
      </c>
      <c r="B162" s="279" t="s">
        <v>2408</v>
      </c>
      <c r="C162" s="132" t="s">
        <v>2409</v>
      </c>
      <c r="D162" s="298"/>
      <c r="E162" s="224">
        <v>45390.0</v>
      </c>
      <c r="F162" s="132" t="s">
        <v>736</v>
      </c>
      <c r="G162" s="132" t="s">
        <v>2410</v>
      </c>
      <c r="H162" s="132" t="s">
        <v>1065</v>
      </c>
      <c r="I162" s="132" t="s">
        <v>1065</v>
      </c>
      <c r="J162" s="132" t="s">
        <v>1067</v>
      </c>
      <c r="K162" s="267">
        <v>25.0</v>
      </c>
      <c r="L162" s="267">
        <v>25.0</v>
      </c>
      <c r="M162" s="267">
        <v>100.0</v>
      </c>
      <c r="N162" s="383">
        <v>50.0</v>
      </c>
      <c r="O162" s="267" t="s">
        <v>1769</v>
      </c>
      <c r="P162" s="267">
        <v>25.0</v>
      </c>
      <c r="Q162" s="16" t="s">
        <v>2412</v>
      </c>
      <c r="R162" s="298"/>
      <c r="S162" s="267">
        <v>50.0</v>
      </c>
      <c r="T162" s="267">
        <v>50.0</v>
      </c>
      <c r="U162" s="16" t="s">
        <v>2413</v>
      </c>
      <c r="W162" s="511" t="s">
        <v>2414</v>
      </c>
      <c r="X162" s="267">
        <v>50.0</v>
      </c>
      <c r="Y162" s="267">
        <v>50.0</v>
      </c>
      <c r="Z162" s="267">
        <v>100.0</v>
      </c>
      <c r="AA162" s="132" t="s">
        <v>2415</v>
      </c>
      <c r="AB162" s="16" t="s">
        <v>2416</v>
      </c>
      <c r="AC162" s="298"/>
      <c r="AI162" s="298"/>
    </row>
    <row r="163" ht="30.75" customHeight="1">
      <c r="A163" s="132" t="s">
        <v>364</v>
      </c>
      <c r="B163" s="279" t="s">
        <v>2417</v>
      </c>
      <c r="C163" s="265">
        <v>45622.0</v>
      </c>
      <c r="D163" s="298"/>
      <c r="E163" s="224">
        <v>45391.0</v>
      </c>
      <c r="F163" s="132" t="s">
        <v>625</v>
      </c>
      <c r="G163" s="132" t="s">
        <v>2418</v>
      </c>
      <c r="H163" s="132" t="s">
        <v>1065</v>
      </c>
      <c r="I163" s="132" t="s">
        <v>1065</v>
      </c>
      <c r="J163" s="132" t="s">
        <v>1067</v>
      </c>
      <c r="K163" s="267">
        <v>25.0</v>
      </c>
      <c r="L163" s="267">
        <v>25.0</v>
      </c>
      <c r="M163" s="267">
        <v>100.0</v>
      </c>
      <c r="N163" s="383">
        <v>50.0</v>
      </c>
      <c r="O163" s="267" t="s">
        <v>1769</v>
      </c>
      <c r="P163" s="383">
        <v>50.0</v>
      </c>
      <c r="R163" s="298"/>
      <c r="S163" s="267">
        <v>50.0</v>
      </c>
      <c r="T163" s="267">
        <v>50.0</v>
      </c>
      <c r="W163" s="267">
        <v>25.0</v>
      </c>
      <c r="X163" s="267">
        <v>50.0</v>
      </c>
      <c r="Y163" s="267">
        <v>50.0</v>
      </c>
      <c r="Z163" s="267">
        <v>100.0</v>
      </c>
      <c r="AA163" s="132" t="s">
        <v>1146</v>
      </c>
      <c r="AC163" s="298"/>
      <c r="AI163" s="298"/>
    </row>
    <row r="164" ht="31.5" customHeight="1">
      <c r="A164" s="132" t="s">
        <v>2419</v>
      </c>
      <c r="B164" s="47">
        <v>4.4895683E7</v>
      </c>
      <c r="C164" s="513">
        <v>45652.0</v>
      </c>
      <c r="D164" s="303"/>
      <c r="E164" s="224">
        <v>45392.0</v>
      </c>
      <c r="F164" s="132" t="s">
        <v>28</v>
      </c>
      <c r="G164" s="132" t="s">
        <v>2420</v>
      </c>
      <c r="H164" s="132" t="s">
        <v>1065</v>
      </c>
      <c r="I164" s="132" t="s">
        <v>1065</v>
      </c>
      <c r="J164" s="132" t="s">
        <v>1067</v>
      </c>
      <c r="K164" s="267">
        <v>25.0</v>
      </c>
      <c r="L164" s="3"/>
      <c r="M164" s="3"/>
      <c r="N164" s="3"/>
      <c r="O164" s="3"/>
      <c r="P164" s="3"/>
      <c r="Q164" s="16" t="s">
        <v>2422</v>
      </c>
      <c r="R164" s="303"/>
      <c r="S164" s="3"/>
      <c r="T164" s="3"/>
      <c r="U164" s="3"/>
      <c r="V164" s="3"/>
      <c r="W164" s="3"/>
      <c r="X164" s="3"/>
      <c r="Y164" s="3"/>
      <c r="Z164" s="3"/>
      <c r="AA164" s="3"/>
      <c r="AB164" s="3"/>
      <c r="AC164" s="303"/>
      <c r="AD164" s="3"/>
      <c r="AE164" s="3"/>
      <c r="AF164" s="3"/>
      <c r="AG164" s="3"/>
      <c r="AH164" s="3"/>
      <c r="AI164" s="303"/>
      <c r="AJ164" s="3"/>
      <c r="AK164" s="3"/>
      <c r="AL164" s="3"/>
      <c r="AM164" s="3"/>
      <c r="AN164" s="3"/>
      <c r="AO164" s="3"/>
    </row>
    <row r="165" ht="30.75" customHeight="1">
      <c r="A165" s="9" t="s">
        <v>335</v>
      </c>
      <c r="B165" s="526" t="s">
        <v>2423</v>
      </c>
      <c r="C165" s="513">
        <v>45622.0</v>
      </c>
      <c r="D165" s="303"/>
      <c r="E165" s="484">
        <v>45392.0</v>
      </c>
      <c r="F165" s="9" t="s">
        <v>736</v>
      </c>
      <c r="G165" s="132" t="s">
        <v>2424</v>
      </c>
      <c r="H165" s="132" t="s">
        <v>1065</v>
      </c>
      <c r="I165" s="132" t="s">
        <v>1065</v>
      </c>
      <c r="J165" s="132" t="s">
        <v>1067</v>
      </c>
      <c r="K165" s="267">
        <v>25.0</v>
      </c>
      <c r="L165" s="267">
        <v>25.0</v>
      </c>
      <c r="M165" s="267">
        <v>100.0</v>
      </c>
      <c r="N165" s="383">
        <v>50.0</v>
      </c>
      <c r="O165" s="267" t="s">
        <v>1109</v>
      </c>
      <c r="P165" s="383">
        <v>50.0</v>
      </c>
      <c r="Q165" s="132" t="s">
        <v>2425</v>
      </c>
      <c r="R165" s="303"/>
      <c r="S165" s="383">
        <v>50.0</v>
      </c>
      <c r="T165" s="383">
        <v>50.0</v>
      </c>
      <c r="U165" s="132" t="s">
        <v>2427</v>
      </c>
      <c r="V165" s="3"/>
      <c r="W165" s="267">
        <v>25.0</v>
      </c>
      <c r="X165" s="267">
        <v>50.0</v>
      </c>
      <c r="Y165" s="267">
        <v>50.0</v>
      </c>
      <c r="Z165" s="267">
        <v>100.0</v>
      </c>
      <c r="AA165" s="132" t="s">
        <v>2428</v>
      </c>
      <c r="AB165" s="3"/>
      <c r="AC165" s="303"/>
      <c r="AD165" s="3"/>
      <c r="AE165" s="3"/>
      <c r="AF165" s="3"/>
      <c r="AG165" s="3"/>
      <c r="AH165" s="3"/>
      <c r="AI165" s="303"/>
      <c r="AJ165" s="3"/>
      <c r="AK165" s="3"/>
      <c r="AL165" s="3"/>
      <c r="AM165" s="3"/>
      <c r="AN165" s="3"/>
      <c r="AO165" s="3"/>
    </row>
    <row r="166" ht="30.75" customHeight="1">
      <c r="A166" s="132" t="s">
        <v>358</v>
      </c>
      <c r="B166" s="279" t="s">
        <v>2429</v>
      </c>
      <c r="C166" s="265">
        <v>45622.0</v>
      </c>
      <c r="D166" s="298"/>
      <c r="E166" s="224">
        <v>45391.0</v>
      </c>
      <c r="F166" s="132" t="s">
        <v>736</v>
      </c>
      <c r="G166" s="132" t="s">
        <v>2430</v>
      </c>
      <c r="H166" s="132" t="s">
        <v>1065</v>
      </c>
      <c r="I166" s="132" t="s">
        <v>1065</v>
      </c>
      <c r="J166" s="132" t="s">
        <v>1067</v>
      </c>
      <c r="K166" s="267">
        <v>25.0</v>
      </c>
      <c r="L166" s="267">
        <v>25.0</v>
      </c>
      <c r="M166" s="267">
        <v>100.0</v>
      </c>
      <c r="N166" s="267">
        <v>50.0</v>
      </c>
      <c r="O166" s="267">
        <v>100.0</v>
      </c>
      <c r="P166" s="267">
        <v>50.0</v>
      </c>
      <c r="R166" s="298"/>
      <c r="S166" s="383">
        <v>50.0</v>
      </c>
      <c r="T166" s="383">
        <v>50.0</v>
      </c>
      <c r="W166" s="267">
        <v>25.0</v>
      </c>
      <c r="X166" s="267">
        <v>50.0</v>
      </c>
      <c r="Y166" s="267">
        <v>50.0</v>
      </c>
      <c r="Z166" s="267" t="s">
        <v>2431</v>
      </c>
      <c r="AA166" s="132" t="s">
        <v>1146</v>
      </c>
      <c r="AC166" s="298"/>
      <c r="AI166" s="298"/>
    </row>
    <row r="167" ht="30.75" customHeight="1">
      <c r="A167" s="132" t="s">
        <v>382</v>
      </c>
      <c r="B167" s="279" t="s">
        <v>2432</v>
      </c>
      <c r="C167" s="265">
        <v>45774.0</v>
      </c>
      <c r="D167" s="298"/>
      <c r="E167" s="222">
        <v>45394.0</v>
      </c>
      <c r="F167" s="132" t="s">
        <v>28</v>
      </c>
      <c r="G167" s="132" t="s">
        <v>2433</v>
      </c>
      <c r="H167" s="132" t="s">
        <v>1065</v>
      </c>
      <c r="I167" s="132" t="s">
        <v>1065</v>
      </c>
      <c r="J167" s="132" t="s">
        <v>1067</v>
      </c>
      <c r="K167" s="267">
        <v>25.0</v>
      </c>
      <c r="L167" s="267">
        <v>25.0</v>
      </c>
      <c r="M167" s="267">
        <v>100.0</v>
      </c>
      <c r="N167" s="267">
        <v>50.0</v>
      </c>
      <c r="O167" s="267" t="s">
        <v>1109</v>
      </c>
      <c r="P167" s="267">
        <v>25.0</v>
      </c>
      <c r="R167" s="298"/>
      <c r="S167" s="383">
        <v>50.0</v>
      </c>
      <c r="T167" s="383">
        <v>50.0</v>
      </c>
      <c r="W167" s="267">
        <v>25.0</v>
      </c>
      <c r="X167" s="267">
        <v>50.0</v>
      </c>
      <c r="Y167" s="267">
        <v>50.0</v>
      </c>
      <c r="Z167" s="267">
        <v>100.0</v>
      </c>
      <c r="AA167" s="132" t="s">
        <v>1146</v>
      </c>
      <c r="AC167" s="298"/>
      <c r="AI167" s="298"/>
    </row>
    <row r="168" ht="30.75" customHeight="1">
      <c r="A168" s="132" t="s">
        <v>378</v>
      </c>
      <c r="B168" s="47">
        <v>9.4858125E7</v>
      </c>
      <c r="C168" s="265">
        <v>45622.0</v>
      </c>
      <c r="D168" s="298"/>
      <c r="E168" s="222">
        <v>45394.0</v>
      </c>
      <c r="F168" s="132" t="s">
        <v>649</v>
      </c>
      <c r="G168" s="132" t="s">
        <v>2434</v>
      </c>
      <c r="H168" s="132" t="s">
        <v>1065</v>
      </c>
      <c r="I168" s="132" t="s">
        <v>1065</v>
      </c>
      <c r="J168" s="132" t="s">
        <v>1067</v>
      </c>
      <c r="K168" s="267">
        <v>25.0</v>
      </c>
      <c r="L168" s="267">
        <v>25.0</v>
      </c>
      <c r="M168" s="267">
        <v>100.0</v>
      </c>
      <c r="N168" s="267">
        <v>50.0</v>
      </c>
      <c r="O168" s="267" t="s">
        <v>1109</v>
      </c>
      <c r="P168" s="267">
        <v>25.0</v>
      </c>
      <c r="Q168" s="132" t="s">
        <v>2435</v>
      </c>
      <c r="R168" s="298"/>
      <c r="S168" s="383">
        <v>50.0</v>
      </c>
      <c r="T168" s="383">
        <v>50.0</v>
      </c>
      <c r="U168" s="16" t="s">
        <v>2436</v>
      </c>
      <c r="W168" s="267">
        <v>25.0</v>
      </c>
      <c r="X168" s="267">
        <v>50.0</v>
      </c>
      <c r="Y168" s="267">
        <v>50.0</v>
      </c>
      <c r="Z168" s="132" t="s">
        <v>2437</v>
      </c>
      <c r="AA168" s="132" t="s">
        <v>2439</v>
      </c>
      <c r="AC168" s="298"/>
      <c r="AI168" s="298"/>
    </row>
    <row r="169" ht="30.75" customHeight="1">
      <c r="A169" s="132" t="s">
        <v>341</v>
      </c>
      <c r="B169" s="512" t="s">
        <v>2440</v>
      </c>
      <c r="C169" s="47" t="s">
        <v>2441</v>
      </c>
      <c r="D169" s="303"/>
      <c r="E169" s="222">
        <v>45397.0</v>
      </c>
      <c r="F169" s="132" t="s">
        <v>28</v>
      </c>
      <c r="G169" s="132" t="s">
        <v>2442</v>
      </c>
      <c r="H169" s="132" t="s">
        <v>1065</v>
      </c>
      <c r="I169" s="132" t="s">
        <v>1065</v>
      </c>
      <c r="J169" s="132" t="s">
        <v>1067</v>
      </c>
      <c r="K169" s="267">
        <v>25.0</v>
      </c>
      <c r="L169" s="267">
        <v>25.0</v>
      </c>
      <c r="M169" s="267">
        <v>100.0</v>
      </c>
      <c r="N169" s="267">
        <v>50.0</v>
      </c>
      <c r="O169" s="3"/>
      <c r="P169" s="267">
        <v>50.0</v>
      </c>
      <c r="Q169" s="132" t="s">
        <v>2443</v>
      </c>
      <c r="R169" s="303"/>
      <c r="S169" s="383">
        <v>50.0</v>
      </c>
      <c r="T169" s="383">
        <v>50.0</v>
      </c>
      <c r="U169" s="132" t="s">
        <v>2444</v>
      </c>
      <c r="V169" s="132" t="s">
        <v>2445</v>
      </c>
      <c r="W169" s="267">
        <v>25.0</v>
      </c>
      <c r="X169" s="267">
        <v>50.0</v>
      </c>
      <c r="Y169" s="267">
        <v>50.0</v>
      </c>
      <c r="Z169" s="267">
        <v>100.0</v>
      </c>
      <c r="AA169" s="132" t="s">
        <v>1146</v>
      </c>
      <c r="AB169" s="3"/>
      <c r="AC169" s="303"/>
      <c r="AD169" s="3"/>
      <c r="AE169" s="3"/>
      <c r="AF169" s="3"/>
      <c r="AG169" s="3"/>
      <c r="AH169" s="3"/>
      <c r="AI169" s="303"/>
      <c r="AJ169" s="3"/>
      <c r="AK169" s="3"/>
      <c r="AL169" s="3"/>
      <c r="AM169" s="3"/>
      <c r="AN169" s="3"/>
      <c r="AO169" s="3"/>
    </row>
    <row r="170" ht="30.75" customHeight="1">
      <c r="A170" s="132" t="s">
        <v>2446</v>
      </c>
      <c r="B170" s="279" t="s">
        <v>2447</v>
      </c>
      <c r="C170" s="265">
        <v>45652.0</v>
      </c>
      <c r="D170" s="298"/>
      <c r="E170" s="224">
        <v>45398.0</v>
      </c>
      <c r="F170" s="132" t="s">
        <v>625</v>
      </c>
      <c r="G170" s="132" t="s">
        <v>2434</v>
      </c>
      <c r="H170" s="132" t="s">
        <v>1065</v>
      </c>
      <c r="I170" s="132" t="s">
        <v>1065</v>
      </c>
      <c r="J170" s="132" t="s">
        <v>1067</v>
      </c>
      <c r="K170" s="267">
        <v>25.0</v>
      </c>
      <c r="Q170" s="16" t="s">
        <v>2448</v>
      </c>
      <c r="R170" s="298"/>
      <c r="S170" s="3"/>
      <c r="T170" s="3"/>
      <c r="W170" s="3"/>
      <c r="X170" s="3"/>
      <c r="Y170" s="3"/>
      <c r="Z170" s="3"/>
      <c r="AA170" s="3"/>
      <c r="AC170" s="298"/>
      <c r="AI170" s="298"/>
    </row>
    <row r="171" ht="30.75" customHeight="1">
      <c r="A171" s="132" t="s">
        <v>415</v>
      </c>
      <c r="B171" s="512" t="s">
        <v>2449</v>
      </c>
      <c r="C171" s="265">
        <v>45774.0</v>
      </c>
      <c r="D171" s="298"/>
      <c r="E171" s="222">
        <v>45399.0</v>
      </c>
      <c r="F171" s="132" t="s">
        <v>736</v>
      </c>
      <c r="G171" s="132" t="s">
        <v>2450</v>
      </c>
      <c r="H171" s="132" t="s">
        <v>1065</v>
      </c>
      <c r="I171" s="132" t="s">
        <v>1065</v>
      </c>
      <c r="J171" s="132" t="s">
        <v>1067</v>
      </c>
      <c r="K171" s="267">
        <v>25.0</v>
      </c>
      <c r="L171" s="267">
        <v>25.0</v>
      </c>
      <c r="M171" s="267">
        <v>100.0</v>
      </c>
      <c r="N171" s="267">
        <v>50.0</v>
      </c>
      <c r="P171" s="267">
        <v>50.0</v>
      </c>
      <c r="Q171" s="16" t="s">
        <v>2451</v>
      </c>
      <c r="R171" s="298"/>
      <c r="S171" s="383">
        <v>50.0</v>
      </c>
      <c r="T171" s="383">
        <v>50.0</v>
      </c>
      <c r="U171" s="16" t="s">
        <v>2452</v>
      </c>
      <c r="W171" s="3"/>
      <c r="X171" s="3"/>
      <c r="Y171" s="3"/>
      <c r="Z171" s="3"/>
      <c r="AA171" s="3"/>
      <c r="AC171" s="298"/>
      <c r="AI171" s="298"/>
    </row>
    <row r="172" ht="30.75" customHeight="1">
      <c r="A172" s="132" t="s">
        <v>2453</v>
      </c>
      <c r="B172" s="279" t="s">
        <v>2454</v>
      </c>
      <c r="C172" s="265">
        <v>45622.0</v>
      </c>
      <c r="D172" s="303"/>
      <c r="E172" s="224">
        <v>45400.0</v>
      </c>
      <c r="F172" s="132" t="s">
        <v>625</v>
      </c>
      <c r="G172" s="132" t="s">
        <v>2434</v>
      </c>
      <c r="H172" s="132" t="s">
        <v>1065</v>
      </c>
      <c r="I172" s="132" t="s">
        <v>1065</v>
      </c>
      <c r="J172" s="132" t="s">
        <v>1067</v>
      </c>
      <c r="K172" s="267">
        <v>25.0</v>
      </c>
      <c r="L172" s="3"/>
      <c r="M172" s="3"/>
      <c r="N172" s="3"/>
      <c r="O172" s="3"/>
      <c r="P172" s="3"/>
      <c r="Q172" s="3"/>
      <c r="R172" s="303"/>
      <c r="S172" s="3"/>
      <c r="T172" s="3"/>
      <c r="U172" s="3"/>
      <c r="V172" s="3"/>
      <c r="W172" s="3"/>
      <c r="X172" s="3"/>
      <c r="Y172" s="3"/>
      <c r="AA172" s="3"/>
      <c r="AB172" s="3"/>
      <c r="AC172" s="303"/>
      <c r="AD172" s="3"/>
      <c r="AE172" s="3"/>
      <c r="AF172" s="3"/>
      <c r="AG172" s="3"/>
      <c r="AH172" s="3"/>
      <c r="AI172" s="303"/>
      <c r="AJ172" s="3"/>
      <c r="AK172" s="3"/>
      <c r="AL172" s="3"/>
      <c r="AM172" s="3"/>
      <c r="AN172" s="3"/>
      <c r="AO172" s="3"/>
    </row>
    <row r="173" ht="30.75" customHeight="1">
      <c r="A173" s="132" t="s">
        <v>372</v>
      </c>
      <c r="B173" s="279" t="s">
        <v>2455</v>
      </c>
      <c r="C173" s="47" t="s">
        <v>2456</v>
      </c>
      <c r="D173" s="298"/>
      <c r="E173" s="224">
        <v>45406.0</v>
      </c>
      <c r="F173" s="132" t="s">
        <v>625</v>
      </c>
      <c r="G173" s="132" t="s">
        <v>2434</v>
      </c>
      <c r="H173" s="132" t="s">
        <v>1065</v>
      </c>
      <c r="I173" s="132" t="s">
        <v>1065</v>
      </c>
      <c r="J173" s="132" t="s">
        <v>1067</v>
      </c>
      <c r="K173" s="267">
        <v>25.0</v>
      </c>
      <c r="L173" s="267">
        <v>25.0</v>
      </c>
      <c r="M173" s="267">
        <v>100.0</v>
      </c>
      <c r="N173" s="267">
        <v>50.0</v>
      </c>
      <c r="O173" s="267" t="s">
        <v>1109</v>
      </c>
      <c r="P173" s="267">
        <v>25.0</v>
      </c>
      <c r="R173" s="298"/>
      <c r="S173" s="267">
        <v>50.0</v>
      </c>
      <c r="T173" s="267">
        <v>50.0</v>
      </c>
      <c r="W173" s="267">
        <v>25.0</v>
      </c>
      <c r="X173" s="267">
        <v>50.0</v>
      </c>
      <c r="Y173" s="267">
        <v>50.0</v>
      </c>
      <c r="Z173" s="267">
        <v>100.0</v>
      </c>
      <c r="AA173" s="132" t="s">
        <v>1146</v>
      </c>
      <c r="AC173" s="298"/>
      <c r="AI173" s="298"/>
    </row>
    <row r="174" ht="30.75" customHeight="1">
      <c r="A174" s="132" t="s">
        <v>362</v>
      </c>
      <c r="B174" s="512" t="s">
        <v>2457</v>
      </c>
      <c r="C174" s="265">
        <v>45622.0</v>
      </c>
      <c r="D174" s="298"/>
      <c r="E174" s="222">
        <v>45407.0</v>
      </c>
      <c r="F174" s="132" t="s">
        <v>736</v>
      </c>
      <c r="G174" s="132" t="s">
        <v>2458</v>
      </c>
      <c r="H174" s="132" t="s">
        <v>1065</v>
      </c>
      <c r="I174" s="132" t="s">
        <v>1065</v>
      </c>
      <c r="J174" s="132" t="s">
        <v>1067</v>
      </c>
      <c r="K174" s="267">
        <v>25.0</v>
      </c>
      <c r="L174" s="267">
        <v>25.0</v>
      </c>
      <c r="M174" s="267">
        <v>100.0</v>
      </c>
      <c r="N174" s="267">
        <v>50.0</v>
      </c>
      <c r="O174" s="267">
        <v>100.0</v>
      </c>
      <c r="P174" s="267">
        <v>50.0</v>
      </c>
      <c r="Q174" s="16" t="s">
        <v>2459</v>
      </c>
      <c r="R174" s="298"/>
      <c r="S174" s="267">
        <v>50.0</v>
      </c>
      <c r="T174" s="267">
        <v>50.0</v>
      </c>
      <c r="U174" s="16" t="s">
        <v>2460</v>
      </c>
      <c r="W174" s="267">
        <v>25.0</v>
      </c>
      <c r="X174" s="267">
        <v>50.0</v>
      </c>
      <c r="Y174" s="267">
        <v>50.0</v>
      </c>
      <c r="Z174" s="267">
        <v>100.0</v>
      </c>
      <c r="AA174" s="132" t="s">
        <v>2461</v>
      </c>
      <c r="AB174" s="223"/>
      <c r="AC174" s="298"/>
      <c r="AI174" s="298"/>
    </row>
    <row r="175" ht="30.75" customHeight="1">
      <c r="A175" s="132" t="s">
        <v>1752</v>
      </c>
      <c r="B175" s="279" t="s">
        <v>2462</v>
      </c>
      <c r="C175" s="265">
        <v>45652.0</v>
      </c>
      <c r="D175" s="298"/>
      <c r="E175" s="224">
        <v>45407.0</v>
      </c>
      <c r="F175" s="132" t="s">
        <v>625</v>
      </c>
      <c r="G175" s="16" t="s">
        <v>2463</v>
      </c>
      <c r="H175" s="132" t="s">
        <v>1065</v>
      </c>
      <c r="I175" s="132" t="s">
        <v>1065</v>
      </c>
      <c r="J175" s="132" t="s">
        <v>1067</v>
      </c>
      <c r="K175" s="267">
        <v>25.0</v>
      </c>
      <c r="L175" s="267">
        <v>25.0</v>
      </c>
      <c r="M175" s="3"/>
      <c r="N175" s="267">
        <v>50.0</v>
      </c>
      <c r="O175" s="267" t="s">
        <v>1109</v>
      </c>
      <c r="P175" s="267">
        <v>25.0</v>
      </c>
      <c r="Q175" s="16" t="s">
        <v>2464</v>
      </c>
      <c r="R175" s="298"/>
      <c r="S175" s="3"/>
      <c r="T175" s="3"/>
      <c r="W175" s="3"/>
      <c r="X175" s="3"/>
      <c r="Y175" s="3"/>
      <c r="Z175" s="3"/>
      <c r="AA175" s="3"/>
      <c r="AC175" s="298"/>
      <c r="AI175" s="298"/>
    </row>
    <row r="176" ht="30.75" customHeight="1">
      <c r="A176" s="132" t="s">
        <v>391</v>
      </c>
      <c r="B176" s="279" t="s">
        <v>2465</v>
      </c>
      <c r="C176" s="132" t="s">
        <v>2466</v>
      </c>
      <c r="D176" s="298"/>
      <c r="E176" s="224">
        <v>45411.0</v>
      </c>
      <c r="F176" s="132" t="s">
        <v>625</v>
      </c>
      <c r="G176" s="132" t="s">
        <v>2434</v>
      </c>
      <c r="H176" s="132" t="s">
        <v>1065</v>
      </c>
      <c r="I176" s="132" t="s">
        <v>1065</v>
      </c>
      <c r="J176" s="132" t="s">
        <v>1067</v>
      </c>
      <c r="K176" s="267">
        <v>25.0</v>
      </c>
      <c r="L176" s="267">
        <v>25.0</v>
      </c>
      <c r="M176" s="267">
        <v>100.0</v>
      </c>
      <c r="N176" s="267">
        <v>50.0</v>
      </c>
      <c r="P176" s="267">
        <v>50.0</v>
      </c>
      <c r="R176" s="298"/>
      <c r="S176" s="267">
        <v>50.0</v>
      </c>
      <c r="T176" s="267">
        <v>50.0</v>
      </c>
      <c r="W176" s="267">
        <v>25.0</v>
      </c>
      <c r="X176" s="267">
        <v>50.0</v>
      </c>
      <c r="Y176" s="267">
        <v>50.0</v>
      </c>
      <c r="Z176" s="267">
        <v>100.0</v>
      </c>
      <c r="AA176" s="132" t="s">
        <v>1146</v>
      </c>
      <c r="AB176" s="16" t="s">
        <v>2467</v>
      </c>
      <c r="AC176" s="298"/>
      <c r="AI176" s="298"/>
    </row>
    <row r="177" ht="30.75" customHeight="1">
      <c r="A177" s="132" t="s">
        <v>337</v>
      </c>
      <c r="B177" s="279" t="s">
        <v>2468</v>
      </c>
      <c r="C177" s="265">
        <v>45622.0</v>
      </c>
      <c r="D177" s="298"/>
      <c r="E177" s="224">
        <v>45412.0</v>
      </c>
      <c r="F177" s="132" t="s">
        <v>736</v>
      </c>
      <c r="G177" s="132" t="s">
        <v>2434</v>
      </c>
      <c r="H177" s="132" t="s">
        <v>1065</v>
      </c>
      <c r="I177" s="132" t="s">
        <v>1065</v>
      </c>
      <c r="J177" s="132" t="s">
        <v>1067</v>
      </c>
      <c r="K177" s="267">
        <v>25.0</v>
      </c>
      <c r="L177" s="267">
        <v>25.0</v>
      </c>
      <c r="M177" s="267">
        <v>100.0</v>
      </c>
      <c r="N177" s="267">
        <v>50.0</v>
      </c>
      <c r="O177" s="267">
        <v>100.0</v>
      </c>
      <c r="P177" s="267">
        <v>50.0</v>
      </c>
      <c r="Q177" s="16" t="s">
        <v>2470</v>
      </c>
      <c r="R177" s="298"/>
      <c r="S177" s="267">
        <v>50.0</v>
      </c>
      <c r="T177" s="267">
        <v>50.0</v>
      </c>
      <c r="U177" s="16" t="s">
        <v>2471</v>
      </c>
      <c r="W177" s="383">
        <v>25.0</v>
      </c>
      <c r="X177" s="383">
        <v>50.0</v>
      </c>
      <c r="Y177" s="383">
        <v>50.0</v>
      </c>
      <c r="Z177" s="383">
        <v>100.0</v>
      </c>
      <c r="AA177" s="132" t="s">
        <v>2474</v>
      </c>
      <c r="AB177" s="16" t="s">
        <v>2475</v>
      </c>
      <c r="AC177" s="298"/>
      <c r="AI177" s="298"/>
    </row>
    <row r="178" ht="30.75" customHeight="1">
      <c r="A178" s="132" t="s">
        <v>2477</v>
      </c>
      <c r="B178" s="279" t="s">
        <v>2478</v>
      </c>
      <c r="C178" s="265">
        <v>45622.0</v>
      </c>
      <c r="D178" s="298"/>
      <c r="E178" s="224">
        <v>45418.0</v>
      </c>
      <c r="F178" s="132" t="s">
        <v>625</v>
      </c>
      <c r="G178" s="132" t="s">
        <v>2434</v>
      </c>
      <c r="H178" s="132" t="s">
        <v>1065</v>
      </c>
      <c r="I178" s="132" t="s">
        <v>1065</v>
      </c>
      <c r="J178" s="132" t="s">
        <v>1067</v>
      </c>
      <c r="K178" s="267">
        <v>25.0</v>
      </c>
      <c r="M178" s="3"/>
      <c r="N178" s="3"/>
      <c r="Q178" s="16" t="s">
        <v>2481</v>
      </c>
      <c r="R178" s="298"/>
      <c r="S178" s="3"/>
      <c r="T178" s="3"/>
      <c r="W178" s="3"/>
      <c r="X178" s="3"/>
      <c r="Y178" s="3"/>
      <c r="Z178" s="3"/>
      <c r="AA178" s="3"/>
      <c r="AC178" s="298"/>
      <c r="AI178" s="298"/>
    </row>
    <row r="179" ht="30.75" customHeight="1">
      <c r="A179" s="132" t="s">
        <v>1726</v>
      </c>
      <c r="B179" s="279" t="s">
        <v>2483</v>
      </c>
      <c r="C179" s="265">
        <v>45622.0</v>
      </c>
      <c r="D179" s="298"/>
      <c r="E179" s="224">
        <v>45420.0</v>
      </c>
      <c r="F179" s="132" t="s">
        <v>625</v>
      </c>
      <c r="G179" s="16" t="s">
        <v>2484</v>
      </c>
      <c r="H179" s="132" t="s">
        <v>1065</v>
      </c>
      <c r="I179" s="132" t="s">
        <v>1065</v>
      </c>
      <c r="J179" s="132" t="s">
        <v>1067</v>
      </c>
      <c r="K179" s="267">
        <v>25.0</v>
      </c>
      <c r="M179" s="3"/>
      <c r="N179" s="3"/>
      <c r="Q179" s="16" t="s">
        <v>2486</v>
      </c>
      <c r="R179" s="298"/>
      <c r="S179" s="3"/>
      <c r="T179" s="3"/>
      <c r="W179" s="3"/>
      <c r="X179" s="3"/>
      <c r="Y179" s="3"/>
      <c r="Z179" s="3"/>
      <c r="AA179" s="3"/>
      <c r="AC179" s="298"/>
      <c r="AI179" s="298"/>
    </row>
    <row r="180" ht="30.75" customHeight="1">
      <c r="A180" s="132" t="s">
        <v>345</v>
      </c>
      <c r="B180" s="279" t="s">
        <v>2488</v>
      </c>
      <c r="C180" s="265">
        <v>45622.0</v>
      </c>
      <c r="D180" s="298"/>
      <c r="E180" s="224">
        <v>45425.0</v>
      </c>
      <c r="F180" s="132" t="s">
        <v>736</v>
      </c>
      <c r="G180" s="16" t="s">
        <v>2489</v>
      </c>
      <c r="H180" s="132" t="s">
        <v>1065</v>
      </c>
      <c r="I180" s="132" t="s">
        <v>1065</v>
      </c>
      <c r="J180" s="132" t="s">
        <v>1067</v>
      </c>
      <c r="K180" s="267">
        <v>25.0</v>
      </c>
      <c r="L180" s="267">
        <v>25.0</v>
      </c>
      <c r="M180" s="267">
        <v>100.0</v>
      </c>
      <c r="N180" s="267">
        <v>50.0</v>
      </c>
      <c r="P180" s="267">
        <v>25.0</v>
      </c>
      <c r="Q180" s="16" t="s">
        <v>2493</v>
      </c>
      <c r="R180" s="298"/>
      <c r="S180" s="267">
        <v>50.0</v>
      </c>
      <c r="T180" s="267">
        <v>50.0</v>
      </c>
      <c r="U180" s="16" t="s">
        <v>2495</v>
      </c>
      <c r="W180" s="267">
        <v>25.0</v>
      </c>
      <c r="X180" s="267">
        <v>50.0</v>
      </c>
      <c r="Y180" s="267">
        <v>50.0</v>
      </c>
      <c r="Z180" s="267">
        <v>100.0</v>
      </c>
      <c r="AA180" s="132" t="s">
        <v>2496</v>
      </c>
      <c r="AC180" s="298"/>
      <c r="AI180" s="298"/>
    </row>
    <row r="181" ht="30.75" customHeight="1">
      <c r="A181" s="132" t="s">
        <v>327</v>
      </c>
      <c r="B181" s="279" t="s">
        <v>2497</v>
      </c>
      <c r="C181" s="265">
        <v>45774.0</v>
      </c>
      <c r="D181" s="298"/>
      <c r="E181" s="224">
        <v>45427.0</v>
      </c>
      <c r="F181" s="132" t="s">
        <v>736</v>
      </c>
      <c r="G181" s="16" t="s">
        <v>2499</v>
      </c>
      <c r="H181" s="132" t="s">
        <v>1065</v>
      </c>
      <c r="I181" s="132" t="s">
        <v>1065</v>
      </c>
      <c r="J181" s="132" t="s">
        <v>1067</v>
      </c>
      <c r="K181" s="267">
        <v>25.0</v>
      </c>
      <c r="L181" s="267">
        <v>25.0</v>
      </c>
      <c r="M181" s="267">
        <v>100.0</v>
      </c>
      <c r="N181" s="267">
        <v>50.0</v>
      </c>
      <c r="O181" s="3"/>
      <c r="P181" s="267">
        <v>25.0</v>
      </c>
      <c r="Q181" s="16" t="s">
        <v>2501</v>
      </c>
      <c r="R181" s="298"/>
      <c r="S181" s="267">
        <v>50.0</v>
      </c>
      <c r="T181" s="267">
        <v>50.0</v>
      </c>
      <c r="U181" s="16" t="s">
        <v>2503</v>
      </c>
      <c r="W181" s="267">
        <v>25.0</v>
      </c>
      <c r="X181" s="267">
        <v>50.0</v>
      </c>
      <c r="Y181" s="267">
        <v>50.0</v>
      </c>
      <c r="Z181" s="267">
        <v>100.0</v>
      </c>
      <c r="AA181" s="132" t="s">
        <v>2504</v>
      </c>
      <c r="AC181" s="298"/>
      <c r="AI181" s="298"/>
    </row>
    <row r="182" ht="30.75" customHeight="1">
      <c r="A182" s="132" t="s">
        <v>484</v>
      </c>
      <c r="B182" s="279" t="s">
        <v>2506</v>
      </c>
      <c r="C182" s="265">
        <v>45622.0</v>
      </c>
      <c r="D182" s="298"/>
      <c r="E182" s="224">
        <v>45433.0</v>
      </c>
      <c r="F182" s="132" t="s">
        <v>736</v>
      </c>
      <c r="G182" s="16" t="s">
        <v>2507</v>
      </c>
      <c r="H182" s="132" t="s">
        <v>1065</v>
      </c>
      <c r="I182" s="132" t="s">
        <v>1065</v>
      </c>
      <c r="J182" s="132" t="s">
        <v>1067</v>
      </c>
      <c r="K182" s="267">
        <v>25.0</v>
      </c>
      <c r="L182" s="267">
        <v>25.0</v>
      </c>
      <c r="M182" s="267">
        <v>100.0</v>
      </c>
      <c r="N182" s="267">
        <v>50.0</v>
      </c>
      <c r="O182" s="267" t="s">
        <v>1109</v>
      </c>
      <c r="P182" s="267">
        <v>50.0</v>
      </c>
      <c r="Q182" s="16" t="s">
        <v>2511</v>
      </c>
      <c r="R182" s="298"/>
      <c r="S182" s="3"/>
      <c r="T182" s="3"/>
      <c r="W182" s="3"/>
      <c r="X182" s="3"/>
      <c r="Y182" s="3"/>
      <c r="Z182" s="3"/>
      <c r="AA182" s="3"/>
      <c r="AC182" s="298"/>
      <c r="AI182" s="298"/>
    </row>
    <row r="183" ht="30.75" customHeight="1">
      <c r="A183" s="132" t="s">
        <v>380</v>
      </c>
      <c r="B183" s="279" t="s">
        <v>2512</v>
      </c>
      <c r="C183" s="265">
        <v>45622.0</v>
      </c>
      <c r="D183" s="298"/>
      <c r="E183" s="224">
        <v>45443.0</v>
      </c>
      <c r="F183" s="132" t="s">
        <v>625</v>
      </c>
      <c r="G183" s="16" t="s">
        <v>2514</v>
      </c>
      <c r="H183" s="132" t="s">
        <v>1065</v>
      </c>
      <c r="I183" s="132" t="s">
        <v>1065</v>
      </c>
      <c r="J183" s="132" t="s">
        <v>1067</v>
      </c>
      <c r="K183" s="267">
        <v>25.0</v>
      </c>
      <c r="L183" s="267">
        <v>25.0</v>
      </c>
      <c r="M183" s="267">
        <v>100.0</v>
      </c>
      <c r="N183" s="267">
        <v>50.0</v>
      </c>
      <c r="O183" s="267">
        <v>100.0</v>
      </c>
      <c r="P183" s="267">
        <v>50.0</v>
      </c>
      <c r="R183" s="298"/>
      <c r="S183" s="267">
        <v>50.0</v>
      </c>
      <c r="T183" s="267">
        <v>50.0</v>
      </c>
      <c r="W183" s="267">
        <v>25.0</v>
      </c>
      <c r="X183" s="267">
        <v>50.0</v>
      </c>
      <c r="Y183" s="267">
        <v>50.0</v>
      </c>
      <c r="Z183" s="267">
        <v>100.0</v>
      </c>
      <c r="AA183" s="132" t="s">
        <v>1146</v>
      </c>
      <c r="AC183" s="298"/>
      <c r="AI183" s="298"/>
    </row>
    <row r="184" ht="30.75" customHeight="1">
      <c r="A184" s="132" t="s">
        <v>437</v>
      </c>
      <c r="B184" s="279" t="s">
        <v>2516</v>
      </c>
      <c r="C184" s="265">
        <v>45652.0</v>
      </c>
      <c r="D184" s="298"/>
      <c r="E184" s="222">
        <v>45446.0</v>
      </c>
      <c r="F184" s="132" t="s">
        <v>1370</v>
      </c>
      <c r="G184" s="16" t="s">
        <v>2518</v>
      </c>
      <c r="H184" s="132" t="s">
        <v>1065</v>
      </c>
      <c r="I184" s="132" t="s">
        <v>1065</v>
      </c>
      <c r="J184" s="132" t="s">
        <v>1067</v>
      </c>
      <c r="K184" s="267">
        <v>25.0</v>
      </c>
      <c r="L184" s="267">
        <v>25.0</v>
      </c>
      <c r="M184" s="267">
        <v>100.0</v>
      </c>
      <c r="N184" s="267">
        <v>50.0</v>
      </c>
      <c r="O184" s="267" t="s">
        <v>1109</v>
      </c>
      <c r="P184" s="267">
        <v>25.0</v>
      </c>
      <c r="Q184" s="16" t="s">
        <v>2521</v>
      </c>
      <c r="R184" s="298"/>
      <c r="S184" s="267">
        <v>50.0</v>
      </c>
      <c r="T184" s="267">
        <v>50.0</v>
      </c>
      <c r="U184" s="16" t="s">
        <v>2524</v>
      </c>
      <c r="W184" s="3"/>
      <c r="X184" s="3"/>
      <c r="Y184" s="3"/>
      <c r="Z184" s="3"/>
      <c r="AA184" s="3"/>
      <c r="AC184" s="298"/>
      <c r="AI184" s="298"/>
    </row>
    <row r="185" ht="30.75" customHeight="1">
      <c r="A185" s="132" t="s">
        <v>385</v>
      </c>
      <c r="B185" s="279" t="s">
        <v>2526</v>
      </c>
      <c r="C185" s="265">
        <v>45622.0</v>
      </c>
      <c r="D185" s="298"/>
      <c r="E185" s="222">
        <v>45447.0</v>
      </c>
      <c r="F185" s="132" t="s">
        <v>736</v>
      </c>
      <c r="G185" s="16" t="s">
        <v>2527</v>
      </c>
      <c r="H185" s="132" t="s">
        <v>1065</v>
      </c>
      <c r="I185" s="132" t="s">
        <v>1065</v>
      </c>
      <c r="J185" s="132" t="s">
        <v>1067</v>
      </c>
      <c r="K185" s="267">
        <v>25.0</v>
      </c>
      <c r="L185" s="267">
        <v>25.0</v>
      </c>
      <c r="M185" s="267">
        <v>100.0</v>
      </c>
      <c r="N185" s="267">
        <v>50.0</v>
      </c>
      <c r="O185" s="267" t="s">
        <v>1109</v>
      </c>
      <c r="P185" s="267">
        <v>50.0</v>
      </c>
      <c r="R185" s="298"/>
      <c r="S185" s="267">
        <v>50.0</v>
      </c>
      <c r="T185" s="267">
        <v>50.0</v>
      </c>
      <c r="U185" s="16" t="s">
        <v>2529</v>
      </c>
      <c r="V185" s="267" t="s">
        <v>2530</v>
      </c>
      <c r="W185" s="3"/>
      <c r="X185" s="3"/>
      <c r="Y185" s="3"/>
      <c r="Z185" s="3"/>
      <c r="AA185" s="3"/>
      <c r="AC185" s="298"/>
      <c r="AI185" s="298"/>
    </row>
    <row r="186" ht="30.75" customHeight="1">
      <c r="A186" s="132" t="s">
        <v>2532</v>
      </c>
      <c r="B186" s="279" t="s">
        <v>2533</v>
      </c>
      <c r="C186" s="265">
        <v>45622.0</v>
      </c>
      <c r="D186" s="303"/>
      <c r="E186" s="222">
        <v>45449.0</v>
      </c>
      <c r="F186" s="132" t="s">
        <v>625</v>
      </c>
      <c r="G186" s="132" t="s">
        <v>2527</v>
      </c>
      <c r="H186" s="132" t="s">
        <v>1065</v>
      </c>
      <c r="I186" s="132" t="s">
        <v>1065</v>
      </c>
      <c r="J186" s="132" t="s">
        <v>1067</v>
      </c>
      <c r="K186" s="267">
        <v>25.0</v>
      </c>
      <c r="L186" s="3"/>
      <c r="M186" s="3"/>
      <c r="N186" s="3"/>
      <c r="O186" s="3"/>
      <c r="P186" s="3"/>
      <c r="Q186" s="132" t="s">
        <v>2537</v>
      </c>
      <c r="R186" s="303"/>
      <c r="S186" s="3"/>
      <c r="T186" s="3"/>
      <c r="U186" s="3"/>
      <c r="V186" s="3"/>
      <c r="W186" s="3"/>
      <c r="X186" s="3"/>
      <c r="Y186" s="3"/>
      <c r="Z186" s="3"/>
      <c r="AA186" s="3"/>
      <c r="AB186" s="3"/>
      <c r="AC186" s="303"/>
      <c r="AD186" s="3"/>
      <c r="AE186" s="3"/>
      <c r="AF186" s="3"/>
      <c r="AG186" s="3"/>
      <c r="AH186" s="3"/>
      <c r="AI186" s="303"/>
      <c r="AJ186" s="3"/>
      <c r="AK186" s="3"/>
      <c r="AL186" s="3"/>
      <c r="AM186" s="3"/>
      <c r="AN186" s="3"/>
      <c r="AO186" s="3"/>
    </row>
    <row r="187" ht="30.75" customHeight="1">
      <c r="A187" s="132" t="s">
        <v>448</v>
      </c>
      <c r="B187" s="279" t="s">
        <v>2540</v>
      </c>
      <c r="C187" s="265">
        <v>45622.0</v>
      </c>
      <c r="D187" s="298"/>
      <c r="E187" s="222">
        <v>45453.0</v>
      </c>
      <c r="F187" s="132" t="s">
        <v>736</v>
      </c>
      <c r="G187" s="132" t="s">
        <v>2542</v>
      </c>
      <c r="H187" s="132" t="s">
        <v>1065</v>
      </c>
      <c r="I187" s="132" t="s">
        <v>1065</v>
      </c>
      <c r="J187" s="132" t="s">
        <v>1067</v>
      </c>
      <c r="K187" s="267">
        <v>25.0</v>
      </c>
      <c r="L187" s="267">
        <v>25.0</v>
      </c>
      <c r="M187" s="267">
        <v>100.0</v>
      </c>
      <c r="N187" s="267">
        <v>50.0</v>
      </c>
      <c r="O187" s="267" t="s">
        <v>1109</v>
      </c>
      <c r="P187" s="267">
        <v>50.0</v>
      </c>
      <c r="Q187" s="132" t="s">
        <v>2545</v>
      </c>
      <c r="R187" s="298"/>
      <c r="S187" s="267">
        <v>50.0</v>
      </c>
      <c r="T187" s="267">
        <v>50.0</v>
      </c>
      <c r="U187" s="16" t="s">
        <v>2546</v>
      </c>
      <c r="W187" s="267">
        <v>25.0</v>
      </c>
      <c r="X187" s="3"/>
      <c r="Y187" s="3"/>
      <c r="Z187" s="267">
        <v>100.0</v>
      </c>
      <c r="AA187" s="132" t="s">
        <v>2548</v>
      </c>
      <c r="AC187" s="298"/>
      <c r="AI187" s="298"/>
    </row>
    <row r="188" ht="30.75" customHeight="1">
      <c r="A188" s="132" t="s">
        <v>1780</v>
      </c>
      <c r="B188" s="279" t="s">
        <v>2549</v>
      </c>
      <c r="C188" s="265">
        <v>45622.0</v>
      </c>
      <c r="D188" s="303"/>
      <c r="E188" s="222">
        <v>45453.0</v>
      </c>
      <c r="F188" s="132" t="s">
        <v>625</v>
      </c>
      <c r="G188" s="132" t="s">
        <v>2542</v>
      </c>
      <c r="H188" s="132" t="s">
        <v>1065</v>
      </c>
      <c r="I188" s="132" t="s">
        <v>1065</v>
      </c>
      <c r="J188" s="132" t="s">
        <v>1067</v>
      </c>
      <c r="K188" s="267">
        <v>25.0</v>
      </c>
      <c r="L188" s="3"/>
      <c r="M188" s="3"/>
      <c r="N188" s="3"/>
      <c r="O188" s="3"/>
      <c r="P188" s="3"/>
      <c r="Q188" s="132" t="s">
        <v>2545</v>
      </c>
      <c r="R188" s="303"/>
      <c r="S188" s="3"/>
      <c r="T188" s="3"/>
      <c r="U188" s="3"/>
      <c r="V188" s="3"/>
      <c r="W188" s="3"/>
      <c r="X188" s="3"/>
      <c r="Y188" s="3"/>
      <c r="Z188" s="3"/>
      <c r="AA188" s="3"/>
      <c r="AB188" s="3"/>
      <c r="AC188" s="303"/>
      <c r="AD188" s="3"/>
      <c r="AE188" s="3"/>
      <c r="AF188" s="3"/>
      <c r="AG188" s="3"/>
      <c r="AH188" s="3"/>
      <c r="AI188" s="303"/>
      <c r="AJ188" s="3"/>
      <c r="AK188" s="3"/>
      <c r="AL188" s="3"/>
      <c r="AM188" s="3"/>
      <c r="AN188" s="3"/>
      <c r="AO188" s="3"/>
    </row>
    <row r="189" ht="30.75" customHeight="1">
      <c r="A189" s="132" t="s">
        <v>1731</v>
      </c>
      <c r="B189" s="279" t="s">
        <v>2552</v>
      </c>
      <c r="C189" s="265">
        <v>45652.0</v>
      </c>
      <c r="D189" s="303"/>
      <c r="E189" s="224">
        <v>45454.0</v>
      </c>
      <c r="F189" s="132" t="s">
        <v>736</v>
      </c>
      <c r="G189" s="132" t="s">
        <v>2554</v>
      </c>
      <c r="H189" s="132" t="s">
        <v>1065</v>
      </c>
      <c r="I189" s="132" t="s">
        <v>1065</v>
      </c>
      <c r="J189" s="132" t="s">
        <v>1067</v>
      </c>
      <c r="K189" s="267">
        <v>25.0</v>
      </c>
      <c r="L189" s="3"/>
      <c r="M189" s="3"/>
      <c r="N189" s="3"/>
      <c r="O189" s="3"/>
      <c r="P189" s="3"/>
      <c r="Q189" s="132" t="s">
        <v>2556</v>
      </c>
      <c r="R189" s="303"/>
      <c r="S189" s="3"/>
      <c r="T189" s="3"/>
      <c r="U189" s="3"/>
      <c r="V189" s="3"/>
      <c r="W189" s="3"/>
      <c r="X189" s="3"/>
      <c r="Y189" s="3"/>
      <c r="Z189" s="3"/>
      <c r="AA189" s="3"/>
      <c r="AB189" s="3"/>
      <c r="AC189" s="303"/>
      <c r="AD189" s="3"/>
      <c r="AE189" s="3"/>
      <c r="AF189" s="3"/>
      <c r="AG189" s="3"/>
      <c r="AH189" s="3"/>
      <c r="AI189" s="303"/>
      <c r="AJ189" s="3"/>
      <c r="AK189" s="3"/>
      <c r="AL189" s="3"/>
      <c r="AM189" s="3"/>
      <c r="AN189" s="3"/>
      <c r="AO189" s="3"/>
    </row>
    <row r="190" ht="30.75" customHeight="1">
      <c r="A190" s="132" t="s">
        <v>1750</v>
      </c>
      <c r="B190" s="279" t="s">
        <v>2559</v>
      </c>
      <c r="C190" s="265">
        <v>45622.0</v>
      </c>
      <c r="D190" s="303"/>
      <c r="E190" s="224">
        <v>45460.0</v>
      </c>
      <c r="F190" s="132" t="s">
        <v>736</v>
      </c>
      <c r="G190" s="132" t="s">
        <v>2561</v>
      </c>
      <c r="H190" s="132" t="s">
        <v>1065</v>
      </c>
      <c r="I190" s="132" t="s">
        <v>1065</v>
      </c>
      <c r="J190" s="132" t="s">
        <v>1067</v>
      </c>
      <c r="K190" s="267">
        <v>25.0</v>
      </c>
      <c r="L190" s="3"/>
      <c r="M190" s="3"/>
      <c r="N190" s="3"/>
      <c r="O190" s="3"/>
      <c r="P190" s="3"/>
      <c r="Q190" s="132" t="s">
        <v>2563</v>
      </c>
      <c r="R190" s="303"/>
      <c r="S190" s="3"/>
      <c r="T190" s="3"/>
      <c r="U190" s="3"/>
      <c r="V190" s="3"/>
      <c r="W190" s="3"/>
      <c r="X190" s="3"/>
      <c r="Y190" s="3"/>
      <c r="Z190" s="3"/>
      <c r="AA190" s="3"/>
      <c r="AB190" s="3"/>
      <c r="AC190" s="303"/>
      <c r="AD190" s="3"/>
      <c r="AE190" s="3"/>
      <c r="AF190" s="3"/>
      <c r="AG190" s="3"/>
      <c r="AH190" s="3"/>
      <c r="AI190" s="303"/>
      <c r="AJ190" s="3"/>
      <c r="AK190" s="3"/>
      <c r="AL190" s="3"/>
      <c r="AM190" s="3"/>
      <c r="AN190" s="3"/>
      <c r="AO190" s="3"/>
    </row>
    <row r="191" ht="30.75" customHeight="1">
      <c r="A191" s="132" t="s">
        <v>365</v>
      </c>
      <c r="B191" s="541" t="s">
        <v>2564</v>
      </c>
      <c r="C191" s="47" t="s">
        <v>2566</v>
      </c>
      <c r="D191" s="303"/>
      <c r="E191" s="222">
        <v>45460.0</v>
      </c>
      <c r="F191" s="132" t="s">
        <v>649</v>
      </c>
      <c r="G191" s="132" t="s">
        <v>2561</v>
      </c>
      <c r="H191" s="132" t="s">
        <v>1065</v>
      </c>
      <c r="I191" s="132" t="s">
        <v>1065</v>
      </c>
      <c r="J191" s="132" t="s">
        <v>1067</v>
      </c>
      <c r="K191" s="267">
        <v>25.0</v>
      </c>
      <c r="L191" s="267">
        <v>25.0</v>
      </c>
      <c r="M191" s="267">
        <v>100.0</v>
      </c>
      <c r="N191" s="267">
        <v>50.0</v>
      </c>
      <c r="O191" s="267" t="s">
        <v>1109</v>
      </c>
      <c r="P191" s="267">
        <v>25.0</v>
      </c>
      <c r="Q191" s="3"/>
      <c r="R191" s="303"/>
      <c r="S191" s="267">
        <v>50.0</v>
      </c>
      <c r="T191" s="267">
        <v>50.0</v>
      </c>
      <c r="U191" s="3"/>
      <c r="V191" s="3"/>
      <c r="W191" s="267">
        <v>25.0</v>
      </c>
      <c r="X191" s="267">
        <v>50.0</v>
      </c>
      <c r="Y191" s="267">
        <v>50.0</v>
      </c>
      <c r="Z191" s="267">
        <v>100.0</v>
      </c>
      <c r="AA191" s="3"/>
      <c r="AB191" s="132" t="s">
        <v>1146</v>
      </c>
      <c r="AC191" s="303"/>
      <c r="AD191" s="3"/>
      <c r="AE191" s="3"/>
      <c r="AF191" s="3"/>
      <c r="AG191" s="3"/>
      <c r="AH191" s="3"/>
      <c r="AI191" s="303"/>
      <c r="AJ191" s="3"/>
      <c r="AK191" s="3"/>
      <c r="AL191" s="3"/>
      <c r="AM191" s="3"/>
      <c r="AN191" s="3"/>
      <c r="AO191" s="3"/>
    </row>
    <row r="192" ht="30.75" customHeight="1">
      <c r="A192" s="132" t="s">
        <v>384</v>
      </c>
      <c r="B192" s="279" t="s">
        <v>2569</v>
      </c>
      <c r="C192" s="47" t="s">
        <v>2570</v>
      </c>
      <c r="D192" s="303"/>
      <c r="E192" s="224">
        <v>45461.0</v>
      </c>
      <c r="F192" s="132" t="s">
        <v>625</v>
      </c>
      <c r="G192" s="132" t="s">
        <v>2561</v>
      </c>
      <c r="H192" s="132" t="s">
        <v>1065</v>
      </c>
      <c r="I192" s="132" t="s">
        <v>1065</v>
      </c>
      <c r="J192" s="132" t="s">
        <v>1067</v>
      </c>
      <c r="K192" s="267">
        <v>25.0</v>
      </c>
      <c r="L192" s="267">
        <v>50.0</v>
      </c>
      <c r="M192" s="267">
        <v>100.0</v>
      </c>
      <c r="N192" s="267">
        <v>50.0</v>
      </c>
      <c r="O192" s="267" t="s">
        <v>1109</v>
      </c>
      <c r="P192" s="267">
        <v>25.0</v>
      </c>
      <c r="Q192" s="132" t="s">
        <v>2573</v>
      </c>
      <c r="R192" s="303"/>
      <c r="S192" s="267">
        <v>50.0</v>
      </c>
      <c r="T192" s="267">
        <v>50.0</v>
      </c>
      <c r="U192" s="16" t="s">
        <v>2574</v>
      </c>
      <c r="V192" s="3"/>
      <c r="W192" s="267">
        <v>25.0</v>
      </c>
      <c r="X192" s="267">
        <v>50.0</v>
      </c>
      <c r="Y192" s="267">
        <v>50.0</v>
      </c>
      <c r="Z192" s="267">
        <v>100.0</v>
      </c>
      <c r="AA192" s="132" t="s">
        <v>2576</v>
      </c>
      <c r="AB192" s="47" t="s">
        <v>2577</v>
      </c>
      <c r="AC192" s="303"/>
      <c r="AD192" s="3"/>
      <c r="AE192" s="3"/>
      <c r="AF192" s="3"/>
      <c r="AG192" s="3"/>
      <c r="AH192" s="3"/>
      <c r="AI192" s="303"/>
      <c r="AJ192" s="3"/>
      <c r="AK192" s="3"/>
      <c r="AL192" s="3"/>
      <c r="AM192" s="3"/>
      <c r="AN192" s="3"/>
      <c r="AO192" s="3"/>
    </row>
    <row r="193" ht="30.75" customHeight="1">
      <c r="A193" s="132" t="s">
        <v>348</v>
      </c>
      <c r="B193" s="279" t="s">
        <v>2580</v>
      </c>
      <c r="C193" s="265">
        <v>45622.0</v>
      </c>
      <c r="D193" s="303"/>
      <c r="E193" s="224">
        <v>45461.0</v>
      </c>
      <c r="F193" s="132" t="s">
        <v>736</v>
      </c>
      <c r="G193" s="132" t="s">
        <v>2561</v>
      </c>
      <c r="H193" s="132" t="s">
        <v>1065</v>
      </c>
      <c r="I193" s="132" t="s">
        <v>1065</v>
      </c>
      <c r="J193" s="132" t="s">
        <v>1067</v>
      </c>
      <c r="K193" s="267">
        <v>25.0</v>
      </c>
      <c r="L193" s="267">
        <v>25.0</v>
      </c>
      <c r="M193" s="267">
        <v>100.0</v>
      </c>
      <c r="N193" s="267">
        <v>50.0</v>
      </c>
      <c r="O193" s="267" t="s">
        <v>1109</v>
      </c>
      <c r="P193" s="267">
        <v>25.0</v>
      </c>
      <c r="Q193" s="132" t="s">
        <v>2582</v>
      </c>
      <c r="R193" s="303"/>
      <c r="S193" s="267">
        <v>50.0</v>
      </c>
      <c r="T193" s="267">
        <v>50.0</v>
      </c>
      <c r="U193" s="132" t="s">
        <v>2584</v>
      </c>
      <c r="V193" s="3"/>
      <c r="W193" s="267">
        <v>25.0</v>
      </c>
      <c r="X193" s="267">
        <v>50.0</v>
      </c>
      <c r="Y193" s="267">
        <v>50.0</v>
      </c>
      <c r="Z193" s="267">
        <v>100.0</v>
      </c>
      <c r="AA193" s="132" t="s">
        <v>2586</v>
      </c>
      <c r="AB193" s="3"/>
      <c r="AC193" s="303"/>
      <c r="AD193" s="3"/>
      <c r="AE193" s="3"/>
      <c r="AF193" s="3"/>
      <c r="AG193" s="3"/>
      <c r="AH193" s="3"/>
      <c r="AI193" s="303"/>
      <c r="AJ193" s="3"/>
      <c r="AK193" s="3"/>
      <c r="AL193" s="3"/>
      <c r="AM193" s="3"/>
      <c r="AN193" s="3"/>
      <c r="AO193" s="3"/>
    </row>
    <row r="194" ht="30.75" customHeight="1">
      <c r="A194" s="132" t="s">
        <v>2587</v>
      </c>
      <c r="B194" s="279" t="s">
        <v>2589</v>
      </c>
      <c r="C194" s="265">
        <v>45622.0</v>
      </c>
      <c r="D194" s="303"/>
      <c r="E194" s="224">
        <v>45462.0</v>
      </c>
      <c r="F194" s="132" t="s">
        <v>625</v>
      </c>
      <c r="G194" s="132" t="s">
        <v>2590</v>
      </c>
      <c r="H194" s="132" t="s">
        <v>1065</v>
      </c>
      <c r="I194" s="132" t="s">
        <v>1065</v>
      </c>
      <c r="J194" s="132" t="s">
        <v>1067</v>
      </c>
      <c r="K194" s="267">
        <v>25.0</v>
      </c>
      <c r="L194" s="3"/>
      <c r="M194" s="3"/>
      <c r="N194" s="3"/>
      <c r="O194" s="3"/>
      <c r="P194" s="3"/>
      <c r="Q194" s="3"/>
      <c r="R194" s="303"/>
      <c r="S194" s="3"/>
      <c r="T194" s="3"/>
      <c r="U194" s="3"/>
      <c r="V194" s="3"/>
      <c r="W194" s="3"/>
      <c r="X194" s="3"/>
      <c r="Y194" s="3"/>
      <c r="Z194" s="3"/>
      <c r="AA194" s="3"/>
      <c r="AB194" s="3"/>
      <c r="AC194" s="303"/>
      <c r="AD194" s="3"/>
      <c r="AE194" s="3"/>
      <c r="AF194" s="3"/>
      <c r="AG194" s="3"/>
      <c r="AH194" s="3"/>
      <c r="AI194" s="303"/>
      <c r="AJ194" s="3"/>
      <c r="AK194" s="3"/>
      <c r="AL194" s="3"/>
      <c r="AM194" s="3"/>
      <c r="AN194" s="3"/>
      <c r="AO194" s="3"/>
    </row>
    <row r="195" ht="30.75" customHeight="1">
      <c r="A195" s="132" t="s">
        <v>416</v>
      </c>
      <c r="B195" s="279" t="s">
        <v>2593</v>
      </c>
      <c r="C195" s="132" t="s">
        <v>2594</v>
      </c>
      <c r="D195" s="298"/>
      <c r="E195" s="224">
        <v>45462.0</v>
      </c>
      <c r="F195" s="132" t="s">
        <v>736</v>
      </c>
      <c r="G195" s="132" t="s">
        <v>2596</v>
      </c>
      <c r="H195" s="132" t="s">
        <v>1065</v>
      </c>
      <c r="I195" s="132" t="s">
        <v>1065</v>
      </c>
      <c r="J195" s="132" t="s">
        <v>1067</v>
      </c>
      <c r="K195" s="267">
        <v>25.0</v>
      </c>
      <c r="L195" s="267">
        <v>25.0</v>
      </c>
      <c r="M195" s="267">
        <v>100.0</v>
      </c>
      <c r="N195" s="267">
        <v>50.0</v>
      </c>
      <c r="O195" s="267" t="s">
        <v>2597</v>
      </c>
      <c r="P195" s="267">
        <v>50.0</v>
      </c>
      <c r="Q195" s="16" t="s">
        <v>2599</v>
      </c>
      <c r="R195" s="298"/>
      <c r="S195" s="267">
        <v>50.0</v>
      </c>
      <c r="T195" s="267">
        <v>50.0</v>
      </c>
      <c r="U195" s="16" t="s">
        <v>2600</v>
      </c>
      <c r="W195" s="267">
        <v>25.0</v>
      </c>
      <c r="X195" s="267">
        <v>50.0</v>
      </c>
      <c r="Y195" s="267">
        <v>50.0</v>
      </c>
      <c r="Z195" s="267">
        <v>100.0</v>
      </c>
      <c r="AA195" s="132" t="s">
        <v>2602</v>
      </c>
      <c r="AC195" s="298"/>
      <c r="AI195" s="298"/>
    </row>
    <row r="196" ht="30.75" customHeight="1">
      <c r="A196" s="132" t="s">
        <v>475</v>
      </c>
      <c r="B196" s="279" t="s">
        <v>2603</v>
      </c>
      <c r="C196" s="265">
        <v>45622.0</v>
      </c>
      <c r="D196" s="298"/>
      <c r="E196" s="224">
        <v>45463.0</v>
      </c>
      <c r="F196" s="132" t="s">
        <v>736</v>
      </c>
      <c r="G196" s="132" t="s">
        <v>2596</v>
      </c>
      <c r="H196" s="132" t="s">
        <v>1065</v>
      </c>
      <c r="I196" s="132" t="s">
        <v>1065</v>
      </c>
      <c r="J196" s="132" t="s">
        <v>1067</v>
      </c>
      <c r="K196" s="267">
        <v>25.0</v>
      </c>
      <c r="L196" s="267">
        <v>25.0</v>
      </c>
      <c r="M196" s="267">
        <v>100.0</v>
      </c>
      <c r="N196" s="267">
        <v>50.0</v>
      </c>
      <c r="O196" s="548"/>
      <c r="P196" s="267">
        <v>25.0</v>
      </c>
      <c r="Q196" s="16" t="s">
        <v>2610</v>
      </c>
      <c r="R196" s="298"/>
      <c r="S196" s="267">
        <v>50.0</v>
      </c>
      <c r="T196" s="267">
        <v>50.0</v>
      </c>
      <c r="U196" s="16" t="s">
        <v>2611</v>
      </c>
      <c r="W196" s="3"/>
      <c r="X196" s="3"/>
      <c r="Y196" s="3"/>
      <c r="Z196" s="3"/>
      <c r="AA196" s="3"/>
      <c r="AC196" s="298"/>
      <c r="AI196" s="298"/>
    </row>
    <row r="197" ht="30.75" customHeight="1">
      <c r="A197" s="132" t="s">
        <v>424</v>
      </c>
      <c r="B197" s="279" t="s">
        <v>2614</v>
      </c>
      <c r="C197" s="132" t="s">
        <v>2615</v>
      </c>
      <c r="D197" s="298"/>
      <c r="E197" s="224">
        <v>45463.0</v>
      </c>
      <c r="F197" s="132" t="s">
        <v>736</v>
      </c>
      <c r="G197" s="132" t="s">
        <v>2596</v>
      </c>
      <c r="H197" s="132" t="s">
        <v>1065</v>
      </c>
      <c r="I197" s="132" t="s">
        <v>1065</v>
      </c>
      <c r="J197" s="132" t="s">
        <v>1067</v>
      </c>
      <c r="K197" s="267">
        <v>25.0</v>
      </c>
      <c r="L197" s="267">
        <v>25.0</v>
      </c>
      <c r="M197" s="267">
        <v>100.0</v>
      </c>
      <c r="N197" s="267">
        <v>50.0</v>
      </c>
      <c r="O197" s="267" t="s">
        <v>1109</v>
      </c>
      <c r="P197" s="267">
        <v>50.0</v>
      </c>
      <c r="Q197" s="16" t="s">
        <v>2619</v>
      </c>
      <c r="R197" s="298"/>
      <c r="S197" s="267">
        <v>50.0</v>
      </c>
      <c r="T197" s="267">
        <v>50.0</v>
      </c>
      <c r="U197" s="16" t="s">
        <v>2620</v>
      </c>
      <c r="W197" s="267">
        <v>25.0</v>
      </c>
      <c r="X197" s="267">
        <v>50.0</v>
      </c>
      <c r="Y197" s="267">
        <v>50.0</v>
      </c>
      <c r="Z197" s="267">
        <v>100.0</v>
      </c>
      <c r="AA197" s="132" t="s">
        <v>2623</v>
      </c>
      <c r="AB197" s="16" t="s">
        <v>2624</v>
      </c>
      <c r="AC197" s="298"/>
      <c r="AI197" s="298"/>
    </row>
    <row r="198" ht="30.75" customHeight="1">
      <c r="A198" s="132" t="s">
        <v>462</v>
      </c>
      <c r="B198" s="279" t="s">
        <v>2626</v>
      </c>
      <c r="C198" s="132" t="s">
        <v>2627</v>
      </c>
      <c r="D198" s="298"/>
      <c r="E198" s="224">
        <v>45475.0</v>
      </c>
      <c r="F198" s="132" t="s">
        <v>736</v>
      </c>
      <c r="G198" s="132" t="s">
        <v>2629</v>
      </c>
      <c r="H198" s="132" t="s">
        <v>1065</v>
      </c>
      <c r="I198" s="132" t="s">
        <v>1065</v>
      </c>
      <c r="J198" s="132" t="s">
        <v>1067</v>
      </c>
      <c r="K198" s="267">
        <v>25.0</v>
      </c>
      <c r="L198" s="267">
        <v>25.0</v>
      </c>
      <c r="M198" s="267">
        <v>100.0</v>
      </c>
      <c r="N198" s="267">
        <v>50.0</v>
      </c>
      <c r="O198" s="267" t="s">
        <v>1109</v>
      </c>
      <c r="P198" s="267">
        <v>25.0</v>
      </c>
      <c r="Q198" s="16" t="s">
        <v>2631</v>
      </c>
      <c r="R198" s="298"/>
      <c r="S198" s="267">
        <v>50.0</v>
      </c>
      <c r="T198" s="267">
        <v>50.0</v>
      </c>
      <c r="U198" s="16" t="s">
        <v>2633</v>
      </c>
      <c r="V198" s="16" t="s">
        <v>2634</v>
      </c>
      <c r="W198" s="3"/>
      <c r="X198" s="3"/>
      <c r="Y198" s="3"/>
      <c r="Z198" s="3"/>
      <c r="AA198" s="3"/>
      <c r="AC198" s="298"/>
      <c r="AI198" s="298"/>
    </row>
    <row r="199" ht="30.75" customHeight="1">
      <c r="A199" s="132" t="s">
        <v>446</v>
      </c>
      <c r="B199" s="279" t="s">
        <v>2636</v>
      </c>
      <c r="C199" s="265">
        <v>45622.0</v>
      </c>
      <c r="D199" s="298"/>
      <c r="E199" s="224">
        <v>45475.0</v>
      </c>
      <c r="F199" s="132" t="s">
        <v>736</v>
      </c>
      <c r="G199" s="132" t="s">
        <v>2629</v>
      </c>
      <c r="H199" s="132" t="s">
        <v>1065</v>
      </c>
      <c r="I199" s="132" t="s">
        <v>1065</v>
      </c>
      <c r="J199" s="132" t="s">
        <v>1067</v>
      </c>
      <c r="K199" s="267">
        <v>25.0</v>
      </c>
      <c r="L199" s="267">
        <v>25.0</v>
      </c>
      <c r="M199" s="267">
        <v>100.0</v>
      </c>
      <c r="N199" s="267">
        <v>50.0</v>
      </c>
      <c r="P199" s="267">
        <v>50.0</v>
      </c>
      <c r="Q199" s="16" t="s">
        <v>1146</v>
      </c>
      <c r="R199" s="298"/>
      <c r="S199" s="3"/>
      <c r="T199" s="3"/>
      <c r="W199" s="3"/>
      <c r="X199" s="3"/>
      <c r="Y199" s="3"/>
      <c r="Z199" s="3"/>
      <c r="AA199" s="3"/>
      <c r="AC199" s="298"/>
      <c r="AI199" s="298"/>
    </row>
    <row r="200" ht="30.75" customHeight="1">
      <c r="A200" s="132" t="s">
        <v>1737</v>
      </c>
      <c r="B200" s="279" t="s">
        <v>2641</v>
      </c>
      <c r="C200" s="265">
        <v>45622.0</v>
      </c>
      <c r="D200" s="298"/>
      <c r="E200" s="224">
        <v>45481.0</v>
      </c>
      <c r="F200" s="132" t="s">
        <v>625</v>
      </c>
      <c r="G200" s="16" t="s">
        <v>2643</v>
      </c>
      <c r="H200" s="132" t="s">
        <v>1065</v>
      </c>
      <c r="I200" s="132" t="s">
        <v>1065</v>
      </c>
      <c r="J200" s="132" t="s">
        <v>1067</v>
      </c>
      <c r="K200" s="267">
        <v>25.0</v>
      </c>
      <c r="M200" s="3"/>
      <c r="N200" s="3"/>
      <c r="Q200" s="16" t="s">
        <v>2645</v>
      </c>
      <c r="R200" s="298"/>
      <c r="S200" s="3"/>
      <c r="T200" s="3"/>
      <c r="W200" s="3"/>
      <c r="X200" s="3"/>
      <c r="Y200" s="3"/>
      <c r="Z200" s="3"/>
      <c r="AA200" s="3"/>
      <c r="AC200" s="298"/>
      <c r="AI200" s="298"/>
    </row>
    <row r="201" ht="30.75" customHeight="1">
      <c r="A201" s="132" t="s">
        <v>402</v>
      </c>
      <c r="B201" s="279" t="s">
        <v>2648</v>
      </c>
      <c r="C201" s="132" t="s">
        <v>2594</v>
      </c>
      <c r="D201" s="298"/>
      <c r="E201" s="224">
        <v>45488.0</v>
      </c>
      <c r="F201" s="132" t="s">
        <v>736</v>
      </c>
      <c r="G201" s="16" t="s">
        <v>2650</v>
      </c>
      <c r="H201" s="132" t="s">
        <v>1065</v>
      </c>
      <c r="I201" s="132" t="s">
        <v>1065</v>
      </c>
      <c r="J201" s="132" t="s">
        <v>1067</v>
      </c>
      <c r="K201" s="267">
        <v>25.0</v>
      </c>
      <c r="L201" s="267">
        <v>25.0</v>
      </c>
      <c r="M201" s="267">
        <v>100.0</v>
      </c>
      <c r="N201" s="267">
        <v>50.0</v>
      </c>
      <c r="O201" s="267">
        <v>100.0</v>
      </c>
      <c r="P201" s="267">
        <v>50.0</v>
      </c>
      <c r="Q201" s="16" t="s">
        <v>2653</v>
      </c>
      <c r="R201" s="298"/>
      <c r="S201" s="267">
        <v>50.0</v>
      </c>
      <c r="T201" s="267">
        <v>50.0</v>
      </c>
      <c r="U201" s="16" t="s">
        <v>2655</v>
      </c>
      <c r="W201" s="267">
        <v>25.0</v>
      </c>
      <c r="X201" s="267">
        <v>50.0</v>
      </c>
      <c r="Y201" s="267">
        <v>50.0</v>
      </c>
      <c r="Z201" s="267">
        <v>100.0</v>
      </c>
      <c r="AA201" s="132" t="s">
        <v>2658</v>
      </c>
      <c r="AC201" s="298"/>
      <c r="AI201" s="298"/>
    </row>
    <row r="202" ht="30.75" customHeight="1">
      <c r="A202" s="132" t="s">
        <v>2660</v>
      </c>
      <c r="B202" s="279" t="s">
        <v>2661</v>
      </c>
      <c r="C202" s="265">
        <v>45622.0</v>
      </c>
      <c r="D202" s="298"/>
      <c r="E202" s="224">
        <v>45490.0</v>
      </c>
      <c r="F202" s="132" t="s">
        <v>625</v>
      </c>
      <c r="G202" s="16" t="s">
        <v>2662</v>
      </c>
      <c r="H202" s="132" t="s">
        <v>1065</v>
      </c>
      <c r="I202" s="132" t="s">
        <v>1065</v>
      </c>
      <c r="J202" s="132" t="s">
        <v>1067</v>
      </c>
      <c r="K202" s="267">
        <v>25.0</v>
      </c>
      <c r="M202" s="3"/>
      <c r="N202" s="3"/>
      <c r="Q202" s="16" t="s">
        <v>2665</v>
      </c>
      <c r="R202" s="298"/>
      <c r="S202" s="3"/>
      <c r="T202" s="3"/>
      <c r="W202" s="3"/>
      <c r="X202" s="3"/>
      <c r="Y202" s="3"/>
      <c r="Z202" s="3"/>
      <c r="AA202" s="3"/>
      <c r="AC202" s="298"/>
      <c r="AI202" s="298"/>
    </row>
    <row r="203" ht="30.75" customHeight="1">
      <c r="A203" s="132" t="s">
        <v>454</v>
      </c>
      <c r="B203" s="279" t="s">
        <v>2666</v>
      </c>
      <c r="C203" s="132" t="s">
        <v>2667</v>
      </c>
      <c r="D203" s="298"/>
      <c r="E203" s="224">
        <v>45491.0</v>
      </c>
      <c r="F203" s="132" t="s">
        <v>625</v>
      </c>
      <c r="G203" s="16" t="s">
        <v>2668</v>
      </c>
      <c r="H203" s="132" t="s">
        <v>1065</v>
      </c>
      <c r="I203" s="132" t="s">
        <v>1065</v>
      </c>
      <c r="J203" s="132" t="s">
        <v>1067</v>
      </c>
      <c r="K203" s="267">
        <v>25.0</v>
      </c>
      <c r="L203" s="267">
        <v>25.0</v>
      </c>
      <c r="M203" s="267">
        <v>100.0</v>
      </c>
      <c r="N203" s="267">
        <v>50.0</v>
      </c>
      <c r="O203" s="267" t="s">
        <v>1109</v>
      </c>
      <c r="P203" s="267">
        <v>50.0</v>
      </c>
      <c r="Q203" s="16" t="s">
        <v>2671</v>
      </c>
      <c r="R203" s="298"/>
      <c r="S203" s="267">
        <v>50.0</v>
      </c>
      <c r="T203" s="267">
        <v>50.0</v>
      </c>
      <c r="U203" s="16" t="s">
        <v>2674</v>
      </c>
      <c r="W203" s="267">
        <v>25.0</v>
      </c>
      <c r="X203" s="267">
        <v>50.0</v>
      </c>
      <c r="Y203" s="267">
        <v>50.0</v>
      </c>
      <c r="Z203" s="267">
        <v>100.0</v>
      </c>
      <c r="AA203" s="132" t="s">
        <v>1146</v>
      </c>
      <c r="AC203" s="298"/>
      <c r="AI203" s="298"/>
    </row>
    <row r="204" ht="30.75" customHeight="1">
      <c r="A204" s="132" t="s">
        <v>406</v>
      </c>
      <c r="B204" s="279" t="s">
        <v>2676</v>
      </c>
      <c r="C204" s="132" t="s">
        <v>2678</v>
      </c>
      <c r="D204" s="298"/>
      <c r="E204" s="224">
        <v>45492.0</v>
      </c>
      <c r="F204" s="132" t="s">
        <v>736</v>
      </c>
      <c r="G204" s="16" t="s">
        <v>2679</v>
      </c>
      <c r="H204" s="132" t="s">
        <v>1065</v>
      </c>
      <c r="I204" s="132" t="s">
        <v>1065</v>
      </c>
      <c r="J204" s="132" t="s">
        <v>1067</v>
      </c>
      <c r="K204" s="267">
        <v>25.0</v>
      </c>
      <c r="L204" s="267">
        <v>25.0</v>
      </c>
      <c r="M204" s="267">
        <v>100.0</v>
      </c>
      <c r="N204" s="267">
        <v>50.0</v>
      </c>
      <c r="O204" s="267" t="s">
        <v>1109</v>
      </c>
      <c r="P204" s="267">
        <v>25.0</v>
      </c>
      <c r="Q204" s="16" t="s">
        <v>2683</v>
      </c>
      <c r="R204" s="298"/>
      <c r="S204" s="267">
        <v>50.0</v>
      </c>
      <c r="T204" s="267">
        <v>50.0</v>
      </c>
      <c r="U204" s="16" t="s">
        <v>2685</v>
      </c>
      <c r="V204" s="16" t="s">
        <v>2687</v>
      </c>
      <c r="W204" s="267">
        <v>25.0</v>
      </c>
      <c r="X204" s="267">
        <v>50.0</v>
      </c>
      <c r="Y204" s="267">
        <v>50.0</v>
      </c>
      <c r="Z204" s="267">
        <v>100.0</v>
      </c>
      <c r="AA204" s="132" t="s">
        <v>2689</v>
      </c>
      <c r="AC204" s="298"/>
      <c r="AI204" s="298"/>
    </row>
    <row r="205" ht="30.75" customHeight="1">
      <c r="A205" s="132" t="s">
        <v>482</v>
      </c>
      <c r="B205" s="279" t="s">
        <v>2690</v>
      </c>
      <c r="C205" s="265">
        <v>45622.0</v>
      </c>
      <c r="D205" s="298"/>
      <c r="E205" s="224">
        <v>45496.0</v>
      </c>
      <c r="F205" s="132" t="s">
        <v>625</v>
      </c>
      <c r="G205" s="16" t="s">
        <v>2692</v>
      </c>
      <c r="H205" s="132" t="s">
        <v>1065</v>
      </c>
      <c r="I205" s="132" t="s">
        <v>1065</v>
      </c>
      <c r="J205" s="132" t="s">
        <v>1067</v>
      </c>
      <c r="K205" s="267">
        <v>25.0</v>
      </c>
      <c r="L205" s="267">
        <v>25.0</v>
      </c>
      <c r="M205" s="267">
        <v>100.0</v>
      </c>
      <c r="N205" s="267">
        <v>50.0</v>
      </c>
      <c r="O205" s="267" t="s">
        <v>1109</v>
      </c>
      <c r="P205" s="267">
        <v>25.0</v>
      </c>
      <c r="R205" s="298"/>
      <c r="S205" s="267">
        <v>50.0</v>
      </c>
      <c r="T205" s="267">
        <v>50.0</v>
      </c>
      <c r="U205" s="16" t="s">
        <v>1146</v>
      </c>
      <c r="W205" s="3"/>
      <c r="X205" s="3"/>
      <c r="Y205" s="3"/>
      <c r="Z205" s="3"/>
      <c r="AA205" s="3"/>
      <c r="AC205" s="298"/>
      <c r="AI205" s="298"/>
    </row>
    <row r="206" ht="30.75" customHeight="1">
      <c r="A206" s="132" t="s">
        <v>1798</v>
      </c>
      <c r="B206" s="279" t="s">
        <v>2695</v>
      </c>
      <c r="C206" s="265">
        <v>45622.0</v>
      </c>
      <c r="D206" s="298"/>
      <c r="E206" s="224">
        <v>45502.0</v>
      </c>
      <c r="F206" s="132" t="s">
        <v>736</v>
      </c>
      <c r="G206" s="16" t="s">
        <v>2696</v>
      </c>
      <c r="H206" s="132" t="s">
        <v>1065</v>
      </c>
      <c r="I206" s="132" t="s">
        <v>1065</v>
      </c>
      <c r="J206" s="132" t="s">
        <v>1067</v>
      </c>
      <c r="K206" s="267">
        <v>25.0</v>
      </c>
      <c r="M206" s="3"/>
      <c r="N206" s="3"/>
      <c r="R206" s="298"/>
      <c r="S206" s="3"/>
      <c r="T206" s="3"/>
      <c r="W206" s="3"/>
      <c r="X206" s="3"/>
      <c r="Y206" s="3"/>
      <c r="Z206" s="3"/>
      <c r="AA206" s="3"/>
      <c r="AC206" s="298"/>
      <c r="AI206" s="298"/>
    </row>
    <row r="207" ht="30.75" customHeight="1">
      <c r="A207" s="132" t="s">
        <v>456</v>
      </c>
      <c r="B207" s="279" t="s">
        <v>2698</v>
      </c>
      <c r="C207" s="265">
        <v>45622.0</v>
      </c>
      <c r="D207" s="298"/>
      <c r="E207" s="224">
        <v>45504.0</v>
      </c>
      <c r="F207" s="132" t="s">
        <v>736</v>
      </c>
      <c r="G207" s="16" t="s">
        <v>2699</v>
      </c>
      <c r="H207" s="132" t="s">
        <v>1065</v>
      </c>
      <c r="I207" s="132" t="s">
        <v>1065</v>
      </c>
      <c r="J207" s="132" t="s">
        <v>1067</v>
      </c>
      <c r="K207" s="267">
        <v>25.0</v>
      </c>
      <c r="L207" s="267">
        <v>25.0</v>
      </c>
      <c r="M207" s="267">
        <v>100.0</v>
      </c>
      <c r="N207" s="267">
        <v>50.0</v>
      </c>
      <c r="O207" s="267" t="s">
        <v>1109</v>
      </c>
      <c r="P207" s="267">
        <v>25.0</v>
      </c>
      <c r="Q207" s="16" t="s">
        <v>2702</v>
      </c>
      <c r="R207" s="298"/>
      <c r="S207" s="3"/>
      <c r="T207" s="3"/>
      <c r="W207" s="3"/>
      <c r="X207" s="3"/>
      <c r="Y207" s="3"/>
      <c r="Z207" s="3"/>
      <c r="AA207" s="3"/>
      <c r="AC207" s="298"/>
      <c r="AI207" s="298"/>
    </row>
    <row r="208" ht="30.75" customHeight="1">
      <c r="A208" s="132" t="s">
        <v>467</v>
      </c>
      <c r="B208" s="279" t="s">
        <v>2705</v>
      </c>
      <c r="C208" s="265">
        <v>45622.0</v>
      </c>
      <c r="D208" s="298"/>
      <c r="E208" s="224">
        <v>45509.0</v>
      </c>
      <c r="F208" s="132" t="s">
        <v>625</v>
      </c>
      <c r="G208" s="16" t="s">
        <v>2707</v>
      </c>
      <c r="H208" s="132" t="s">
        <v>1065</v>
      </c>
      <c r="I208" s="132" t="s">
        <v>1065</v>
      </c>
      <c r="J208" s="132" t="s">
        <v>1067</v>
      </c>
      <c r="K208" s="267">
        <v>25.0</v>
      </c>
      <c r="L208" s="267">
        <v>25.0</v>
      </c>
      <c r="M208" s="267">
        <v>25.0</v>
      </c>
      <c r="N208" s="267">
        <v>50.0</v>
      </c>
      <c r="P208" s="267">
        <v>25.0</v>
      </c>
      <c r="R208" s="298"/>
      <c r="S208" s="3"/>
      <c r="T208" s="3"/>
      <c r="W208" s="3"/>
      <c r="X208" s="3"/>
      <c r="Y208" s="3"/>
      <c r="Z208" s="3"/>
      <c r="AA208" s="3"/>
      <c r="AC208" s="298"/>
      <c r="AI208" s="298"/>
    </row>
    <row r="209" ht="30.75" customHeight="1">
      <c r="A209" s="132" t="s">
        <v>400</v>
      </c>
      <c r="B209" s="279" t="s">
        <v>2709</v>
      </c>
      <c r="C209" s="265">
        <v>45622.0</v>
      </c>
      <c r="D209" s="298"/>
      <c r="E209" s="224">
        <v>45519.0</v>
      </c>
      <c r="F209" s="132" t="s">
        <v>736</v>
      </c>
      <c r="G209" s="16" t="s">
        <v>2710</v>
      </c>
      <c r="H209" s="132" t="s">
        <v>1065</v>
      </c>
      <c r="I209" s="132" t="s">
        <v>1065</v>
      </c>
      <c r="J209" s="132" t="s">
        <v>1067</v>
      </c>
      <c r="K209" s="267">
        <v>25.0</v>
      </c>
      <c r="L209" s="267">
        <v>25.0</v>
      </c>
      <c r="M209" s="267">
        <v>100.0</v>
      </c>
      <c r="N209" s="267">
        <v>50.0</v>
      </c>
      <c r="P209" s="267">
        <v>25.0</v>
      </c>
      <c r="R209" s="298"/>
      <c r="S209" s="267">
        <v>50.0</v>
      </c>
      <c r="T209" s="267">
        <v>50.0</v>
      </c>
      <c r="U209" s="16" t="s">
        <v>2713</v>
      </c>
      <c r="W209" s="267">
        <v>25.0</v>
      </c>
      <c r="X209" s="267">
        <v>50.0</v>
      </c>
      <c r="Y209" s="267">
        <v>50.0</v>
      </c>
      <c r="Z209" s="267">
        <v>100.0</v>
      </c>
      <c r="AA209" s="132" t="s">
        <v>1146</v>
      </c>
      <c r="AC209" s="298"/>
      <c r="AI209" s="298"/>
    </row>
    <row r="210" ht="30.75" customHeight="1">
      <c r="A210" s="132" t="s">
        <v>428</v>
      </c>
      <c r="B210" s="279" t="s">
        <v>2715</v>
      </c>
      <c r="C210" s="132" t="s">
        <v>2594</v>
      </c>
      <c r="D210" s="298"/>
      <c r="E210" s="224">
        <v>45523.0</v>
      </c>
      <c r="F210" s="132" t="s">
        <v>736</v>
      </c>
      <c r="G210" s="16" t="s">
        <v>2716</v>
      </c>
      <c r="H210" s="132" t="s">
        <v>1065</v>
      </c>
      <c r="I210" s="132" t="s">
        <v>1065</v>
      </c>
      <c r="J210" s="132" t="s">
        <v>1067</v>
      </c>
      <c r="K210" s="267">
        <v>25.0</v>
      </c>
      <c r="L210" s="267">
        <v>25.0</v>
      </c>
      <c r="M210" s="267">
        <v>100.0</v>
      </c>
      <c r="N210" s="267">
        <v>50.0</v>
      </c>
      <c r="P210" s="267">
        <v>50.0</v>
      </c>
      <c r="R210" s="298"/>
      <c r="S210" s="267">
        <v>50.0</v>
      </c>
      <c r="T210" s="267">
        <v>50.0</v>
      </c>
      <c r="W210" s="267">
        <v>25.0</v>
      </c>
      <c r="X210" s="267">
        <v>50.0</v>
      </c>
      <c r="Y210" s="267">
        <v>50.0</v>
      </c>
      <c r="Z210" s="267">
        <v>100.0</v>
      </c>
      <c r="AA210" s="132" t="s">
        <v>1146</v>
      </c>
      <c r="AC210" s="298"/>
      <c r="AI210" s="298"/>
    </row>
    <row r="211" ht="30.75" customHeight="1">
      <c r="A211" s="132" t="s">
        <v>1804</v>
      </c>
      <c r="B211" s="279" t="s">
        <v>2719</v>
      </c>
      <c r="C211" s="265">
        <v>45622.0</v>
      </c>
      <c r="D211" s="298"/>
      <c r="E211" s="232">
        <v>45526.0</v>
      </c>
      <c r="F211" s="132" t="s">
        <v>625</v>
      </c>
      <c r="G211" s="16" t="s">
        <v>2720</v>
      </c>
      <c r="H211" s="132" t="s">
        <v>1065</v>
      </c>
      <c r="I211" s="132" t="s">
        <v>1065</v>
      </c>
      <c r="J211" s="132" t="s">
        <v>1067</v>
      </c>
      <c r="K211" s="267">
        <v>25.0</v>
      </c>
      <c r="L211" s="3"/>
      <c r="Q211" s="16" t="s">
        <v>2722</v>
      </c>
      <c r="R211" s="298"/>
      <c r="S211" s="3"/>
      <c r="T211" s="3"/>
      <c r="W211" s="3"/>
      <c r="X211" s="3"/>
      <c r="Y211" s="3"/>
      <c r="Z211" s="3"/>
      <c r="AA211" s="3"/>
      <c r="AC211" s="298"/>
      <c r="AI211" s="298"/>
    </row>
    <row r="212" ht="30.75" customHeight="1">
      <c r="A212" s="132" t="s">
        <v>489</v>
      </c>
      <c r="B212" s="279" t="s">
        <v>2724</v>
      </c>
      <c r="C212" s="265">
        <v>45622.0</v>
      </c>
      <c r="D212" s="298"/>
      <c r="E212" s="232">
        <v>45530.0</v>
      </c>
      <c r="F212" s="132" t="s">
        <v>28</v>
      </c>
      <c r="G212" s="16" t="s">
        <v>2726</v>
      </c>
      <c r="H212" s="132" t="s">
        <v>1065</v>
      </c>
      <c r="I212" s="132" t="s">
        <v>1065</v>
      </c>
      <c r="J212" s="132" t="s">
        <v>1067</v>
      </c>
      <c r="K212" s="267">
        <v>25.0</v>
      </c>
      <c r="L212" s="267">
        <v>25.0</v>
      </c>
      <c r="M212" s="267">
        <v>25.0</v>
      </c>
      <c r="N212" s="267">
        <v>50.0</v>
      </c>
      <c r="O212" s="267" t="s">
        <v>1109</v>
      </c>
      <c r="P212" s="267">
        <v>50.0</v>
      </c>
      <c r="Q212" s="16" t="s">
        <v>2728</v>
      </c>
      <c r="R212" s="298"/>
      <c r="S212" s="3"/>
      <c r="T212" s="3"/>
      <c r="W212" s="3"/>
      <c r="X212" s="3"/>
      <c r="Y212" s="3"/>
      <c r="Z212" s="3"/>
      <c r="AA212" s="3"/>
      <c r="AC212" s="298"/>
      <c r="AI212" s="298"/>
    </row>
    <row r="213" ht="30.75" customHeight="1">
      <c r="A213" s="132" t="s">
        <v>434</v>
      </c>
      <c r="B213" s="279" t="s">
        <v>2730</v>
      </c>
      <c r="C213" s="132" t="s">
        <v>2732</v>
      </c>
      <c r="D213" s="298"/>
      <c r="E213" s="222">
        <v>45531.0</v>
      </c>
      <c r="F213" s="132" t="s">
        <v>1370</v>
      </c>
      <c r="G213" s="16" t="s">
        <v>2434</v>
      </c>
      <c r="H213" s="132" t="s">
        <v>1065</v>
      </c>
      <c r="I213" s="132" t="s">
        <v>1065</v>
      </c>
      <c r="J213" s="132" t="s">
        <v>1067</v>
      </c>
      <c r="K213" s="267">
        <v>25.0</v>
      </c>
      <c r="L213" s="267">
        <v>25.0</v>
      </c>
      <c r="M213" s="267">
        <v>100.0</v>
      </c>
      <c r="N213" s="267">
        <v>50.0</v>
      </c>
      <c r="O213" s="267" t="s">
        <v>1109</v>
      </c>
      <c r="P213" s="267">
        <v>50.0</v>
      </c>
      <c r="Q213" s="16" t="s">
        <v>2735</v>
      </c>
      <c r="R213" s="298"/>
      <c r="S213" s="267">
        <v>50.0</v>
      </c>
      <c r="T213" s="267">
        <v>50.0</v>
      </c>
      <c r="U213" s="16" t="s">
        <v>2737</v>
      </c>
      <c r="W213" s="267">
        <v>25.0</v>
      </c>
      <c r="X213" s="267">
        <v>50.0</v>
      </c>
      <c r="Y213" s="267">
        <v>50.0</v>
      </c>
      <c r="Z213" s="267">
        <v>100.0</v>
      </c>
      <c r="AA213" s="132" t="s">
        <v>2740</v>
      </c>
      <c r="AC213" s="298"/>
      <c r="AI213" s="298"/>
    </row>
    <row r="214" ht="30.75" customHeight="1">
      <c r="A214" s="132" t="s">
        <v>443</v>
      </c>
      <c r="B214" s="279" t="s">
        <v>2741</v>
      </c>
      <c r="C214" s="265">
        <v>45622.0</v>
      </c>
      <c r="D214" s="298"/>
      <c r="E214" s="224">
        <v>45532.0</v>
      </c>
      <c r="F214" s="132" t="s">
        <v>736</v>
      </c>
      <c r="G214" s="16" t="s">
        <v>2434</v>
      </c>
      <c r="H214" s="132" t="s">
        <v>1065</v>
      </c>
      <c r="I214" s="132" t="s">
        <v>1065</v>
      </c>
      <c r="J214" s="132" t="s">
        <v>1067</v>
      </c>
      <c r="K214" s="267">
        <v>25.0</v>
      </c>
      <c r="L214" s="267">
        <v>25.0</v>
      </c>
      <c r="M214" s="267">
        <v>100.0</v>
      </c>
      <c r="N214" s="267">
        <v>50.0</v>
      </c>
      <c r="O214" s="267" t="s">
        <v>1769</v>
      </c>
      <c r="P214" s="267">
        <v>25.0</v>
      </c>
      <c r="Q214" s="16" t="s">
        <v>2744</v>
      </c>
      <c r="R214" s="298"/>
      <c r="S214" s="3"/>
      <c r="T214" s="3"/>
      <c r="W214" s="3"/>
      <c r="X214" s="3"/>
      <c r="Y214" s="3"/>
      <c r="Z214" s="3"/>
      <c r="AA214" s="3"/>
      <c r="AC214" s="298"/>
      <c r="AI214" s="298"/>
    </row>
    <row r="215" ht="30.75" customHeight="1">
      <c r="A215" s="132" t="s">
        <v>431</v>
      </c>
      <c r="B215" s="279" t="s">
        <v>2745</v>
      </c>
      <c r="C215" s="132" t="s">
        <v>2747</v>
      </c>
      <c r="D215" s="298"/>
      <c r="E215" s="224">
        <v>45534.0</v>
      </c>
      <c r="F215" s="132" t="s">
        <v>736</v>
      </c>
      <c r="G215" s="16" t="s">
        <v>2434</v>
      </c>
      <c r="H215" s="132" t="s">
        <v>1065</v>
      </c>
      <c r="I215" s="132" t="s">
        <v>1065</v>
      </c>
      <c r="J215" s="132" t="s">
        <v>1067</v>
      </c>
      <c r="K215" s="267">
        <v>25.0</v>
      </c>
      <c r="L215" s="267">
        <v>25.0</v>
      </c>
      <c r="M215" s="267">
        <v>100.0</v>
      </c>
      <c r="N215" s="267">
        <v>50.0</v>
      </c>
      <c r="O215" s="267">
        <v>100.0</v>
      </c>
      <c r="P215" s="267">
        <v>25.0</v>
      </c>
      <c r="Q215" s="16" t="s">
        <v>2751</v>
      </c>
      <c r="R215" s="298"/>
      <c r="S215" s="267">
        <v>50.0</v>
      </c>
      <c r="T215" s="267">
        <v>50.0</v>
      </c>
      <c r="U215" s="16" t="s">
        <v>2753</v>
      </c>
      <c r="W215" s="267">
        <v>25.0</v>
      </c>
      <c r="X215" s="267">
        <v>50.0</v>
      </c>
      <c r="Y215" s="267">
        <v>50.0</v>
      </c>
      <c r="Z215" s="267">
        <v>100.0</v>
      </c>
      <c r="AA215" s="132" t="s">
        <v>2755</v>
      </c>
      <c r="AC215" s="298"/>
      <c r="AI215" s="298"/>
    </row>
    <row r="216" ht="30.75" customHeight="1">
      <c r="A216" s="132" t="s">
        <v>410</v>
      </c>
      <c r="B216" s="279" t="s">
        <v>2757</v>
      </c>
      <c r="C216" s="132" t="s">
        <v>2758</v>
      </c>
      <c r="D216" s="298"/>
      <c r="E216" s="224">
        <v>45538.0</v>
      </c>
      <c r="F216" s="132" t="s">
        <v>736</v>
      </c>
      <c r="G216" s="16" t="s">
        <v>2434</v>
      </c>
      <c r="H216" s="132" t="s">
        <v>1065</v>
      </c>
      <c r="I216" s="132" t="s">
        <v>1065</v>
      </c>
      <c r="J216" s="132" t="s">
        <v>1067</v>
      </c>
      <c r="K216" s="267">
        <v>25.0</v>
      </c>
      <c r="L216" s="267">
        <v>25.0</v>
      </c>
      <c r="M216" s="267">
        <v>100.0</v>
      </c>
      <c r="N216" s="267">
        <v>50.0</v>
      </c>
      <c r="P216" s="267">
        <v>25.0</v>
      </c>
      <c r="Q216" s="16" t="s">
        <v>2764</v>
      </c>
      <c r="R216" s="298"/>
      <c r="S216" s="267">
        <v>50.0</v>
      </c>
      <c r="T216" s="267">
        <v>50.0</v>
      </c>
      <c r="U216" s="16" t="s">
        <v>2766</v>
      </c>
      <c r="W216" s="267">
        <v>25.0</v>
      </c>
      <c r="X216" s="267">
        <v>50.0</v>
      </c>
      <c r="Y216" s="267">
        <v>50.0</v>
      </c>
      <c r="Z216" s="267">
        <v>100.0</v>
      </c>
      <c r="AA216" s="132" t="s">
        <v>2767</v>
      </c>
      <c r="AB216" s="16" t="s">
        <v>2467</v>
      </c>
      <c r="AC216" s="298"/>
      <c r="AI216" s="298"/>
    </row>
    <row r="217" ht="30.75" customHeight="1">
      <c r="A217" s="132" t="s">
        <v>600</v>
      </c>
      <c r="B217" s="279" t="s">
        <v>2769</v>
      </c>
      <c r="C217" s="265">
        <v>45622.0</v>
      </c>
      <c r="D217" s="298"/>
      <c r="E217" s="224">
        <v>45541.0</v>
      </c>
      <c r="F217" s="132" t="s">
        <v>736</v>
      </c>
      <c r="G217" s="16" t="s">
        <v>2434</v>
      </c>
      <c r="H217" s="132" t="s">
        <v>1065</v>
      </c>
      <c r="I217" s="132" t="s">
        <v>1065</v>
      </c>
      <c r="J217" s="132" t="s">
        <v>1067</v>
      </c>
      <c r="K217" s="267">
        <v>25.0</v>
      </c>
      <c r="L217" s="267">
        <v>25.0</v>
      </c>
      <c r="N217" s="267">
        <v>50.0</v>
      </c>
      <c r="P217" s="267">
        <v>25.0</v>
      </c>
      <c r="Q217" s="16" t="s">
        <v>2772</v>
      </c>
      <c r="R217" s="298"/>
      <c r="S217" s="3"/>
      <c r="T217" s="3"/>
      <c r="W217" s="3"/>
      <c r="X217" s="3"/>
      <c r="Y217" s="3"/>
      <c r="Z217" s="3"/>
      <c r="AA217" s="3"/>
      <c r="AC217" s="298"/>
      <c r="AI217" s="298"/>
    </row>
    <row r="218" ht="30.75" customHeight="1">
      <c r="A218" s="124" t="s">
        <v>503</v>
      </c>
      <c r="B218" s="279" t="s">
        <v>2775</v>
      </c>
      <c r="C218" s="265">
        <v>45622.0</v>
      </c>
      <c r="D218" s="298"/>
      <c r="E218" s="224">
        <v>45555.0</v>
      </c>
      <c r="F218" s="132" t="s">
        <v>625</v>
      </c>
      <c r="G218" s="16" t="s">
        <v>2434</v>
      </c>
      <c r="H218" s="132" t="s">
        <v>1065</v>
      </c>
      <c r="I218" s="132" t="s">
        <v>1065</v>
      </c>
      <c r="J218" s="132" t="s">
        <v>1067</v>
      </c>
      <c r="K218" s="267">
        <v>25.0</v>
      </c>
      <c r="L218" s="267">
        <v>25.0</v>
      </c>
      <c r="M218" s="267">
        <v>50.0</v>
      </c>
      <c r="N218" s="267">
        <v>50.0</v>
      </c>
      <c r="O218" s="267" t="s">
        <v>1109</v>
      </c>
      <c r="P218" s="267">
        <v>25.0</v>
      </c>
      <c r="Q218" s="16" t="s">
        <v>2778</v>
      </c>
      <c r="R218" s="298"/>
      <c r="S218" s="3"/>
      <c r="T218" s="3"/>
      <c r="W218" s="3"/>
      <c r="X218" s="3"/>
      <c r="Y218" s="3"/>
      <c r="Z218" s="3"/>
      <c r="AA218" s="3"/>
      <c r="AC218" s="298"/>
      <c r="AI218" s="298"/>
    </row>
    <row r="219" ht="30.75" customHeight="1">
      <c r="A219" s="132" t="s">
        <v>512</v>
      </c>
      <c r="B219" s="279" t="s">
        <v>2780</v>
      </c>
      <c r="C219" s="265">
        <v>45622.0</v>
      </c>
      <c r="D219" s="298"/>
      <c r="E219" s="224">
        <v>45547.0</v>
      </c>
      <c r="F219" s="132" t="s">
        <v>625</v>
      </c>
      <c r="G219" s="16" t="s">
        <v>2434</v>
      </c>
      <c r="H219" s="132" t="s">
        <v>1065</v>
      </c>
      <c r="I219" s="132" t="s">
        <v>1065</v>
      </c>
      <c r="J219" s="132" t="s">
        <v>1067</v>
      </c>
      <c r="K219" s="267">
        <v>25.0</v>
      </c>
      <c r="L219" s="267">
        <v>25.0</v>
      </c>
      <c r="M219" s="267">
        <v>100.0</v>
      </c>
      <c r="N219" s="267">
        <v>50.0</v>
      </c>
      <c r="O219" s="267" t="s">
        <v>1109</v>
      </c>
      <c r="P219" s="267">
        <v>50.0</v>
      </c>
      <c r="Q219" s="16" t="s">
        <v>2784</v>
      </c>
      <c r="R219" s="298"/>
      <c r="S219" s="3"/>
      <c r="T219" s="3"/>
      <c r="W219" s="3"/>
      <c r="X219" s="3"/>
      <c r="Y219" s="3"/>
      <c r="Z219" s="3"/>
      <c r="AA219" s="3"/>
      <c r="AC219" s="298"/>
      <c r="AI219" s="298"/>
    </row>
    <row r="220" ht="30.75" customHeight="1">
      <c r="A220" s="132" t="s">
        <v>407</v>
      </c>
      <c r="B220" s="279" t="s">
        <v>2786</v>
      </c>
      <c r="C220" s="265">
        <v>45805.0</v>
      </c>
      <c r="D220" s="298"/>
      <c r="E220" s="224">
        <v>45547.0</v>
      </c>
      <c r="F220" s="132" t="s">
        <v>625</v>
      </c>
      <c r="G220" s="16" t="s">
        <v>2434</v>
      </c>
      <c r="H220" s="132" t="s">
        <v>1065</v>
      </c>
      <c r="I220" s="132" t="s">
        <v>1065</v>
      </c>
      <c r="J220" s="132" t="s">
        <v>1067</v>
      </c>
      <c r="K220" s="267">
        <v>25.0</v>
      </c>
      <c r="L220" s="267">
        <v>25.0</v>
      </c>
      <c r="M220" s="267">
        <v>100.0</v>
      </c>
      <c r="N220" s="267">
        <v>50.0</v>
      </c>
      <c r="O220" s="3"/>
      <c r="P220" s="267">
        <v>25.0</v>
      </c>
      <c r="Q220" s="16" t="s">
        <v>2789</v>
      </c>
      <c r="R220" s="298"/>
      <c r="S220" s="267">
        <v>50.0</v>
      </c>
      <c r="T220" s="267">
        <v>50.0</v>
      </c>
      <c r="U220" s="16" t="s">
        <v>2792</v>
      </c>
      <c r="V220" s="16" t="s">
        <v>1147</v>
      </c>
      <c r="W220" s="3"/>
      <c r="X220" s="3"/>
      <c r="Y220" s="3"/>
      <c r="Z220" s="3"/>
      <c r="AA220" s="3"/>
      <c r="AC220" s="298"/>
      <c r="AI220" s="298"/>
    </row>
    <row r="221" ht="30.75" customHeight="1">
      <c r="A221" s="132" t="s">
        <v>438</v>
      </c>
      <c r="B221" s="279" t="s">
        <v>2794</v>
      </c>
      <c r="C221" s="265">
        <v>46323.0</v>
      </c>
      <c r="D221" s="298"/>
      <c r="E221" s="224">
        <v>45548.0</v>
      </c>
      <c r="F221" s="132" t="s">
        <v>736</v>
      </c>
      <c r="G221" s="16" t="s">
        <v>2434</v>
      </c>
      <c r="H221" s="132" t="s">
        <v>1065</v>
      </c>
      <c r="I221" s="132" t="s">
        <v>1065</v>
      </c>
      <c r="J221" s="132" t="s">
        <v>1067</v>
      </c>
      <c r="K221" s="267">
        <v>25.0</v>
      </c>
      <c r="L221" s="267">
        <v>25.0</v>
      </c>
      <c r="M221" s="267">
        <v>100.0</v>
      </c>
      <c r="N221" s="267">
        <v>50.0</v>
      </c>
      <c r="P221" s="267">
        <v>50.0</v>
      </c>
      <c r="Q221" s="16" t="s">
        <v>2797</v>
      </c>
      <c r="R221" s="298"/>
      <c r="S221" s="267">
        <v>50.0</v>
      </c>
      <c r="T221" s="267">
        <v>50.0</v>
      </c>
      <c r="U221" s="16" t="s">
        <v>2799</v>
      </c>
      <c r="W221" s="267">
        <v>25.0</v>
      </c>
      <c r="X221" s="267">
        <v>50.0</v>
      </c>
      <c r="Y221" s="267">
        <v>50.0</v>
      </c>
      <c r="Z221" s="267">
        <v>100.0</v>
      </c>
      <c r="AA221" s="132" t="s">
        <v>1148</v>
      </c>
      <c r="AC221" s="298"/>
      <c r="AI221" s="298"/>
    </row>
    <row r="222" ht="30.75" customHeight="1">
      <c r="A222" s="132" t="s">
        <v>2801</v>
      </c>
      <c r="B222" s="279" t="s">
        <v>2802</v>
      </c>
      <c r="C222" s="265">
        <v>45622.0</v>
      </c>
      <c r="D222" s="298"/>
      <c r="E222" s="224">
        <v>45551.0</v>
      </c>
      <c r="F222" s="132" t="s">
        <v>625</v>
      </c>
      <c r="G222" s="16" t="s">
        <v>2434</v>
      </c>
      <c r="H222" s="132" t="s">
        <v>1065</v>
      </c>
      <c r="I222" s="132" t="s">
        <v>1065</v>
      </c>
      <c r="J222" s="132" t="s">
        <v>1067</v>
      </c>
      <c r="K222" s="267">
        <v>25.0</v>
      </c>
      <c r="L222" s="3"/>
      <c r="Q222" s="16" t="s">
        <v>2805</v>
      </c>
      <c r="R222" s="298"/>
      <c r="S222" s="3"/>
      <c r="T222" s="3"/>
      <c r="W222" s="3"/>
      <c r="X222" s="3"/>
      <c r="Y222" s="3"/>
      <c r="Z222" s="3"/>
      <c r="AA222" s="3"/>
      <c r="AC222" s="298"/>
      <c r="AI222" s="298"/>
    </row>
    <row r="223" ht="30.75" customHeight="1">
      <c r="A223" s="132" t="s">
        <v>493</v>
      </c>
      <c r="B223" s="279" t="s">
        <v>2807</v>
      </c>
      <c r="C223" s="265">
        <v>45622.0</v>
      </c>
      <c r="D223" s="298"/>
      <c r="E223" s="224">
        <v>45552.0</v>
      </c>
      <c r="F223" s="132" t="s">
        <v>736</v>
      </c>
      <c r="G223" s="16" t="s">
        <v>2434</v>
      </c>
      <c r="H223" s="132" t="s">
        <v>1065</v>
      </c>
      <c r="I223" s="132" t="s">
        <v>1065</v>
      </c>
      <c r="J223" s="132" t="s">
        <v>1067</v>
      </c>
      <c r="K223" s="267">
        <v>25.0</v>
      </c>
      <c r="L223" s="267">
        <v>25.0</v>
      </c>
      <c r="M223" s="267">
        <v>100.0</v>
      </c>
      <c r="N223" s="267">
        <v>50.0</v>
      </c>
      <c r="O223" s="267" t="s">
        <v>1109</v>
      </c>
      <c r="P223" s="267">
        <v>50.0</v>
      </c>
      <c r="Q223" s="16" t="s">
        <v>2811</v>
      </c>
      <c r="R223" s="298"/>
      <c r="S223" s="267">
        <v>50.0</v>
      </c>
      <c r="T223" s="267">
        <v>50.0</v>
      </c>
      <c r="U223" s="16" t="s">
        <v>2813</v>
      </c>
      <c r="W223" s="3"/>
      <c r="X223" s="267">
        <v>50.0</v>
      </c>
      <c r="Y223" s="3"/>
      <c r="Z223" s="3"/>
      <c r="AA223" s="16" t="s">
        <v>2814</v>
      </c>
      <c r="AC223" s="298"/>
      <c r="AI223" s="298"/>
    </row>
    <row r="224" ht="30.75" customHeight="1">
      <c r="A224" s="132" t="s">
        <v>496</v>
      </c>
      <c r="B224" s="279" t="s">
        <v>2815</v>
      </c>
      <c r="C224" s="265">
        <v>45622.0</v>
      </c>
      <c r="D224" s="298"/>
      <c r="E224" s="224">
        <v>45565.0</v>
      </c>
      <c r="F224" s="132" t="s">
        <v>625</v>
      </c>
      <c r="G224" s="16" t="s">
        <v>2434</v>
      </c>
      <c r="H224" s="132" t="s">
        <v>1065</v>
      </c>
      <c r="I224" s="132" t="s">
        <v>1065</v>
      </c>
      <c r="J224" s="132" t="s">
        <v>1067</v>
      </c>
      <c r="K224" s="267">
        <v>25.0</v>
      </c>
      <c r="L224" s="267">
        <v>25.0</v>
      </c>
      <c r="M224" s="267">
        <v>100.0</v>
      </c>
      <c r="N224" s="267">
        <v>50.0</v>
      </c>
      <c r="P224" s="267">
        <v>50.0</v>
      </c>
      <c r="R224" s="298"/>
      <c r="S224" s="267">
        <v>50.0</v>
      </c>
      <c r="T224" s="267">
        <v>50.0</v>
      </c>
      <c r="U224" s="16" t="s">
        <v>1146</v>
      </c>
      <c r="W224" s="383">
        <v>25.0</v>
      </c>
      <c r="X224" s="383">
        <v>50.0</v>
      </c>
      <c r="Z224" s="383">
        <v>100.0</v>
      </c>
      <c r="AA224" s="39" t="s">
        <v>1146</v>
      </c>
      <c r="AC224" s="298"/>
      <c r="AI224" s="298"/>
    </row>
    <row r="225" ht="30.75" customHeight="1">
      <c r="A225" s="132" t="s">
        <v>549</v>
      </c>
      <c r="B225" s="279" t="s">
        <v>2816</v>
      </c>
      <c r="C225" s="265">
        <v>45622.0</v>
      </c>
      <c r="D225" s="298"/>
      <c r="E225" s="222">
        <v>45574.0</v>
      </c>
      <c r="F225" s="132" t="s">
        <v>625</v>
      </c>
      <c r="G225" s="16" t="s">
        <v>2434</v>
      </c>
      <c r="H225" s="132" t="s">
        <v>1065</v>
      </c>
      <c r="I225" s="132" t="s">
        <v>1065</v>
      </c>
      <c r="J225" s="132" t="s">
        <v>1067</v>
      </c>
      <c r="K225" s="267">
        <v>25.0</v>
      </c>
      <c r="L225" s="267">
        <v>25.0</v>
      </c>
      <c r="N225" s="267">
        <v>50.0</v>
      </c>
      <c r="O225" s="3"/>
      <c r="P225" s="267">
        <v>25.0</v>
      </c>
      <c r="Q225" s="16" t="s">
        <v>2817</v>
      </c>
      <c r="R225" s="298"/>
      <c r="S225" s="3"/>
      <c r="T225" s="3"/>
      <c r="W225" s="3"/>
      <c r="X225" s="3"/>
      <c r="Y225" s="3"/>
      <c r="Z225" s="3"/>
      <c r="AA225" s="3"/>
      <c r="AC225" s="298"/>
      <c r="AI225" s="298"/>
    </row>
    <row r="226" ht="30.75" customHeight="1">
      <c r="A226" s="132" t="s">
        <v>1810</v>
      </c>
      <c r="B226" s="279" t="s">
        <v>2818</v>
      </c>
      <c r="C226" s="265">
        <v>45622.0</v>
      </c>
      <c r="D226" s="298"/>
      <c r="E226" s="224">
        <v>45575.0</v>
      </c>
      <c r="F226" s="132" t="s">
        <v>736</v>
      </c>
      <c r="G226" s="16" t="s">
        <v>2434</v>
      </c>
      <c r="H226" s="132" t="s">
        <v>1065</v>
      </c>
      <c r="I226" s="132" t="s">
        <v>1065</v>
      </c>
      <c r="J226" s="132" t="s">
        <v>1067</v>
      </c>
      <c r="K226" s="267">
        <v>25.0</v>
      </c>
      <c r="L226" s="3"/>
      <c r="Q226" s="16" t="s">
        <v>2819</v>
      </c>
      <c r="R226" s="298"/>
      <c r="S226" s="3"/>
      <c r="T226" s="3"/>
      <c r="W226" s="3"/>
      <c r="X226" s="3"/>
      <c r="Y226" s="3"/>
      <c r="Z226" s="3"/>
      <c r="AA226" s="3"/>
      <c r="AC226" s="298"/>
      <c r="AI226" s="298"/>
    </row>
    <row r="227" ht="30.75" customHeight="1">
      <c r="A227" s="132" t="s">
        <v>517</v>
      </c>
      <c r="B227" s="279" t="s">
        <v>2820</v>
      </c>
      <c r="C227" s="265">
        <v>45622.0</v>
      </c>
      <c r="D227" s="298"/>
      <c r="E227" s="224">
        <v>45583.0</v>
      </c>
      <c r="F227" s="132" t="s">
        <v>625</v>
      </c>
      <c r="G227" s="16" t="s">
        <v>2434</v>
      </c>
      <c r="H227" s="132" t="s">
        <v>1065</v>
      </c>
      <c r="I227" s="132" t="s">
        <v>1065</v>
      </c>
      <c r="J227" s="132" t="s">
        <v>1067</v>
      </c>
      <c r="K227" s="267">
        <v>25.0</v>
      </c>
      <c r="L227" s="267">
        <v>25.0</v>
      </c>
      <c r="M227" s="267">
        <v>100.0</v>
      </c>
      <c r="N227" s="267">
        <v>50.0</v>
      </c>
      <c r="O227" s="267" t="s">
        <v>1109</v>
      </c>
      <c r="P227" s="267">
        <v>50.0</v>
      </c>
      <c r="Q227" s="16" t="s">
        <v>2821</v>
      </c>
      <c r="R227" s="298"/>
      <c r="S227" s="267">
        <v>50.0</v>
      </c>
      <c r="T227" s="267">
        <v>50.0</v>
      </c>
      <c r="W227" s="3"/>
      <c r="X227" s="3"/>
      <c r="Y227" s="3"/>
      <c r="Z227" s="3"/>
      <c r="AA227" s="3"/>
      <c r="AC227" s="298"/>
      <c r="AI227" s="298"/>
    </row>
    <row r="228" ht="30.75" customHeight="1">
      <c r="A228" s="132" t="s">
        <v>507</v>
      </c>
      <c r="B228" s="279" t="s">
        <v>2822</v>
      </c>
      <c r="C228" s="265">
        <v>45866.0</v>
      </c>
      <c r="D228" s="298"/>
      <c r="E228" s="224">
        <v>45590.0</v>
      </c>
      <c r="F228" s="132" t="s">
        <v>736</v>
      </c>
      <c r="G228" s="16" t="s">
        <v>2434</v>
      </c>
      <c r="H228" s="132" t="s">
        <v>1065</v>
      </c>
      <c r="I228" s="132" t="s">
        <v>1065</v>
      </c>
      <c r="J228" s="132" t="s">
        <v>1067</v>
      </c>
      <c r="K228" s="267">
        <v>25.0</v>
      </c>
      <c r="L228" s="267">
        <v>25.0</v>
      </c>
      <c r="M228" s="267">
        <v>100.0</v>
      </c>
      <c r="N228" s="267">
        <v>50.0</v>
      </c>
      <c r="O228" s="267" t="s">
        <v>1109</v>
      </c>
      <c r="P228" s="267">
        <v>25.0</v>
      </c>
      <c r="Q228" s="16" t="s">
        <v>2823</v>
      </c>
      <c r="R228" s="298"/>
      <c r="S228" s="267">
        <v>50.0</v>
      </c>
      <c r="T228" s="267">
        <v>50.0</v>
      </c>
      <c r="U228" s="16" t="s">
        <v>2824</v>
      </c>
      <c r="W228" s="3"/>
      <c r="X228" s="3"/>
      <c r="Y228" s="3"/>
      <c r="Z228" s="3"/>
      <c r="AA228" s="3"/>
      <c r="AC228" s="298"/>
      <c r="AI228" s="298"/>
    </row>
    <row r="229" ht="30.75" customHeight="1">
      <c r="A229" s="132" t="s">
        <v>2825</v>
      </c>
      <c r="B229" s="279" t="s">
        <v>2826</v>
      </c>
      <c r="C229" s="265">
        <v>45622.0</v>
      </c>
      <c r="D229" s="298"/>
      <c r="E229" s="224">
        <v>45594.0</v>
      </c>
      <c r="F229" s="132" t="s">
        <v>736</v>
      </c>
      <c r="G229" s="16" t="s">
        <v>2434</v>
      </c>
      <c r="H229" s="132" t="s">
        <v>1065</v>
      </c>
      <c r="I229" s="132" t="s">
        <v>1065</v>
      </c>
      <c r="J229" s="132" t="s">
        <v>1067</v>
      </c>
      <c r="K229" s="267">
        <v>25.0</v>
      </c>
      <c r="L229" s="3"/>
      <c r="R229" s="298"/>
      <c r="S229" s="3"/>
      <c r="T229" s="3"/>
      <c r="W229" s="3"/>
      <c r="X229" s="3"/>
      <c r="Y229" s="3"/>
      <c r="Z229" s="3"/>
      <c r="AA229" s="3"/>
      <c r="AC229" s="298"/>
      <c r="AI229" s="298"/>
    </row>
    <row r="230" ht="30.75" customHeight="1">
      <c r="A230" s="132" t="s">
        <v>502</v>
      </c>
      <c r="B230" s="279" t="s">
        <v>2827</v>
      </c>
      <c r="C230" s="265">
        <v>45378.0</v>
      </c>
      <c r="D230" s="298"/>
      <c r="E230" s="224">
        <v>45595.0</v>
      </c>
      <c r="F230" s="132" t="s">
        <v>736</v>
      </c>
      <c r="G230" s="16" t="s">
        <v>2434</v>
      </c>
      <c r="H230" s="132" t="s">
        <v>1065</v>
      </c>
      <c r="I230" s="132" t="s">
        <v>1065</v>
      </c>
      <c r="J230" s="132" t="s">
        <v>1067</v>
      </c>
      <c r="K230" s="267">
        <v>25.0</v>
      </c>
      <c r="L230" s="267">
        <v>25.0</v>
      </c>
      <c r="M230" s="267">
        <v>100.0</v>
      </c>
      <c r="N230" s="267">
        <v>50.0</v>
      </c>
      <c r="O230" s="267" t="s">
        <v>1109</v>
      </c>
      <c r="P230" s="267">
        <v>50.0</v>
      </c>
      <c r="Q230" s="16" t="s">
        <v>2828</v>
      </c>
      <c r="R230" s="298"/>
      <c r="S230" s="267">
        <v>50.0</v>
      </c>
      <c r="T230" s="267">
        <v>50.0</v>
      </c>
      <c r="U230" s="16" t="s">
        <v>2829</v>
      </c>
      <c r="W230" s="408">
        <v>25.0</v>
      </c>
      <c r="X230" s="3"/>
      <c r="Y230" s="3"/>
      <c r="Z230" s="408">
        <v>100.0</v>
      </c>
      <c r="AA230" s="132" t="s">
        <v>2830</v>
      </c>
      <c r="AC230" s="298"/>
      <c r="AI230" s="298"/>
    </row>
    <row r="231" ht="30.75" customHeight="1">
      <c r="A231" s="132" t="s">
        <v>485</v>
      </c>
      <c r="B231" s="279" t="s">
        <v>2832</v>
      </c>
      <c r="C231" s="265">
        <v>45378.0</v>
      </c>
      <c r="D231" s="298"/>
      <c r="E231" s="224">
        <v>45597.0</v>
      </c>
      <c r="F231" s="132" t="s">
        <v>736</v>
      </c>
      <c r="G231" s="16" t="s">
        <v>2434</v>
      </c>
      <c r="H231" s="132" t="s">
        <v>1065</v>
      </c>
      <c r="I231" s="132" t="s">
        <v>1065</v>
      </c>
      <c r="J231" s="132" t="s">
        <v>1067</v>
      </c>
      <c r="K231" s="267">
        <v>25.0</v>
      </c>
      <c r="L231" s="267">
        <v>25.0</v>
      </c>
      <c r="M231" s="267">
        <v>100.0</v>
      </c>
      <c r="N231" s="267">
        <v>50.0</v>
      </c>
      <c r="P231" s="267">
        <v>50.0</v>
      </c>
      <c r="Q231" s="16" t="s">
        <v>2835</v>
      </c>
      <c r="R231" s="298"/>
      <c r="S231" s="267">
        <v>50.0</v>
      </c>
      <c r="T231" s="267">
        <v>50.0</v>
      </c>
      <c r="U231" s="16" t="s">
        <v>2836</v>
      </c>
      <c r="V231" s="16" t="s">
        <v>2837</v>
      </c>
      <c r="W231" s="3"/>
      <c r="X231" s="3"/>
      <c r="Y231" s="3"/>
      <c r="Z231" s="3"/>
      <c r="AA231" s="3"/>
      <c r="AC231" s="298"/>
      <c r="AI231" s="298"/>
    </row>
    <row r="232" ht="30.75" customHeight="1">
      <c r="A232" s="132" t="s">
        <v>474</v>
      </c>
      <c r="B232" s="279" t="s">
        <v>2840</v>
      </c>
      <c r="C232" s="265">
        <v>45958.0</v>
      </c>
      <c r="D232" s="298"/>
      <c r="E232" s="224">
        <v>45597.0</v>
      </c>
      <c r="F232" s="132" t="s">
        <v>649</v>
      </c>
      <c r="G232" s="16" t="s">
        <v>2434</v>
      </c>
      <c r="H232" s="132" t="s">
        <v>1065</v>
      </c>
      <c r="I232" s="132" t="s">
        <v>1065</v>
      </c>
      <c r="J232" s="132" t="s">
        <v>1067</v>
      </c>
      <c r="K232" s="267">
        <v>25.0</v>
      </c>
      <c r="L232" s="383">
        <v>25.0</v>
      </c>
      <c r="M232" s="267">
        <v>100.0</v>
      </c>
      <c r="N232" s="267">
        <v>50.0</v>
      </c>
      <c r="O232" s="267" t="s">
        <v>1109</v>
      </c>
      <c r="P232" s="383">
        <v>50.0</v>
      </c>
      <c r="R232" s="298"/>
      <c r="S232" s="267">
        <v>50.0</v>
      </c>
      <c r="T232" s="267">
        <v>50.0</v>
      </c>
      <c r="V232" s="16" t="s">
        <v>2847</v>
      </c>
      <c r="W232" s="3"/>
      <c r="X232" s="3"/>
      <c r="Y232" s="3"/>
      <c r="Z232" s="3"/>
      <c r="AA232" s="3"/>
      <c r="AC232" s="298"/>
      <c r="AI232" s="298"/>
    </row>
    <row r="233" ht="30.75" customHeight="1">
      <c r="A233" s="132" t="s">
        <v>544</v>
      </c>
      <c r="B233" s="279" t="s">
        <v>2848</v>
      </c>
      <c r="C233" s="265">
        <v>45622.0</v>
      </c>
      <c r="D233" s="298"/>
      <c r="E233" s="224">
        <v>45600.0</v>
      </c>
      <c r="F233" s="132" t="s">
        <v>625</v>
      </c>
      <c r="G233" s="16" t="s">
        <v>2434</v>
      </c>
      <c r="H233" s="132" t="s">
        <v>1065</v>
      </c>
      <c r="I233" s="132" t="s">
        <v>1065</v>
      </c>
      <c r="J233" s="132" t="s">
        <v>1067</v>
      </c>
      <c r="K233" s="267">
        <v>25.0</v>
      </c>
      <c r="L233" s="267">
        <v>25.0</v>
      </c>
      <c r="M233" s="267">
        <v>100.0</v>
      </c>
      <c r="N233" s="267">
        <v>50.0</v>
      </c>
      <c r="O233" s="267" t="s">
        <v>1109</v>
      </c>
      <c r="P233" s="383">
        <v>50.0</v>
      </c>
      <c r="R233" s="298"/>
      <c r="S233" s="3"/>
      <c r="T233" s="3"/>
      <c r="W233" s="3"/>
      <c r="X233" s="3"/>
      <c r="Y233" s="3"/>
      <c r="Z233" s="3"/>
      <c r="AA233" s="3"/>
      <c r="AC233" s="298"/>
      <c r="AI233" s="298"/>
    </row>
    <row r="234" ht="30.75" customHeight="1">
      <c r="A234" s="132" t="s">
        <v>539</v>
      </c>
      <c r="B234" s="279" t="s">
        <v>2853</v>
      </c>
      <c r="C234" s="265">
        <v>45378.0</v>
      </c>
      <c r="D234" s="298"/>
      <c r="E234" s="224">
        <v>45601.0</v>
      </c>
      <c r="F234" s="132" t="s">
        <v>736</v>
      </c>
      <c r="G234" s="16" t="s">
        <v>2434</v>
      </c>
      <c r="H234" s="132" t="s">
        <v>1065</v>
      </c>
      <c r="I234" s="132" t="s">
        <v>1065</v>
      </c>
      <c r="J234" s="132" t="s">
        <v>1067</v>
      </c>
      <c r="K234" s="267">
        <v>25.0</v>
      </c>
      <c r="L234" s="267">
        <v>25.0</v>
      </c>
      <c r="M234" s="267">
        <v>25.0</v>
      </c>
      <c r="N234" s="267">
        <v>50.0</v>
      </c>
      <c r="P234" s="267">
        <v>50.0</v>
      </c>
      <c r="Q234" s="16" t="s">
        <v>2854</v>
      </c>
      <c r="R234" s="298"/>
      <c r="S234" s="3"/>
      <c r="T234" s="3"/>
      <c r="W234" s="3"/>
      <c r="X234" s="3"/>
      <c r="Y234" s="3"/>
      <c r="Z234" s="3"/>
      <c r="AA234" s="3"/>
      <c r="AC234" s="298"/>
      <c r="AI234" s="298"/>
    </row>
    <row r="235" ht="30.75" customHeight="1">
      <c r="A235" s="132" t="s">
        <v>505</v>
      </c>
      <c r="B235" s="279" t="s">
        <v>2856</v>
      </c>
      <c r="C235" s="265">
        <v>45866.0</v>
      </c>
      <c r="D235" s="298"/>
      <c r="E235" s="224">
        <v>45602.0</v>
      </c>
      <c r="F235" s="132" t="s">
        <v>736</v>
      </c>
      <c r="G235" s="16" t="s">
        <v>2434</v>
      </c>
      <c r="H235" s="132" t="s">
        <v>1065</v>
      </c>
      <c r="I235" s="132" t="s">
        <v>1065</v>
      </c>
      <c r="J235" s="132" t="s">
        <v>1067</v>
      </c>
      <c r="K235" s="267">
        <v>25.0</v>
      </c>
      <c r="L235" s="267">
        <v>25.0</v>
      </c>
      <c r="M235" s="267">
        <v>100.0</v>
      </c>
      <c r="N235" s="267">
        <v>50.0</v>
      </c>
      <c r="O235" s="267" t="s">
        <v>1109</v>
      </c>
      <c r="P235" s="267">
        <v>25.0</v>
      </c>
      <c r="R235" s="298"/>
      <c r="S235" s="267">
        <v>50.0</v>
      </c>
      <c r="T235" s="267">
        <v>50.0</v>
      </c>
      <c r="W235" s="3"/>
      <c r="X235" s="3"/>
      <c r="Y235" s="3"/>
      <c r="Z235" s="3"/>
      <c r="AA235" s="3"/>
      <c r="AC235" s="298"/>
      <c r="AI235" s="298"/>
    </row>
    <row r="236" ht="30.75" customHeight="1">
      <c r="A236" s="132" t="s">
        <v>604</v>
      </c>
      <c r="B236" s="279" t="s">
        <v>2860</v>
      </c>
      <c r="C236" s="265">
        <v>45622.0</v>
      </c>
      <c r="D236" s="298"/>
      <c r="E236" s="224">
        <v>45608.0</v>
      </c>
      <c r="F236" s="132" t="s">
        <v>1370</v>
      </c>
      <c r="G236" s="16" t="s">
        <v>2434</v>
      </c>
      <c r="H236" s="132" t="s">
        <v>1065</v>
      </c>
      <c r="I236" s="132" t="s">
        <v>1065</v>
      </c>
      <c r="J236" s="132" t="s">
        <v>1067</v>
      </c>
      <c r="K236" s="267">
        <v>25.0</v>
      </c>
      <c r="L236" s="267">
        <v>25.0</v>
      </c>
      <c r="N236" s="267">
        <v>50.0</v>
      </c>
      <c r="P236" s="267">
        <v>50.0</v>
      </c>
      <c r="Q236" s="16" t="s">
        <v>2864</v>
      </c>
      <c r="R236" s="298"/>
      <c r="S236" s="3"/>
      <c r="T236" s="3"/>
      <c r="W236" s="3"/>
      <c r="X236" s="3"/>
      <c r="Y236" s="3"/>
      <c r="Z236" s="3"/>
      <c r="AA236" s="3"/>
      <c r="AC236" s="298"/>
      <c r="AI236" s="298"/>
    </row>
    <row r="237" ht="30.75" customHeight="1">
      <c r="A237" s="132" t="s">
        <v>538</v>
      </c>
      <c r="B237" s="279" t="s">
        <v>2866</v>
      </c>
      <c r="C237" s="265">
        <v>45622.0</v>
      </c>
      <c r="D237" s="298"/>
      <c r="E237" s="224">
        <v>45609.0</v>
      </c>
      <c r="F237" s="132" t="s">
        <v>625</v>
      </c>
      <c r="G237" s="16" t="s">
        <v>2434</v>
      </c>
      <c r="H237" s="132" t="s">
        <v>1065</v>
      </c>
      <c r="I237" s="132" t="s">
        <v>1065</v>
      </c>
      <c r="J237" s="132" t="s">
        <v>1067</v>
      </c>
      <c r="K237" s="267">
        <v>25.0</v>
      </c>
      <c r="L237" s="267">
        <v>25.0</v>
      </c>
      <c r="M237" s="267">
        <v>100.0</v>
      </c>
      <c r="N237" s="267">
        <v>50.0</v>
      </c>
      <c r="O237" s="267" t="s">
        <v>1109</v>
      </c>
      <c r="P237" s="267">
        <v>25.0</v>
      </c>
      <c r="Q237" s="16" t="s">
        <v>2873</v>
      </c>
      <c r="R237" s="298"/>
      <c r="S237" s="267">
        <v>50.0</v>
      </c>
      <c r="T237" s="267">
        <v>50.0</v>
      </c>
      <c r="U237" s="16" t="s">
        <v>2876</v>
      </c>
      <c r="W237" s="3"/>
      <c r="X237" s="3"/>
      <c r="Y237" s="3"/>
      <c r="Z237" s="3"/>
      <c r="AA237" s="3"/>
      <c r="AC237" s="298"/>
      <c r="AI237" s="298"/>
    </row>
    <row r="238" ht="30.75" customHeight="1">
      <c r="A238" s="132" t="s">
        <v>509</v>
      </c>
      <c r="B238" s="279" t="s">
        <v>2881</v>
      </c>
      <c r="C238" s="265">
        <v>45866.0</v>
      </c>
      <c r="D238" s="298"/>
      <c r="E238" s="224">
        <v>45609.0</v>
      </c>
      <c r="F238" s="132" t="s">
        <v>736</v>
      </c>
      <c r="G238" s="16" t="s">
        <v>2434</v>
      </c>
      <c r="H238" s="132" t="s">
        <v>1065</v>
      </c>
      <c r="I238" s="132" t="s">
        <v>1065</v>
      </c>
      <c r="J238" s="132" t="s">
        <v>1067</v>
      </c>
      <c r="K238" s="267">
        <v>25.0</v>
      </c>
      <c r="L238" s="267">
        <v>25.0</v>
      </c>
      <c r="M238" s="267">
        <v>100.0</v>
      </c>
      <c r="N238" s="267">
        <v>50.0</v>
      </c>
      <c r="O238" s="267" t="s">
        <v>1109</v>
      </c>
      <c r="P238" s="267">
        <v>25.0</v>
      </c>
      <c r="Q238" s="16" t="s">
        <v>2886</v>
      </c>
      <c r="R238" s="298"/>
      <c r="S238" s="267">
        <v>50.0</v>
      </c>
      <c r="T238" s="267">
        <v>50.0</v>
      </c>
      <c r="U238" s="16" t="s">
        <v>2892</v>
      </c>
      <c r="W238" s="3"/>
      <c r="X238" s="3"/>
      <c r="Y238" s="3"/>
      <c r="Z238" s="3"/>
      <c r="AA238" s="3"/>
      <c r="AC238" s="298"/>
      <c r="AI238" s="298"/>
    </row>
    <row r="239" ht="30.75" customHeight="1">
      <c r="A239" s="132" t="s">
        <v>530</v>
      </c>
      <c r="B239" s="279" t="s">
        <v>2894</v>
      </c>
      <c r="C239" s="229">
        <v>45378.0</v>
      </c>
      <c r="D239" s="298"/>
      <c r="E239" s="224">
        <v>45614.0</v>
      </c>
      <c r="F239" s="132" t="s">
        <v>625</v>
      </c>
      <c r="G239" s="16" t="s">
        <v>2434</v>
      </c>
      <c r="H239" s="132" t="s">
        <v>1065</v>
      </c>
      <c r="I239" s="132" t="s">
        <v>1065</v>
      </c>
      <c r="J239" s="132" t="s">
        <v>1067</v>
      </c>
      <c r="K239" s="267">
        <v>25.0</v>
      </c>
      <c r="L239" s="267">
        <v>25.0</v>
      </c>
      <c r="M239" s="267">
        <v>100.0</v>
      </c>
      <c r="N239" s="267">
        <v>50.0</v>
      </c>
      <c r="P239" s="267">
        <v>50.0</v>
      </c>
      <c r="R239" s="298"/>
      <c r="S239" s="267">
        <v>50.0</v>
      </c>
      <c r="T239" s="267">
        <v>50.0</v>
      </c>
      <c r="W239" s="3"/>
      <c r="X239" s="3"/>
      <c r="Y239" s="3"/>
      <c r="Z239" s="3"/>
      <c r="AA239" s="3"/>
      <c r="AC239" s="298"/>
      <c r="AI239" s="298"/>
    </row>
    <row r="240" ht="30.75" customHeight="1">
      <c r="A240" s="132" t="s">
        <v>528</v>
      </c>
      <c r="B240" s="279" t="s">
        <v>2898</v>
      </c>
      <c r="C240" s="265">
        <v>45866.0</v>
      </c>
      <c r="D240" s="298"/>
      <c r="E240" s="224">
        <v>45615.0</v>
      </c>
      <c r="F240" s="132" t="s">
        <v>625</v>
      </c>
      <c r="G240" s="16" t="s">
        <v>2434</v>
      </c>
      <c r="H240" s="132" t="s">
        <v>1065</v>
      </c>
      <c r="I240" s="132" t="s">
        <v>1065</v>
      </c>
      <c r="J240" s="132" t="s">
        <v>1067</v>
      </c>
      <c r="K240" s="267">
        <v>25.0</v>
      </c>
      <c r="L240" s="267">
        <v>25.0</v>
      </c>
      <c r="M240" s="267">
        <v>100.0</v>
      </c>
      <c r="N240" s="267">
        <v>50.0</v>
      </c>
      <c r="O240" s="267" t="s">
        <v>1109</v>
      </c>
      <c r="P240" s="267">
        <v>50.0</v>
      </c>
      <c r="Q240" s="16" t="s">
        <v>2905</v>
      </c>
      <c r="R240" s="298"/>
      <c r="S240" s="267">
        <v>50.0</v>
      </c>
      <c r="T240" s="267">
        <v>50.0</v>
      </c>
      <c r="U240" s="16" t="s">
        <v>2908</v>
      </c>
      <c r="W240" s="3"/>
      <c r="X240" s="3"/>
      <c r="Y240" s="3"/>
      <c r="Z240" s="3"/>
      <c r="AA240" s="3"/>
      <c r="AC240" s="298"/>
      <c r="AI240" s="298"/>
    </row>
    <row r="241" ht="30.75" customHeight="1">
      <c r="A241" s="132" t="s">
        <v>518</v>
      </c>
      <c r="B241" s="279" t="s">
        <v>2910</v>
      </c>
      <c r="C241" s="265">
        <v>45622.0</v>
      </c>
      <c r="D241" s="298"/>
      <c r="E241" s="224">
        <v>45621.0</v>
      </c>
      <c r="F241" s="132" t="s">
        <v>625</v>
      </c>
      <c r="G241" s="16" t="s">
        <v>2434</v>
      </c>
      <c r="H241" s="132" t="s">
        <v>1065</v>
      </c>
      <c r="I241" s="132" t="s">
        <v>1065</v>
      </c>
      <c r="J241" s="132" t="s">
        <v>1067</v>
      </c>
      <c r="K241" s="267">
        <v>25.0</v>
      </c>
      <c r="L241" s="267">
        <v>25.0</v>
      </c>
      <c r="M241" s="267">
        <v>100.0</v>
      </c>
      <c r="N241" s="267">
        <v>50.0</v>
      </c>
      <c r="O241" s="267" t="s">
        <v>1109</v>
      </c>
      <c r="P241" s="267">
        <v>50.0</v>
      </c>
      <c r="Q241" s="16" t="s">
        <v>2915</v>
      </c>
      <c r="R241" s="298"/>
      <c r="S241" s="267">
        <v>50.0</v>
      </c>
      <c r="T241" s="267">
        <v>50.0</v>
      </c>
      <c r="U241" s="16" t="s">
        <v>2919</v>
      </c>
      <c r="V241" s="16" t="s">
        <v>2920</v>
      </c>
      <c r="W241" s="3"/>
      <c r="X241" s="3"/>
      <c r="Y241" s="3"/>
      <c r="Z241" s="3"/>
      <c r="AA241" s="3"/>
      <c r="AC241" s="298"/>
      <c r="AI241" s="298"/>
    </row>
    <row r="242" ht="30.75" customHeight="1">
      <c r="A242" s="132" t="s">
        <v>594</v>
      </c>
      <c r="B242" s="279" t="s">
        <v>2922</v>
      </c>
      <c r="C242" s="265">
        <v>45774.0</v>
      </c>
      <c r="D242" s="298"/>
      <c r="E242" s="224">
        <v>45622.0</v>
      </c>
      <c r="F242" s="132" t="s">
        <v>625</v>
      </c>
      <c r="G242" s="16" t="s">
        <v>2434</v>
      </c>
      <c r="H242" s="132" t="s">
        <v>1065</v>
      </c>
      <c r="I242" s="132" t="s">
        <v>1065</v>
      </c>
      <c r="J242" s="132" t="s">
        <v>1067</v>
      </c>
      <c r="K242" s="267">
        <v>25.0</v>
      </c>
      <c r="L242" s="267">
        <v>25.0</v>
      </c>
      <c r="M242" s="267">
        <v>25.0</v>
      </c>
      <c r="N242" s="267">
        <v>50.0</v>
      </c>
      <c r="P242" s="267">
        <v>25.0</v>
      </c>
      <c r="R242" s="298"/>
      <c r="S242" s="132"/>
      <c r="T242" s="132"/>
      <c r="W242" s="3"/>
      <c r="X242" s="3"/>
      <c r="Y242" s="3"/>
      <c r="Z242" s="3"/>
      <c r="AA242" s="3"/>
      <c r="AC242" s="298"/>
      <c r="AI242" s="298"/>
    </row>
    <row r="243" ht="30.75" customHeight="1">
      <c r="A243" s="132" t="s">
        <v>533</v>
      </c>
      <c r="B243" s="279" t="s">
        <v>2927</v>
      </c>
      <c r="C243" s="265">
        <v>45622.0</v>
      </c>
      <c r="D243" s="298"/>
      <c r="E243" s="222">
        <v>45628.0</v>
      </c>
      <c r="F243" s="132" t="s">
        <v>625</v>
      </c>
      <c r="G243" s="16" t="s">
        <v>2434</v>
      </c>
      <c r="H243" s="132" t="s">
        <v>1065</v>
      </c>
      <c r="I243" s="132" t="s">
        <v>1065</v>
      </c>
      <c r="J243" s="132" t="s">
        <v>1067</v>
      </c>
      <c r="K243" s="267">
        <v>25.0</v>
      </c>
      <c r="L243" s="267">
        <v>25.0</v>
      </c>
      <c r="M243" s="267">
        <v>100.0</v>
      </c>
      <c r="N243" s="267">
        <v>50.0</v>
      </c>
      <c r="O243" s="267" t="s">
        <v>1109</v>
      </c>
      <c r="P243" s="267">
        <v>25.0</v>
      </c>
      <c r="Q243" s="16" t="s">
        <v>2933</v>
      </c>
      <c r="R243" s="298"/>
      <c r="S243" s="267">
        <v>50.0</v>
      </c>
      <c r="T243" s="267">
        <v>50.0</v>
      </c>
      <c r="U243" s="16" t="s">
        <v>2936</v>
      </c>
      <c r="W243" s="3"/>
      <c r="X243" s="3"/>
      <c r="Y243" s="3"/>
      <c r="Z243" s="3"/>
      <c r="AA243" s="3"/>
      <c r="AC243" s="298"/>
      <c r="AI243" s="298"/>
    </row>
    <row r="244" ht="30.75" customHeight="1">
      <c r="A244" s="132" t="s">
        <v>591</v>
      </c>
      <c r="B244" s="279" t="s">
        <v>2939</v>
      </c>
      <c r="C244" s="265">
        <v>45378.0</v>
      </c>
      <c r="D244" s="298"/>
      <c r="E244" s="222">
        <v>45628.0</v>
      </c>
      <c r="F244" s="132" t="s">
        <v>736</v>
      </c>
      <c r="G244" s="16" t="s">
        <v>2434</v>
      </c>
      <c r="H244" s="132" t="s">
        <v>1065</v>
      </c>
      <c r="I244" s="132" t="s">
        <v>1065</v>
      </c>
      <c r="J244" s="132" t="s">
        <v>1067</v>
      </c>
      <c r="K244" s="267">
        <v>25.0</v>
      </c>
      <c r="L244" s="267">
        <v>25.0</v>
      </c>
      <c r="M244" s="267">
        <v>25.0</v>
      </c>
      <c r="N244" s="267">
        <v>50.0</v>
      </c>
      <c r="O244" s="267" t="s">
        <v>1109</v>
      </c>
      <c r="P244" s="267">
        <v>50.0</v>
      </c>
      <c r="Q244" s="16" t="s">
        <v>2947</v>
      </c>
      <c r="R244" s="298"/>
      <c r="S244" s="3"/>
      <c r="T244" s="3"/>
      <c r="W244" s="3"/>
      <c r="X244" s="3"/>
      <c r="Y244" s="3"/>
      <c r="Z244" s="3"/>
      <c r="AA244" s="3"/>
      <c r="AC244" s="298"/>
      <c r="AI244" s="298"/>
    </row>
    <row r="245" ht="30.75" customHeight="1">
      <c r="A245" s="132" t="s">
        <v>520</v>
      </c>
      <c r="B245" s="576"/>
      <c r="C245" s="3"/>
      <c r="D245" s="298"/>
      <c r="E245" s="224">
        <v>45449.0</v>
      </c>
      <c r="F245" s="132" t="s">
        <v>625</v>
      </c>
      <c r="G245" s="16" t="s">
        <v>2434</v>
      </c>
      <c r="H245" s="132" t="s">
        <v>1065</v>
      </c>
      <c r="I245" s="132" t="s">
        <v>1065</v>
      </c>
      <c r="J245" s="132" t="s">
        <v>1067</v>
      </c>
      <c r="K245" s="267">
        <v>25.0</v>
      </c>
      <c r="L245" s="267">
        <v>25.0</v>
      </c>
      <c r="M245" s="267">
        <v>100.0</v>
      </c>
      <c r="N245" s="267">
        <v>50.0</v>
      </c>
      <c r="O245" s="267" t="s">
        <v>1109</v>
      </c>
      <c r="P245" s="267">
        <v>25.0</v>
      </c>
      <c r="Q245" s="16" t="s">
        <v>2960</v>
      </c>
      <c r="R245" s="298"/>
      <c r="S245" s="267">
        <v>50.0</v>
      </c>
      <c r="T245" s="267">
        <v>50.0</v>
      </c>
      <c r="U245" s="16" t="s">
        <v>2965</v>
      </c>
      <c r="W245" s="3"/>
      <c r="X245" s="3"/>
      <c r="Y245" s="3"/>
      <c r="Z245" s="3"/>
      <c r="AA245" s="3"/>
      <c r="AC245" s="298"/>
      <c r="AI245" s="298"/>
    </row>
    <row r="246" ht="30.75" customHeight="1">
      <c r="A246" s="132" t="s">
        <v>606</v>
      </c>
      <c r="B246" s="279" t="s">
        <v>2967</v>
      </c>
      <c r="C246" s="265">
        <v>45378.0</v>
      </c>
      <c r="D246" s="298"/>
      <c r="E246" s="222">
        <v>45629.0</v>
      </c>
      <c r="F246" s="132" t="s">
        <v>736</v>
      </c>
      <c r="G246" s="16" t="s">
        <v>2434</v>
      </c>
      <c r="H246" s="132" t="s">
        <v>1065</v>
      </c>
      <c r="I246" s="132" t="s">
        <v>1065</v>
      </c>
      <c r="J246" s="132" t="s">
        <v>1067</v>
      </c>
      <c r="K246" s="267">
        <v>25.0</v>
      </c>
      <c r="L246" s="267">
        <v>25.0</v>
      </c>
      <c r="N246" s="267">
        <v>50.0</v>
      </c>
      <c r="P246" s="267">
        <v>50.0</v>
      </c>
      <c r="Q246" s="16" t="s">
        <v>2971</v>
      </c>
      <c r="R246" s="298"/>
      <c r="S246" s="3"/>
      <c r="T246" s="3"/>
      <c r="W246" s="3"/>
      <c r="X246" s="3"/>
      <c r="Y246" s="3"/>
      <c r="Z246" s="3"/>
      <c r="AA246" s="3"/>
      <c r="AC246" s="298"/>
      <c r="AI246" s="298"/>
    </row>
    <row r="247" ht="30.75" customHeight="1">
      <c r="A247" s="132" t="s">
        <v>540</v>
      </c>
      <c r="B247" s="279" t="s">
        <v>2973</v>
      </c>
      <c r="C247" s="265">
        <v>45622.0</v>
      </c>
      <c r="D247" s="298"/>
      <c r="E247" s="222">
        <v>45631.0</v>
      </c>
      <c r="F247" s="132" t="s">
        <v>625</v>
      </c>
      <c r="G247" s="16" t="s">
        <v>2434</v>
      </c>
      <c r="H247" s="132" t="s">
        <v>1065</v>
      </c>
      <c r="I247" s="132" t="s">
        <v>1065</v>
      </c>
      <c r="J247" s="132" t="s">
        <v>1067</v>
      </c>
      <c r="K247" s="267">
        <v>25.0</v>
      </c>
      <c r="L247" s="267">
        <v>25.0</v>
      </c>
      <c r="M247" s="267">
        <v>100.0</v>
      </c>
      <c r="N247" s="267">
        <v>50.0</v>
      </c>
      <c r="O247" s="267" t="s">
        <v>1109</v>
      </c>
      <c r="P247" s="267">
        <v>50.0</v>
      </c>
      <c r="Q247" s="16" t="s">
        <v>2976</v>
      </c>
      <c r="R247" s="298"/>
      <c r="S247" s="267">
        <v>50.0</v>
      </c>
      <c r="T247" s="267">
        <v>50.0</v>
      </c>
      <c r="U247" s="132" t="s">
        <v>2017</v>
      </c>
      <c r="W247" s="3"/>
      <c r="X247" s="3"/>
      <c r="Y247" s="3"/>
      <c r="Z247" s="3"/>
      <c r="AA247" s="3"/>
      <c r="AC247" s="298"/>
      <c r="AI247" s="298"/>
    </row>
    <row r="248" ht="30.75" customHeight="1">
      <c r="A248" s="132" t="s">
        <v>553</v>
      </c>
      <c r="B248" s="279" t="s">
        <v>2978</v>
      </c>
      <c r="C248" s="265">
        <v>45378.0</v>
      </c>
      <c r="D248" s="298"/>
      <c r="E248" s="222">
        <v>45638.0</v>
      </c>
      <c r="F248" s="132" t="s">
        <v>736</v>
      </c>
      <c r="G248" s="16" t="s">
        <v>2434</v>
      </c>
      <c r="H248" s="132" t="s">
        <v>1065</v>
      </c>
      <c r="I248" s="132" t="s">
        <v>1065</v>
      </c>
      <c r="J248" s="132" t="s">
        <v>1067</v>
      </c>
      <c r="K248" s="267">
        <v>25.0</v>
      </c>
      <c r="L248" s="267">
        <v>25.0</v>
      </c>
      <c r="M248" s="267">
        <v>100.0</v>
      </c>
      <c r="N248" s="267">
        <v>50.0</v>
      </c>
      <c r="O248" s="267" t="s">
        <v>1109</v>
      </c>
      <c r="P248" s="267">
        <v>50.0</v>
      </c>
      <c r="Q248" s="16" t="s">
        <v>2983</v>
      </c>
      <c r="R248" s="298"/>
      <c r="S248" s="267">
        <v>50.0</v>
      </c>
      <c r="T248" s="267">
        <v>50.0</v>
      </c>
      <c r="W248" s="3"/>
      <c r="X248" s="3"/>
      <c r="Y248" s="3"/>
      <c r="Z248" s="3"/>
      <c r="AA248" s="3"/>
      <c r="AC248" s="298"/>
      <c r="AI248" s="298"/>
    </row>
    <row r="249" ht="30.75" customHeight="1">
      <c r="A249" s="132" t="s">
        <v>537</v>
      </c>
      <c r="B249" s="279" t="s">
        <v>2985</v>
      </c>
      <c r="C249" s="265">
        <v>45622.0</v>
      </c>
      <c r="D249" s="298"/>
      <c r="E249" s="224">
        <v>45642.0</v>
      </c>
      <c r="F249" s="132" t="s">
        <v>625</v>
      </c>
      <c r="G249" s="16" t="s">
        <v>2434</v>
      </c>
      <c r="H249" s="132" t="s">
        <v>1065</v>
      </c>
      <c r="I249" s="132" t="s">
        <v>1065</v>
      </c>
      <c r="J249" s="132" t="s">
        <v>1067</v>
      </c>
      <c r="K249" s="267">
        <v>25.0</v>
      </c>
      <c r="L249" s="267">
        <v>25.0</v>
      </c>
      <c r="M249" s="267">
        <v>100.0</v>
      </c>
      <c r="N249" s="267">
        <v>50.0</v>
      </c>
      <c r="P249" s="267">
        <v>50.0</v>
      </c>
      <c r="Q249" s="16" t="s">
        <v>2989</v>
      </c>
      <c r="R249" s="298"/>
      <c r="S249" s="267">
        <v>50.0</v>
      </c>
      <c r="T249" s="267">
        <v>50.0</v>
      </c>
      <c r="U249" s="16" t="s">
        <v>2994</v>
      </c>
      <c r="W249" s="3"/>
      <c r="X249" s="3"/>
      <c r="Y249" s="3"/>
      <c r="Z249" s="3"/>
      <c r="AA249" s="3"/>
      <c r="AC249" s="298"/>
      <c r="AI249" s="298"/>
    </row>
    <row r="250" ht="30.75" customHeight="1">
      <c r="A250" s="132" t="s">
        <v>557</v>
      </c>
      <c r="B250" s="279" t="s">
        <v>2996</v>
      </c>
      <c r="C250" s="47" t="s">
        <v>2999</v>
      </c>
      <c r="D250" s="298"/>
      <c r="E250" s="224">
        <v>45644.0</v>
      </c>
      <c r="F250" s="132" t="s">
        <v>649</v>
      </c>
      <c r="G250" s="16" t="s">
        <v>2434</v>
      </c>
      <c r="H250" s="132" t="s">
        <v>1065</v>
      </c>
      <c r="I250" s="132" t="s">
        <v>1065</v>
      </c>
      <c r="J250" s="132" t="s">
        <v>1067</v>
      </c>
      <c r="K250" s="267">
        <v>25.0</v>
      </c>
      <c r="L250" s="267">
        <v>25.0</v>
      </c>
      <c r="M250" s="267">
        <v>100.0</v>
      </c>
      <c r="N250" s="267">
        <v>50.0</v>
      </c>
      <c r="O250" s="267" t="s">
        <v>1109</v>
      </c>
      <c r="P250" s="267">
        <v>25.0</v>
      </c>
      <c r="Q250" s="16" t="s">
        <v>3004</v>
      </c>
      <c r="R250" s="298"/>
      <c r="S250" s="267">
        <v>50.0</v>
      </c>
      <c r="T250" s="267">
        <v>50.0</v>
      </c>
      <c r="U250" s="16" t="s">
        <v>3009</v>
      </c>
      <c r="V250" s="16" t="s">
        <v>3010</v>
      </c>
      <c r="W250" s="3"/>
      <c r="X250" s="3"/>
      <c r="Y250" s="3"/>
      <c r="Z250" s="3"/>
      <c r="AA250" s="3"/>
      <c r="AC250" s="298"/>
      <c r="AI250" s="298"/>
    </row>
    <row r="251" ht="30.75" customHeight="1">
      <c r="A251" s="132" t="s">
        <v>555</v>
      </c>
      <c r="B251" s="279" t="s">
        <v>3012</v>
      </c>
      <c r="C251" s="265">
        <v>45622.0</v>
      </c>
      <c r="D251" s="298"/>
      <c r="E251" s="224">
        <v>45645.0</v>
      </c>
      <c r="F251" s="132" t="s">
        <v>625</v>
      </c>
      <c r="G251" s="16" t="s">
        <v>2434</v>
      </c>
      <c r="H251" s="132" t="s">
        <v>1065</v>
      </c>
      <c r="I251" s="132" t="s">
        <v>1065</v>
      </c>
      <c r="J251" s="132" t="s">
        <v>1067</v>
      </c>
      <c r="K251" s="267">
        <v>25.0</v>
      </c>
      <c r="L251" s="267">
        <v>25.0</v>
      </c>
      <c r="M251" s="267">
        <v>100.0</v>
      </c>
      <c r="N251" s="267">
        <v>50.0</v>
      </c>
      <c r="O251" s="267">
        <v>100.0</v>
      </c>
      <c r="P251" s="267">
        <v>25.0</v>
      </c>
      <c r="Q251" s="16" t="s">
        <v>3016</v>
      </c>
      <c r="R251" s="298"/>
      <c r="S251" s="267">
        <v>50.0</v>
      </c>
      <c r="T251" s="267">
        <v>50.0</v>
      </c>
      <c r="U251" s="16" t="s">
        <v>3018</v>
      </c>
      <c r="W251" s="3"/>
      <c r="X251" s="3"/>
      <c r="Y251" s="3"/>
      <c r="Z251" s="3"/>
      <c r="AA251" s="3"/>
      <c r="AC251" s="298"/>
      <c r="AI251" s="298"/>
    </row>
    <row r="252" ht="30.75" customHeight="1">
      <c r="A252" s="132" t="s">
        <v>3019</v>
      </c>
      <c r="B252" s="279" t="s">
        <v>3020</v>
      </c>
      <c r="C252" s="229">
        <v>45743.0</v>
      </c>
      <c r="D252" s="298"/>
      <c r="E252" s="222">
        <v>45664.0</v>
      </c>
      <c r="F252" s="132" t="s">
        <v>625</v>
      </c>
      <c r="G252" s="16" t="s">
        <v>2434</v>
      </c>
      <c r="H252" s="132" t="s">
        <v>1065</v>
      </c>
      <c r="I252" s="132" t="s">
        <v>1065</v>
      </c>
      <c r="J252" s="132" t="s">
        <v>1067</v>
      </c>
      <c r="K252" s="267">
        <v>25.0</v>
      </c>
      <c r="L252" s="3"/>
      <c r="Q252" s="16" t="s">
        <v>3023</v>
      </c>
      <c r="R252" s="298"/>
      <c r="S252" s="3"/>
      <c r="T252" s="3"/>
      <c r="W252" s="3"/>
      <c r="X252" s="3"/>
      <c r="Y252" s="3"/>
      <c r="Z252" s="3"/>
      <c r="AA252" s="3"/>
      <c r="AC252" s="298"/>
      <c r="AI252" s="298"/>
    </row>
    <row r="253" ht="30.75" customHeight="1">
      <c r="A253" s="132" t="s">
        <v>536</v>
      </c>
      <c r="B253" s="279" t="s">
        <v>3026</v>
      </c>
      <c r="C253" s="265">
        <v>45987.0</v>
      </c>
      <c r="D253" s="298"/>
      <c r="E253" s="222">
        <v>45671.0</v>
      </c>
      <c r="F253" s="132" t="s">
        <v>625</v>
      </c>
      <c r="G253" s="16" t="s">
        <v>2434</v>
      </c>
      <c r="H253" s="132" t="s">
        <v>1065</v>
      </c>
      <c r="I253" s="132" t="s">
        <v>1065</v>
      </c>
      <c r="J253" s="132" t="s">
        <v>1067</v>
      </c>
      <c r="K253" s="267">
        <v>25.0</v>
      </c>
      <c r="L253" s="267">
        <v>25.0</v>
      </c>
      <c r="M253" s="267">
        <v>100.0</v>
      </c>
      <c r="N253" s="267">
        <v>50.0</v>
      </c>
      <c r="O253" s="267" t="s">
        <v>1109</v>
      </c>
      <c r="P253" s="267">
        <v>50.0</v>
      </c>
      <c r="Q253" s="16" t="s">
        <v>3032</v>
      </c>
      <c r="R253" s="298"/>
      <c r="S253" s="267">
        <v>50.0</v>
      </c>
      <c r="T253" s="267">
        <v>50.0</v>
      </c>
      <c r="U253" s="16" t="s">
        <v>3035</v>
      </c>
      <c r="V253" s="16" t="s">
        <v>3036</v>
      </c>
      <c r="W253" s="3"/>
      <c r="X253" s="3"/>
      <c r="Y253" s="3"/>
      <c r="Z253" s="3"/>
      <c r="AA253" s="3"/>
      <c r="AC253" s="298"/>
      <c r="AI253" s="298"/>
    </row>
    <row r="254" ht="30.75" customHeight="1">
      <c r="A254" s="132" t="s">
        <v>542</v>
      </c>
      <c r="B254" s="279" t="s">
        <v>3039</v>
      </c>
      <c r="C254" s="265">
        <v>45987.0</v>
      </c>
      <c r="D254" s="298"/>
      <c r="E254" s="222">
        <v>45679.0</v>
      </c>
      <c r="F254" s="132" t="s">
        <v>736</v>
      </c>
      <c r="G254" s="16" t="s">
        <v>2434</v>
      </c>
      <c r="H254" s="132" t="s">
        <v>1065</v>
      </c>
      <c r="I254" s="132" t="s">
        <v>1065</v>
      </c>
      <c r="J254" s="132" t="s">
        <v>1067</v>
      </c>
      <c r="K254" s="267">
        <v>25.0</v>
      </c>
      <c r="L254" s="267">
        <v>25.0</v>
      </c>
      <c r="M254" s="267">
        <v>100.0</v>
      </c>
      <c r="N254" s="267">
        <v>50.0</v>
      </c>
      <c r="O254" s="267" t="s">
        <v>1109</v>
      </c>
      <c r="P254" s="267">
        <v>50.0</v>
      </c>
      <c r="Q254" s="16" t="s">
        <v>3043</v>
      </c>
      <c r="R254" s="298"/>
      <c r="S254" s="267">
        <v>50.0</v>
      </c>
      <c r="T254" s="267">
        <v>50.0</v>
      </c>
      <c r="U254" s="16" t="s">
        <v>3045</v>
      </c>
      <c r="W254" s="3"/>
      <c r="X254" s="3"/>
      <c r="Y254" s="3"/>
      <c r="Z254" s="3"/>
      <c r="AA254" s="3"/>
      <c r="AC254" s="298"/>
      <c r="AI254" s="298"/>
    </row>
    <row r="255" ht="30.75" customHeight="1">
      <c r="A255" s="132" t="s">
        <v>3049</v>
      </c>
      <c r="B255" s="279" t="s">
        <v>3050</v>
      </c>
      <c r="C255" s="229">
        <v>45743.0</v>
      </c>
      <c r="D255" s="298"/>
      <c r="E255" s="222">
        <v>45680.0</v>
      </c>
      <c r="F255" s="132" t="s">
        <v>625</v>
      </c>
      <c r="G255" s="16" t="s">
        <v>2434</v>
      </c>
      <c r="H255" s="132" t="s">
        <v>1065</v>
      </c>
      <c r="I255" s="132" t="s">
        <v>1065</v>
      </c>
      <c r="J255" s="132" t="s">
        <v>1067</v>
      </c>
      <c r="K255" s="267">
        <v>25.0</v>
      </c>
      <c r="L255" s="3"/>
      <c r="Q255" s="16" t="s">
        <v>3055</v>
      </c>
      <c r="R255" s="298"/>
      <c r="S255" s="3"/>
      <c r="T255" s="3"/>
      <c r="W255" s="3"/>
      <c r="X255" s="3"/>
      <c r="Y255" s="3"/>
      <c r="Z255" s="3"/>
      <c r="AA255" s="3"/>
      <c r="AC255" s="298"/>
      <c r="AI255" s="298"/>
    </row>
    <row r="256" ht="30.75" customHeight="1">
      <c r="A256" s="132" t="s">
        <v>551</v>
      </c>
      <c r="B256" s="279" t="s">
        <v>3059</v>
      </c>
      <c r="C256" s="229">
        <v>45774.0</v>
      </c>
      <c r="D256" s="298"/>
      <c r="E256" s="222">
        <v>45707.0</v>
      </c>
      <c r="F256" s="132" t="s">
        <v>28</v>
      </c>
      <c r="G256" s="16" t="s">
        <v>2434</v>
      </c>
      <c r="H256" s="132" t="s">
        <v>1065</v>
      </c>
      <c r="I256" s="132" t="s">
        <v>1065</v>
      </c>
      <c r="J256" s="132" t="s">
        <v>1067</v>
      </c>
      <c r="K256" s="267">
        <v>25.0</v>
      </c>
      <c r="L256" s="267">
        <v>25.0</v>
      </c>
      <c r="M256" s="267">
        <v>100.0</v>
      </c>
      <c r="N256" s="267">
        <v>50.0</v>
      </c>
      <c r="O256" s="267" t="s">
        <v>1109</v>
      </c>
      <c r="P256" s="267">
        <v>50.0</v>
      </c>
      <c r="Q256" s="16" t="s">
        <v>3064</v>
      </c>
      <c r="R256" s="298"/>
      <c r="S256" s="267">
        <v>50.0</v>
      </c>
      <c r="T256" s="267">
        <v>50.0</v>
      </c>
      <c r="U256" s="16" t="s">
        <v>3045</v>
      </c>
      <c r="W256" s="3"/>
      <c r="X256" s="3"/>
      <c r="Y256" s="3"/>
      <c r="Z256" s="3"/>
      <c r="AA256" s="3"/>
      <c r="AC256" s="298"/>
      <c r="AI256" s="298"/>
    </row>
    <row r="257" ht="30.75" customHeight="1">
      <c r="B257" s="576"/>
      <c r="C257" s="3"/>
      <c r="D257" s="298"/>
      <c r="E257" s="3"/>
      <c r="F257" s="3"/>
      <c r="J257" s="3"/>
      <c r="K257" s="3"/>
      <c r="L257" s="3"/>
      <c r="R257" s="298"/>
      <c r="S257" s="3"/>
      <c r="T257" s="3"/>
      <c r="W257" s="3"/>
      <c r="X257" s="3"/>
      <c r="Y257" s="3"/>
      <c r="Z257" s="3"/>
      <c r="AA257" s="3"/>
      <c r="AC257" s="298"/>
      <c r="AI257" s="298"/>
    </row>
    <row r="258" ht="30.75" customHeight="1">
      <c r="B258" s="576"/>
      <c r="C258" s="3"/>
      <c r="D258" s="298"/>
      <c r="E258" s="3"/>
      <c r="F258" s="3"/>
      <c r="J258" s="3"/>
      <c r="K258" s="3"/>
      <c r="L258" s="3"/>
      <c r="R258" s="298"/>
      <c r="S258" s="3"/>
      <c r="T258" s="3"/>
      <c r="W258" s="3"/>
      <c r="X258" s="3"/>
      <c r="Y258" s="3"/>
      <c r="Z258" s="3"/>
      <c r="AA258" s="3"/>
      <c r="AC258" s="298"/>
      <c r="AI258" s="298"/>
    </row>
    <row r="259" ht="30.75" customHeight="1">
      <c r="B259" s="576"/>
      <c r="C259" s="3"/>
      <c r="D259" s="298"/>
      <c r="E259" s="3"/>
      <c r="F259" s="3"/>
      <c r="J259" s="3"/>
      <c r="K259" s="3"/>
      <c r="L259" s="3"/>
      <c r="R259" s="298"/>
      <c r="S259" s="3"/>
      <c r="T259" s="3"/>
      <c r="W259" s="3"/>
      <c r="X259" s="3"/>
      <c r="Y259" s="3"/>
      <c r="Z259" s="3"/>
      <c r="AA259" s="3"/>
      <c r="AC259" s="298"/>
      <c r="AI259" s="298"/>
    </row>
    <row r="260" ht="30.75" customHeight="1">
      <c r="B260" s="576"/>
      <c r="C260" s="3"/>
      <c r="D260" s="298"/>
      <c r="E260" s="3"/>
      <c r="F260" s="3"/>
      <c r="J260" s="3"/>
      <c r="K260" s="3"/>
      <c r="L260" s="3"/>
      <c r="R260" s="298"/>
      <c r="S260" s="3"/>
      <c r="T260" s="3"/>
      <c r="W260" s="3"/>
      <c r="X260" s="3"/>
      <c r="Y260" s="3"/>
      <c r="Z260" s="3"/>
      <c r="AA260" s="3"/>
      <c r="AC260" s="298"/>
      <c r="AI260" s="298"/>
    </row>
    <row r="261" ht="30.75" customHeight="1">
      <c r="B261" s="576"/>
      <c r="C261" s="3"/>
      <c r="D261" s="298"/>
      <c r="E261" s="3"/>
      <c r="F261" s="3"/>
      <c r="J261" s="3"/>
      <c r="K261" s="3"/>
      <c r="L261" s="3"/>
      <c r="R261" s="298"/>
      <c r="S261" s="3"/>
      <c r="T261" s="3"/>
      <c r="W261" s="3"/>
      <c r="X261" s="3"/>
      <c r="Y261" s="3"/>
      <c r="Z261" s="3"/>
      <c r="AA261" s="3"/>
      <c r="AC261" s="298"/>
      <c r="AI261" s="298"/>
    </row>
    <row r="262" ht="30.75" customHeight="1">
      <c r="B262" s="576"/>
      <c r="C262" s="3"/>
      <c r="D262" s="298"/>
      <c r="E262" s="3"/>
      <c r="F262" s="3"/>
      <c r="J262" s="3"/>
      <c r="K262" s="3"/>
      <c r="L262" s="3"/>
      <c r="R262" s="298"/>
      <c r="S262" s="3"/>
      <c r="T262" s="3"/>
      <c r="W262" s="3"/>
      <c r="X262" s="3"/>
      <c r="Y262" s="3"/>
      <c r="Z262" s="3"/>
      <c r="AA262" s="3"/>
      <c r="AC262" s="298"/>
      <c r="AI262" s="298"/>
    </row>
    <row r="263" ht="30.75" customHeight="1">
      <c r="B263" s="576"/>
      <c r="C263" s="3"/>
      <c r="D263" s="298"/>
      <c r="E263" s="3"/>
      <c r="F263" s="3"/>
      <c r="J263" s="3"/>
      <c r="K263" s="3"/>
      <c r="L263" s="3"/>
      <c r="R263" s="298"/>
      <c r="S263" s="3"/>
      <c r="T263" s="3"/>
      <c r="W263" s="3"/>
      <c r="X263" s="3"/>
      <c r="Y263" s="3"/>
      <c r="Z263" s="3"/>
      <c r="AA263" s="3"/>
      <c r="AC263" s="298"/>
      <c r="AI263" s="298"/>
    </row>
    <row r="264" ht="30.75" customHeight="1">
      <c r="B264" s="576"/>
      <c r="C264" s="3"/>
      <c r="D264" s="298"/>
      <c r="E264" s="3"/>
      <c r="F264" s="3"/>
      <c r="J264" s="3"/>
      <c r="K264" s="3"/>
      <c r="L264" s="3"/>
      <c r="R264" s="298"/>
      <c r="S264" s="3"/>
      <c r="T264" s="3"/>
      <c r="W264" s="3"/>
      <c r="X264" s="3"/>
      <c r="Y264" s="3"/>
      <c r="Z264" s="3"/>
      <c r="AA264" s="3"/>
      <c r="AC264" s="298"/>
      <c r="AI264" s="298"/>
    </row>
    <row r="265" ht="30.75" customHeight="1">
      <c r="B265" s="576"/>
      <c r="C265" s="3"/>
      <c r="D265" s="298"/>
      <c r="E265" s="3"/>
      <c r="F265" s="3"/>
      <c r="J265" s="3"/>
      <c r="K265" s="3"/>
      <c r="L265" s="3"/>
      <c r="R265" s="298"/>
      <c r="S265" s="3"/>
      <c r="T265" s="3"/>
      <c r="W265" s="3"/>
      <c r="X265" s="3"/>
      <c r="Y265" s="3"/>
      <c r="Z265" s="3"/>
      <c r="AA265" s="3"/>
      <c r="AC265" s="298"/>
      <c r="AI265" s="298"/>
    </row>
    <row r="266" ht="30.75" customHeight="1">
      <c r="B266" s="576"/>
      <c r="C266" s="3"/>
      <c r="D266" s="298"/>
      <c r="E266" s="3"/>
      <c r="F266" s="3"/>
      <c r="J266" s="3"/>
      <c r="K266" s="3"/>
      <c r="L266" s="3"/>
      <c r="R266" s="298"/>
      <c r="S266" s="3"/>
      <c r="T266" s="3"/>
      <c r="W266" s="3"/>
      <c r="X266" s="3"/>
      <c r="Y266" s="3"/>
      <c r="Z266" s="3"/>
      <c r="AA266" s="3"/>
      <c r="AC266" s="298"/>
      <c r="AI266" s="298"/>
    </row>
    <row r="267" ht="30.75" customHeight="1">
      <c r="B267" s="576"/>
      <c r="C267" s="3"/>
      <c r="D267" s="298"/>
      <c r="F267" s="3"/>
      <c r="J267" s="3"/>
      <c r="K267" s="3"/>
      <c r="L267" s="3"/>
      <c r="R267" s="298"/>
      <c r="S267" s="3"/>
      <c r="T267" s="3"/>
      <c r="W267" s="3"/>
      <c r="X267" s="3"/>
      <c r="Y267" s="3"/>
      <c r="Z267" s="3"/>
      <c r="AA267" s="3"/>
      <c r="AC267" s="298"/>
      <c r="AI267" s="298"/>
    </row>
    <row r="268" ht="30.75" customHeight="1">
      <c r="B268" s="576"/>
      <c r="C268" s="3"/>
      <c r="D268" s="298"/>
      <c r="F268" s="3"/>
      <c r="J268" s="3"/>
      <c r="K268" s="3"/>
      <c r="L268" s="3"/>
      <c r="R268" s="298"/>
      <c r="S268" s="3"/>
      <c r="T268" s="3"/>
      <c r="W268" s="3"/>
      <c r="X268" s="3"/>
      <c r="Y268" s="3"/>
      <c r="Z268" s="3"/>
      <c r="AA268" s="3"/>
      <c r="AC268" s="298"/>
      <c r="AI268" s="298"/>
    </row>
    <row r="269" ht="30.75" customHeight="1">
      <c r="B269" s="576"/>
      <c r="C269" s="3"/>
      <c r="D269" s="298"/>
      <c r="F269" s="3"/>
      <c r="J269" s="3"/>
      <c r="K269" s="3"/>
      <c r="L269" s="3"/>
      <c r="R269" s="298"/>
      <c r="S269" s="3"/>
      <c r="T269" s="3"/>
      <c r="W269" s="3"/>
      <c r="X269" s="3"/>
      <c r="Y269" s="3"/>
      <c r="Z269" s="3"/>
      <c r="AA269" s="3"/>
      <c r="AC269" s="298"/>
      <c r="AI269" s="298"/>
    </row>
    <row r="270" ht="30.75" customHeight="1">
      <c r="B270" s="576"/>
      <c r="C270" s="3"/>
      <c r="D270" s="298"/>
      <c r="F270" s="3"/>
      <c r="J270" s="3"/>
      <c r="K270" s="3"/>
      <c r="L270" s="3"/>
      <c r="R270" s="298"/>
      <c r="S270" s="3"/>
      <c r="T270" s="3"/>
      <c r="W270" s="3"/>
      <c r="X270" s="3"/>
      <c r="Y270" s="3"/>
      <c r="Z270" s="3"/>
      <c r="AA270" s="3"/>
      <c r="AC270" s="298"/>
      <c r="AI270" s="298"/>
    </row>
    <row r="271" ht="30.75" customHeight="1">
      <c r="B271" s="576"/>
      <c r="C271" s="3"/>
      <c r="D271" s="298"/>
      <c r="F271" s="3"/>
      <c r="J271" s="3"/>
      <c r="K271" s="3"/>
      <c r="L271" s="3"/>
      <c r="R271" s="298"/>
      <c r="S271" s="3"/>
      <c r="T271" s="3"/>
      <c r="W271" s="3"/>
      <c r="X271" s="3"/>
      <c r="Y271" s="3"/>
      <c r="Z271" s="3"/>
      <c r="AA271" s="3"/>
      <c r="AC271" s="298"/>
      <c r="AI271" s="298"/>
    </row>
    <row r="272" ht="30.75" customHeight="1">
      <c r="B272" s="576"/>
      <c r="C272" s="3"/>
      <c r="D272" s="298"/>
      <c r="F272" s="3"/>
      <c r="J272" s="3"/>
      <c r="K272" s="3"/>
      <c r="L272" s="3"/>
      <c r="R272" s="298"/>
      <c r="S272" s="3"/>
      <c r="T272" s="3"/>
      <c r="W272" s="3"/>
      <c r="X272" s="3"/>
      <c r="Y272" s="3"/>
      <c r="Z272" s="3"/>
      <c r="AA272" s="3"/>
      <c r="AC272" s="298"/>
      <c r="AI272" s="298"/>
    </row>
    <row r="273" ht="30.75" customHeight="1">
      <c r="B273" s="576"/>
      <c r="C273" s="3"/>
      <c r="D273" s="298"/>
      <c r="F273" s="3"/>
      <c r="J273" s="3"/>
      <c r="K273" s="3"/>
      <c r="L273" s="3"/>
      <c r="R273" s="298"/>
      <c r="S273" s="3"/>
      <c r="T273" s="3"/>
      <c r="W273" s="3"/>
      <c r="X273" s="3"/>
      <c r="Y273" s="3"/>
      <c r="Z273" s="3"/>
      <c r="AA273" s="3"/>
      <c r="AC273" s="298"/>
      <c r="AI273" s="298"/>
    </row>
    <row r="274" ht="30.75" customHeight="1">
      <c r="B274" s="576"/>
      <c r="C274" s="3"/>
      <c r="D274" s="298"/>
      <c r="F274" s="3"/>
      <c r="K274" s="3"/>
      <c r="L274" s="3"/>
      <c r="R274" s="298"/>
      <c r="S274" s="3"/>
      <c r="T274" s="3"/>
      <c r="W274" s="3"/>
      <c r="X274" s="3"/>
      <c r="Y274" s="3"/>
      <c r="Z274" s="3"/>
      <c r="AA274" s="3"/>
      <c r="AC274" s="298"/>
      <c r="AI274" s="298"/>
    </row>
    <row r="275" ht="30.75" customHeight="1">
      <c r="B275" s="576"/>
      <c r="C275" s="3"/>
      <c r="D275" s="298"/>
      <c r="F275" s="3"/>
      <c r="K275" s="3"/>
      <c r="L275" s="3"/>
      <c r="R275" s="298"/>
      <c r="S275" s="3"/>
      <c r="T275" s="3"/>
      <c r="W275" s="3"/>
      <c r="X275" s="3"/>
      <c r="Y275" s="3"/>
      <c r="Z275" s="3"/>
      <c r="AA275" s="3"/>
      <c r="AC275" s="298"/>
      <c r="AI275" s="298"/>
    </row>
    <row r="276" ht="30.75" customHeight="1">
      <c r="B276" s="576"/>
      <c r="C276" s="3"/>
      <c r="D276" s="298"/>
      <c r="F276" s="3"/>
      <c r="K276" s="3"/>
      <c r="L276" s="3"/>
      <c r="R276" s="298"/>
      <c r="S276" s="3"/>
      <c r="T276" s="3"/>
      <c r="W276" s="3"/>
      <c r="X276" s="3"/>
      <c r="Y276" s="3"/>
      <c r="Z276" s="3"/>
      <c r="AA276" s="3"/>
      <c r="AC276" s="298"/>
      <c r="AI276" s="298"/>
    </row>
    <row r="277" ht="30.75" customHeight="1">
      <c r="B277" s="576"/>
      <c r="C277" s="3"/>
      <c r="D277" s="298"/>
      <c r="F277" s="3"/>
      <c r="K277" s="3"/>
      <c r="L277" s="3"/>
      <c r="R277" s="298"/>
      <c r="S277" s="3"/>
      <c r="T277" s="3"/>
      <c r="W277" s="3"/>
      <c r="X277" s="3"/>
      <c r="Y277" s="3"/>
      <c r="Z277" s="3"/>
      <c r="AA277" s="3"/>
      <c r="AC277" s="298"/>
      <c r="AI277" s="298"/>
    </row>
    <row r="278" ht="30.75" customHeight="1">
      <c r="B278" s="576"/>
      <c r="C278" s="3"/>
      <c r="D278" s="298"/>
      <c r="F278" s="3"/>
      <c r="K278" s="3"/>
      <c r="L278" s="3"/>
      <c r="R278" s="298"/>
      <c r="S278" s="3"/>
      <c r="T278" s="3"/>
      <c r="W278" s="3"/>
      <c r="X278" s="3"/>
      <c r="Y278" s="3"/>
      <c r="Z278" s="3"/>
      <c r="AA278" s="3"/>
      <c r="AC278" s="298"/>
      <c r="AI278" s="298"/>
    </row>
    <row r="279" ht="30.75" customHeight="1">
      <c r="B279" s="576"/>
      <c r="C279" s="3"/>
      <c r="D279" s="298"/>
      <c r="F279" s="3"/>
      <c r="K279" s="3"/>
      <c r="L279" s="3"/>
      <c r="R279" s="298"/>
      <c r="S279" s="3"/>
      <c r="T279" s="3"/>
      <c r="W279" s="3"/>
      <c r="X279" s="3"/>
      <c r="Y279" s="3"/>
      <c r="Z279" s="3"/>
      <c r="AA279" s="3"/>
      <c r="AC279" s="298"/>
      <c r="AI279" s="298"/>
    </row>
    <row r="280" ht="30.75" customHeight="1">
      <c r="B280" s="576"/>
      <c r="C280" s="3"/>
      <c r="D280" s="298"/>
      <c r="F280" s="3"/>
      <c r="K280" s="3"/>
      <c r="L280" s="3"/>
      <c r="R280" s="298"/>
      <c r="S280" s="3"/>
      <c r="T280" s="3"/>
      <c r="W280" s="3"/>
      <c r="X280" s="3"/>
      <c r="Y280" s="3"/>
      <c r="Z280" s="3"/>
      <c r="AA280" s="3"/>
      <c r="AC280" s="298"/>
      <c r="AI280" s="298"/>
    </row>
    <row r="281" ht="30.75" customHeight="1">
      <c r="B281" s="576"/>
      <c r="C281" s="3"/>
      <c r="D281" s="298"/>
      <c r="F281" s="3"/>
      <c r="K281" s="3"/>
      <c r="L281" s="3"/>
      <c r="R281" s="298"/>
      <c r="S281" s="3"/>
      <c r="T281" s="3"/>
      <c r="W281" s="3"/>
      <c r="X281" s="3"/>
      <c r="Y281" s="3"/>
      <c r="Z281" s="3"/>
      <c r="AA281" s="3"/>
      <c r="AC281" s="298"/>
      <c r="AI281" s="298"/>
    </row>
    <row r="282" ht="30.75" customHeight="1">
      <c r="B282" s="576"/>
      <c r="C282" s="3"/>
      <c r="D282" s="298"/>
      <c r="F282" s="3"/>
      <c r="K282" s="3"/>
      <c r="L282" s="3"/>
      <c r="R282" s="298"/>
      <c r="S282" s="3"/>
      <c r="T282" s="3"/>
      <c r="W282" s="3"/>
      <c r="X282" s="3"/>
      <c r="Y282" s="3"/>
      <c r="Z282" s="3"/>
      <c r="AA282" s="3"/>
      <c r="AC282" s="298"/>
      <c r="AI282" s="298"/>
    </row>
    <row r="283" ht="30.75" customHeight="1">
      <c r="B283" s="576"/>
      <c r="C283" s="3"/>
      <c r="D283" s="298"/>
      <c r="F283" s="3"/>
      <c r="K283" s="3"/>
      <c r="L283" s="3"/>
      <c r="R283" s="298"/>
      <c r="S283" s="3"/>
      <c r="T283" s="3"/>
      <c r="W283" s="3"/>
      <c r="X283" s="3"/>
      <c r="Y283" s="3"/>
      <c r="Z283" s="3"/>
      <c r="AA283" s="3"/>
      <c r="AC283" s="298"/>
      <c r="AI283" s="298"/>
    </row>
    <row r="284" ht="30.75" customHeight="1">
      <c r="B284" s="576"/>
      <c r="C284" s="3"/>
      <c r="D284" s="298"/>
      <c r="F284" s="3"/>
      <c r="K284" s="3"/>
      <c r="L284" s="3"/>
      <c r="R284" s="298"/>
      <c r="S284" s="3"/>
      <c r="T284" s="3"/>
      <c r="W284" s="3"/>
      <c r="X284" s="3"/>
      <c r="Y284" s="3"/>
      <c r="Z284" s="3"/>
      <c r="AA284" s="3"/>
      <c r="AC284" s="298"/>
      <c r="AI284" s="298"/>
    </row>
    <row r="285" ht="30.75" customHeight="1">
      <c r="B285" s="576"/>
      <c r="C285" s="3"/>
      <c r="D285" s="298"/>
      <c r="F285" s="3"/>
      <c r="K285" s="3"/>
      <c r="L285" s="3"/>
      <c r="R285" s="298"/>
      <c r="S285" s="3"/>
      <c r="T285" s="3"/>
      <c r="W285" s="3"/>
      <c r="X285" s="3"/>
      <c r="Y285" s="3"/>
      <c r="Z285" s="3"/>
      <c r="AA285" s="3"/>
      <c r="AC285" s="298"/>
      <c r="AI285" s="298"/>
    </row>
    <row r="286" ht="30.75" customHeight="1">
      <c r="B286" s="576"/>
      <c r="C286" s="3"/>
      <c r="D286" s="298"/>
      <c r="F286" s="3"/>
      <c r="K286" s="3"/>
      <c r="L286" s="3"/>
      <c r="R286" s="298"/>
      <c r="S286" s="3"/>
      <c r="T286" s="3"/>
      <c r="W286" s="3"/>
      <c r="X286" s="3"/>
      <c r="Y286" s="3"/>
      <c r="Z286" s="3"/>
      <c r="AA286" s="3"/>
      <c r="AC286" s="298"/>
      <c r="AI286" s="298"/>
    </row>
    <row r="287" ht="30.75" customHeight="1">
      <c r="B287" s="576"/>
      <c r="C287" s="3"/>
      <c r="D287" s="298"/>
      <c r="F287" s="3"/>
      <c r="K287" s="3"/>
      <c r="L287" s="3"/>
      <c r="R287" s="298"/>
      <c r="S287" s="3"/>
      <c r="T287" s="3"/>
      <c r="W287" s="3"/>
      <c r="X287" s="3"/>
      <c r="Y287" s="3"/>
      <c r="Z287" s="3"/>
      <c r="AA287" s="3"/>
      <c r="AC287" s="298"/>
      <c r="AI287" s="298"/>
    </row>
    <row r="288" ht="30.75" customHeight="1">
      <c r="B288" s="576"/>
      <c r="C288" s="3"/>
      <c r="D288" s="298"/>
      <c r="F288" s="3"/>
      <c r="K288" s="3"/>
      <c r="L288" s="3"/>
      <c r="R288" s="298"/>
      <c r="S288" s="3"/>
      <c r="T288" s="3"/>
      <c r="W288" s="3"/>
      <c r="X288" s="3"/>
      <c r="Y288" s="3"/>
      <c r="Z288" s="3"/>
      <c r="AA288" s="3"/>
      <c r="AC288" s="298"/>
      <c r="AI288" s="298"/>
    </row>
    <row r="289">
      <c r="B289" s="576"/>
      <c r="C289" s="3"/>
      <c r="D289" s="298"/>
      <c r="F289" s="3"/>
      <c r="K289" s="3"/>
      <c r="L289" s="3"/>
      <c r="R289" s="298"/>
      <c r="S289" s="3"/>
      <c r="T289" s="3"/>
      <c r="W289" s="3"/>
      <c r="X289" s="3"/>
      <c r="Y289" s="3"/>
      <c r="Z289" s="3"/>
      <c r="AA289" s="3"/>
      <c r="AC289" s="298"/>
      <c r="AI289" s="298"/>
    </row>
    <row r="290">
      <c r="B290" s="576"/>
      <c r="C290" s="3"/>
      <c r="D290" s="298"/>
      <c r="F290" s="3"/>
      <c r="K290" s="3"/>
      <c r="L290" s="3"/>
      <c r="R290" s="298"/>
      <c r="S290" s="3"/>
      <c r="T290" s="3"/>
      <c r="W290" s="3"/>
      <c r="X290" s="3"/>
      <c r="Y290" s="3"/>
      <c r="Z290" s="3"/>
      <c r="AA290" s="3"/>
      <c r="AC290" s="298"/>
      <c r="AI290" s="298"/>
    </row>
    <row r="291">
      <c r="B291" s="576"/>
      <c r="C291" s="3"/>
      <c r="D291" s="298"/>
      <c r="F291" s="3"/>
      <c r="K291" s="3"/>
      <c r="L291" s="3"/>
      <c r="R291" s="298"/>
      <c r="S291" s="3"/>
      <c r="T291" s="3"/>
      <c r="W291" s="3"/>
      <c r="X291" s="3"/>
      <c r="Y291" s="3"/>
      <c r="Z291" s="3"/>
      <c r="AA291" s="3"/>
      <c r="AC291" s="298"/>
      <c r="AI291" s="298"/>
    </row>
    <row r="292">
      <c r="B292" s="576"/>
      <c r="C292" s="3"/>
      <c r="D292" s="298"/>
      <c r="F292" s="3"/>
      <c r="K292" s="3"/>
      <c r="L292" s="3"/>
      <c r="R292" s="298"/>
      <c r="S292" s="3"/>
      <c r="T292" s="3"/>
      <c r="W292" s="3"/>
      <c r="X292" s="3"/>
      <c r="Y292" s="3"/>
      <c r="Z292" s="3"/>
      <c r="AA292" s="3"/>
      <c r="AC292" s="298"/>
      <c r="AI292" s="298"/>
    </row>
    <row r="293">
      <c r="B293" s="576"/>
      <c r="C293" s="3"/>
      <c r="D293" s="298"/>
      <c r="F293" s="3"/>
      <c r="K293" s="3"/>
      <c r="L293" s="3"/>
      <c r="R293" s="298"/>
      <c r="S293" s="3"/>
      <c r="T293" s="3"/>
      <c r="W293" s="3"/>
      <c r="X293" s="3"/>
      <c r="Y293" s="3"/>
      <c r="Z293" s="3"/>
      <c r="AA293" s="3"/>
      <c r="AC293" s="298"/>
      <c r="AI293" s="298"/>
    </row>
    <row r="294">
      <c r="B294" s="576"/>
      <c r="C294" s="3"/>
      <c r="D294" s="298"/>
      <c r="F294" s="3"/>
      <c r="K294" s="3"/>
      <c r="L294" s="3"/>
      <c r="R294" s="298"/>
      <c r="S294" s="3"/>
      <c r="T294" s="3"/>
      <c r="W294" s="3"/>
      <c r="X294" s="3"/>
      <c r="Y294" s="3"/>
      <c r="Z294" s="3"/>
      <c r="AA294" s="3"/>
      <c r="AC294" s="298"/>
      <c r="AI294" s="298"/>
    </row>
    <row r="295">
      <c r="B295" s="576"/>
      <c r="C295" s="3"/>
      <c r="D295" s="298"/>
      <c r="F295" s="3"/>
      <c r="K295" s="3"/>
      <c r="L295" s="3"/>
      <c r="R295" s="298"/>
      <c r="S295" s="3"/>
      <c r="T295" s="3"/>
      <c r="W295" s="3"/>
      <c r="X295" s="3"/>
      <c r="Y295" s="3"/>
      <c r="Z295" s="3"/>
      <c r="AA295" s="3"/>
      <c r="AC295" s="298"/>
      <c r="AI295" s="298"/>
    </row>
    <row r="296">
      <c r="B296" s="576"/>
      <c r="C296" s="3"/>
      <c r="D296" s="298"/>
      <c r="F296" s="3"/>
      <c r="K296" s="3"/>
      <c r="L296" s="3"/>
      <c r="R296" s="298"/>
      <c r="S296" s="3"/>
      <c r="T296" s="3"/>
      <c r="W296" s="3"/>
      <c r="X296" s="3"/>
      <c r="Y296" s="3"/>
      <c r="Z296" s="3"/>
      <c r="AA296" s="3"/>
      <c r="AC296" s="298"/>
      <c r="AI296" s="298"/>
    </row>
    <row r="297">
      <c r="B297" s="576"/>
      <c r="C297" s="3"/>
      <c r="D297" s="298"/>
      <c r="F297" s="3"/>
      <c r="K297" s="3"/>
      <c r="L297" s="3"/>
      <c r="R297" s="298"/>
      <c r="S297" s="3"/>
      <c r="T297" s="3"/>
      <c r="W297" s="3"/>
      <c r="X297" s="3"/>
      <c r="Y297" s="3"/>
      <c r="Z297" s="3"/>
      <c r="AA297" s="3"/>
      <c r="AC297" s="298"/>
      <c r="AI297" s="298"/>
    </row>
    <row r="298">
      <c r="B298" s="576"/>
      <c r="C298" s="3"/>
      <c r="D298" s="298"/>
      <c r="F298" s="3"/>
      <c r="K298" s="3"/>
      <c r="L298" s="3"/>
      <c r="R298" s="298"/>
      <c r="S298" s="3"/>
      <c r="T298" s="3"/>
      <c r="W298" s="3"/>
      <c r="X298" s="3"/>
      <c r="Y298" s="3"/>
      <c r="Z298" s="3"/>
      <c r="AA298" s="3"/>
      <c r="AC298" s="298"/>
      <c r="AI298" s="298"/>
    </row>
    <row r="299">
      <c r="B299" s="576"/>
      <c r="C299" s="3"/>
      <c r="D299" s="298"/>
      <c r="F299" s="3"/>
      <c r="K299" s="3"/>
      <c r="L299" s="3"/>
      <c r="R299" s="298"/>
      <c r="S299" s="3"/>
      <c r="T299" s="3"/>
      <c r="W299" s="3"/>
      <c r="X299" s="3"/>
      <c r="Y299" s="3"/>
      <c r="Z299" s="3"/>
      <c r="AA299" s="3"/>
      <c r="AC299" s="298"/>
      <c r="AI299" s="298"/>
    </row>
    <row r="300">
      <c r="B300" s="576"/>
      <c r="C300" s="3"/>
      <c r="D300" s="298"/>
      <c r="F300" s="3"/>
      <c r="K300" s="3"/>
      <c r="L300" s="3"/>
      <c r="R300" s="298"/>
      <c r="S300" s="3"/>
      <c r="T300" s="3"/>
      <c r="W300" s="3"/>
      <c r="X300" s="3"/>
      <c r="Y300" s="3"/>
      <c r="Z300" s="3"/>
      <c r="AA300" s="3"/>
      <c r="AC300" s="298"/>
      <c r="AI300" s="298"/>
    </row>
    <row r="301">
      <c r="B301" s="576"/>
      <c r="C301" s="3"/>
      <c r="D301" s="298"/>
      <c r="F301" s="3"/>
      <c r="K301" s="3"/>
      <c r="L301" s="3"/>
      <c r="R301" s="298"/>
      <c r="S301" s="3"/>
      <c r="T301" s="3"/>
      <c r="W301" s="3"/>
      <c r="X301" s="3"/>
      <c r="Y301" s="3"/>
      <c r="Z301" s="3"/>
      <c r="AA301" s="3"/>
      <c r="AC301" s="298"/>
      <c r="AI301" s="298"/>
    </row>
    <row r="302">
      <c r="B302" s="576"/>
      <c r="C302" s="3"/>
      <c r="D302" s="298"/>
      <c r="F302" s="3"/>
      <c r="K302" s="3"/>
      <c r="L302" s="3"/>
      <c r="R302" s="298"/>
      <c r="S302" s="3"/>
      <c r="T302" s="3"/>
      <c r="W302" s="3"/>
      <c r="X302" s="3"/>
      <c r="Y302" s="3"/>
      <c r="Z302" s="3"/>
      <c r="AA302" s="3"/>
      <c r="AC302" s="298"/>
      <c r="AI302" s="298"/>
    </row>
    <row r="303">
      <c r="B303" s="576"/>
      <c r="C303" s="3"/>
      <c r="D303" s="298"/>
      <c r="F303" s="3"/>
      <c r="K303" s="3"/>
      <c r="L303" s="3"/>
      <c r="R303" s="298"/>
      <c r="S303" s="3"/>
      <c r="T303" s="3"/>
      <c r="W303" s="3"/>
      <c r="X303" s="3"/>
      <c r="Y303" s="3"/>
      <c r="Z303" s="3"/>
      <c r="AA303" s="3"/>
      <c r="AC303" s="298"/>
      <c r="AI303" s="298"/>
    </row>
    <row r="304">
      <c r="B304" s="576"/>
      <c r="C304" s="3"/>
      <c r="D304" s="298"/>
      <c r="F304" s="3"/>
      <c r="K304" s="3"/>
      <c r="L304" s="3"/>
      <c r="R304" s="298"/>
      <c r="S304" s="3"/>
      <c r="T304" s="3"/>
      <c r="W304" s="3"/>
      <c r="X304" s="3"/>
      <c r="Y304" s="3"/>
      <c r="Z304" s="3"/>
      <c r="AA304" s="3"/>
      <c r="AC304" s="298"/>
      <c r="AI304" s="298"/>
    </row>
    <row r="305">
      <c r="B305" s="576"/>
      <c r="C305" s="3"/>
      <c r="D305" s="298"/>
      <c r="F305" s="3"/>
      <c r="K305" s="3"/>
      <c r="L305" s="3"/>
      <c r="R305" s="298"/>
      <c r="S305" s="3"/>
      <c r="T305" s="3"/>
      <c r="W305" s="3"/>
      <c r="X305" s="3"/>
      <c r="Y305" s="3"/>
      <c r="Z305" s="3"/>
      <c r="AA305" s="3"/>
      <c r="AC305" s="298"/>
      <c r="AI305" s="298"/>
    </row>
    <row r="306">
      <c r="B306" s="576"/>
      <c r="C306" s="3"/>
      <c r="D306" s="298"/>
      <c r="F306" s="3"/>
      <c r="K306" s="3"/>
      <c r="L306" s="3"/>
      <c r="R306" s="298"/>
      <c r="S306" s="3"/>
      <c r="T306" s="3"/>
      <c r="W306" s="3"/>
      <c r="X306" s="3"/>
      <c r="Y306" s="3"/>
      <c r="Z306" s="3"/>
      <c r="AA306" s="3"/>
      <c r="AC306" s="298"/>
      <c r="AI306" s="298"/>
    </row>
    <row r="307">
      <c r="B307" s="576"/>
      <c r="C307" s="3"/>
      <c r="D307" s="298"/>
      <c r="F307" s="3"/>
      <c r="K307" s="3"/>
      <c r="L307" s="3"/>
      <c r="R307" s="298"/>
      <c r="S307" s="3"/>
      <c r="T307" s="3"/>
      <c r="W307" s="3"/>
      <c r="X307" s="3"/>
      <c r="Y307" s="3"/>
      <c r="Z307" s="3"/>
      <c r="AA307" s="3"/>
      <c r="AC307" s="298"/>
      <c r="AI307" s="298"/>
    </row>
    <row r="308">
      <c r="B308" s="576"/>
      <c r="C308" s="3"/>
      <c r="D308" s="298"/>
      <c r="F308" s="3"/>
      <c r="K308" s="3"/>
      <c r="L308" s="3"/>
      <c r="R308" s="298"/>
      <c r="S308" s="3"/>
      <c r="T308" s="3"/>
      <c r="W308" s="3"/>
      <c r="X308" s="3"/>
      <c r="Y308" s="3"/>
      <c r="Z308" s="3"/>
      <c r="AA308" s="3"/>
      <c r="AC308" s="298"/>
      <c r="AI308" s="298"/>
    </row>
    <row r="309">
      <c r="B309" s="576"/>
      <c r="C309" s="3"/>
      <c r="D309" s="298"/>
      <c r="F309" s="3"/>
      <c r="K309" s="3"/>
      <c r="L309" s="3"/>
      <c r="R309" s="298"/>
      <c r="S309" s="3"/>
      <c r="T309" s="3"/>
      <c r="W309" s="3"/>
      <c r="X309" s="3"/>
      <c r="Y309" s="3"/>
      <c r="Z309" s="3"/>
      <c r="AA309" s="3"/>
      <c r="AC309" s="298"/>
      <c r="AI309" s="298"/>
    </row>
    <row r="310">
      <c r="B310" s="576"/>
      <c r="C310" s="3"/>
      <c r="D310" s="298"/>
      <c r="F310" s="3"/>
      <c r="K310" s="3"/>
      <c r="L310" s="3"/>
      <c r="R310" s="298"/>
      <c r="S310" s="3"/>
      <c r="T310" s="3"/>
      <c r="W310" s="3"/>
      <c r="X310" s="3"/>
      <c r="Y310" s="3"/>
      <c r="Z310" s="3"/>
      <c r="AA310" s="3"/>
      <c r="AC310" s="298"/>
      <c r="AI310" s="298"/>
    </row>
    <row r="311">
      <c r="B311" s="576"/>
      <c r="C311" s="3"/>
      <c r="D311" s="298"/>
      <c r="F311" s="3"/>
      <c r="K311" s="3"/>
      <c r="L311" s="3"/>
      <c r="R311" s="298"/>
      <c r="S311" s="3"/>
      <c r="T311" s="3"/>
      <c r="W311" s="3"/>
      <c r="X311" s="3"/>
      <c r="Y311" s="3"/>
      <c r="Z311" s="3"/>
      <c r="AA311" s="3"/>
      <c r="AC311" s="298"/>
      <c r="AI311" s="298"/>
    </row>
    <row r="312">
      <c r="B312" s="576"/>
      <c r="C312" s="3"/>
      <c r="D312" s="298"/>
      <c r="F312" s="3"/>
      <c r="K312" s="3"/>
      <c r="L312" s="3"/>
      <c r="R312" s="298"/>
      <c r="S312" s="3"/>
      <c r="T312" s="3"/>
      <c r="W312" s="3"/>
      <c r="X312" s="3"/>
      <c r="Y312" s="3"/>
      <c r="Z312" s="3"/>
      <c r="AA312" s="3"/>
      <c r="AC312" s="298"/>
      <c r="AI312" s="298"/>
    </row>
    <row r="313">
      <c r="B313" s="576"/>
      <c r="C313" s="3"/>
      <c r="D313" s="298"/>
      <c r="F313" s="3"/>
      <c r="K313" s="3"/>
      <c r="L313" s="3"/>
      <c r="R313" s="298"/>
      <c r="S313" s="3"/>
      <c r="T313" s="3"/>
      <c r="W313" s="3"/>
      <c r="X313" s="3"/>
      <c r="Y313" s="3"/>
      <c r="Z313" s="3"/>
      <c r="AA313" s="3"/>
      <c r="AC313" s="298"/>
      <c r="AI313" s="298"/>
    </row>
    <row r="314">
      <c r="B314" s="576"/>
      <c r="C314" s="3"/>
      <c r="D314" s="298"/>
      <c r="F314" s="3"/>
      <c r="K314" s="3"/>
      <c r="L314" s="3"/>
      <c r="R314" s="298"/>
      <c r="S314" s="3"/>
      <c r="T314" s="3"/>
      <c r="W314" s="3"/>
      <c r="X314" s="3"/>
      <c r="Y314" s="3"/>
      <c r="Z314" s="3"/>
      <c r="AA314" s="3"/>
      <c r="AC314" s="298"/>
      <c r="AI314" s="298"/>
    </row>
    <row r="315">
      <c r="B315" s="576"/>
      <c r="C315" s="3"/>
      <c r="D315" s="298"/>
      <c r="F315" s="3"/>
      <c r="K315" s="3"/>
      <c r="L315" s="3"/>
      <c r="R315" s="298"/>
      <c r="S315" s="3"/>
      <c r="T315" s="3"/>
      <c r="W315" s="3"/>
      <c r="X315" s="3"/>
      <c r="Y315" s="3"/>
      <c r="Z315" s="3"/>
      <c r="AA315" s="3"/>
      <c r="AC315" s="298"/>
      <c r="AI315" s="298"/>
    </row>
    <row r="316">
      <c r="B316" s="576"/>
      <c r="C316" s="3"/>
      <c r="D316" s="298"/>
      <c r="F316" s="3"/>
      <c r="K316" s="3"/>
      <c r="L316" s="3"/>
      <c r="R316" s="298"/>
      <c r="S316" s="3"/>
      <c r="T316" s="3"/>
      <c r="W316" s="3"/>
      <c r="X316" s="3"/>
      <c r="Y316" s="3"/>
      <c r="Z316" s="3"/>
      <c r="AA316" s="3"/>
      <c r="AC316" s="298"/>
      <c r="AI316" s="298"/>
    </row>
    <row r="317">
      <c r="B317" s="576"/>
      <c r="C317" s="3"/>
      <c r="D317" s="298"/>
      <c r="F317" s="3"/>
      <c r="K317" s="3"/>
      <c r="L317" s="3"/>
      <c r="R317" s="298"/>
      <c r="S317" s="3"/>
      <c r="T317" s="3"/>
      <c r="W317" s="3"/>
      <c r="X317" s="3"/>
      <c r="Y317" s="3"/>
      <c r="Z317" s="3"/>
      <c r="AA317" s="3"/>
      <c r="AC317" s="298"/>
      <c r="AI317" s="298"/>
    </row>
    <row r="318">
      <c r="B318" s="576"/>
      <c r="C318" s="3"/>
      <c r="D318" s="298"/>
      <c r="F318" s="3"/>
      <c r="K318" s="3"/>
      <c r="L318" s="3"/>
      <c r="R318" s="298"/>
      <c r="S318" s="3"/>
      <c r="T318" s="3"/>
      <c r="W318" s="3"/>
      <c r="X318" s="3"/>
      <c r="Y318" s="3"/>
      <c r="Z318" s="3"/>
      <c r="AA318" s="3"/>
      <c r="AC318" s="298"/>
      <c r="AI318" s="298"/>
    </row>
    <row r="319">
      <c r="B319" s="576"/>
      <c r="C319" s="3"/>
      <c r="D319" s="298"/>
      <c r="F319" s="3"/>
      <c r="K319" s="3"/>
      <c r="L319" s="3"/>
      <c r="R319" s="298"/>
      <c r="S319" s="3"/>
      <c r="T319" s="3"/>
      <c r="W319" s="3"/>
      <c r="X319" s="3"/>
      <c r="Y319" s="3"/>
      <c r="Z319" s="3"/>
      <c r="AA319" s="3"/>
      <c r="AC319" s="298"/>
      <c r="AI319" s="298"/>
    </row>
    <row r="320">
      <c r="B320" s="576"/>
      <c r="C320" s="3"/>
      <c r="D320" s="298"/>
      <c r="F320" s="3"/>
      <c r="K320" s="3"/>
      <c r="L320" s="3"/>
      <c r="R320" s="298"/>
      <c r="S320" s="3"/>
      <c r="T320" s="3"/>
      <c r="W320" s="3"/>
      <c r="X320" s="3"/>
      <c r="Y320" s="3"/>
      <c r="Z320" s="3"/>
      <c r="AA320" s="3"/>
      <c r="AC320" s="298"/>
      <c r="AI320" s="298"/>
    </row>
    <row r="321">
      <c r="B321" s="576"/>
      <c r="C321" s="3"/>
      <c r="D321" s="298"/>
      <c r="F321" s="3"/>
      <c r="K321" s="3"/>
      <c r="L321" s="3"/>
      <c r="R321" s="298"/>
      <c r="S321" s="3"/>
      <c r="T321" s="3"/>
      <c r="W321" s="3"/>
      <c r="X321" s="3"/>
      <c r="Y321" s="3"/>
      <c r="Z321" s="3"/>
      <c r="AA321" s="3"/>
      <c r="AC321" s="298"/>
      <c r="AI321" s="298"/>
    </row>
    <row r="322">
      <c r="B322" s="576"/>
      <c r="C322" s="3"/>
      <c r="D322" s="298"/>
      <c r="F322" s="3"/>
      <c r="K322" s="3"/>
      <c r="L322" s="3"/>
      <c r="R322" s="298"/>
      <c r="S322" s="3"/>
      <c r="T322" s="3"/>
      <c r="W322" s="3"/>
      <c r="X322" s="3"/>
      <c r="Y322" s="3"/>
      <c r="Z322" s="3"/>
      <c r="AA322" s="3"/>
      <c r="AC322" s="298"/>
      <c r="AI322" s="298"/>
    </row>
    <row r="323">
      <c r="B323" s="576"/>
      <c r="C323" s="3"/>
      <c r="D323" s="298"/>
      <c r="F323" s="3"/>
      <c r="K323" s="3"/>
      <c r="L323" s="3"/>
      <c r="R323" s="298"/>
      <c r="S323" s="3"/>
      <c r="T323" s="3"/>
      <c r="W323" s="3"/>
      <c r="X323" s="3"/>
      <c r="Y323" s="3"/>
      <c r="Z323" s="3"/>
      <c r="AA323" s="3"/>
      <c r="AC323" s="298"/>
      <c r="AI323" s="298"/>
    </row>
    <row r="324">
      <c r="B324" s="576"/>
      <c r="C324" s="3"/>
      <c r="D324" s="298"/>
      <c r="F324" s="3"/>
      <c r="K324" s="3"/>
      <c r="L324" s="3"/>
      <c r="R324" s="298"/>
      <c r="S324" s="3"/>
      <c r="T324" s="3"/>
      <c r="W324" s="3"/>
      <c r="X324" s="3"/>
      <c r="Y324" s="3"/>
      <c r="Z324" s="3"/>
      <c r="AA324" s="3"/>
      <c r="AC324" s="298"/>
      <c r="AI324" s="298"/>
    </row>
    <row r="325">
      <c r="B325" s="576"/>
      <c r="C325" s="3"/>
      <c r="D325" s="298"/>
      <c r="F325" s="3"/>
      <c r="K325" s="3"/>
      <c r="L325" s="3"/>
      <c r="R325" s="298"/>
      <c r="S325" s="3"/>
      <c r="T325" s="3"/>
      <c r="W325" s="3"/>
      <c r="X325" s="3"/>
      <c r="Y325" s="3"/>
      <c r="Z325" s="3"/>
      <c r="AA325" s="3"/>
      <c r="AC325" s="298"/>
      <c r="AI325" s="298"/>
    </row>
    <row r="326">
      <c r="B326" s="576"/>
      <c r="C326" s="3"/>
      <c r="D326" s="298"/>
      <c r="F326" s="3"/>
      <c r="K326" s="3"/>
      <c r="L326" s="3"/>
      <c r="R326" s="298"/>
      <c r="S326" s="3"/>
      <c r="T326" s="3"/>
      <c r="W326" s="3"/>
      <c r="X326" s="3"/>
      <c r="Y326" s="3"/>
      <c r="Z326" s="3"/>
      <c r="AA326" s="3"/>
      <c r="AC326" s="298"/>
      <c r="AI326" s="298"/>
    </row>
    <row r="327">
      <c r="B327" s="576"/>
      <c r="C327" s="3"/>
      <c r="D327" s="298"/>
      <c r="F327" s="3"/>
      <c r="K327" s="3"/>
      <c r="L327" s="3"/>
      <c r="R327" s="298"/>
      <c r="S327" s="3"/>
      <c r="T327" s="3"/>
      <c r="W327" s="3"/>
      <c r="X327" s="3"/>
      <c r="Y327" s="3"/>
      <c r="Z327" s="3"/>
      <c r="AA327" s="3"/>
      <c r="AC327" s="298"/>
      <c r="AI327" s="298"/>
    </row>
    <row r="328">
      <c r="B328" s="576"/>
      <c r="C328" s="3"/>
      <c r="D328" s="298"/>
      <c r="F328" s="3"/>
      <c r="K328" s="3"/>
      <c r="L328" s="3"/>
      <c r="R328" s="298"/>
      <c r="S328" s="3"/>
      <c r="T328" s="3"/>
      <c r="W328" s="3"/>
      <c r="X328" s="3"/>
      <c r="Y328" s="3"/>
      <c r="Z328" s="3"/>
      <c r="AA328" s="3"/>
      <c r="AC328" s="298"/>
      <c r="AI328" s="298"/>
    </row>
    <row r="329">
      <c r="B329" s="576"/>
      <c r="C329" s="3"/>
      <c r="D329" s="298"/>
      <c r="F329" s="3"/>
      <c r="K329" s="3"/>
      <c r="L329" s="3"/>
      <c r="R329" s="298"/>
      <c r="S329" s="3"/>
      <c r="T329" s="3"/>
      <c r="W329" s="3"/>
      <c r="X329" s="3"/>
      <c r="Y329" s="3"/>
      <c r="Z329" s="3"/>
      <c r="AA329" s="3"/>
      <c r="AC329" s="298"/>
      <c r="AI329" s="298"/>
    </row>
    <row r="330">
      <c r="B330" s="576"/>
      <c r="C330" s="3"/>
      <c r="D330" s="298"/>
      <c r="F330" s="3"/>
      <c r="K330" s="3"/>
      <c r="L330" s="3"/>
      <c r="R330" s="298"/>
      <c r="S330" s="3"/>
      <c r="T330" s="3"/>
      <c r="W330" s="3"/>
      <c r="X330" s="3"/>
      <c r="Y330" s="3"/>
      <c r="Z330" s="3"/>
      <c r="AA330" s="3"/>
      <c r="AC330" s="298"/>
      <c r="AI330" s="298"/>
    </row>
    <row r="331">
      <c r="B331" s="576"/>
      <c r="C331" s="3"/>
      <c r="D331" s="298"/>
      <c r="F331" s="3"/>
      <c r="K331" s="3"/>
      <c r="L331" s="3"/>
      <c r="R331" s="298"/>
      <c r="S331" s="3"/>
      <c r="T331" s="3"/>
      <c r="W331" s="3"/>
      <c r="X331" s="3"/>
      <c r="Y331" s="3"/>
      <c r="Z331" s="3"/>
      <c r="AA331" s="3"/>
      <c r="AC331" s="298"/>
      <c r="AI331" s="298"/>
    </row>
    <row r="332">
      <c r="B332" s="576"/>
      <c r="C332" s="3"/>
      <c r="D332" s="298"/>
      <c r="F332" s="3"/>
      <c r="K332" s="3"/>
      <c r="L332" s="3"/>
      <c r="R332" s="298"/>
      <c r="S332" s="3"/>
      <c r="T332" s="3"/>
      <c r="W332" s="3"/>
      <c r="X332" s="3"/>
      <c r="Y332" s="3"/>
      <c r="Z332" s="3"/>
      <c r="AA332" s="3"/>
      <c r="AC332" s="298"/>
      <c r="AI332" s="298"/>
    </row>
    <row r="333">
      <c r="B333" s="576"/>
      <c r="C333" s="3"/>
      <c r="D333" s="298"/>
      <c r="F333" s="3"/>
      <c r="K333" s="3"/>
      <c r="L333" s="3"/>
      <c r="R333" s="298"/>
      <c r="S333" s="3"/>
      <c r="T333" s="3"/>
      <c r="W333" s="3"/>
      <c r="X333" s="3"/>
      <c r="Y333" s="3"/>
      <c r="Z333" s="3"/>
      <c r="AA333" s="3"/>
      <c r="AC333" s="298"/>
      <c r="AI333" s="298"/>
    </row>
    <row r="334">
      <c r="B334" s="576"/>
      <c r="C334" s="3"/>
      <c r="D334" s="298"/>
      <c r="F334" s="3"/>
      <c r="K334" s="3"/>
      <c r="L334" s="3"/>
      <c r="R334" s="298"/>
      <c r="S334" s="3"/>
      <c r="T334" s="3"/>
      <c r="W334" s="3"/>
      <c r="X334" s="3"/>
      <c r="Y334" s="3"/>
      <c r="Z334" s="3"/>
      <c r="AA334" s="3"/>
      <c r="AC334" s="298"/>
      <c r="AI334" s="298"/>
    </row>
    <row r="335">
      <c r="B335" s="576"/>
      <c r="C335" s="3"/>
      <c r="D335" s="298"/>
      <c r="F335" s="3"/>
      <c r="K335" s="3"/>
      <c r="L335" s="3"/>
      <c r="R335" s="298"/>
      <c r="S335" s="3"/>
      <c r="T335" s="3"/>
      <c r="W335" s="3"/>
      <c r="X335" s="3"/>
      <c r="Y335" s="3"/>
      <c r="Z335" s="3"/>
      <c r="AA335" s="3"/>
      <c r="AC335" s="298"/>
      <c r="AI335" s="298"/>
    </row>
    <row r="336">
      <c r="B336" s="576"/>
      <c r="C336" s="3"/>
      <c r="D336" s="298"/>
      <c r="F336" s="3"/>
      <c r="K336" s="3"/>
      <c r="L336" s="3"/>
      <c r="R336" s="298"/>
      <c r="S336" s="3"/>
      <c r="T336" s="3"/>
      <c r="W336" s="3"/>
      <c r="X336" s="3"/>
      <c r="Y336" s="3"/>
      <c r="Z336" s="3"/>
      <c r="AA336" s="3"/>
      <c r="AC336" s="298"/>
      <c r="AI336" s="298"/>
    </row>
    <row r="337">
      <c r="B337" s="576"/>
      <c r="C337" s="3"/>
      <c r="D337" s="298"/>
      <c r="F337" s="3"/>
      <c r="K337" s="3"/>
      <c r="L337" s="3"/>
      <c r="R337" s="298"/>
      <c r="S337" s="3"/>
      <c r="T337" s="3"/>
      <c r="W337" s="3"/>
      <c r="X337" s="3"/>
      <c r="Y337" s="3"/>
      <c r="Z337" s="3"/>
      <c r="AA337" s="3"/>
      <c r="AC337" s="298"/>
      <c r="AI337" s="298"/>
    </row>
    <row r="338">
      <c r="B338" s="576"/>
      <c r="C338" s="3"/>
      <c r="D338" s="298"/>
      <c r="F338" s="3"/>
      <c r="K338" s="3"/>
      <c r="L338" s="3"/>
      <c r="R338" s="298"/>
      <c r="S338" s="3"/>
      <c r="T338" s="3"/>
      <c r="W338" s="3"/>
      <c r="X338" s="3"/>
      <c r="Y338" s="3"/>
      <c r="Z338" s="3"/>
      <c r="AA338" s="3"/>
      <c r="AC338" s="298"/>
      <c r="AI338" s="298"/>
    </row>
    <row r="339">
      <c r="B339" s="576"/>
      <c r="C339" s="3"/>
      <c r="D339" s="298"/>
      <c r="F339" s="3"/>
      <c r="K339" s="3"/>
      <c r="L339" s="3"/>
      <c r="R339" s="298"/>
      <c r="S339" s="3"/>
      <c r="T339" s="3"/>
      <c r="W339" s="3"/>
      <c r="X339" s="3"/>
      <c r="Y339" s="3"/>
      <c r="Z339" s="3"/>
      <c r="AA339" s="3"/>
      <c r="AC339" s="298"/>
      <c r="AI339" s="298"/>
    </row>
    <row r="340">
      <c r="B340" s="576"/>
      <c r="C340" s="3"/>
      <c r="D340" s="298"/>
      <c r="F340" s="3"/>
      <c r="K340" s="3"/>
      <c r="L340" s="3"/>
      <c r="R340" s="298"/>
      <c r="S340" s="3"/>
      <c r="T340" s="3"/>
      <c r="W340" s="3"/>
      <c r="X340" s="3"/>
      <c r="Y340" s="3"/>
      <c r="Z340" s="3"/>
      <c r="AA340" s="3"/>
      <c r="AC340" s="298"/>
      <c r="AI340" s="298"/>
    </row>
    <row r="341">
      <c r="B341" s="576"/>
      <c r="C341" s="3"/>
      <c r="D341" s="298"/>
      <c r="F341" s="3"/>
      <c r="K341" s="3"/>
      <c r="L341" s="3"/>
      <c r="R341" s="298"/>
      <c r="S341" s="3"/>
      <c r="T341" s="3"/>
      <c r="W341" s="3"/>
      <c r="X341" s="3"/>
      <c r="Y341" s="3"/>
      <c r="Z341" s="3"/>
      <c r="AA341" s="3"/>
      <c r="AC341" s="298"/>
      <c r="AI341" s="298"/>
    </row>
    <row r="342">
      <c r="B342" s="576"/>
      <c r="C342" s="3"/>
      <c r="D342" s="298"/>
      <c r="F342" s="3"/>
      <c r="K342" s="3"/>
      <c r="L342" s="3"/>
      <c r="R342" s="298"/>
      <c r="S342" s="3"/>
      <c r="T342" s="3"/>
      <c r="W342" s="3"/>
      <c r="X342" s="3"/>
      <c r="Y342" s="3"/>
      <c r="Z342" s="3"/>
      <c r="AA342" s="3"/>
      <c r="AC342" s="298"/>
      <c r="AI342" s="298"/>
    </row>
    <row r="343">
      <c r="B343" s="576"/>
      <c r="C343" s="3"/>
      <c r="D343" s="298"/>
      <c r="F343" s="3"/>
      <c r="K343" s="3"/>
      <c r="L343" s="3"/>
      <c r="R343" s="298"/>
      <c r="S343" s="3"/>
      <c r="T343" s="3"/>
      <c r="W343" s="3"/>
      <c r="X343" s="3"/>
      <c r="Y343" s="3"/>
      <c r="Z343" s="3"/>
      <c r="AA343" s="3"/>
      <c r="AC343" s="298"/>
      <c r="AI343" s="298"/>
    </row>
    <row r="344">
      <c r="B344" s="576"/>
      <c r="C344" s="3"/>
      <c r="D344" s="298"/>
      <c r="F344" s="3"/>
      <c r="K344" s="3"/>
      <c r="L344" s="3"/>
      <c r="R344" s="298"/>
      <c r="S344" s="3"/>
      <c r="T344" s="3"/>
      <c r="W344" s="3"/>
      <c r="X344" s="3"/>
      <c r="Y344" s="3"/>
      <c r="Z344" s="3"/>
      <c r="AA344" s="3"/>
      <c r="AC344" s="298"/>
      <c r="AI344" s="298"/>
    </row>
    <row r="345">
      <c r="B345" s="576"/>
      <c r="C345" s="3"/>
      <c r="D345" s="298"/>
      <c r="F345" s="3"/>
      <c r="K345" s="3"/>
      <c r="L345" s="3"/>
      <c r="R345" s="298"/>
      <c r="S345" s="3"/>
      <c r="T345" s="3"/>
      <c r="W345" s="3"/>
      <c r="X345" s="3"/>
      <c r="Y345" s="3"/>
      <c r="Z345" s="3"/>
      <c r="AA345" s="3"/>
      <c r="AC345" s="298"/>
      <c r="AI345" s="298"/>
    </row>
    <row r="346">
      <c r="B346" s="576"/>
      <c r="C346" s="3"/>
      <c r="D346" s="298"/>
      <c r="F346" s="3"/>
      <c r="K346" s="3"/>
      <c r="L346" s="3"/>
      <c r="R346" s="298"/>
      <c r="S346" s="3"/>
      <c r="T346" s="3"/>
      <c r="W346" s="3"/>
      <c r="X346" s="3"/>
      <c r="Y346" s="3"/>
      <c r="Z346" s="3"/>
      <c r="AA346" s="3"/>
      <c r="AC346" s="298"/>
      <c r="AI346" s="298"/>
    </row>
    <row r="347">
      <c r="B347" s="576"/>
      <c r="C347" s="3"/>
      <c r="D347" s="298"/>
      <c r="F347" s="3"/>
      <c r="K347" s="3"/>
      <c r="L347" s="3"/>
      <c r="R347" s="298"/>
      <c r="S347" s="3"/>
      <c r="T347" s="3"/>
      <c r="W347" s="3"/>
      <c r="X347" s="3"/>
      <c r="Y347" s="3"/>
      <c r="Z347" s="3"/>
      <c r="AA347" s="3"/>
      <c r="AC347" s="298"/>
      <c r="AI347" s="298"/>
    </row>
    <row r="348">
      <c r="B348" s="576"/>
      <c r="C348" s="3"/>
      <c r="D348" s="298"/>
      <c r="F348" s="3"/>
      <c r="K348" s="3"/>
      <c r="L348" s="3"/>
      <c r="R348" s="298"/>
      <c r="S348" s="3"/>
      <c r="T348" s="3"/>
      <c r="W348" s="3"/>
      <c r="X348" s="3"/>
      <c r="Y348" s="3"/>
      <c r="Z348" s="3"/>
      <c r="AA348" s="3"/>
      <c r="AC348" s="298"/>
      <c r="AI348" s="298"/>
    </row>
    <row r="349">
      <c r="B349" s="576"/>
      <c r="C349" s="3"/>
      <c r="D349" s="298"/>
      <c r="F349" s="3"/>
      <c r="K349" s="3"/>
      <c r="L349" s="3"/>
      <c r="R349" s="298"/>
      <c r="S349" s="3"/>
      <c r="T349" s="3"/>
      <c r="W349" s="3"/>
      <c r="X349" s="3"/>
      <c r="Y349" s="3"/>
      <c r="Z349" s="3"/>
      <c r="AA349" s="3"/>
      <c r="AC349" s="298"/>
      <c r="AI349" s="298"/>
    </row>
    <row r="350">
      <c r="B350" s="576"/>
      <c r="C350" s="3"/>
      <c r="D350" s="298"/>
      <c r="F350" s="3"/>
      <c r="K350" s="3"/>
      <c r="L350" s="3"/>
      <c r="R350" s="298"/>
      <c r="S350" s="3"/>
      <c r="T350" s="3"/>
      <c r="W350" s="3"/>
      <c r="X350" s="3"/>
      <c r="Y350" s="3"/>
      <c r="Z350" s="3"/>
      <c r="AA350" s="3"/>
      <c r="AC350" s="298"/>
      <c r="AI350" s="298"/>
    </row>
    <row r="351">
      <c r="B351" s="576"/>
      <c r="C351" s="3"/>
      <c r="D351" s="298"/>
      <c r="F351" s="3"/>
      <c r="K351" s="3"/>
      <c r="L351" s="3"/>
      <c r="R351" s="298"/>
      <c r="S351" s="3"/>
      <c r="T351" s="3"/>
      <c r="W351" s="3"/>
      <c r="X351" s="3"/>
      <c r="Y351" s="3"/>
      <c r="Z351" s="3"/>
      <c r="AA351" s="3"/>
      <c r="AC351" s="298"/>
      <c r="AI351" s="298"/>
    </row>
    <row r="352">
      <c r="B352" s="576"/>
      <c r="C352" s="3"/>
      <c r="D352" s="298"/>
      <c r="F352" s="3"/>
      <c r="K352" s="3"/>
      <c r="L352" s="3"/>
      <c r="R352" s="298"/>
      <c r="S352" s="3"/>
      <c r="T352" s="3"/>
      <c r="W352" s="3"/>
      <c r="X352" s="3"/>
      <c r="Y352" s="3"/>
      <c r="Z352" s="3"/>
      <c r="AA352" s="3"/>
      <c r="AC352" s="298"/>
      <c r="AI352" s="298"/>
    </row>
    <row r="353">
      <c r="B353" s="576"/>
      <c r="C353" s="3"/>
      <c r="D353" s="298"/>
      <c r="F353" s="3"/>
      <c r="K353" s="3"/>
      <c r="L353" s="3"/>
      <c r="R353" s="298"/>
      <c r="S353" s="3"/>
      <c r="T353" s="3"/>
      <c r="W353" s="3"/>
      <c r="X353" s="3"/>
      <c r="Y353" s="3"/>
      <c r="Z353" s="3"/>
      <c r="AA353" s="3"/>
      <c r="AC353" s="298"/>
      <c r="AI353" s="298"/>
    </row>
    <row r="354">
      <c r="B354" s="576"/>
      <c r="C354" s="3"/>
      <c r="D354" s="298"/>
      <c r="F354" s="3"/>
      <c r="K354" s="3"/>
      <c r="L354" s="3"/>
      <c r="R354" s="298"/>
      <c r="S354" s="3"/>
      <c r="T354" s="3"/>
      <c r="W354" s="3"/>
      <c r="X354" s="3"/>
      <c r="Y354" s="3"/>
      <c r="Z354" s="3"/>
      <c r="AA354" s="3"/>
      <c r="AC354" s="298"/>
      <c r="AI354" s="298"/>
    </row>
    <row r="355">
      <c r="B355" s="576"/>
      <c r="C355" s="3"/>
      <c r="D355" s="298"/>
      <c r="F355" s="3"/>
      <c r="K355" s="3"/>
      <c r="L355" s="3"/>
      <c r="R355" s="298"/>
      <c r="S355" s="3"/>
      <c r="T355" s="3"/>
      <c r="W355" s="3"/>
      <c r="X355" s="3"/>
      <c r="Y355" s="3"/>
      <c r="Z355" s="3"/>
      <c r="AA355" s="3"/>
      <c r="AC355" s="298"/>
      <c r="AI355" s="298"/>
    </row>
    <row r="356">
      <c r="B356" s="576"/>
      <c r="C356" s="3"/>
      <c r="D356" s="298"/>
      <c r="F356" s="3"/>
      <c r="K356" s="3"/>
      <c r="L356" s="3"/>
      <c r="R356" s="298"/>
      <c r="S356" s="3"/>
      <c r="T356" s="3"/>
      <c r="W356" s="3"/>
      <c r="X356" s="3"/>
      <c r="Y356" s="3"/>
      <c r="Z356" s="3"/>
      <c r="AA356" s="3"/>
      <c r="AC356" s="298"/>
      <c r="AI356" s="298"/>
    </row>
    <row r="357">
      <c r="B357" s="576"/>
      <c r="C357" s="3"/>
      <c r="D357" s="298"/>
      <c r="F357" s="3"/>
      <c r="K357" s="3"/>
      <c r="L357" s="3"/>
      <c r="R357" s="298"/>
      <c r="S357" s="3"/>
      <c r="T357" s="3"/>
      <c r="W357" s="3"/>
      <c r="X357" s="3"/>
      <c r="Y357" s="3"/>
      <c r="Z357" s="3"/>
      <c r="AA357" s="3"/>
      <c r="AC357" s="298"/>
      <c r="AI357" s="298"/>
    </row>
    <row r="358">
      <c r="B358" s="576"/>
      <c r="C358" s="3"/>
      <c r="D358" s="298"/>
      <c r="F358" s="3"/>
      <c r="K358" s="3"/>
      <c r="L358" s="3"/>
      <c r="R358" s="298"/>
      <c r="S358" s="3"/>
      <c r="T358" s="3"/>
      <c r="W358" s="3"/>
      <c r="X358" s="3"/>
      <c r="Y358" s="3"/>
      <c r="Z358" s="3"/>
      <c r="AA358" s="3"/>
      <c r="AC358" s="298"/>
      <c r="AI358" s="298"/>
    </row>
    <row r="359">
      <c r="B359" s="576"/>
      <c r="C359" s="3"/>
      <c r="D359" s="298"/>
      <c r="F359" s="3"/>
      <c r="K359" s="3"/>
      <c r="L359" s="3"/>
      <c r="R359" s="298"/>
      <c r="S359" s="3"/>
      <c r="T359" s="3"/>
      <c r="W359" s="3"/>
      <c r="X359" s="3"/>
      <c r="Y359" s="3"/>
      <c r="Z359" s="3"/>
      <c r="AA359" s="3"/>
      <c r="AC359" s="298"/>
      <c r="AI359" s="298"/>
    </row>
    <row r="360">
      <c r="B360" s="576"/>
      <c r="C360" s="3"/>
      <c r="D360" s="298"/>
      <c r="F360" s="3"/>
      <c r="K360" s="3"/>
      <c r="L360" s="3"/>
      <c r="R360" s="298"/>
      <c r="S360" s="3"/>
      <c r="T360" s="3"/>
      <c r="W360" s="3"/>
      <c r="X360" s="3"/>
      <c r="Y360" s="3"/>
      <c r="Z360" s="3"/>
      <c r="AA360" s="3"/>
      <c r="AC360" s="298"/>
      <c r="AI360" s="298"/>
    </row>
    <row r="361">
      <c r="B361" s="576"/>
      <c r="C361" s="3"/>
      <c r="D361" s="298"/>
      <c r="F361" s="3"/>
      <c r="K361" s="3"/>
      <c r="L361" s="3"/>
      <c r="R361" s="298"/>
      <c r="S361" s="3"/>
      <c r="T361" s="3"/>
      <c r="W361" s="3"/>
      <c r="X361" s="3"/>
      <c r="Y361" s="3"/>
      <c r="Z361" s="3"/>
      <c r="AA361" s="3"/>
      <c r="AC361" s="298"/>
      <c r="AI361" s="298"/>
    </row>
    <row r="362">
      <c r="B362" s="576"/>
      <c r="C362" s="3"/>
      <c r="D362" s="298"/>
      <c r="F362" s="3"/>
      <c r="K362" s="3"/>
      <c r="L362" s="3"/>
      <c r="R362" s="298"/>
      <c r="S362" s="3"/>
      <c r="T362" s="3"/>
      <c r="W362" s="3"/>
      <c r="X362" s="3"/>
      <c r="Y362" s="3"/>
      <c r="Z362" s="3"/>
      <c r="AA362" s="3"/>
      <c r="AC362" s="298"/>
      <c r="AI362" s="298"/>
    </row>
    <row r="363">
      <c r="B363" s="576"/>
      <c r="C363" s="3"/>
      <c r="D363" s="298"/>
      <c r="F363" s="3"/>
      <c r="K363" s="3"/>
      <c r="L363" s="3"/>
      <c r="R363" s="298"/>
      <c r="S363" s="3"/>
      <c r="T363" s="3"/>
      <c r="W363" s="3"/>
      <c r="X363" s="3"/>
      <c r="Y363" s="3"/>
      <c r="Z363" s="3"/>
      <c r="AA363" s="3"/>
      <c r="AC363" s="298"/>
      <c r="AI363" s="298"/>
    </row>
    <row r="364">
      <c r="B364" s="576"/>
      <c r="C364" s="3"/>
      <c r="D364" s="298"/>
      <c r="F364" s="3"/>
      <c r="K364" s="3"/>
      <c r="L364" s="3"/>
      <c r="R364" s="298"/>
      <c r="S364" s="3"/>
      <c r="T364" s="3"/>
      <c r="W364" s="3"/>
      <c r="X364" s="3"/>
      <c r="Y364" s="3"/>
      <c r="Z364" s="3"/>
      <c r="AA364" s="3"/>
      <c r="AC364" s="298"/>
      <c r="AI364" s="298"/>
    </row>
    <row r="365">
      <c r="B365" s="576"/>
      <c r="C365" s="3"/>
      <c r="D365" s="298"/>
      <c r="F365" s="3"/>
      <c r="K365" s="3"/>
      <c r="L365" s="3"/>
      <c r="R365" s="298"/>
      <c r="S365" s="3"/>
      <c r="T365" s="3"/>
      <c r="W365" s="3"/>
      <c r="X365" s="3"/>
      <c r="Y365" s="3"/>
      <c r="Z365" s="3"/>
      <c r="AA365" s="3"/>
      <c r="AC365" s="298"/>
      <c r="AI365" s="298"/>
    </row>
    <row r="366">
      <c r="B366" s="576"/>
      <c r="C366" s="3"/>
      <c r="D366" s="298"/>
      <c r="F366" s="3"/>
      <c r="K366" s="3"/>
      <c r="L366" s="3"/>
      <c r="R366" s="298"/>
      <c r="S366" s="3"/>
      <c r="T366" s="3"/>
      <c r="W366" s="3"/>
      <c r="X366" s="3"/>
      <c r="Y366" s="3"/>
      <c r="Z366" s="3"/>
      <c r="AA366" s="3"/>
      <c r="AC366" s="298"/>
      <c r="AI366" s="298"/>
    </row>
    <row r="367">
      <c r="B367" s="576"/>
      <c r="C367" s="3"/>
      <c r="D367" s="298"/>
      <c r="F367" s="3"/>
      <c r="K367" s="3"/>
      <c r="L367" s="3"/>
      <c r="R367" s="298"/>
      <c r="S367" s="3"/>
      <c r="T367" s="3"/>
      <c r="W367" s="3"/>
      <c r="X367" s="3"/>
      <c r="Y367" s="3"/>
      <c r="Z367" s="3"/>
      <c r="AA367" s="3"/>
      <c r="AC367" s="298"/>
      <c r="AI367" s="298"/>
    </row>
    <row r="368">
      <c r="B368" s="576"/>
      <c r="C368" s="3"/>
      <c r="D368" s="298"/>
      <c r="F368" s="3"/>
      <c r="K368" s="3"/>
      <c r="L368" s="3"/>
      <c r="R368" s="298"/>
      <c r="S368" s="3"/>
      <c r="T368" s="3"/>
      <c r="W368" s="3"/>
      <c r="X368" s="3"/>
      <c r="Y368" s="3"/>
      <c r="Z368" s="3"/>
      <c r="AA368" s="3"/>
      <c r="AC368" s="298"/>
      <c r="AI368" s="298"/>
    </row>
    <row r="369">
      <c r="B369" s="576"/>
      <c r="C369" s="3"/>
      <c r="D369" s="298"/>
      <c r="F369" s="3"/>
      <c r="K369" s="3"/>
      <c r="L369" s="3"/>
      <c r="R369" s="298"/>
      <c r="S369" s="3"/>
      <c r="T369" s="3"/>
      <c r="W369" s="3"/>
      <c r="X369" s="3"/>
      <c r="Y369" s="3"/>
      <c r="Z369" s="3"/>
      <c r="AA369" s="3"/>
      <c r="AC369" s="298"/>
      <c r="AI369" s="298"/>
    </row>
    <row r="370">
      <c r="B370" s="576"/>
      <c r="C370" s="3"/>
      <c r="D370" s="298"/>
      <c r="F370" s="3"/>
      <c r="K370" s="3"/>
      <c r="L370" s="3"/>
      <c r="R370" s="298"/>
      <c r="S370" s="3"/>
      <c r="T370" s="3"/>
      <c r="W370" s="3"/>
      <c r="X370" s="3"/>
      <c r="Y370" s="3"/>
      <c r="Z370" s="3"/>
      <c r="AA370" s="3"/>
      <c r="AC370" s="298"/>
      <c r="AI370" s="298"/>
    </row>
    <row r="371">
      <c r="B371" s="576"/>
      <c r="C371" s="3"/>
      <c r="D371" s="298"/>
      <c r="F371" s="3"/>
      <c r="K371" s="3"/>
      <c r="L371" s="3"/>
      <c r="R371" s="298"/>
      <c r="S371" s="3"/>
      <c r="T371" s="3"/>
      <c r="W371" s="3"/>
      <c r="X371" s="3"/>
      <c r="Y371" s="3"/>
      <c r="Z371" s="3"/>
      <c r="AA371" s="3"/>
      <c r="AC371" s="298"/>
      <c r="AI371" s="298"/>
    </row>
    <row r="372">
      <c r="B372" s="576"/>
      <c r="C372" s="3"/>
      <c r="D372" s="298"/>
      <c r="F372" s="3"/>
      <c r="K372" s="3"/>
      <c r="L372" s="3"/>
      <c r="R372" s="298"/>
      <c r="S372" s="3"/>
      <c r="T372" s="3"/>
      <c r="W372" s="3"/>
      <c r="X372" s="3"/>
      <c r="Y372" s="3"/>
      <c r="Z372" s="3"/>
      <c r="AA372" s="3"/>
      <c r="AC372" s="298"/>
      <c r="AI372" s="298"/>
    </row>
    <row r="373">
      <c r="B373" s="576"/>
      <c r="C373" s="3"/>
      <c r="D373" s="298"/>
      <c r="F373" s="3"/>
      <c r="K373" s="3"/>
      <c r="L373" s="3"/>
      <c r="R373" s="298"/>
      <c r="S373" s="3"/>
      <c r="T373" s="3"/>
      <c r="W373" s="3"/>
      <c r="X373" s="3"/>
      <c r="Y373" s="3"/>
      <c r="Z373" s="3"/>
      <c r="AA373" s="3"/>
      <c r="AC373" s="298"/>
      <c r="AI373" s="298"/>
    </row>
    <row r="374">
      <c r="B374" s="576"/>
      <c r="C374" s="3"/>
      <c r="D374" s="298"/>
      <c r="F374" s="3"/>
      <c r="K374" s="3"/>
      <c r="L374" s="3"/>
      <c r="R374" s="298"/>
      <c r="S374" s="3"/>
      <c r="T374" s="3"/>
      <c r="W374" s="3"/>
      <c r="X374" s="3"/>
      <c r="Y374" s="3"/>
      <c r="Z374" s="3"/>
      <c r="AA374" s="3"/>
      <c r="AC374" s="298"/>
      <c r="AI374" s="298"/>
    </row>
    <row r="375">
      <c r="B375" s="576"/>
      <c r="C375" s="3"/>
      <c r="D375" s="298"/>
      <c r="F375" s="3"/>
      <c r="K375" s="3"/>
      <c r="L375" s="3"/>
      <c r="R375" s="298"/>
      <c r="S375" s="3"/>
      <c r="T375" s="3"/>
      <c r="W375" s="3"/>
      <c r="X375" s="3"/>
      <c r="Y375" s="3"/>
      <c r="Z375" s="3"/>
      <c r="AA375" s="3"/>
      <c r="AC375" s="298"/>
      <c r="AI375" s="298"/>
    </row>
    <row r="376">
      <c r="B376" s="576"/>
      <c r="C376" s="3"/>
      <c r="D376" s="298"/>
      <c r="F376" s="3"/>
      <c r="K376" s="3"/>
      <c r="L376" s="3"/>
      <c r="R376" s="298"/>
      <c r="S376" s="3"/>
      <c r="T376" s="3"/>
      <c r="W376" s="3"/>
      <c r="X376" s="3"/>
      <c r="Y376" s="3"/>
      <c r="Z376" s="3"/>
      <c r="AA376" s="3"/>
      <c r="AC376" s="298"/>
      <c r="AI376" s="298"/>
    </row>
    <row r="377">
      <c r="B377" s="576"/>
      <c r="C377" s="3"/>
      <c r="D377" s="298"/>
      <c r="F377" s="3"/>
      <c r="K377" s="3"/>
      <c r="L377" s="3"/>
      <c r="R377" s="298"/>
      <c r="S377" s="3"/>
      <c r="T377" s="3"/>
      <c r="W377" s="3"/>
      <c r="X377" s="3"/>
      <c r="Y377" s="3"/>
      <c r="Z377" s="3"/>
      <c r="AA377" s="3"/>
      <c r="AC377" s="298"/>
      <c r="AI377" s="298"/>
    </row>
    <row r="378">
      <c r="B378" s="576"/>
      <c r="C378" s="3"/>
      <c r="D378" s="298"/>
      <c r="F378" s="3"/>
      <c r="K378" s="3"/>
      <c r="L378" s="3"/>
      <c r="R378" s="298"/>
      <c r="S378" s="3"/>
      <c r="T378" s="3"/>
      <c r="W378" s="3"/>
      <c r="X378" s="3"/>
      <c r="Y378" s="3"/>
      <c r="Z378" s="3"/>
      <c r="AA378" s="3"/>
      <c r="AC378" s="298"/>
      <c r="AI378" s="298"/>
    </row>
    <row r="379">
      <c r="B379" s="576"/>
      <c r="C379" s="3"/>
      <c r="D379" s="298"/>
      <c r="F379" s="3"/>
      <c r="K379" s="3"/>
      <c r="L379" s="3"/>
      <c r="R379" s="298"/>
      <c r="S379" s="3"/>
      <c r="T379" s="3"/>
      <c r="W379" s="3"/>
      <c r="X379" s="3"/>
      <c r="Y379" s="3"/>
      <c r="Z379" s="3"/>
      <c r="AA379" s="3"/>
      <c r="AC379" s="298"/>
      <c r="AI379" s="298"/>
    </row>
    <row r="380">
      <c r="B380" s="576"/>
      <c r="C380" s="3"/>
      <c r="D380" s="298"/>
      <c r="F380" s="3"/>
      <c r="K380" s="3"/>
      <c r="L380" s="3"/>
      <c r="R380" s="298"/>
      <c r="S380" s="3"/>
      <c r="T380" s="3"/>
      <c r="W380" s="3"/>
      <c r="X380" s="3"/>
      <c r="Y380" s="3"/>
      <c r="Z380" s="3"/>
      <c r="AA380" s="3"/>
      <c r="AC380" s="298"/>
      <c r="AI380" s="298"/>
    </row>
    <row r="381">
      <c r="B381" s="576"/>
      <c r="C381" s="3"/>
      <c r="D381" s="298"/>
      <c r="F381" s="3"/>
      <c r="K381" s="3"/>
      <c r="L381" s="3"/>
      <c r="R381" s="298"/>
      <c r="S381" s="3"/>
      <c r="T381" s="3"/>
      <c r="W381" s="3"/>
      <c r="X381" s="3"/>
      <c r="Y381" s="3"/>
      <c r="Z381" s="3"/>
      <c r="AA381" s="3"/>
      <c r="AC381" s="298"/>
      <c r="AI381" s="298"/>
    </row>
    <row r="382">
      <c r="B382" s="576"/>
      <c r="C382" s="3"/>
      <c r="D382" s="298"/>
      <c r="F382" s="3"/>
      <c r="K382" s="3"/>
      <c r="L382" s="3"/>
      <c r="R382" s="298"/>
      <c r="S382" s="3"/>
      <c r="T382" s="3"/>
      <c r="W382" s="3"/>
      <c r="X382" s="3"/>
      <c r="Y382" s="3"/>
      <c r="Z382" s="3"/>
      <c r="AA382" s="3"/>
      <c r="AC382" s="298"/>
      <c r="AI382" s="298"/>
    </row>
    <row r="383">
      <c r="B383" s="576"/>
      <c r="C383" s="3"/>
      <c r="D383" s="298"/>
      <c r="F383" s="3"/>
      <c r="K383" s="3"/>
      <c r="L383" s="3"/>
      <c r="R383" s="298"/>
      <c r="S383" s="3"/>
      <c r="T383" s="3"/>
      <c r="W383" s="3"/>
      <c r="X383" s="3"/>
      <c r="Y383" s="3"/>
      <c r="Z383" s="3"/>
      <c r="AA383" s="3"/>
      <c r="AC383" s="298"/>
      <c r="AI383" s="298"/>
    </row>
    <row r="384">
      <c r="B384" s="576"/>
      <c r="C384" s="3"/>
      <c r="D384" s="298"/>
      <c r="F384" s="3"/>
      <c r="K384" s="3"/>
      <c r="L384" s="3"/>
      <c r="R384" s="298"/>
      <c r="S384" s="3"/>
      <c r="T384" s="3"/>
      <c r="W384" s="3"/>
      <c r="X384" s="3"/>
      <c r="Y384" s="3"/>
      <c r="Z384" s="3"/>
      <c r="AA384" s="3"/>
      <c r="AC384" s="298"/>
      <c r="AI384" s="298"/>
    </row>
    <row r="385">
      <c r="B385" s="576"/>
      <c r="C385" s="3"/>
      <c r="D385" s="298"/>
      <c r="F385" s="3"/>
      <c r="K385" s="3"/>
      <c r="L385" s="3"/>
      <c r="R385" s="298"/>
      <c r="S385" s="3"/>
      <c r="T385" s="3"/>
      <c r="W385" s="3"/>
      <c r="X385" s="3"/>
      <c r="Y385" s="3"/>
      <c r="Z385" s="3"/>
      <c r="AA385" s="3"/>
      <c r="AC385" s="298"/>
      <c r="AI385" s="298"/>
    </row>
    <row r="386">
      <c r="B386" s="576"/>
      <c r="C386" s="3"/>
      <c r="D386" s="298"/>
      <c r="F386" s="3"/>
      <c r="K386" s="3"/>
      <c r="L386" s="3"/>
      <c r="R386" s="298"/>
      <c r="S386" s="3"/>
      <c r="T386" s="3"/>
      <c r="W386" s="3"/>
      <c r="X386" s="3"/>
      <c r="Y386" s="3"/>
      <c r="Z386" s="3"/>
      <c r="AA386" s="3"/>
      <c r="AC386" s="298"/>
      <c r="AI386" s="298"/>
    </row>
    <row r="387">
      <c r="B387" s="576"/>
      <c r="C387" s="3"/>
      <c r="D387" s="298"/>
      <c r="F387" s="3"/>
      <c r="K387" s="3"/>
      <c r="L387" s="3"/>
      <c r="R387" s="298"/>
      <c r="S387" s="3"/>
      <c r="T387" s="3"/>
      <c r="W387" s="3"/>
      <c r="X387" s="3"/>
      <c r="Y387" s="3"/>
      <c r="Z387" s="3"/>
      <c r="AA387" s="3"/>
      <c r="AC387" s="298"/>
      <c r="AI387" s="298"/>
    </row>
    <row r="388">
      <c r="B388" s="576"/>
      <c r="C388" s="3"/>
      <c r="D388" s="298"/>
      <c r="F388" s="3"/>
      <c r="K388" s="3"/>
      <c r="L388" s="3"/>
      <c r="R388" s="298"/>
      <c r="S388" s="3"/>
      <c r="T388" s="3"/>
      <c r="W388" s="3"/>
      <c r="X388" s="3"/>
      <c r="Y388" s="3"/>
      <c r="Z388" s="3"/>
      <c r="AA388" s="3"/>
      <c r="AC388" s="298"/>
      <c r="AI388" s="298"/>
    </row>
    <row r="389">
      <c r="B389" s="576"/>
      <c r="C389" s="3"/>
      <c r="D389" s="298"/>
      <c r="F389" s="3"/>
      <c r="K389" s="3"/>
      <c r="L389" s="3"/>
      <c r="R389" s="298"/>
      <c r="S389" s="3"/>
      <c r="T389" s="3"/>
      <c r="W389" s="3"/>
      <c r="X389" s="3"/>
      <c r="Y389" s="3"/>
      <c r="Z389" s="3"/>
      <c r="AA389" s="3"/>
      <c r="AC389" s="298"/>
      <c r="AI389" s="298"/>
    </row>
    <row r="390">
      <c r="B390" s="576"/>
      <c r="C390" s="3"/>
      <c r="D390" s="298"/>
      <c r="F390" s="3"/>
      <c r="K390" s="3"/>
      <c r="L390" s="3"/>
      <c r="R390" s="298"/>
      <c r="S390" s="3"/>
      <c r="T390" s="3"/>
      <c r="W390" s="3"/>
      <c r="X390" s="3"/>
      <c r="Y390" s="3"/>
      <c r="Z390" s="3"/>
      <c r="AA390" s="3"/>
      <c r="AC390" s="298"/>
      <c r="AI390" s="298"/>
    </row>
    <row r="391">
      <c r="B391" s="576"/>
      <c r="C391" s="3"/>
      <c r="D391" s="298"/>
      <c r="F391" s="3"/>
      <c r="K391" s="3"/>
      <c r="L391" s="3"/>
      <c r="R391" s="298"/>
      <c r="S391" s="3"/>
      <c r="T391" s="3"/>
      <c r="W391" s="3"/>
      <c r="X391" s="3"/>
      <c r="Y391" s="3"/>
      <c r="Z391" s="3"/>
      <c r="AA391" s="3"/>
      <c r="AC391" s="298"/>
      <c r="AI391" s="298"/>
    </row>
    <row r="392">
      <c r="B392" s="576"/>
      <c r="C392" s="3"/>
      <c r="D392" s="298"/>
      <c r="F392" s="3"/>
      <c r="K392" s="3"/>
      <c r="L392" s="3"/>
      <c r="R392" s="298"/>
      <c r="S392" s="3"/>
      <c r="T392" s="3"/>
      <c r="W392" s="3"/>
      <c r="X392" s="3"/>
      <c r="Y392" s="3"/>
      <c r="Z392" s="3"/>
      <c r="AA392" s="3"/>
      <c r="AC392" s="298"/>
      <c r="AI392" s="298"/>
    </row>
    <row r="393">
      <c r="B393" s="576"/>
      <c r="C393" s="3"/>
      <c r="D393" s="298"/>
      <c r="F393" s="3"/>
      <c r="K393" s="3"/>
      <c r="L393" s="3"/>
      <c r="R393" s="298"/>
      <c r="S393" s="3"/>
      <c r="T393" s="3"/>
      <c r="W393" s="3"/>
      <c r="X393" s="3"/>
      <c r="Y393" s="3"/>
      <c r="Z393" s="3"/>
      <c r="AA393" s="3"/>
      <c r="AC393" s="298"/>
      <c r="AI393" s="298"/>
    </row>
    <row r="394">
      <c r="B394" s="576"/>
      <c r="C394" s="3"/>
      <c r="D394" s="298"/>
      <c r="F394" s="3"/>
      <c r="K394" s="3"/>
      <c r="L394" s="3"/>
      <c r="R394" s="298"/>
      <c r="S394" s="3"/>
      <c r="T394" s="3"/>
      <c r="W394" s="3"/>
      <c r="X394" s="3"/>
      <c r="Y394" s="3"/>
      <c r="Z394" s="3"/>
      <c r="AA394" s="3"/>
      <c r="AC394" s="298"/>
      <c r="AI394" s="298"/>
    </row>
    <row r="395">
      <c r="B395" s="576"/>
      <c r="C395" s="3"/>
      <c r="D395" s="298"/>
      <c r="F395" s="3"/>
      <c r="K395" s="3"/>
      <c r="L395" s="3"/>
      <c r="R395" s="298"/>
      <c r="S395" s="3"/>
      <c r="T395" s="3"/>
      <c r="W395" s="3"/>
      <c r="X395" s="3"/>
      <c r="Y395" s="3"/>
      <c r="Z395" s="3"/>
      <c r="AA395" s="3"/>
      <c r="AC395" s="298"/>
      <c r="AI395" s="298"/>
    </row>
    <row r="396">
      <c r="B396" s="576"/>
      <c r="C396" s="3"/>
      <c r="D396" s="298"/>
      <c r="F396" s="3"/>
      <c r="K396" s="3"/>
      <c r="L396" s="3"/>
      <c r="R396" s="298"/>
      <c r="S396" s="3"/>
      <c r="T396" s="3"/>
      <c r="W396" s="3"/>
      <c r="X396" s="3"/>
      <c r="Y396" s="3"/>
      <c r="Z396" s="3"/>
      <c r="AA396" s="3"/>
      <c r="AC396" s="298"/>
      <c r="AI396" s="298"/>
    </row>
    <row r="397">
      <c r="B397" s="576"/>
      <c r="C397" s="3"/>
      <c r="D397" s="298"/>
      <c r="F397" s="3"/>
      <c r="K397" s="3"/>
      <c r="L397" s="3"/>
      <c r="R397" s="298"/>
      <c r="S397" s="3"/>
      <c r="T397" s="3"/>
      <c r="W397" s="3"/>
      <c r="X397" s="3"/>
      <c r="Y397" s="3"/>
      <c r="Z397" s="3"/>
      <c r="AA397" s="3"/>
      <c r="AC397" s="298"/>
      <c r="AI397" s="298"/>
    </row>
    <row r="398">
      <c r="B398" s="576"/>
      <c r="C398" s="3"/>
      <c r="D398" s="298"/>
      <c r="F398" s="3"/>
      <c r="K398" s="3"/>
      <c r="L398" s="3"/>
      <c r="R398" s="298"/>
      <c r="S398" s="3"/>
      <c r="T398" s="3"/>
      <c r="W398" s="3"/>
      <c r="X398" s="3"/>
      <c r="Y398" s="3"/>
      <c r="Z398" s="3"/>
      <c r="AA398" s="3"/>
      <c r="AC398" s="298"/>
      <c r="AI398" s="298"/>
    </row>
    <row r="399">
      <c r="B399" s="576"/>
      <c r="C399" s="3"/>
      <c r="D399" s="298"/>
      <c r="F399" s="3"/>
      <c r="K399" s="3"/>
      <c r="L399" s="3"/>
      <c r="R399" s="298"/>
      <c r="S399" s="3"/>
      <c r="T399" s="3"/>
      <c r="W399" s="3"/>
      <c r="X399" s="3"/>
      <c r="Y399" s="3"/>
      <c r="Z399" s="3"/>
      <c r="AA399" s="3"/>
      <c r="AC399" s="298"/>
      <c r="AI399" s="298"/>
    </row>
    <row r="400">
      <c r="B400" s="576"/>
      <c r="C400" s="3"/>
      <c r="D400" s="298"/>
      <c r="F400" s="3"/>
      <c r="K400" s="3"/>
      <c r="L400" s="3"/>
      <c r="R400" s="298"/>
      <c r="S400" s="3"/>
      <c r="T400" s="3"/>
      <c r="W400" s="3"/>
      <c r="X400" s="3"/>
      <c r="Y400" s="3"/>
      <c r="Z400" s="3"/>
      <c r="AA400" s="3"/>
      <c r="AC400" s="298"/>
      <c r="AI400" s="298"/>
    </row>
    <row r="401">
      <c r="B401" s="576"/>
      <c r="C401" s="3"/>
      <c r="D401" s="298"/>
      <c r="F401" s="3"/>
      <c r="K401" s="3"/>
      <c r="L401" s="3"/>
      <c r="R401" s="298"/>
      <c r="S401" s="3"/>
      <c r="T401" s="3"/>
      <c r="W401" s="3"/>
      <c r="X401" s="3"/>
      <c r="Y401" s="3"/>
      <c r="Z401" s="3"/>
      <c r="AA401" s="3"/>
      <c r="AC401" s="298"/>
      <c r="AI401" s="298"/>
    </row>
    <row r="402">
      <c r="B402" s="576"/>
      <c r="C402" s="3"/>
      <c r="D402" s="298"/>
      <c r="F402" s="3"/>
      <c r="K402" s="3"/>
      <c r="L402" s="3"/>
      <c r="R402" s="298"/>
      <c r="S402" s="3"/>
      <c r="T402" s="3"/>
      <c r="W402" s="3"/>
      <c r="X402" s="3"/>
      <c r="Y402" s="3"/>
      <c r="Z402" s="3"/>
      <c r="AA402" s="3"/>
      <c r="AC402" s="298"/>
      <c r="AI402" s="298"/>
    </row>
    <row r="403">
      <c r="B403" s="576"/>
      <c r="C403" s="3"/>
      <c r="D403" s="298"/>
      <c r="F403" s="3"/>
      <c r="K403" s="3"/>
      <c r="L403" s="3"/>
      <c r="R403" s="298"/>
      <c r="S403" s="3"/>
      <c r="T403" s="3"/>
      <c r="W403" s="3"/>
      <c r="X403" s="3"/>
      <c r="Y403" s="3"/>
      <c r="Z403" s="3"/>
      <c r="AA403" s="3"/>
      <c r="AC403" s="298"/>
      <c r="AI403" s="298"/>
    </row>
    <row r="404">
      <c r="B404" s="576"/>
      <c r="C404" s="3"/>
      <c r="D404" s="298"/>
      <c r="F404" s="3"/>
      <c r="K404" s="3"/>
      <c r="L404" s="3"/>
      <c r="R404" s="298"/>
      <c r="S404" s="3"/>
      <c r="T404" s="3"/>
      <c r="W404" s="3"/>
      <c r="X404" s="3"/>
      <c r="Y404" s="3"/>
      <c r="Z404" s="3"/>
      <c r="AA404" s="3"/>
      <c r="AC404" s="298"/>
      <c r="AI404" s="298"/>
    </row>
    <row r="405">
      <c r="B405" s="576"/>
      <c r="C405" s="3"/>
      <c r="D405" s="298"/>
      <c r="F405" s="3"/>
      <c r="K405" s="3"/>
      <c r="L405" s="3"/>
      <c r="R405" s="298"/>
      <c r="S405" s="3"/>
      <c r="T405" s="3"/>
      <c r="W405" s="3"/>
      <c r="X405" s="3"/>
      <c r="Y405" s="3"/>
      <c r="Z405" s="3"/>
      <c r="AA405" s="3"/>
      <c r="AC405" s="298"/>
      <c r="AI405" s="298"/>
    </row>
    <row r="406">
      <c r="B406" s="576"/>
      <c r="C406" s="3"/>
      <c r="D406" s="298"/>
      <c r="F406" s="3"/>
      <c r="K406" s="3"/>
      <c r="L406" s="3"/>
      <c r="R406" s="298"/>
      <c r="S406" s="3"/>
      <c r="T406" s="3"/>
      <c r="W406" s="3"/>
      <c r="X406" s="3"/>
      <c r="Y406" s="3"/>
      <c r="Z406" s="3"/>
      <c r="AA406" s="3"/>
      <c r="AC406" s="298"/>
      <c r="AI406" s="298"/>
    </row>
    <row r="407">
      <c r="B407" s="576"/>
      <c r="C407" s="3"/>
      <c r="D407" s="298"/>
      <c r="F407" s="3"/>
      <c r="R407" s="298"/>
      <c r="S407" s="3"/>
      <c r="T407" s="3"/>
      <c r="W407" s="3"/>
      <c r="X407" s="3"/>
      <c r="Y407" s="3"/>
      <c r="Z407" s="3"/>
      <c r="AA407" s="3"/>
      <c r="AC407" s="298"/>
      <c r="AI407" s="298"/>
    </row>
    <row r="408">
      <c r="B408" s="576"/>
      <c r="C408" s="3"/>
      <c r="D408" s="298"/>
      <c r="F408" s="3"/>
      <c r="R408" s="298"/>
      <c r="S408" s="3"/>
      <c r="T408" s="3"/>
      <c r="W408" s="3"/>
      <c r="X408" s="3"/>
      <c r="Y408" s="3"/>
      <c r="Z408" s="3"/>
      <c r="AA408" s="3"/>
      <c r="AC408" s="298"/>
      <c r="AI408" s="298"/>
    </row>
    <row r="409">
      <c r="B409" s="576"/>
      <c r="C409" s="3"/>
      <c r="D409" s="298"/>
      <c r="F409" s="3"/>
      <c r="R409" s="298"/>
      <c r="S409" s="3"/>
      <c r="T409" s="3"/>
      <c r="W409" s="3"/>
      <c r="X409" s="3"/>
      <c r="Y409" s="3"/>
      <c r="Z409" s="3"/>
      <c r="AA409" s="3"/>
      <c r="AC409" s="298"/>
      <c r="AI409" s="298"/>
    </row>
    <row r="410">
      <c r="B410" s="576"/>
      <c r="C410" s="3"/>
      <c r="D410" s="298"/>
      <c r="F410" s="3"/>
      <c r="R410" s="298"/>
      <c r="S410" s="3"/>
      <c r="T410" s="3"/>
      <c r="W410" s="3"/>
      <c r="X410" s="3"/>
      <c r="Y410" s="3"/>
      <c r="Z410" s="3"/>
      <c r="AA410" s="3"/>
      <c r="AC410" s="298"/>
      <c r="AI410" s="298"/>
    </row>
    <row r="411">
      <c r="B411" s="576"/>
      <c r="C411" s="3"/>
      <c r="D411" s="298"/>
      <c r="F411" s="3"/>
      <c r="R411" s="298"/>
      <c r="S411" s="3"/>
      <c r="T411" s="3"/>
      <c r="W411" s="3"/>
      <c r="X411" s="3"/>
      <c r="Y411" s="3"/>
      <c r="Z411" s="3"/>
      <c r="AA411" s="3"/>
      <c r="AC411" s="298"/>
      <c r="AI411" s="298"/>
    </row>
    <row r="412">
      <c r="B412" s="576"/>
      <c r="C412" s="3"/>
      <c r="D412" s="298"/>
      <c r="F412" s="3"/>
      <c r="R412" s="298"/>
      <c r="S412" s="3"/>
      <c r="T412" s="3"/>
      <c r="W412" s="3"/>
      <c r="X412" s="3"/>
      <c r="Y412" s="3"/>
      <c r="Z412" s="3"/>
      <c r="AA412" s="3"/>
      <c r="AC412" s="298"/>
      <c r="AI412" s="298"/>
    </row>
    <row r="413">
      <c r="B413" s="576"/>
      <c r="C413" s="3"/>
      <c r="D413" s="298"/>
      <c r="F413" s="3"/>
      <c r="R413" s="298"/>
      <c r="S413" s="3"/>
      <c r="T413" s="3"/>
      <c r="W413" s="3"/>
      <c r="X413" s="3"/>
      <c r="Y413" s="3"/>
      <c r="Z413" s="3"/>
      <c r="AA413" s="3"/>
      <c r="AC413" s="298"/>
      <c r="AI413" s="298"/>
    </row>
    <row r="414">
      <c r="B414" s="576"/>
      <c r="C414" s="3"/>
      <c r="D414" s="298"/>
      <c r="F414" s="3"/>
      <c r="R414" s="298"/>
      <c r="S414" s="3"/>
      <c r="T414" s="3"/>
      <c r="W414" s="3"/>
      <c r="X414" s="3"/>
      <c r="Y414" s="3"/>
      <c r="Z414" s="3"/>
      <c r="AA414" s="3"/>
      <c r="AC414" s="298"/>
      <c r="AI414" s="298"/>
    </row>
    <row r="415">
      <c r="B415" s="576"/>
      <c r="C415" s="3"/>
      <c r="D415" s="298"/>
      <c r="F415" s="3"/>
      <c r="R415" s="298"/>
      <c r="S415" s="3"/>
      <c r="T415" s="3"/>
      <c r="W415" s="3"/>
      <c r="X415" s="3"/>
      <c r="Y415" s="3"/>
      <c r="Z415" s="3"/>
      <c r="AA415" s="3"/>
      <c r="AC415" s="298"/>
      <c r="AI415" s="298"/>
    </row>
    <row r="416">
      <c r="B416" s="576"/>
      <c r="C416" s="3"/>
      <c r="D416" s="298"/>
      <c r="F416" s="3"/>
      <c r="R416" s="298"/>
      <c r="S416" s="3"/>
      <c r="T416" s="3"/>
      <c r="W416" s="3"/>
      <c r="X416" s="3"/>
      <c r="Y416" s="3"/>
      <c r="Z416" s="3"/>
      <c r="AA416" s="3"/>
      <c r="AC416" s="298"/>
      <c r="AI416" s="298"/>
    </row>
    <row r="417">
      <c r="B417" s="576"/>
      <c r="C417" s="3"/>
      <c r="D417" s="298"/>
      <c r="F417" s="3"/>
      <c r="R417" s="298"/>
      <c r="S417" s="3"/>
      <c r="T417" s="3"/>
      <c r="W417" s="3"/>
      <c r="X417" s="3"/>
      <c r="Y417" s="3"/>
      <c r="Z417" s="3"/>
      <c r="AA417" s="3"/>
      <c r="AC417" s="298"/>
      <c r="AI417" s="298"/>
    </row>
    <row r="418">
      <c r="B418" s="576"/>
      <c r="C418" s="3"/>
      <c r="D418" s="298"/>
      <c r="F418" s="3"/>
      <c r="R418" s="298"/>
      <c r="S418" s="3"/>
      <c r="T418" s="3"/>
      <c r="W418" s="3"/>
      <c r="X418" s="3"/>
      <c r="Y418" s="3"/>
      <c r="Z418" s="3"/>
      <c r="AA418" s="3"/>
      <c r="AC418" s="298"/>
      <c r="AI418" s="298"/>
    </row>
    <row r="419">
      <c r="B419" s="576"/>
      <c r="C419" s="3"/>
      <c r="D419" s="298"/>
      <c r="F419" s="3"/>
      <c r="R419" s="298"/>
      <c r="S419" s="3"/>
      <c r="T419" s="3"/>
      <c r="W419" s="3"/>
      <c r="X419" s="3"/>
      <c r="Y419" s="3"/>
      <c r="Z419" s="3"/>
      <c r="AA419" s="3"/>
      <c r="AC419" s="298"/>
      <c r="AI419" s="298"/>
    </row>
    <row r="420">
      <c r="B420" s="576"/>
      <c r="C420" s="3"/>
      <c r="D420" s="298"/>
      <c r="F420" s="3"/>
      <c r="R420" s="298"/>
      <c r="S420" s="3"/>
      <c r="T420" s="3"/>
      <c r="W420" s="3"/>
      <c r="X420" s="3"/>
      <c r="Y420" s="3"/>
      <c r="Z420" s="3"/>
      <c r="AA420" s="3"/>
      <c r="AC420" s="298"/>
      <c r="AI420" s="298"/>
    </row>
    <row r="421">
      <c r="B421" s="576"/>
      <c r="C421" s="3"/>
      <c r="D421" s="298"/>
      <c r="F421" s="3"/>
      <c r="R421" s="298"/>
      <c r="S421" s="3"/>
      <c r="T421" s="3"/>
      <c r="W421" s="3"/>
      <c r="X421" s="3"/>
      <c r="Y421" s="3"/>
      <c r="Z421" s="3"/>
      <c r="AA421" s="3"/>
      <c r="AC421" s="298"/>
      <c r="AI421" s="298"/>
    </row>
    <row r="422">
      <c r="B422" s="576"/>
      <c r="C422" s="3"/>
      <c r="D422" s="298"/>
      <c r="F422" s="3"/>
      <c r="R422" s="298"/>
      <c r="S422" s="3"/>
      <c r="T422" s="3"/>
      <c r="W422" s="3"/>
      <c r="X422" s="3"/>
      <c r="Y422" s="3"/>
      <c r="Z422" s="3"/>
      <c r="AA422" s="3"/>
      <c r="AC422" s="298"/>
      <c r="AI422" s="298"/>
    </row>
    <row r="423">
      <c r="B423" s="576"/>
      <c r="C423" s="3"/>
      <c r="D423" s="298"/>
      <c r="F423" s="3"/>
      <c r="R423" s="298"/>
      <c r="S423" s="3"/>
      <c r="T423" s="3"/>
      <c r="W423" s="3"/>
      <c r="X423" s="3"/>
      <c r="Y423" s="3"/>
      <c r="Z423" s="3"/>
      <c r="AA423" s="3"/>
      <c r="AC423" s="298"/>
      <c r="AI423" s="298"/>
    </row>
    <row r="424">
      <c r="B424" s="576"/>
      <c r="C424" s="3"/>
      <c r="D424" s="298"/>
      <c r="F424" s="3"/>
      <c r="R424" s="298"/>
      <c r="S424" s="3"/>
      <c r="T424" s="3"/>
      <c r="W424" s="3"/>
      <c r="X424" s="3"/>
      <c r="Y424" s="3"/>
      <c r="Z424" s="3"/>
      <c r="AA424" s="3"/>
      <c r="AC424" s="298"/>
      <c r="AI424" s="298"/>
    </row>
    <row r="425">
      <c r="B425" s="576"/>
      <c r="C425" s="3"/>
      <c r="D425" s="298"/>
      <c r="F425" s="3"/>
      <c r="R425" s="298"/>
      <c r="S425" s="3"/>
      <c r="T425" s="3"/>
      <c r="W425" s="3"/>
      <c r="X425" s="3"/>
      <c r="Y425" s="3"/>
      <c r="Z425" s="3"/>
      <c r="AA425" s="3"/>
      <c r="AC425" s="298"/>
      <c r="AI425" s="298"/>
    </row>
    <row r="426">
      <c r="B426" s="576"/>
      <c r="C426" s="3"/>
      <c r="D426" s="298"/>
      <c r="F426" s="3"/>
      <c r="R426" s="298"/>
      <c r="S426" s="3"/>
      <c r="T426" s="3"/>
      <c r="W426" s="3"/>
      <c r="X426" s="3"/>
      <c r="Y426" s="3"/>
      <c r="Z426" s="3"/>
      <c r="AA426" s="3"/>
      <c r="AC426" s="298"/>
      <c r="AI426" s="298"/>
    </row>
    <row r="427">
      <c r="B427" s="576"/>
      <c r="C427" s="3"/>
      <c r="D427" s="298"/>
      <c r="F427" s="3"/>
      <c r="R427" s="298"/>
      <c r="S427" s="3"/>
      <c r="T427" s="3"/>
      <c r="W427" s="3"/>
      <c r="X427" s="3"/>
      <c r="Y427" s="3"/>
      <c r="Z427" s="3"/>
      <c r="AA427" s="3"/>
      <c r="AC427" s="298"/>
      <c r="AI427" s="298"/>
    </row>
    <row r="428">
      <c r="B428" s="576"/>
      <c r="C428" s="3"/>
      <c r="D428" s="298"/>
      <c r="F428" s="3"/>
      <c r="R428" s="298"/>
      <c r="S428" s="3"/>
      <c r="T428" s="3"/>
      <c r="W428" s="3"/>
      <c r="X428" s="3"/>
      <c r="Y428" s="3"/>
      <c r="Z428" s="3"/>
      <c r="AA428" s="3"/>
      <c r="AC428" s="298"/>
      <c r="AI428" s="298"/>
    </row>
    <row r="429">
      <c r="B429" s="576"/>
      <c r="C429" s="3"/>
      <c r="D429" s="298"/>
      <c r="F429" s="3"/>
      <c r="R429" s="298"/>
      <c r="S429" s="3"/>
      <c r="T429" s="3"/>
      <c r="W429" s="3"/>
      <c r="X429" s="3"/>
      <c r="Y429" s="3"/>
      <c r="Z429" s="3"/>
      <c r="AA429" s="3"/>
      <c r="AC429" s="298"/>
      <c r="AI429" s="298"/>
    </row>
    <row r="430">
      <c r="B430" s="576"/>
      <c r="C430" s="3"/>
      <c r="D430" s="298"/>
      <c r="F430" s="3"/>
      <c r="R430" s="298"/>
      <c r="S430" s="3"/>
      <c r="T430" s="3"/>
      <c r="W430" s="3"/>
      <c r="X430" s="3"/>
      <c r="Y430" s="3"/>
      <c r="Z430" s="3"/>
      <c r="AA430" s="3"/>
      <c r="AC430" s="298"/>
      <c r="AI430" s="298"/>
    </row>
    <row r="431">
      <c r="B431" s="576"/>
      <c r="C431" s="3"/>
      <c r="D431" s="298"/>
      <c r="F431" s="3"/>
      <c r="R431" s="298"/>
      <c r="S431" s="3"/>
      <c r="T431" s="3"/>
      <c r="W431" s="3"/>
      <c r="X431" s="3"/>
      <c r="Y431" s="3"/>
      <c r="Z431" s="3"/>
      <c r="AA431" s="3"/>
      <c r="AC431" s="298"/>
      <c r="AI431" s="298"/>
    </row>
    <row r="432">
      <c r="B432" s="576"/>
      <c r="C432" s="3"/>
      <c r="D432" s="298"/>
      <c r="F432" s="3"/>
      <c r="R432" s="298"/>
      <c r="S432" s="3"/>
      <c r="T432" s="3"/>
      <c r="W432" s="3"/>
      <c r="X432" s="3"/>
      <c r="Y432" s="3"/>
      <c r="Z432" s="3"/>
      <c r="AA432" s="3"/>
      <c r="AC432" s="298"/>
      <c r="AI432" s="298"/>
    </row>
    <row r="433">
      <c r="B433" s="576"/>
      <c r="C433" s="3"/>
      <c r="D433" s="298"/>
      <c r="F433" s="3"/>
      <c r="R433" s="298"/>
      <c r="S433" s="3"/>
      <c r="T433" s="3"/>
      <c r="W433" s="3"/>
      <c r="X433" s="3"/>
      <c r="Y433" s="3"/>
      <c r="Z433" s="3"/>
      <c r="AA433" s="3"/>
      <c r="AC433" s="298"/>
      <c r="AI433" s="298"/>
    </row>
    <row r="434">
      <c r="B434" s="576"/>
      <c r="C434" s="3"/>
      <c r="D434" s="298"/>
      <c r="F434" s="3"/>
      <c r="R434" s="298"/>
      <c r="S434" s="3"/>
      <c r="T434" s="3"/>
      <c r="W434" s="3"/>
      <c r="X434" s="3"/>
      <c r="Y434" s="3"/>
      <c r="Z434" s="3"/>
      <c r="AA434" s="3"/>
      <c r="AC434" s="298"/>
      <c r="AI434" s="298"/>
    </row>
    <row r="435">
      <c r="B435" s="576"/>
      <c r="C435" s="3"/>
      <c r="D435" s="298"/>
      <c r="F435" s="3"/>
      <c r="R435" s="298"/>
      <c r="S435" s="3"/>
      <c r="T435" s="3"/>
      <c r="W435" s="3"/>
      <c r="X435" s="3"/>
      <c r="Y435" s="3"/>
      <c r="Z435" s="3"/>
      <c r="AA435" s="3"/>
      <c r="AC435" s="298"/>
      <c r="AI435" s="298"/>
    </row>
    <row r="436">
      <c r="B436" s="576"/>
      <c r="C436" s="3"/>
      <c r="D436" s="298"/>
      <c r="F436" s="3"/>
      <c r="R436" s="298"/>
      <c r="S436" s="3"/>
      <c r="T436" s="3"/>
      <c r="W436" s="3"/>
      <c r="X436" s="3"/>
      <c r="Y436" s="3"/>
      <c r="Z436" s="3"/>
      <c r="AA436" s="3"/>
      <c r="AC436" s="298"/>
      <c r="AI436" s="298"/>
    </row>
    <row r="437">
      <c r="B437" s="576"/>
      <c r="C437" s="3"/>
      <c r="D437" s="298"/>
      <c r="F437" s="3"/>
      <c r="R437" s="298"/>
      <c r="S437" s="3"/>
      <c r="T437" s="3"/>
      <c r="W437" s="3"/>
      <c r="X437" s="3"/>
      <c r="Y437" s="3"/>
      <c r="Z437" s="3"/>
      <c r="AA437" s="3"/>
      <c r="AC437" s="298"/>
      <c r="AI437" s="298"/>
    </row>
    <row r="438">
      <c r="B438" s="576"/>
      <c r="C438" s="3"/>
      <c r="D438" s="298"/>
      <c r="F438" s="3"/>
      <c r="R438" s="298"/>
      <c r="S438" s="3"/>
      <c r="T438" s="3"/>
      <c r="W438" s="3"/>
      <c r="X438" s="3"/>
      <c r="Y438" s="3"/>
      <c r="Z438" s="3"/>
      <c r="AA438" s="3"/>
      <c r="AC438" s="298"/>
      <c r="AI438" s="298"/>
    </row>
    <row r="439">
      <c r="B439" s="576"/>
      <c r="C439" s="3"/>
      <c r="D439" s="298"/>
      <c r="F439" s="3"/>
      <c r="R439" s="298"/>
      <c r="S439" s="3"/>
      <c r="T439" s="3"/>
      <c r="W439" s="3"/>
      <c r="X439" s="3"/>
      <c r="Y439" s="3"/>
      <c r="Z439" s="3"/>
      <c r="AA439" s="3"/>
      <c r="AC439" s="298"/>
      <c r="AI439" s="298"/>
    </row>
    <row r="440">
      <c r="B440" s="576"/>
      <c r="C440" s="3"/>
      <c r="D440" s="298"/>
      <c r="F440" s="3"/>
      <c r="R440" s="298"/>
      <c r="S440" s="3"/>
      <c r="T440" s="3"/>
      <c r="W440" s="3"/>
      <c r="X440" s="3"/>
      <c r="Y440" s="3"/>
      <c r="Z440" s="3"/>
      <c r="AA440" s="3"/>
      <c r="AC440" s="298"/>
      <c r="AI440" s="298"/>
    </row>
    <row r="441">
      <c r="B441" s="576"/>
      <c r="C441" s="3"/>
      <c r="D441" s="298"/>
      <c r="F441" s="3"/>
      <c r="R441" s="298"/>
      <c r="S441" s="3"/>
      <c r="T441" s="3"/>
      <c r="W441" s="3"/>
      <c r="X441" s="3"/>
      <c r="Y441" s="3"/>
      <c r="Z441" s="3"/>
      <c r="AA441" s="3"/>
      <c r="AC441" s="298"/>
      <c r="AI441" s="298"/>
    </row>
    <row r="442">
      <c r="B442" s="576"/>
      <c r="C442" s="3"/>
      <c r="D442" s="298"/>
      <c r="F442" s="3"/>
      <c r="R442" s="298"/>
      <c r="S442" s="3"/>
      <c r="T442" s="3"/>
      <c r="W442" s="3"/>
      <c r="X442" s="3"/>
      <c r="Y442" s="3"/>
      <c r="Z442" s="3"/>
      <c r="AA442" s="3"/>
      <c r="AC442" s="298"/>
      <c r="AI442" s="298"/>
    </row>
    <row r="443">
      <c r="B443" s="576"/>
      <c r="C443" s="3"/>
      <c r="D443" s="298"/>
      <c r="F443" s="3"/>
      <c r="R443" s="298"/>
      <c r="S443" s="3"/>
      <c r="T443" s="3"/>
      <c r="W443" s="3"/>
      <c r="X443" s="3"/>
      <c r="Y443" s="3"/>
      <c r="Z443" s="3"/>
      <c r="AA443" s="3"/>
      <c r="AC443" s="298"/>
      <c r="AI443" s="298"/>
    </row>
    <row r="444">
      <c r="B444" s="576"/>
      <c r="C444" s="3"/>
      <c r="D444" s="298"/>
      <c r="F444" s="3"/>
      <c r="R444" s="298"/>
      <c r="S444" s="3"/>
      <c r="T444" s="3"/>
      <c r="W444" s="3"/>
      <c r="X444" s="3"/>
      <c r="Y444" s="3"/>
      <c r="Z444" s="3"/>
      <c r="AA444" s="3"/>
      <c r="AC444" s="298"/>
      <c r="AI444" s="298"/>
    </row>
    <row r="445">
      <c r="B445" s="576"/>
      <c r="C445" s="3"/>
      <c r="D445" s="298"/>
      <c r="F445" s="3"/>
      <c r="R445" s="298"/>
      <c r="S445" s="3"/>
      <c r="T445" s="3"/>
      <c r="W445" s="3"/>
      <c r="X445" s="3"/>
      <c r="Y445" s="3"/>
      <c r="Z445" s="3"/>
      <c r="AA445" s="3"/>
      <c r="AC445" s="298"/>
      <c r="AI445" s="298"/>
    </row>
    <row r="446">
      <c r="B446" s="576"/>
      <c r="C446" s="3"/>
      <c r="D446" s="298"/>
      <c r="F446" s="3"/>
      <c r="R446" s="298"/>
      <c r="S446" s="3"/>
      <c r="T446" s="3"/>
      <c r="W446" s="3"/>
      <c r="X446" s="3"/>
      <c r="Y446" s="3"/>
      <c r="Z446" s="3"/>
      <c r="AA446" s="3"/>
      <c r="AC446" s="298"/>
      <c r="AI446" s="298"/>
    </row>
    <row r="447">
      <c r="B447" s="576"/>
      <c r="C447" s="3"/>
      <c r="D447" s="298"/>
      <c r="F447" s="3"/>
      <c r="R447" s="298"/>
      <c r="S447" s="3"/>
      <c r="T447" s="3"/>
      <c r="W447" s="3"/>
      <c r="X447" s="3"/>
      <c r="Y447" s="3"/>
      <c r="Z447" s="3"/>
      <c r="AA447" s="3"/>
      <c r="AC447" s="298"/>
      <c r="AI447" s="298"/>
    </row>
    <row r="448">
      <c r="B448" s="576"/>
      <c r="C448" s="3"/>
      <c r="D448" s="298"/>
      <c r="F448" s="3"/>
      <c r="R448" s="298"/>
      <c r="S448" s="3"/>
      <c r="T448" s="3"/>
      <c r="W448" s="3"/>
      <c r="X448" s="3"/>
      <c r="Y448" s="3"/>
      <c r="Z448" s="3"/>
      <c r="AA448" s="3"/>
      <c r="AC448" s="298"/>
      <c r="AI448" s="298"/>
    </row>
    <row r="449">
      <c r="B449" s="576"/>
      <c r="C449" s="3"/>
      <c r="D449" s="298"/>
      <c r="F449" s="3"/>
      <c r="R449" s="298"/>
      <c r="S449" s="3"/>
      <c r="T449" s="3"/>
      <c r="W449" s="3"/>
      <c r="X449" s="3"/>
      <c r="Y449" s="3"/>
      <c r="Z449" s="3"/>
      <c r="AA449" s="3"/>
      <c r="AC449" s="298"/>
      <c r="AI449" s="298"/>
    </row>
    <row r="450">
      <c r="B450" s="576"/>
      <c r="C450" s="3"/>
      <c r="D450" s="298"/>
      <c r="F450" s="3"/>
      <c r="R450" s="298"/>
      <c r="S450" s="3"/>
      <c r="T450" s="3"/>
      <c r="W450" s="3"/>
      <c r="X450" s="3"/>
      <c r="Y450" s="3"/>
      <c r="Z450" s="3"/>
      <c r="AA450" s="3"/>
      <c r="AC450" s="298"/>
      <c r="AI450" s="298"/>
    </row>
    <row r="451">
      <c r="B451" s="576"/>
      <c r="C451" s="3"/>
      <c r="D451" s="298"/>
      <c r="F451" s="3"/>
      <c r="R451" s="298"/>
      <c r="S451" s="3"/>
      <c r="T451" s="3"/>
      <c r="W451" s="3"/>
      <c r="X451" s="3"/>
      <c r="Y451" s="3"/>
      <c r="Z451" s="3"/>
      <c r="AA451" s="3"/>
      <c r="AC451" s="298"/>
      <c r="AI451" s="298"/>
    </row>
    <row r="452">
      <c r="B452" s="576"/>
      <c r="C452" s="3"/>
      <c r="D452" s="298"/>
      <c r="F452" s="3"/>
      <c r="R452" s="298"/>
      <c r="S452" s="3"/>
      <c r="T452" s="3"/>
      <c r="W452" s="3"/>
      <c r="X452" s="3"/>
      <c r="Y452" s="3"/>
      <c r="Z452" s="3"/>
      <c r="AA452" s="3"/>
      <c r="AC452" s="298"/>
      <c r="AI452" s="298"/>
    </row>
    <row r="453">
      <c r="B453" s="576"/>
      <c r="C453" s="3"/>
      <c r="D453" s="298"/>
      <c r="F453" s="3"/>
      <c r="R453" s="298"/>
      <c r="S453" s="3"/>
      <c r="T453" s="3"/>
      <c r="W453" s="3"/>
      <c r="X453" s="3"/>
      <c r="Y453" s="3"/>
      <c r="Z453" s="3"/>
      <c r="AA453" s="3"/>
      <c r="AC453" s="298"/>
      <c r="AI453" s="298"/>
    </row>
    <row r="454">
      <c r="B454" s="576"/>
      <c r="C454" s="3"/>
      <c r="D454" s="298"/>
      <c r="F454" s="3"/>
      <c r="R454" s="298"/>
      <c r="S454" s="3"/>
      <c r="T454" s="3"/>
      <c r="W454" s="3"/>
      <c r="X454" s="3"/>
      <c r="Y454" s="3"/>
      <c r="Z454" s="3"/>
      <c r="AA454" s="3"/>
      <c r="AC454" s="298"/>
      <c r="AI454" s="298"/>
    </row>
    <row r="455">
      <c r="B455" s="576"/>
      <c r="C455" s="3"/>
      <c r="D455" s="298"/>
      <c r="F455" s="3"/>
      <c r="R455" s="298"/>
      <c r="S455" s="3"/>
      <c r="T455" s="3"/>
      <c r="W455" s="3"/>
      <c r="X455" s="3"/>
      <c r="Y455" s="3"/>
      <c r="Z455" s="3"/>
      <c r="AA455" s="3"/>
      <c r="AC455" s="298"/>
      <c r="AI455" s="298"/>
    </row>
    <row r="456">
      <c r="B456" s="576"/>
      <c r="C456" s="3"/>
      <c r="D456" s="298"/>
      <c r="F456" s="3"/>
      <c r="R456" s="298"/>
      <c r="S456" s="3"/>
      <c r="T456" s="3"/>
      <c r="W456" s="3"/>
      <c r="X456" s="3"/>
      <c r="Y456" s="3"/>
      <c r="Z456" s="3"/>
      <c r="AA456" s="3"/>
      <c r="AC456" s="298"/>
      <c r="AI456" s="298"/>
    </row>
    <row r="457">
      <c r="B457" s="576"/>
      <c r="C457" s="3"/>
      <c r="D457" s="298"/>
      <c r="F457" s="3"/>
      <c r="R457" s="298"/>
      <c r="S457" s="3"/>
      <c r="T457" s="3"/>
      <c r="W457" s="3"/>
      <c r="X457" s="3"/>
      <c r="Y457" s="3"/>
      <c r="Z457" s="3"/>
      <c r="AA457" s="3"/>
      <c r="AC457" s="298"/>
      <c r="AI457" s="298"/>
    </row>
    <row r="458">
      <c r="B458" s="576"/>
      <c r="C458" s="3"/>
      <c r="D458" s="298"/>
      <c r="F458" s="3"/>
      <c r="R458" s="298"/>
      <c r="S458" s="3"/>
      <c r="T458" s="3"/>
      <c r="W458" s="3"/>
      <c r="X458" s="3"/>
      <c r="Y458" s="3"/>
      <c r="Z458" s="3"/>
      <c r="AA458" s="3"/>
      <c r="AC458" s="298"/>
      <c r="AI458" s="298"/>
    </row>
    <row r="459">
      <c r="B459" s="576"/>
      <c r="C459" s="3"/>
      <c r="D459" s="298"/>
      <c r="F459" s="3"/>
      <c r="R459" s="298"/>
      <c r="S459" s="3"/>
      <c r="T459" s="3"/>
      <c r="W459" s="3"/>
      <c r="X459" s="3"/>
      <c r="Y459" s="3"/>
      <c r="Z459" s="3"/>
      <c r="AA459" s="3"/>
      <c r="AC459" s="298"/>
      <c r="AI459" s="298"/>
    </row>
    <row r="460">
      <c r="B460" s="576"/>
      <c r="C460" s="3"/>
      <c r="D460" s="298"/>
      <c r="F460" s="3"/>
      <c r="R460" s="298"/>
      <c r="S460" s="3"/>
      <c r="T460" s="3"/>
      <c r="W460" s="3"/>
      <c r="X460" s="3"/>
      <c r="Y460" s="3"/>
      <c r="Z460" s="3"/>
      <c r="AA460" s="3"/>
      <c r="AC460" s="298"/>
      <c r="AI460" s="298"/>
    </row>
    <row r="461">
      <c r="B461" s="576"/>
      <c r="C461" s="3"/>
      <c r="D461" s="298"/>
      <c r="F461" s="3"/>
      <c r="R461" s="298"/>
      <c r="S461" s="3"/>
      <c r="T461" s="3"/>
      <c r="W461" s="3"/>
      <c r="X461" s="3"/>
      <c r="Y461" s="3"/>
      <c r="Z461" s="3"/>
      <c r="AA461" s="3"/>
      <c r="AC461" s="298"/>
      <c r="AI461" s="298"/>
    </row>
    <row r="462">
      <c r="B462" s="576"/>
      <c r="C462" s="3"/>
      <c r="D462" s="298"/>
      <c r="F462" s="3"/>
      <c r="R462" s="298"/>
      <c r="S462" s="3"/>
      <c r="T462" s="3"/>
      <c r="W462" s="3"/>
      <c r="X462" s="3"/>
      <c r="Y462" s="3"/>
      <c r="Z462" s="3"/>
      <c r="AA462" s="3"/>
      <c r="AC462" s="298"/>
      <c r="AI462" s="298"/>
    </row>
    <row r="463">
      <c r="B463" s="576"/>
      <c r="C463" s="3"/>
      <c r="D463" s="298"/>
      <c r="F463" s="3"/>
      <c r="R463" s="298"/>
      <c r="S463" s="3"/>
      <c r="T463" s="3"/>
      <c r="W463" s="3"/>
      <c r="X463" s="3"/>
      <c r="Y463" s="3"/>
      <c r="Z463" s="3"/>
      <c r="AA463" s="3"/>
      <c r="AC463" s="298"/>
      <c r="AI463" s="298"/>
    </row>
    <row r="464">
      <c r="B464" s="576"/>
      <c r="C464" s="3"/>
      <c r="D464" s="298"/>
      <c r="F464" s="3"/>
      <c r="R464" s="298"/>
      <c r="S464" s="3"/>
      <c r="T464" s="3"/>
      <c r="W464" s="3"/>
      <c r="X464" s="3"/>
      <c r="Y464" s="3"/>
      <c r="Z464" s="3"/>
      <c r="AA464" s="3"/>
      <c r="AC464" s="298"/>
      <c r="AI464" s="298"/>
    </row>
    <row r="465">
      <c r="B465" s="576"/>
      <c r="C465" s="3"/>
      <c r="D465" s="298"/>
      <c r="F465" s="3"/>
      <c r="R465" s="298"/>
      <c r="S465" s="3"/>
      <c r="T465" s="3"/>
      <c r="W465" s="3"/>
      <c r="X465" s="3"/>
      <c r="Y465" s="3"/>
      <c r="Z465" s="3"/>
      <c r="AA465" s="3"/>
      <c r="AC465" s="298"/>
      <c r="AI465" s="298"/>
    </row>
    <row r="466">
      <c r="B466" s="576"/>
      <c r="C466" s="3"/>
      <c r="D466" s="298"/>
      <c r="F466" s="3"/>
      <c r="R466" s="298"/>
      <c r="S466" s="3"/>
      <c r="T466" s="3"/>
      <c r="W466" s="3"/>
      <c r="X466" s="3"/>
      <c r="Y466" s="3"/>
      <c r="Z466" s="3"/>
      <c r="AA466" s="3"/>
      <c r="AC466" s="298"/>
      <c r="AI466" s="298"/>
    </row>
    <row r="467">
      <c r="B467" s="576"/>
      <c r="C467" s="3"/>
      <c r="D467" s="298"/>
      <c r="F467" s="3"/>
      <c r="R467" s="298"/>
      <c r="S467" s="3"/>
      <c r="T467" s="3"/>
      <c r="W467" s="3"/>
      <c r="X467" s="3"/>
      <c r="Y467" s="3"/>
      <c r="Z467" s="3"/>
      <c r="AA467" s="3"/>
      <c r="AC467" s="298"/>
      <c r="AI467" s="298"/>
    </row>
    <row r="468">
      <c r="B468" s="576"/>
      <c r="C468" s="3"/>
      <c r="D468" s="298"/>
      <c r="F468" s="3"/>
      <c r="R468" s="298"/>
      <c r="S468" s="3"/>
      <c r="T468" s="3"/>
      <c r="W468" s="3"/>
      <c r="X468" s="3"/>
      <c r="Y468" s="3"/>
      <c r="Z468" s="3"/>
      <c r="AA468" s="3"/>
      <c r="AC468" s="298"/>
      <c r="AI468" s="298"/>
    </row>
    <row r="469">
      <c r="B469" s="576"/>
      <c r="C469" s="3"/>
      <c r="D469" s="298"/>
      <c r="F469" s="3"/>
      <c r="R469" s="298"/>
      <c r="S469" s="3"/>
      <c r="T469" s="3"/>
      <c r="W469" s="3"/>
      <c r="X469" s="3"/>
      <c r="Y469" s="3"/>
      <c r="Z469" s="3"/>
      <c r="AA469" s="3"/>
      <c r="AC469" s="298"/>
      <c r="AI469" s="298"/>
    </row>
    <row r="470">
      <c r="B470" s="576"/>
      <c r="C470" s="3"/>
      <c r="D470" s="298"/>
      <c r="F470" s="3"/>
      <c r="R470" s="298"/>
      <c r="S470" s="3"/>
      <c r="T470" s="3"/>
      <c r="W470" s="3"/>
      <c r="X470" s="3"/>
      <c r="Y470" s="3"/>
      <c r="Z470" s="3"/>
      <c r="AA470" s="3"/>
      <c r="AC470" s="298"/>
      <c r="AI470" s="298"/>
    </row>
    <row r="471">
      <c r="B471" s="576"/>
      <c r="C471" s="3"/>
      <c r="D471" s="298"/>
      <c r="F471" s="3"/>
      <c r="R471" s="298"/>
      <c r="S471" s="3"/>
      <c r="T471" s="3"/>
      <c r="W471" s="3"/>
      <c r="X471" s="3"/>
      <c r="Y471" s="3"/>
      <c r="Z471" s="3"/>
      <c r="AA471" s="3"/>
      <c r="AC471" s="298"/>
      <c r="AI471" s="298"/>
    </row>
    <row r="472">
      <c r="B472" s="576"/>
      <c r="C472" s="3"/>
      <c r="D472" s="298"/>
      <c r="F472" s="3"/>
      <c r="R472" s="298"/>
      <c r="S472" s="3"/>
      <c r="T472" s="3"/>
      <c r="W472" s="3"/>
      <c r="X472" s="3"/>
      <c r="Y472" s="3"/>
      <c r="Z472" s="3"/>
      <c r="AA472" s="3"/>
      <c r="AC472" s="298"/>
      <c r="AI472" s="298"/>
    </row>
    <row r="473">
      <c r="B473" s="576"/>
      <c r="C473" s="3"/>
      <c r="D473" s="298"/>
      <c r="F473" s="3"/>
      <c r="R473" s="298"/>
      <c r="S473" s="3"/>
      <c r="T473" s="3"/>
      <c r="W473" s="3"/>
      <c r="X473" s="3"/>
      <c r="Y473" s="3"/>
      <c r="Z473" s="3"/>
      <c r="AA473" s="3"/>
      <c r="AC473" s="298"/>
      <c r="AI473" s="298"/>
    </row>
    <row r="474">
      <c r="B474" s="576"/>
      <c r="C474" s="3"/>
      <c r="D474" s="298"/>
      <c r="F474" s="3"/>
      <c r="R474" s="298"/>
      <c r="S474" s="3"/>
      <c r="T474" s="3"/>
      <c r="W474" s="3"/>
      <c r="X474" s="3"/>
      <c r="Y474" s="3"/>
      <c r="Z474" s="3"/>
      <c r="AA474" s="3"/>
      <c r="AC474" s="298"/>
      <c r="AI474" s="298"/>
    </row>
    <row r="475">
      <c r="B475" s="576"/>
      <c r="C475" s="3"/>
      <c r="D475" s="298"/>
      <c r="F475" s="3"/>
      <c r="R475" s="298"/>
      <c r="S475" s="3"/>
      <c r="T475" s="3"/>
      <c r="W475" s="3"/>
      <c r="X475" s="3"/>
      <c r="Y475" s="3"/>
      <c r="Z475" s="3"/>
      <c r="AA475" s="3"/>
      <c r="AC475" s="298"/>
      <c r="AI475" s="298"/>
    </row>
    <row r="476">
      <c r="B476" s="576"/>
      <c r="C476" s="3"/>
      <c r="D476" s="298"/>
      <c r="F476" s="3"/>
      <c r="R476" s="298"/>
      <c r="S476" s="3"/>
      <c r="T476" s="3"/>
      <c r="W476" s="3"/>
      <c r="X476" s="3"/>
      <c r="Y476" s="3"/>
      <c r="Z476" s="3"/>
      <c r="AA476" s="3"/>
      <c r="AC476" s="298"/>
      <c r="AI476" s="298"/>
    </row>
    <row r="477">
      <c r="B477" s="576"/>
      <c r="C477" s="3"/>
      <c r="D477" s="298"/>
      <c r="F477" s="3"/>
      <c r="R477" s="298"/>
      <c r="S477" s="3"/>
      <c r="T477" s="3"/>
      <c r="W477" s="3"/>
      <c r="X477" s="3"/>
      <c r="Y477" s="3"/>
      <c r="Z477" s="3"/>
      <c r="AA477" s="3"/>
      <c r="AC477" s="298"/>
      <c r="AI477" s="298"/>
    </row>
    <row r="478">
      <c r="B478" s="576"/>
      <c r="C478" s="3"/>
      <c r="D478" s="298"/>
      <c r="F478" s="3"/>
      <c r="R478" s="298"/>
      <c r="S478" s="3"/>
      <c r="T478" s="3"/>
      <c r="W478" s="3"/>
      <c r="X478" s="3"/>
      <c r="Y478" s="3"/>
      <c r="Z478" s="3"/>
      <c r="AA478" s="3"/>
      <c r="AC478" s="298"/>
      <c r="AI478" s="298"/>
    </row>
    <row r="479">
      <c r="B479" s="576"/>
      <c r="C479" s="3"/>
      <c r="D479" s="298"/>
      <c r="F479" s="3"/>
      <c r="R479" s="298"/>
      <c r="S479" s="3"/>
      <c r="T479" s="3"/>
      <c r="W479" s="3"/>
      <c r="X479" s="3"/>
      <c r="Y479" s="3"/>
      <c r="Z479" s="3"/>
      <c r="AA479" s="3"/>
      <c r="AC479" s="298"/>
      <c r="AI479" s="298"/>
    </row>
    <row r="480">
      <c r="B480" s="576"/>
      <c r="C480" s="3"/>
      <c r="D480" s="298"/>
      <c r="F480" s="3"/>
      <c r="R480" s="298"/>
      <c r="S480" s="3"/>
      <c r="T480" s="3"/>
      <c r="W480" s="3"/>
      <c r="X480" s="3"/>
      <c r="Y480" s="3"/>
      <c r="Z480" s="3"/>
      <c r="AA480" s="3"/>
      <c r="AC480" s="298"/>
      <c r="AI480" s="298"/>
    </row>
    <row r="481">
      <c r="B481" s="576"/>
      <c r="C481" s="3"/>
      <c r="D481" s="298"/>
      <c r="F481" s="3"/>
      <c r="R481" s="298"/>
      <c r="S481" s="3"/>
      <c r="T481" s="3"/>
      <c r="W481" s="3"/>
      <c r="X481" s="3"/>
      <c r="Y481" s="3"/>
      <c r="Z481" s="3"/>
      <c r="AA481" s="3"/>
      <c r="AC481" s="298"/>
      <c r="AI481" s="298"/>
    </row>
    <row r="482">
      <c r="B482" s="576"/>
      <c r="C482" s="3"/>
      <c r="D482" s="298"/>
      <c r="F482" s="3"/>
      <c r="R482" s="298"/>
      <c r="S482" s="3"/>
      <c r="T482" s="3"/>
      <c r="W482" s="3"/>
      <c r="X482" s="3"/>
      <c r="Y482" s="3"/>
      <c r="Z482" s="3"/>
      <c r="AA482" s="3"/>
      <c r="AC482" s="298"/>
      <c r="AI482" s="298"/>
    </row>
    <row r="483">
      <c r="B483" s="576"/>
      <c r="C483" s="3"/>
      <c r="D483" s="298"/>
      <c r="F483" s="3"/>
      <c r="R483" s="298"/>
      <c r="S483" s="3"/>
      <c r="T483" s="3"/>
      <c r="W483" s="3"/>
      <c r="X483" s="3"/>
      <c r="Y483" s="3"/>
      <c r="Z483" s="3"/>
      <c r="AA483" s="3"/>
      <c r="AC483" s="298"/>
      <c r="AI483" s="298"/>
    </row>
    <row r="484">
      <c r="B484" s="576"/>
      <c r="C484" s="3"/>
      <c r="D484" s="298"/>
      <c r="F484" s="3"/>
      <c r="R484" s="298"/>
      <c r="S484" s="3"/>
      <c r="T484" s="3"/>
      <c r="W484" s="3"/>
      <c r="X484" s="3"/>
      <c r="Y484" s="3"/>
      <c r="Z484" s="3"/>
      <c r="AA484" s="3"/>
      <c r="AC484" s="298"/>
      <c r="AI484" s="298"/>
    </row>
    <row r="485">
      <c r="B485" s="576"/>
      <c r="C485" s="3"/>
      <c r="D485" s="298"/>
      <c r="F485" s="3"/>
      <c r="R485" s="298"/>
      <c r="S485" s="3"/>
      <c r="T485" s="3"/>
      <c r="W485" s="3"/>
      <c r="X485" s="3"/>
      <c r="Y485" s="3"/>
      <c r="Z485" s="3"/>
      <c r="AA485" s="3"/>
      <c r="AC485" s="298"/>
      <c r="AI485" s="298"/>
    </row>
    <row r="486">
      <c r="B486" s="576"/>
      <c r="C486" s="3"/>
      <c r="D486" s="298"/>
      <c r="F486" s="3"/>
      <c r="R486" s="298"/>
      <c r="S486" s="3"/>
      <c r="T486" s="3"/>
      <c r="W486" s="3"/>
      <c r="X486" s="3"/>
      <c r="Y486" s="3"/>
      <c r="Z486" s="3"/>
      <c r="AA486" s="3"/>
      <c r="AC486" s="298"/>
      <c r="AI486" s="298"/>
    </row>
    <row r="487">
      <c r="B487" s="576"/>
      <c r="C487" s="3"/>
      <c r="D487" s="298"/>
      <c r="F487" s="3"/>
      <c r="R487" s="298"/>
      <c r="S487" s="3"/>
      <c r="T487" s="3"/>
      <c r="W487" s="3"/>
      <c r="X487" s="3"/>
      <c r="Y487" s="3"/>
      <c r="Z487" s="3"/>
      <c r="AA487" s="3"/>
      <c r="AC487" s="298"/>
      <c r="AI487" s="298"/>
    </row>
    <row r="488">
      <c r="B488" s="576"/>
      <c r="C488" s="3"/>
      <c r="D488" s="298"/>
      <c r="F488" s="3"/>
      <c r="R488" s="298"/>
      <c r="S488" s="3"/>
      <c r="T488" s="3"/>
      <c r="W488" s="3"/>
      <c r="X488" s="3"/>
      <c r="Y488" s="3"/>
      <c r="Z488" s="3"/>
      <c r="AA488" s="3"/>
      <c r="AC488" s="298"/>
      <c r="AI488" s="298"/>
    </row>
    <row r="489">
      <c r="B489" s="576"/>
      <c r="C489" s="3"/>
      <c r="D489" s="298"/>
      <c r="F489" s="3"/>
      <c r="R489" s="298"/>
      <c r="S489" s="3"/>
      <c r="T489" s="3"/>
      <c r="W489" s="3"/>
      <c r="X489" s="3"/>
      <c r="Y489" s="3"/>
      <c r="Z489" s="3"/>
      <c r="AA489" s="3"/>
      <c r="AC489" s="298"/>
      <c r="AI489" s="298"/>
    </row>
    <row r="490">
      <c r="B490" s="576"/>
      <c r="C490" s="3"/>
      <c r="D490" s="298"/>
      <c r="F490" s="3"/>
      <c r="R490" s="298"/>
      <c r="S490" s="3"/>
      <c r="T490" s="3"/>
      <c r="W490" s="3"/>
      <c r="X490" s="3"/>
      <c r="Y490" s="3"/>
      <c r="Z490" s="3"/>
      <c r="AA490" s="3"/>
      <c r="AC490" s="298"/>
      <c r="AI490" s="298"/>
    </row>
    <row r="491">
      <c r="B491" s="576"/>
      <c r="C491" s="3"/>
      <c r="D491" s="298"/>
      <c r="F491" s="3"/>
      <c r="R491" s="298"/>
      <c r="S491" s="3"/>
      <c r="T491" s="3"/>
      <c r="W491" s="3"/>
      <c r="X491" s="3"/>
      <c r="Y491" s="3"/>
      <c r="Z491" s="3"/>
      <c r="AA491" s="3"/>
      <c r="AC491" s="298"/>
      <c r="AI491" s="298"/>
    </row>
    <row r="492">
      <c r="B492" s="576"/>
      <c r="C492" s="3"/>
      <c r="D492" s="298"/>
      <c r="F492" s="3"/>
      <c r="R492" s="298"/>
      <c r="S492" s="3"/>
      <c r="T492" s="3"/>
      <c r="W492" s="3"/>
      <c r="X492" s="3"/>
      <c r="Y492" s="3"/>
      <c r="Z492" s="3"/>
      <c r="AA492" s="3"/>
      <c r="AC492" s="298"/>
      <c r="AI492" s="298"/>
    </row>
    <row r="493">
      <c r="B493" s="576"/>
      <c r="C493" s="3"/>
      <c r="D493" s="298"/>
      <c r="F493" s="3"/>
      <c r="R493" s="298"/>
      <c r="S493" s="3"/>
      <c r="T493" s="3"/>
      <c r="W493" s="3"/>
      <c r="X493" s="3"/>
      <c r="Y493" s="3"/>
      <c r="Z493" s="3"/>
      <c r="AA493" s="3"/>
      <c r="AC493" s="298"/>
      <c r="AI493" s="298"/>
    </row>
    <row r="494">
      <c r="B494" s="576"/>
      <c r="C494" s="3"/>
      <c r="D494" s="298"/>
      <c r="F494" s="3"/>
      <c r="R494" s="298"/>
      <c r="S494" s="3"/>
      <c r="T494" s="3"/>
      <c r="W494" s="3"/>
      <c r="X494" s="3"/>
      <c r="Y494" s="3"/>
      <c r="Z494" s="3"/>
      <c r="AA494" s="3"/>
      <c r="AC494" s="298"/>
      <c r="AI494" s="298"/>
    </row>
    <row r="495">
      <c r="B495" s="576"/>
      <c r="C495" s="3"/>
      <c r="D495" s="298"/>
      <c r="F495" s="3"/>
      <c r="R495" s="298"/>
      <c r="S495" s="3"/>
      <c r="T495" s="3"/>
      <c r="W495" s="3"/>
      <c r="X495" s="3"/>
      <c r="Y495" s="3"/>
      <c r="Z495" s="3"/>
      <c r="AA495" s="3"/>
      <c r="AC495" s="298"/>
      <c r="AI495" s="298"/>
    </row>
    <row r="496">
      <c r="B496" s="576"/>
      <c r="C496" s="3"/>
      <c r="D496" s="298"/>
      <c r="F496" s="3"/>
      <c r="R496" s="298"/>
      <c r="S496" s="3"/>
      <c r="T496" s="3"/>
      <c r="W496" s="3"/>
      <c r="X496" s="3"/>
      <c r="Y496" s="3"/>
      <c r="Z496" s="3"/>
      <c r="AA496" s="3"/>
      <c r="AC496" s="298"/>
      <c r="AI496" s="298"/>
    </row>
    <row r="497">
      <c r="B497" s="576"/>
      <c r="C497" s="3"/>
      <c r="D497" s="298"/>
      <c r="F497" s="3"/>
      <c r="R497" s="298"/>
      <c r="S497" s="3"/>
      <c r="T497" s="3"/>
      <c r="W497" s="3"/>
      <c r="X497" s="3"/>
      <c r="Y497" s="3"/>
      <c r="Z497" s="3"/>
      <c r="AA497" s="3"/>
      <c r="AC497" s="298"/>
      <c r="AI497" s="298"/>
    </row>
    <row r="498">
      <c r="B498" s="576"/>
      <c r="C498" s="3"/>
      <c r="D498" s="298"/>
      <c r="F498" s="3"/>
      <c r="R498" s="298"/>
      <c r="S498" s="3"/>
      <c r="T498" s="3"/>
      <c r="W498" s="3"/>
      <c r="X498" s="3"/>
      <c r="Y498" s="3"/>
      <c r="Z498" s="3"/>
      <c r="AA498" s="3"/>
      <c r="AC498" s="298"/>
      <c r="AI498" s="298"/>
    </row>
    <row r="499">
      <c r="B499" s="576"/>
      <c r="C499" s="3"/>
      <c r="D499" s="298"/>
      <c r="F499" s="3"/>
      <c r="R499" s="298"/>
      <c r="S499" s="3"/>
      <c r="T499" s="3"/>
      <c r="W499" s="3"/>
      <c r="X499" s="3"/>
      <c r="Y499" s="3"/>
      <c r="Z499" s="3"/>
      <c r="AA499" s="3"/>
      <c r="AC499" s="298"/>
      <c r="AI499" s="298"/>
    </row>
    <row r="500">
      <c r="B500" s="576"/>
      <c r="C500" s="3"/>
      <c r="D500" s="298"/>
      <c r="F500" s="3"/>
      <c r="R500" s="298"/>
      <c r="S500" s="3"/>
      <c r="T500" s="3"/>
      <c r="W500" s="3"/>
      <c r="X500" s="3"/>
      <c r="Y500" s="3"/>
      <c r="Z500" s="3"/>
      <c r="AA500" s="3"/>
      <c r="AC500" s="298"/>
      <c r="AI500" s="298"/>
    </row>
    <row r="501">
      <c r="B501" s="576"/>
      <c r="C501" s="3"/>
      <c r="D501" s="298"/>
      <c r="F501" s="3"/>
      <c r="R501" s="298"/>
      <c r="S501" s="3"/>
      <c r="T501" s="3"/>
      <c r="W501" s="3"/>
      <c r="X501" s="3"/>
      <c r="Y501" s="3"/>
      <c r="Z501" s="3"/>
      <c r="AA501" s="3"/>
      <c r="AC501" s="298"/>
      <c r="AI501" s="298"/>
    </row>
    <row r="502">
      <c r="B502" s="576"/>
      <c r="C502" s="3"/>
      <c r="D502" s="298"/>
      <c r="F502" s="3"/>
      <c r="R502" s="298"/>
      <c r="S502" s="3"/>
      <c r="T502" s="3"/>
      <c r="W502" s="3"/>
      <c r="X502" s="3"/>
      <c r="Y502" s="3"/>
      <c r="Z502" s="3"/>
      <c r="AA502" s="3"/>
      <c r="AC502" s="298"/>
      <c r="AI502" s="298"/>
    </row>
    <row r="503">
      <c r="B503" s="576"/>
      <c r="C503" s="3"/>
      <c r="D503" s="298"/>
      <c r="F503" s="3"/>
      <c r="R503" s="298"/>
      <c r="S503" s="3"/>
      <c r="T503" s="3"/>
      <c r="W503" s="3"/>
      <c r="X503" s="3"/>
      <c r="Y503" s="3"/>
      <c r="Z503" s="3"/>
      <c r="AA503" s="3"/>
      <c r="AC503" s="298"/>
      <c r="AI503" s="298"/>
    </row>
    <row r="504">
      <c r="B504" s="576"/>
      <c r="C504" s="3"/>
      <c r="D504" s="298"/>
      <c r="F504" s="3"/>
      <c r="R504" s="298"/>
      <c r="S504" s="3"/>
      <c r="T504" s="3"/>
      <c r="W504" s="3"/>
      <c r="X504" s="3"/>
      <c r="Y504" s="3"/>
      <c r="Z504" s="3"/>
      <c r="AA504" s="3"/>
      <c r="AC504" s="298"/>
      <c r="AI504" s="298"/>
    </row>
    <row r="505">
      <c r="B505" s="576"/>
      <c r="C505" s="3"/>
      <c r="D505" s="298"/>
      <c r="F505" s="3"/>
      <c r="R505" s="298"/>
      <c r="S505" s="3"/>
      <c r="T505" s="3"/>
      <c r="W505" s="3"/>
      <c r="X505" s="3"/>
      <c r="Y505" s="3"/>
      <c r="Z505" s="3"/>
      <c r="AA505" s="3"/>
      <c r="AC505" s="298"/>
      <c r="AI505" s="298"/>
    </row>
    <row r="506">
      <c r="B506" s="576"/>
      <c r="C506" s="3"/>
      <c r="D506" s="298"/>
      <c r="F506" s="3"/>
      <c r="R506" s="298"/>
      <c r="S506" s="3"/>
      <c r="T506" s="3"/>
      <c r="W506" s="3"/>
      <c r="X506" s="3"/>
      <c r="Y506" s="3"/>
      <c r="Z506" s="3"/>
      <c r="AA506" s="3"/>
      <c r="AC506" s="298"/>
      <c r="AI506" s="298"/>
    </row>
    <row r="507">
      <c r="B507" s="576"/>
      <c r="C507" s="3"/>
      <c r="D507" s="298"/>
      <c r="F507" s="3"/>
      <c r="R507" s="298"/>
      <c r="S507" s="3"/>
      <c r="T507" s="3"/>
      <c r="W507" s="3"/>
      <c r="X507" s="3"/>
      <c r="Y507" s="3"/>
      <c r="Z507" s="3"/>
      <c r="AA507" s="3"/>
      <c r="AC507" s="298"/>
      <c r="AI507" s="298"/>
    </row>
    <row r="508">
      <c r="B508" s="576"/>
      <c r="C508" s="3"/>
      <c r="D508" s="298"/>
      <c r="F508" s="3"/>
      <c r="R508" s="298"/>
      <c r="S508" s="3"/>
      <c r="T508" s="3"/>
      <c r="W508" s="3"/>
      <c r="X508" s="3"/>
      <c r="Y508" s="3"/>
      <c r="Z508" s="3"/>
      <c r="AA508" s="3"/>
      <c r="AC508" s="298"/>
      <c r="AI508" s="298"/>
    </row>
    <row r="509">
      <c r="B509" s="576"/>
      <c r="C509" s="3"/>
      <c r="D509" s="298"/>
      <c r="F509" s="3"/>
      <c r="R509" s="298"/>
      <c r="S509" s="3"/>
      <c r="T509" s="3"/>
      <c r="W509" s="3"/>
      <c r="X509" s="3"/>
      <c r="Y509" s="3"/>
      <c r="Z509" s="3"/>
      <c r="AA509" s="3"/>
      <c r="AC509" s="298"/>
      <c r="AI509" s="298"/>
    </row>
    <row r="510">
      <c r="B510" s="576"/>
      <c r="C510" s="3"/>
      <c r="D510" s="298"/>
      <c r="F510" s="3"/>
      <c r="R510" s="298"/>
      <c r="S510" s="3"/>
      <c r="T510" s="3"/>
      <c r="W510" s="3"/>
      <c r="X510" s="3"/>
      <c r="Y510" s="3"/>
      <c r="Z510" s="3"/>
      <c r="AA510" s="3"/>
      <c r="AC510" s="298"/>
      <c r="AI510" s="298"/>
    </row>
    <row r="511">
      <c r="B511" s="576"/>
      <c r="C511" s="3"/>
      <c r="D511" s="298"/>
      <c r="F511" s="3"/>
      <c r="R511" s="298"/>
      <c r="S511" s="3"/>
      <c r="T511" s="3"/>
      <c r="W511" s="3"/>
      <c r="X511" s="3"/>
      <c r="Y511" s="3"/>
      <c r="Z511" s="3"/>
      <c r="AA511" s="3"/>
      <c r="AC511" s="298"/>
      <c r="AI511" s="298"/>
    </row>
    <row r="512">
      <c r="B512" s="576"/>
      <c r="C512" s="3"/>
      <c r="D512" s="298"/>
      <c r="F512" s="3"/>
      <c r="R512" s="298"/>
      <c r="S512" s="3"/>
      <c r="T512" s="3"/>
      <c r="W512" s="3"/>
      <c r="X512" s="3"/>
      <c r="Y512" s="3"/>
      <c r="Z512" s="3"/>
      <c r="AA512" s="3"/>
      <c r="AC512" s="298"/>
      <c r="AI512" s="298"/>
    </row>
    <row r="513">
      <c r="B513" s="576"/>
      <c r="C513" s="3"/>
      <c r="D513" s="298"/>
      <c r="F513" s="3"/>
      <c r="R513" s="298"/>
      <c r="S513" s="3"/>
      <c r="T513" s="3"/>
      <c r="W513" s="3"/>
      <c r="X513" s="3"/>
      <c r="Y513" s="3"/>
      <c r="Z513" s="3"/>
      <c r="AA513" s="3"/>
      <c r="AC513" s="298"/>
      <c r="AI513" s="298"/>
    </row>
    <row r="514">
      <c r="B514" s="576"/>
      <c r="C514" s="3"/>
      <c r="D514" s="298"/>
      <c r="F514" s="3"/>
      <c r="R514" s="298"/>
      <c r="S514" s="3"/>
      <c r="T514" s="3"/>
      <c r="W514" s="3"/>
      <c r="X514" s="3"/>
      <c r="Y514" s="3"/>
      <c r="Z514" s="3"/>
      <c r="AA514" s="3"/>
      <c r="AC514" s="298"/>
      <c r="AI514" s="298"/>
    </row>
    <row r="515">
      <c r="B515" s="576"/>
      <c r="C515" s="3"/>
      <c r="D515" s="298"/>
      <c r="F515" s="3"/>
      <c r="R515" s="298"/>
      <c r="S515" s="3"/>
      <c r="T515" s="3"/>
      <c r="W515" s="3"/>
      <c r="X515" s="3"/>
      <c r="Y515" s="3"/>
      <c r="Z515" s="3"/>
      <c r="AA515" s="3"/>
      <c r="AC515" s="298"/>
      <c r="AI515" s="298"/>
    </row>
    <row r="516">
      <c r="B516" s="576"/>
      <c r="C516" s="3"/>
      <c r="D516" s="298"/>
      <c r="F516" s="3"/>
      <c r="R516" s="298"/>
      <c r="S516" s="3"/>
      <c r="T516" s="3"/>
      <c r="W516" s="3"/>
      <c r="X516" s="3"/>
      <c r="Y516" s="3"/>
      <c r="Z516" s="3"/>
      <c r="AA516" s="3"/>
      <c r="AC516" s="298"/>
      <c r="AI516" s="298"/>
    </row>
    <row r="517">
      <c r="B517" s="576"/>
      <c r="C517" s="3"/>
      <c r="D517" s="298"/>
      <c r="F517" s="3"/>
      <c r="R517" s="298"/>
      <c r="S517" s="3"/>
      <c r="T517" s="3"/>
      <c r="W517" s="3"/>
      <c r="X517" s="3"/>
      <c r="Y517" s="3"/>
      <c r="Z517" s="3"/>
      <c r="AA517" s="3"/>
      <c r="AC517" s="298"/>
      <c r="AI517" s="298"/>
    </row>
    <row r="518">
      <c r="B518" s="576"/>
      <c r="C518" s="3"/>
      <c r="D518" s="298"/>
      <c r="F518" s="3"/>
      <c r="R518" s="298"/>
      <c r="S518" s="3"/>
      <c r="T518" s="3"/>
      <c r="W518" s="3"/>
      <c r="X518" s="3"/>
      <c r="Y518" s="3"/>
      <c r="Z518" s="3"/>
      <c r="AA518" s="3"/>
      <c r="AC518" s="298"/>
      <c r="AI518" s="298"/>
    </row>
    <row r="519">
      <c r="B519" s="576"/>
      <c r="C519" s="3"/>
      <c r="D519" s="298"/>
      <c r="F519" s="3"/>
      <c r="R519" s="298"/>
      <c r="S519" s="3"/>
      <c r="T519" s="3"/>
      <c r="W519" s="3"/>
      <c r="X519" s="3"/>
      <c r="Y519" s="3"/>
      <c r="Z519" s="3"/>
      <c r="AA519" s="3"/>
      <c r="AC519" s="298"/>
      <c r="AI519" s="298"/>
    </row>
    <row r="520">
      <c r="B520" s="576"/>
      <c r="C520" s="3"/>
      <c r="D520" s="298"/>
      <c r="F520" s="3"/>
      <c r="R520" s="298"/>
      <c r="S520" s="3"/>
      <c r="T520" s="3"/>
      <c r="W520" s="3"/>
      <c r="X520" s="3"/>
      <c r="Y520" s="3"/>
      <c r="Z520" s="3"/>
      <c r="AA520" s="3"/>
      <c r="AC520" s="298"/>
      <c r="AI520" s="298"/>
    </row>
    <row r="521">
      <c r="B521" s="576"/>
      <c r="C521" s="3"/>
      <c r="D521" s="298"/>
      <c r="F521" s="3"/>
      <c r="R521" s="298"/>
      <c r="S521" s="3"/>
      <c r="T521" s="3"/>
      <c r="W521" s="3"/>
      <c r="X521" s="3"/>
      <c r="Y521" s="3"/>
      <c r="Z521" s="3"/>
      <c r="AA521" s="3"/>
      <c r="AC521" s="298"/>
      <c r="AI521" s="298"/>
    </row>
    <row r="522">
      <c r="B522" s="576"/>
      <c r="C522" s="3"/>
      <c r="D522" s="298"/>
      <c r="F522" s="3"/>
      <c r="R522" s="298"/>
      <c r="S522" s="3"/>
      <c r="T522" s="3"/>
      <c r="W522" s="3"/>
      <c r="X522" s="3"/>
      <c r="Y522" s="3"/>
      <c r="Z522" s="3"/>
      <c r="AA522" s="3"/>
      <c r="AC522" s="298"/>
      <c r="AI522" s="298"/>
    </row>
    <row r="523">
      <c r="B523" s="576"/>
      <c r="C523" s="3"/>
      <c r="D523" s="298"/>
      <c r="F523" s="3"/>
      <c r="R523" s="298"/>
      <c r="S523" s="3"/>
      <c r="T523" s="3"/>
      <c r="W523" s="3"/>
      <c r="X523" s="3"/>
      <c r="Y523" s="3"/>
      <c r="Z523" s="3"/>
      <c r="AA523" s="3"/>
      <c r="AC523" s="298"/>
      <c r="AI523" s="298"/>
    </row>
    <row r="524">
      <c r="B524" s="576"/>
      <c r="C524" s="3"/>
      <c r="D524" s="298"/>
      <c r="F524" s="3"/>
      <c r="R524" s="298"/>
      <c r="S524" s="3"/>
      <c r="T524" s="3"/>
      <c r="W524" s="3"/>
      <c r="X524" s="3"/>
      <c r="Y524" s="3"/>
      <c r="Z524" s="3"/>
      <c r="AA524" s="3"/>
      <c r="AC524" s="298"/>
      <c r="AI524" s="298"/>
    </row>
    <row r="525">
      <c r="B525" s="576"/>
      <c r="C525" s="3"/>
      <c r="D525" s="298"/>
      <c r="F525" s="3"/>
      <c r="R525" s="298"/>
      <c r="S525" s="3"/>
      <c r="T525" s="3"/>
      <c r="W525" s="3"/>
      <c r="X525" s="3"/>
      <c r="Y525" s="3"/>
      <c r="Z525" s="3"/>
      <c r="AA525" s="3"/>
      <c r="AC525" s="298"/>
      <c r="AI525" s="298"/>
    </row>
    <row r="526">
      <c r="B526" s="576"/>
      <c r="C526" s="3"/>
      <c r="D526" s="298"/>
      <c r="F526" s="3"/>
      <c r="R526" s="298"/>
      <c r="S526" s="3"/>
      <c r="T526" s="3"/>
      <c r="W526" s="3"/>
      <c r="X526" s="3"/>
      <c r="Y526" s="3"/>
      <c r="Z526" s="3"/>
      <c r="AA526" s="3"/>
      <c r="AC526" s="298"/>
      <c r="AI526" s="298"/>
    </row>
    <row r="527">
      <c r="B527" s="576"/>
      <c r="C527" s="3"/>
      <c r="D527" s="298"/>
      <c r="F527" s="3"/>
      <c r="R527" s="298"/>
      <c r="S527" s="3"/>
      <c r="T527" s="3"/>
      <c r="W527" s="3"/>
      <c r="X527" s="3"/>
      <c r="Y527" s="3"/>
      <c r="Z527" s="3"/>
      <c r="AA527" s="3"/>
      <c r="AC527" s="298"/>
      <c r="AI527" s="298"/>
    </row>
    <row r="528">
      <c r="B528" s="576"/>
      <c r="C528" s="3"/>
      <c r="D528" s="298"/>
      <c r="F528" s="3"/>
      <c r="R528" s="298"/>
      <c r="S528" s="3"/>
      <c r="T528" s="3"/>
      <c r="W528" s="3"/>
      <c r="X528" s="3"/>
      <c r="Y528" s="3"/>
      <c r="Z528" s="3"/>
      <c r="AA528" s="3"/>
      <c r="AC528" s="298"/>
      <c r="AI528" s="298"/>
    </row>
    <row r="529">
      <c r="B529" s="576"/>
      <c r="C529" s="3"/>
      <c r="D529" s="298"/>
      <c r="F529" s="3"/>
      <c r="R529" s="298"/>
      <c r="S529" s="3"/>
      <c r="T529" s="3"/>
      <c r="W529" s="3"/>
      <c r="X529" s="3"/>
      <c r="Y529" s="3"/>
      <c r="Z529" s="3"/>
      <c r="AA529" s="3"/>
      <c r="AC529" s="298"/>
      <c r="AI529" s="298"/>
    </row>
    <row r="530">
      <c r="B530" s="576"/>
      <c r="C530" s="3"/>
      <c r="D530" s="298"/>
      <c r="F530" s="3"/>
      <c r="R530" s="298"/>
      <c r="S530" s="3"/>
      <c r="T530" s="3"/>
      <c r="W530" s="3"/>
      <c r="X530" s="3"/>
      <c r="Y530" s="3"/>
      <c r="Z530" s="3"/>
      <c r="AA530" s="3"/>
      <c r="AC530" s="298"/>
      <c r="AI530" s="298"/>
    </row>
    <row r="531">
      <c r="B531" s="576"/>
      <c r="C531" s="3"/>
      <c r="D531" s="298"/>
      <c r="F531" s="3"/>
      <c r="R531" s="298"/>
      <c r="S531" s="3"/>
      <c r="T531" s="3"/>
      <c r="W531" s="3"/>
      <c r="X531" s="3"/>
      <c r="Y531" s="3"/>
      <c r="Z531" s="3"/>
      <c r="AA531" s="3"/>
      <c r="AC531" s="298"/>
      <c r="AI531" s="298"/>
    </row>
    <row r="532">
      <c r="B532" s="576"/>
      <c r="C532" s="3"/>
      <c r="D532" s="298"/>
      <c r="F532" s="3"/>
      <c r="R532" s="298"/>
      <c r="S532" s="3"/>
      <c r="T532" s="3"/>
      <c r="W532" s="3"/>
      <c r="X532" s="3"/>
      <c r="Y532" s="3"/>
      <c r="Z532" s="3"/>
      <c r="AA532" s="3"/>
      <c r="AC532" s="298"/>
      <c r="AI532" s="298"/>
    </row>
    <row r="533">
      <c r="B533" s="576"/>
      <c r="C533" s="3"/>
      <c r="D533" s="298"/>
      <c r="F533" s="3"/>
      <c r="R533" s="298"/>
      <c r="S533" s="3"/>
      <c r="T533" s="3"/>
      <c r="W533" s="3"/>
      <c r="X533" s="3"/>
      <c r="Y533" s="3"/>
      <c r="Z533" s="3"/>
      <c r="AA533" s="3"/>
      <c r="AC533" s="298"/>
      <c r="AI533" s="298"/>
    </row>
    <row r="534">
      <c r="B534" s="576"/>
      <c r="C534" s="3"/>
      <c r="D534" s="298"/>
      <c r="F534" s="3"/>
      <c r="R534" s="298"/>
      <c r="S534" s="3"/>
      <c r="T534" s="3"/>
      <c r="W534" s="3"/>
      <c r="X534" s="3"/>
      <c r="Y534" s="3"/>
      <c r="Z534" s="3"/>
      <c r="AA534" s="3"/>
      <c r="AC534" s="298"/>
      <c r="AI534" s="298"/>
    </row>
    <row r="535">
      <c r="B535" s="576"/>
      <c r="C535" s="3"/>
      <c r="D535" s="298"/>
      <c r="F535" s="3"/>
      <c r="R535" s="298"/>
      <c r="S535" s="3"/>
      <c r="T535" s="3"/>
      <c r="W535" s="3"/>
      <c r="X535" s="3"/>
      <c r="Y535" s="3"/>
      <c r="Z535" s="3"/>
      <c r="AA535" s="3"/>
      <c r="AC535" s="298"/>
      <c r="AI535" s="298"/>
    </row>
    <row r="536">
      <c r="B536" s="576"/>
      <c r="C536" s="3"/>
      <c r="D536" s="298"/>
      <c r="F536" s="3"/>
      <c r="R536" s="298"/>
      <c r="S536" s="3"/>
      <c r="T536" s="3"/>
      <c r="W536" s="3"/>
      <c r="X536" s="3"/>
      <c r="Y536" s="3"/>
      <c r="Z536" s="3"/>
      <c r="AA536" s="3"/>
      <c r="AC536" s="298"/>
      <c r="AI536" s="298"/>
    </row>
    <row r="537">
      <c r="B537" s="576"/>
      <c r="C537" s="3"/>
      <c r="D537" s="298"/>
      <c r="F537" s="3"/>
      <c r="R537" s="298"/>
      <c r="S537" s="3"/>
      <c r="T537" s="3"/>
      <c r="W537" s="3"/>
      <c r="X537" s="3"/>
      <c r="Y537" s="3"/>
      <c r="Z537" s="3"/>
      <c r="AA537" s="3"/>
      <c r="AC537" s="298"/>
      <c r="AI537" s="298"/>
    </row>
    <row r="538">
      <c r="B538" s="576"/>
      <c r="C538" s="3"/>
      <c r="D538" s="298"/>
      <c r="F538" s="3"/>
      <c r="R538" s="298"/>
      <c r="S538" s="3"/>
      <c r="T538" s="3"/>
      <c r="W538" s="3"/>
      <c r="X538" s="3"/>
      <c r="Y538" s="3"/>
      <c r="Z538" s="3"/>
      <c r="AA538" s="3"/>
      <c r="AC538" s="298"/>
      <c r="AI538" s="298"/>
    </row>
    <row r="539">
      <c r="B539" s="576"/>
      <c r="C539" s="3"/>
      <c r="D539" s="298"/>
      <c r="F539" s="3"/>
      <c r="R539" s="298"/>
      <c r="S539" s="3"/>
      <c r="T539" s="3"/>
      <c r="W539" s="3"/>
      <c r="X539" s="3"/>
      <c r="Y539" s="3"/>
      <c r="Z539" s="3"/>
      <c r="AA539" s="3"/>
      <c r="AC539" s="298"/>
      <c r="AI539" s="298"/>
    </row>
    <row r="540">
      <c r="B540" s="576"/>
      <c r="C540" s="3"/>
      <c r="D540" s="298"/>
      <c r="F540" s="3"/>
      <c r="R540" s="298"/>
      <c r="S540" s="3"/>
      <c r="T540" s="3"/>
      <c r="W540" s="3"/>
      <c r="X540" s="3"/>
      <c r="Y540" s="3"/>
      <c r="Z540" s="3"/>
      <c r="AA540" s="3"/>
      <c r="AC540" s="298"/>
      <c r="AI540" s="298"/>
    </row>
    <row r="541">
      <c r="B541" s="576"/>
      <c r="C541" s="3"/>
      <c r="D541" s="298"/>
      <c r="F541" s="3"/>
      <c r="R541" s="298"/>
      <c r="S541" s="3"/>
      <c r="T541" s="3"/>
      <c r="W541" s="3"/>
      <c r="X541" s="3"/>
      <c r="Y541" s="3"/>
      <c r="Z541" s="3"/>
      <c r="AA541" s="3"/>
      <c r="AC541" s="298"/>
      <c r="AI541" s="298"/>
    </row>
    <row r="542">
      <c r="B542" s="576"/>
      <c r="C542" s="3"/>
      <c r="D542" s="298"/>
      <c r="F542" s="3"/>
      <c r="R542" s="298"/>
      <c r="S542" s="3"/>
      <c r="T542" s="3"/>
      <c r="W542" s="3"/>
      <c r="X542" s="3"/>
      <c r="Y542" s="3"/>
      <c r="Z542" s="3"/>
      <c r="AA542" s="3"/>
      <c r="AC542" s="298"/>
      <c r="AI542" s="298"/>
    </row>
    <row r="543">
      <c r="B543" s="576"/>
      <c r="C543" s="3"/>
      <c r="D543" s="298"/>
      <c r="F543" s="3"/>
      <c r="R543" s="298"/>
      <c r="S543" s="3"/>
      <c r="T543" s="3"/>
      <c r="W543" s="3"/>
      <c r="X543" s="3"/>
      <c r="Y543" s="3"/>
      <c r="Z543" s="3"/>
      <c r="AA543" s="3"/>
      <c r="AC543" s="298"/>
      <c r="AI543" s="298"/>
    </row>
    <row r="544">
      <c r="B544" s="576"/>
      <c r="C544" s="3"/>
      <c r="D544" s="298"/>
      <c r="F544" s="3"/>
      <c r="R544" s="298"/>
      <c r="S544" s="3"/>
      <c r="T544" s="3"/>
      <c r="W544" s="3"/>
      <c r="X544" s="3"/>
      <c r="Y544" s="3"/>
      <c r="Z544" s="3"/>
      <c r="AA544" s="3"/>
      <c r="AC544" s="298"/>
      <c r="AI544" s="298"/>
    </row>
    <row r="545">
      <c r="B545" s="576"/>
      <c r="C545" s="3"/>
      <c r="D545" s="298"/>
      <c r="F545" s="3"/>
      <c r="R545" s="298"/>
      <c r="S545" s="3"/>
      <c r="T545" s="3"/>
      <c r="W545" s="3"/>
      <c r="X545" s="3"/>
      <c r="Y545" s="3"/>
      <c r="Z545" s="3"/>
      <c r="AA545" s="3"/>
      <c r="AC545" s="298"/>
      <c r="AI545" s="298"/>
    </row>
    <row r="546">
      <c r="B546" s="576"/>
      <c r="C546" s="3"/>
      <c r="D546" s="298"/>
      <c r="F546" s="3"/>
      <c r="R546" s="298"/>
      <c r="S546" s="3"/>
      <c r="T546" s="3"/>
      <c r="W546" s="3"/>
      <c r="X546" s="3"/>
      <c r="Y546" s="3"/>
      <c r="Z546" s="3"/>
      <c r="AA546" s="3"/>
      <c r="AC546" s="298"/>
      <c r="AI546" s="298"/>
    </row>
    <row r="547">
      <c r="B547" s="576"/>
      <c r="C547" s="3"/>
      <c r="D547" s="298"/>
      <c r="F547" s="3"/>
      <c r="R547" s="298"/>
      <c r="S547" s="3"/>
      <c r="T547" s="3"/>
      <c r="W547" s="3"/>
      <c r="X547" s="3"/>
      <c r="Y547" s="3"/>
      <c r="Z547" s="3"/>
      <c r="AA547" s="3"/>
      <c r="AC547" s="298"/>
      <c r="AI547" s="298"/>
    </row>
    <row r="548">
      <c r="B548" s="576"/>
      <c r="C548" s="3"/>
      <c r="D548" s="298"/>
      <c r="F548" s="3"/>
      <c r="R548" s="298"/>
      <c r="S548" s="3"/>
      <c r="T548" s="3"/>
      <c r="W548" s="3"/>
      <c r="X548" s="3"/>
      <c r="Y548" s="3"/>
      <c r="Z548" s="3"/>
      <c r="AA548" s="3"/>
      <c r="AC548" s="298"/>
      <c r="AI548" s="298"/>
    </row>
    <row r="549">
      <c r="B549" s="576"/>
      <c r="C549" s="3"/>
      <c r="D549" s="298"/>
      <c r="F549" s="3"/>
      <c r="R549" s="298"/>
      <c r="S549" s="3"/>
      <c r="T549" s="3"/>
      <c r="W549" s="3"/>
      <c r="X549" s="3"/>
      <c r="Y549" s="3"/>
      <c r="Z549" s="3"/>
      <c r="AA549" s="3"/>
      <c r="AC549" s="298"/>
      <c r="AI549" s="298"/>
    </row>
    <row r="550">
      <c r="B550" s="576"/>
      <c r="C550" s="3"/>
      <c r="D550" s="298"/>
      <c r="F550" s="3"/>
      <c r="R550" s="298"/>
      <c r="S550" s="3"/>
      <c r="T550" s="3"/>
      <c r="W550" s="3"/>
      <c r="X550" s="3"/>
      <c r="Y550" s="3"/>
      <c r="Z550" s="3"/>
      <c r="AA550" s="3"/>
      <c r="AC550" s="298"/>
      <c r="AI550" s="298"/>
    </row>
    <row r="551">
      <c r="B551" s="576"/>
      <c r="C551" s="3"/>
      <c r="D551" s="298"/>
      <c r="F551" s="3"/>
      <c r="R551" s="298"/>
      <c r="S551" s="3"/>
      <c r="T551" s="3"/>
      <c r="W551" s="3"/>
      <c r="X551" s="3"/>
      <c r="Y551" s="3"/>
      <c r="Z551" s="3"/>
      <c r="AA551" s="3"/>
      <c r="AC551" s="298"/>
      <c r="AI551" s="298"/>
    </row>
    <row r="552">
      <c r="B552" s="576"/>
      <c r="C552" s="3"/>
      <c r="D552" s="298"/>
      <c r="F552" s="3"/>
      <c r="R552" s="298"/>
      <c r="S552" s="3"/>
      <c r="T552" s="3"/>
      <c r="W552" s="3"/>
      <c r="X552" s="3"/>
      <c r="Y552" s="3"/>
      <c r="Z552" s="3"/>
      <c r="AA552" s="3"/>
      <c r="AC552" s="298"/>
      <c r="AI552" s="298"/>
    </row>
    <row r="553">
      <c r="B553" s="576"/>
      <c r="C553" s="3"/>
      <c r="D553" s="298"/>
      <c r="F553" s="3"/>
      <c r="R553" s="298"/>
      <c r="S553" s="3"/>
      <c r="T553" s="3"/>
      <c r="W553" s="3"/>
      <c r="X553" s="3"/>
      <c r="Y553" s="3"/>
      <c r="Z553" s="3"/>
      <c r="AA553" s="3"/>
      <c r="AC553" s="298"/>
      <c r="AI553" s="298"/>
    </row>
    <row r="554">
      <c r="B554" s="576"/>
      <c r="C554" s="3"/>
      <c r="D554" s="298"/>
      <c r="F554" s="3"/>
      <c r="R554" s="298"/>
      <c r="S554" s="3"/>
      <c r="T554" s="3"/>
      <c r="W554" s="3"/>
      <c r="X554" s="3"/>
      <c r="Y554" s="3"/>
      <c r="Z554" s="3"/>
      <c r="AA554" s="3"/>
      <c r="AC554" s="298"/>
      <c r="AI554" s="298"/>
    </row>
    <row r="555">
      <c r="B555" s="576"/>
      <c r="C555" s="3"/>
      <c r="D555" s="298"/>
      <c r="F555" s="3"/>
      <c r="R555" s="298"/>
      <c r="S555" s="3"/>
      <c r="T555" s="3"/>
      <c r="W555" s="3"/>
      <c r="X555" s="3"/>
      <c r="Y555" s="3"/>
      <c r="Z555" s="3"/>
      <c r="AA555" s="3"/>
      <c r="AC555" s="298"/>
      <c r="AI555" s="298"/>
    </row>
    <row r="556">
      <c r="B556" s="576"/>
      <c r="C556" s="3"/>
      <c r="D556" s="298"/>
      <c r="F556" s="3"/>
      <c r="R556" s="298"/>
      <c r="S556" s="3"/>
      <c r="T556" s="3"/>
      <c r="W556" s="3"/>
      <c r="X556" s="3"/>
      <c r="Y556" s="3"/>
      <c r="Z556" s="3"/>
      <c r="AA556" s="3"/>
      <c r="AC556" s="298"/>
      <c r="AI556" s="298"/>
    </row>
    <row r="557">
      <c r="B557" s="576"/>
      <c r="C557" s="3"/>
      <c r="D557" s="298"/>
      <c r="F557" s="3"/>
      <c r="R557" s="298"/>
      <c r="S557" s="3"/>
      <c r="T557" s="3"/>
      <c r="W557" s="3"/>
      <c r="X557" s="3"/>
      <c r="Y557" s="3"/>
      <c r="Z557" s="3"/>
      <c r="AA557" s="3"/>
      <c r="AC557" s="298"/>
      <c r="AI557" s="298"/>
    </row>
    <row r="558">
      <c r="B558" s="576"/>
      <c r="C558" s="3"/>
      <c r="D558" s="298"/>
      <c r="F558" s="3"/>
      <c r="R558" s="298"/>
      <c r="S558" s="3"/>
      <c r="T558" s="3"/>
      <c r="W558" s="3"/>
      <c r="X558" s="3"/>
      <c r="Y558" s="3"/>
      <c r="Z558" s="3"/>
      <c r="AA558" s="3"/>
      <c r="AC558" s="298"/>
      <c r="AI558" s="298"/>
    </row>
    <row r="559">
      <c r="B559" s="576"/>
      <c r="C559" s="3"/>
      <c r="D559" s="298"/>
      <c r="F559" s="3"/>
      <c r="R559" s="298"/>
      <c r="S559" s="3"/>
      <c r="T559" s="3"/>
      <c r="W559" s="3"/>
      <c r="X559" s="3"/>
      <c r="Y559" s="3"/>
      <c r="Z559" s="3"/>
      <c r="AA559" s="3"/>
      <c r="AC559" s="298"/>
      <c r="AI559" s="298"/>
    </row>
    <row r="560">
      <c r="B560" s="576"/>
      <c r="C560" s="3"/>
      <c r="D560" s="298"/>
      <c r="F560" s="3"/>
      <c r="R560" s="298"/>
      <c r="S560" s="3"/>
      <c r="T560" s="3"/>
      <c r="W560" s="3"/>
      <c r="X560" s="3"/>
      <c r="Y560" s="3"/>
      <c r="Z560" s="3"/>
      <c r="AA560" s="3"/>
      <c r="AC560" s="298"/>
      <c r="AI560" s="298"/>
    </row>
    <row r="561">
      <c r="B561" s="576"/>
      <c r="C561" s="3"/>
      <c r="D561" s="298"/>
      <c r="F561" s="3"/>
      <c r="R561" s="298"/>
      <c r="S561" s="3"/>
      <c r="T561" s="3"/>
      <c r="W561" s="3"/>
      <c r="X561" s="3"/>
      <c r="Y561" s="3"/>
      <c r="Z561" s="3"/>
      <c r="AA561" s="3"/>
      <c r="AC561" s="298"/>
      <c r="AI561" s="298"/>
    </row>
    <row r="562">
      <c r="B562" s="576"/>
      <c r="C562" s="3"/>
      <c r="D562" s="298"/>
      <c r="F562" s="3"/>
      <c r="R562" s="298"/>
      <c r="S562" s="3"/>
      <c r="T562" s="3"/>
      <c r="W562" s="3"/>
      <c r="X562" s="3"/>
      <c r="Y562" s="3"/>
      <c r="Z562" s="3"/>
      <c r="AA562" s="3"/>
      <c r="AC562" s="298"/>
      <c r="AI562" s="298"/>
    </row>
    <row r="563">
      <c r="B563" s="576"/>
      <c r="C563" s="3"/>
      <c r="D563" s="298"/>
      <c r="F563" s="3"/>
      <c r="R563" s="298"/>
      <c r="S563" s="3"/>
      <c r="T563" s="3"/>
      <c r="W563" s="3"/>
      <c r="X563" s="3"/>
      <c r="Y563" s="3"/>
      <c r="Z563" s="3"/>
      <c r="AA563" s="3"/>
      <c r="AC563" s="298"/>
      <c r="AI563" s="298"/>
    </row>
    <row r="564">
      <c r="B564" s="576"/>
      <c r="C564" s="3"/>
      <c r="D564" s="298"/>
      <c r="F564" s="3"/>
      <c r="R564" s="298"/>
      <c r="S564" s="3"/>
      <c r="T564" s="3"/>
      <c r="W564" s="3"/>
      <c r="X564" s="3"/>
      <c r="Y564" s="3"/>
      <c r="Z564" s="3"/>
      <c r="AA564" s="3"/>
      <c r="AC564" s="298"/>
      <c r="AI564" s="298"/>
    </row>
    <row r="565">
      <c r="B565" s="576"/>
      <c r="C565" s="3"/>
      <c r="D565" s="298"/>
      <c r="F565" s="3"/>
      <c r="R565" s="298"/>
      <c r="S565" s="3"/>
      <c r="T565" s="3"/>
      <c r="W565" s="3"/>
      <c r="X565" s="3"/>
      <c r="Y565" s="3"/>
      <c r="Z565" s="3"/>
      <c r="AA565" s="3"/>
      <c r="AC565" s="298"/>
      <c r="AI565" s="298"/>
    </row>
    <row r="566">
      <c r="B566" s="576"/>
      <c r="C566" s="3"/>
      <c r="D566" s="298"/>
      <c r="F566" s="3"/>
      <c r="R566" s="298"/>
      <c r="S566" s="3"/>
      <c r="T566" s="3"/>
      <c r="W566" s="3"/>
      <c r="X566" s="3"/>
      <c r="Y566" s="3"/>
      <c r="Z566" s="3"/>
      <c r="AA566" s="3"/>
      <c r="AC566" s="298"/>
      <c r="AI566" s="298"/>
    </row>
    <row r="567">
      <c r="B567" s="576"/>
      <c r="C567" s="3"/>
      <c r="D567" s="298"/>
      <c r="F567" s="3"/>
      <c r="R567" s="298"/>
      <c r="S567" s="3"/>
      <c r="T567" s="3"/>
      <c r="W567" s="3"/>
      <c r="X567" s="3"/>
      <c r="Y567" s="3"/>
      <c r="Z567" s="3"/>
      <c r="AA567" s="3"/>
      <c r="AC567" s="298"/>
      <c r="AI567" s="298"/>
    </row>
    <row r="568">
      <c r="B568" s="576"/>
      <c r="C568" s="3"/>
      <c r="D568" s="298"/>
      <c r="F568" s="3"/>
      <c r="R568" s="298"/>
      <c r="S568" s="3"/>
      <c r="T568" s="3"/>
      <c r="W568" s="3"/>
      <c r="X568" s="3"/>
      <c r="Y568" s="3"/>
      <c r="Z568" s="3"/>
      <c r="AA568" s="3"/>
      <c r="AC568" s="298"/>
      <c r="AI568" s="298"/>
    </row>
    <row r="569">
      <c r="B569" s="576"/>
      <c r="C569" s="3"/>
      <c r="D569" s="298"/>
      <c r="F569" s="3"/>
      <c r="R569" s="298"/>
      <c r="S569" s="3"/>
      <c r="T569" s="3"/>
      <c r="W569" s="3"/>
      <c r="X569" s="3"/>
      <c r="Y569" s="3"/>
      <c r="Z569" s="3"/>
      <c r="AA569" s="3"/>
      <c r="AC569" s="298"/>
      <c r="AI569" s="298"/>
    </row>
    <row r="570">
      <c r="B570" s="576"/>
      <c r="C570" s="3"/>
      <c r="D570" s="298"/>
      <c r="F570" s="3"/>
      <c r="R570" s="298"/>
      <c r="S570" s="3"/>
      <c r="T570" s="3"/>
      <c r="W570" s="3"/>
      <c r="X570" s="3"/>
      <c r="Y570" s="3"/>
      <c r="Z570" s="3"/>
      <c r="AA570" s="3"/>
      <c r="AC570" s="298"/>
      <c r="AI570" s="298"/>
    </row>
    <row r="571">
      <c r="B571" s="576"/>
      <c r="C571" s="3"/>
      <c r="D571" s="298"/>
      <c r="F571" s="3"/>
      <c r="R571" s="298"/>
      <c r="S571" s="3"/>
      <c r="T571" s="3"/>
      <c r="W571" s="3"/>
      <c r="X571" s="3"/>
      <c r="Y571" s="3"/>
      <c r="Z571" s="3"/>
      <c r="AA571" s="3"/>
      <c r="AC571" s="298"/>
      <c r="AI571" s="298"/>
    </row>
    <row r="572">
      <c r="B572" s="576"/>
      <c r="C572" s="3"/>
      <c r="D572" s="298"/>
      <c r="F572" s="3"/>
      <c r="R572" s="298"/>
      <c r="S572" s="3"/>
      <c r="T572" s="3"/>
      <c r="W572" s="3"/>
      <c r="X572" s="3"/>
      <c r="Y572" s="3"/>
      <c r="Z572" s="3"/>
      <c r="AA572" s="3"/>
      <c r="AC572" s="298"/>
      <c r="AI572" s="298"/>
    </row>
    <row r="573">
      <c r="B573" s="576"/>
      <c r="C573" s="3"/>
      <c r="D573" s="298"/>
      <c r="F573" s="3"/>
      <c r="R573" s="298"/>
      <c r="S573" s="3"/>
      <c r="T573" s="3"/>
      <c r="W573" s="3"/>
      <c r="X573" s="3"/>
      <c r="Y573" s="3"/>
      <c r="Z573" s="3"/>
      <c r="AA573" s="3"/>
      <c r="AC573" s="298"/>
      <c r="AI573" s="298"/>
    </row>
    <row r="574">
      <c r="B574" s="576"/>
      <c r="C574" s="3"/>
      <c r="D574" s="298"/>
      <c r="F574" s="3"/>
      <c r="R574" s="298"/>
      <c r="S574" s="3"/>
      <c r="T574" s="3"/>
      <c r="W574" s="3"/>
      <c r="X574" s="3"/>
      <c r="Y574" s="3"/>
      <c r="Z574" s="3"/>
      <c r="AA574" s="3"/>
      <c r="AC574" s="298"/>
      <c r="AI574" s="298"/>
    </row>
    <row r="575">
      <c r="B575" s="576"/>
      <c r="C575" s="3"/>
      <c r="D575" s="298"/>
      <c r="F575" s="3"/>
      <c r="R575" s="298"/>
      <c r="S575" s="3"/>
      <c r="T575" s="3"/>
      <c r="W575" s="3"/>
      <c r="X575" s="3"/>
      <c r="Y575" s="3"/>
      <c r="Z575" s="3"/>
      <c r="AA575" s="3"/>
      <c r="AC575" s="298"/>
      <c r="AI575" s="298"/>
    </row>
    <row r="576">
      <c r="B576" s="576"/>
      <c r="C576" s="3"/>
      <c r="D576" s="298"/>
      <c r="F576" s="3"/>
      <c r="R576" s="298"/>
      <c r="S576" s="3"/>
      <c r="T576" s="3"/>
      <c r="W576" s="3"/>
      <c r="X576" s="3"/>
      <c r="Y576" s="3"/>
      <c r="Z576" s="3"/>
      <c r="AA576" s="3"/>
      <c r="AC576" s="298"/>
      <c r="AI576" s="298"/>
    </row>
    <row r="577">
      <c r="B577" s="576"/>
      <c r="C577" s="3"/>
      <c r="D577" s="298"/>
      <c r="F577" s="3"/>
      <c r="R577" s="298"/>
      <c r="S577" s="3"/>
      <c r="T577" s="3"/>
      <c r="W577" s="3"/>
      <c r="X577" s="3"/>
      <c r="Y577" s="3"/>
      <c r="Z577" s="3"/>
      <c r="AA577" s="3"/>
      <c r="AC577" s="298"/>
      <c r="AI577" s="298"/>
    </row>
    <row r="578">
      <c r="B578" s="576"/>
      <c r="C578" s="3"/>
      <c r="D578" s="298"/>
      <c r="F578" s="3"/>
      <c r="R578" s="298"/>
      <c r="S578" s="3"/>
      <c r="T578" s="3"/>
      <c r="W578" s="3"/>
      <c r="X578" s="3"/>
      <c r="Y578" s="3"/>
      <c r="Z578" s="3"/>
      <c r="AA578" s="3"/>
      <c r="AC578" s="298"/>
      <c r="AI578" s="298"/>
    </row>
    <row r="579">
      <c r="B579" s="576"/>
      <c r="C579" s="3"/>
      <c r="D579" s="298"/>
      <c r="F579" s="3"/>
      <c r="R579" s="298"/>
      <c r="S579" s="3"/>
      <c r="T579" s="3"/>
      <c r="W579" s="3"/>
      <c r="X579" s="3"/>
      <c r="Y579" s="3"/>
      <c r="Z579" s="3"/>
      <c r="AA579" s="3"/>
      <c r="AC579" s="298"/>
      <c r="AI579" s="298"/>
    </row>
    <row r="580">
      <c r="B580" s="576"/>
      <c r="C580" s="3"/>
      <c r="D580" s="298"/>
      <c r="F580" s="3"/>
      <c r="R580" s="298"/>
      <c r="S580" s="3"/>
      <c r="T580" s="3"/>
      <c r="W580" s="3"/>
      <c r="X580" s="3"/>
      <c r="Y580" s="3"/>
      <c r="Z580" s="3"/>
      <c r="AA580" s="3"/>
      <c r="AC580" s="298"/>
      <c r="AI580" s="298"/>
    </row>
    <row r="581">
      <c r="B581" s="576"/>
      <c r="C581" s="3"/>
      <c r="D581" s="298"/>
      <c r="F581" s="3"/>
      <c r="R581" s="298"/>
      <c r="S581" s="3"/>
      <c r="T581" s="3"/>
      <c r="W581" s="3"/>
      <c r="X581" s="3"/>
      <c r="Y581" s="3"/>
      <c r="Z581" s="3"/>
      <c r="AA581" s="3"/>
      <c r="AC581" s="298"/>
      <c r="AI581" s="298"/>
    </row>
    <row r="582">
      <c r="B582" s="576"/>
      <c r="C582" s="3"/>
      <c r="D582" s="298"/>
      <c r="F582" s="3"/>
      <c r="R582" s="298"/>
      <c r="S582" s="3"/>
      <c r="T582" s="3"/>
      <c r="W582" s="3"/>
      <c r="X582" s="3"/>
      <c r="Y582" s="3"/>
      <c r="Z582" s="3"/>
      <c r="AA582" s="3"/>
      <c r="AC582" s="298"/>
      <c r="AI582" s="298"/>
    </row>
    <row r="583">
      <c r="B583" s="576"/>
      <c r="C583" s="3"/>
      <c r="D583" s="298"/>
      <c r="F583" s="3"/>
      <c r="R583" s="298"/>
      <c r="S583" s="3"/>
      <c r="T583" s="3"/>
      <c r="W583" s="3"/>
      <c r="X583" s="3"/>
      <c r="Y583" s="3"/>
      <c r="Z583" s="3"/>
      <c r="AA583" s="3"/>
      <c r="AC583" s="298"/>
      <c r="AI583" s="298"/>
    </row>
    <row r="584">
      <c r="B584" s="576"/>
      <c r="C584" s="3"/>
      <c r="D584" s="298"/>
      <c r="F584" s="3"/>
      <c r="R584" s="298"/>
      <c r="S584" s="3"/>
      <c r="T584" s="3"/>
      <c r="W584" s="3"/>
      <c r="X584" s="3"/>
      <c r="Y584" s="3"/>
      <c r="Z584" s="3"/>
      <c r="AA584" s="3"/>
      <c r="AC584" s="298"/>
      <c r="AI584" s="298"/>
    </row>
    <row r="585">
      <c r="B585" s="576"/>
      <c r="C585" s="3"/>
      <c r="D585" s="298"/>
      <c r="F585" s="3"/>
      <c r="R585" s="298"/>
      <c r="S585" s="3"/>
      <c r="T585" s="3"/>
      <c r="W585" s="3"/>
      <c r="X585" s="3"/>
      <c r="Y585" s="3"/>
      <c r="Z585" s="3"/>
      <c r="AA585" s="3"/>
      <c r="AC585" s="298"/>
      <c r="AI585" s="298"/>
    </row>
    <row r="586">
      <c r="B586" s="576"/>
      <c r="C586" s="3"/>
      <c r="D586" s="298"/>
      <c r="F586" s="3"/>
      <c r="R586" s="298"/>
      <c r="S586" s="3"/>
      <c r="T586" s="3"/>
      <c r="W586" s="3"/>
      <c r="X586" s="3"/>
      <c r="Y586" s="3"/>
      <c r="Z586" s="3"/>
      <c r="AA586" s="3"/>
      <c r="AC586" s="298"/>
      <c r="AI586" s="298"/>
    </row>
    <row r="587">
      <c r="B587" s="576"/>
      <c r="C587" s="3"/>
      <c r="D587" s="298"/>
      <c r="F587" s="3"/>
      <c r="R587" s="298"/>
      <c r="S587" s="3"/>
      <c r="T587" s="3"/>
      <c r="W587" s="3"/>
      <c r="X587" s="3"/>
      <c r="Y587" s="3"/>
      <c r="Z587" s="3"/>
      <c r="AA587" s="3"/>
      <c r="AC587" s="298"/>
      <c r="AI587" s="298"/>
    </row>
    <row r="588">
      <c r="B588" s="576"/>
      <c r="C588" s="3"/>
      <c r="D588" s="298"/>
      <c r="F588" s="3"/>
      <c r="R588" s="298"/>
      <c r="S588" s="3"/>
      <c r="T588" s="3"/>
      <c r="W588" s="3"/>
      <c r="X588" s="3"/>
      <c r="Y588" s="3"/>
      <c r="Z588" s="3"/>
      <c r="AA588" s="3"/>
      <c r="AC588" s="298"/>
      <c r="AI588" s="298"/>
    </row>
    <row r="589">
      <c r="B589" s="576"/>
      <c r="C589" s="3"/>
      <c r="D589" s="298"/>
      <c r="F589" s="3"/>
      <c r="R589" s="298"/>
      <c r="S589" s="3"/>
      <c r="T589" s="3"/>
      <c r="W589" s="3"/>
      <c r="X589" s="3"/>
      <c r="Y589" s="3"/>
      <c r="Z589" s="3"/>
      <c r="AA589" s="3"/>
      <c r="AC589" s="298"/>
      <c r="AI589" s="298"/>
    </row>
    <row r="590">
      <c r="B590" s="576"/>
      <c r="C590" s="3"/>
      <c r="D590" s="298"/>
      <c r="F590" s="3"/>
      <c r="R590" s="298"/>
      <c r="S590" s="3"/>
      <c r="T590" s="3"/>
      <c r="W590" s="3"/>
      <c r="X590" s="3"/>
      <c r="Y590" s="3"/>
      <c r="Z590" s="3"/>
      <c r="AA590" s="3"/>
      <c r="AC590" s="298"/>
      <c r="AI590" s="298"/>
    </row>
    <row r="591">
      <c r="B591" s="576"/>
      <c r="C591" s="3"/>
      <c r="D591" s="298"/>
      <c r="F591" s="3"/>
      <c r="R591" s="298"/>
      <c r="S591" s="3"/>
      <c r="T591" s="3"/>
      <c r="W591" s="3"/>
      <c r="X591" s="3"/>
      <c r="Y591" s="3"/>
      <c r="Z591" s="3"/>
      <c r="AA591" s="3"/>
      <c r="AC591" s="298"/>
      <c r="AI591" s="298"/>
    </row>
    <row r="592">
      <c r="B592" s="576"/>
      <c r="C592" s="3"/>
      <c r="D592" s="298"/>
      <c r="F592" s="3"/>
      <c r="R592" s="298"/>
      <c r="S592" s="3"/>
      <c r="T592" s="3"/>
      <c r="W592" s="3"/>
      <c r="X592" s="3"/>
      <c r="Y592" s="3"/>
      <c r="Z592" s="3"/>
      <c r="AA592" s="3"/>
      <c r="AC592" s="298"/>
      <c r="AI592" s="298"/>
    </row>
    <row r="593">
      <c r="B593" s="576"/>
      <c r="C593" s="3"/>
      <c r="D593" s="298"/>
      <c r="F593" s="3"/>
      <c r="R593" s="298"/>
      <c r="S593" s="3"/>
      <c r="T593" s="3"/>
      <c r="W593" s="3"/>
      <c r="X593" s="3"/>
      <c r="Y593" s="3"/>
      <c r="Z593" s="3"/>
      <c r="AA593" s="3"/>
      <c r="AC593" s="298"/>
      <c r="AI593" s="298"/>
    </row>
    <row r="594">
      <c r="B594" s="576"/>
      <c r="C594" s="3"/>
      <c r="D594" s="298"/>
      <c r="F594" s="3"/>
      <c r="R594" s="298"/>
      <c r="S594" s="3"/>
      <c r="T594" s="3"/>
      <c r="W594" s="3"/>
      <c r="X594" s="3"/>
      <c r="Y594" s="3"/>
      <c r="Z594" s="3"/>
      <c r="AA594" s="3"/>
      <c r="AC594" s="298"/>
      <c r="AI594" s="298"/>
    </row>
    <row r="595">
      <c r="B595" s="576"/>
      <c r="C595" s="3"/>
      <c r="D595" s="298"/>
      <c r="F595" s="3"/>
      <c r="R595" s="298"/>
      <c r="S595" s="3"/>
      <c r="T595" s="3"/>
      <c r="W595" s="3"/>
      <c r="X595" s="3"/>
      <c r="Y595" s="3"/>
      <c r="Z595" s="3"/>
      <c r="AA595" s="3"/>
      <c r="AC595" s="298"/>
      <c r="AI595" s="298"/>
    </row>
    <row r="596">
      <c r="B596" s="576"/>
      <c r="C596" s="3"/>
      <c r="D596" s="298"/>
      <c r="F596" s="3"/>
      <c r="R596" s="298"/>
      <c r="S596" s="3"/>
      <c r="T596" s="3"/>
      <c r="W596" s="3"/>
      <c r="X596" s="3"/>
      <c r="Y596" s="3"/>
      <c r="Z596" s="3"/>
      <c r="AA596" s="3"/>
      <c r="AC596" s="298"/>
      <c r="AI596" s="298"/>
    </row>
    <row r="597">
      <c r="B597" s="576"/>
      <c r="C597" s="3"/>
      <c r="D597" s="298"/>
      <c r="F597" s="3"/>
      <c r="R597" s="298"/>
      <c r="S597" s="3"/>
      <c r="T597" s="3"/>
      <c r="W597" s="3"/>
      <c r="X597" s="3"/>
      <c r="Y597" s="3"/>
      <c r="Z597" s="3"/>
      <c r="AA597" s="3"/>
      <c r="AC597" s="298"/>
      <c r="AI597" s="298"/>
    </row>
    <row r="598">
      <c r="B598" s="576"/>
      <c r="C598" s="3"/>
      <c r="D598" s="298"/>
      <c r="F598" s="3"/>
      <c r="R598" s="298"/>
      <c r="S598" s="3"/>
      <c r="T598" s="3"/>
      <c r="W598" s="3"/>
      <c r="X598" s="3"/>
      <c r="Y598" s="3"/>
      <c r="Z598" s="3"/>
      <c r="AA598" s="3"/>
      <c r="AC598" s="298"/>
      <c r="AI598" s="298"/>
    </row>
    <row r="599">
      <c r="B599" s="576"/>
      <c r="C599" s="3"/>
      <c r="D599" s="298"/>
      <c r="F599" s="3"/>
      <c r="R599" s="298"/>
      <c r="S599" s="3"/>
      <c r="T599" s="3"/>
      <c r="W599" s="3"/>
      <c r="X599" s="3"/>
      <c r="Y599" s="3"/>
      <c r="Z599" s="3"/>
      <c r="AA599" s="3"/>
      <c r="AC599" s="298"/>
      <c r="AI599" s="298"/>
    </row>
    <row r="600">
      <c r="B600" s="576"/>
      <c r="C600" s="3"/>
      <c r="D600" s="298"/>
      <c r="F600" s="3"/>
      <c r="R600" s="298"/>
      <c r="S600" s="3"/>
      <c r="T600" s="3"/>
      <c r="W600" s="3"/>
      <c r="X600" s="3"/>
      <c r="Y600" s="3"/>
      <c r="Z600" s="3"/>
      <c r="AA600" s="3"/>
      <c r="AC600" s="298"/>
      <c r="AI600" s="298"/>
    </row>
    <row r="601">
      <c r="B601" s="576"/>
      <c r="C601" s="3"/>
      <c r="D601" s="298"/>
      <c r="F601" s="3"/>
      <c r="R601" s="298"/>
      <c r="S601" s="3"/>
      <c r="T601" s="3"/>
      <c r="W601" s="3"/>
      <c r="X601" s="3"/>
      <c r="Y601" s="3"/>
      <c r="Z601" s="3"/>
      <c r="AA601" s="3"/>
      <c r="AC601" s="298"/>
      <c r="AI601" s="298"/>
    </row>
    <row r="602">
      <c r="B602" s="576"/>
      <c r="C602" s="3"/>
      <c r="D602" s="298"/>
      <c r="F602" s="3"/>
      <c r="R602" s="298"/>
      <c r="S602" s="3"/>
      <c r="T602" s="3"/>
      <c r="W602" s="3"/>
      <c r="X602" s="3"/>
      <c r="Y602" s="3"/>
      <c r="Z602" s="3"/>
      <c r="AA602" s="3"/>
      <c r="AC602" s="298"/>
      <c r="AI602" s="298"/>
    </row>
    <row r="603">
      <c r="B603" s="576"/>
      <c r="C603" s="3"/>
      <c r="D603" s="298"/>
      <c r="F603" s="3"/>
      <c r="R603" s="298"/>
      <c r="S603" s="3"/>
      <c r="T603" s="3"/>
      <c r="W603" s="3"/>
      <c r="X603" s="3"/>
      <c r="Y603" s="3"/>
      <c r="Z603" s="3"/>
      <c r="AA603" s="3"/>
      <c r="AC603" s="298"/>
      <c r="AI603" s="298"/>
    </row>
    <row r="604">
      <c r="B604" s="576"/>
      <c r="C604" s="3"/>
      <c r="D604" s="298"/>
      <c r="F604" s="3"/>
      <c r="R604" s="298"/>
      <c r="S604" s="3"/>
      <c r="T604" s="3"/>
      <c r="W604" s="3"/>
      <c r="X604" s="3"/>
      <c r="Y604" s="3"/>
      <c r="Z604" s="3"/>
      <c r="AA604" s="3"/>
      <c r="AC604" s="298"/>
      <c r="AI604" s="298"/>
    </row>
    <row r="605">
      <c r="B605" s="576"/>
      <c r="C605" s="3"/>
      <c r="D605" s="298"/>
      <c r="F605" s="3"/>
      <c r="R605" s="298"/>
      <c r="S605" s="3"/>
      <c r="T605" s="3"/>
      <c r="W605" s="3"/>
      <c r="X605" s="3"/>
      <c r="Y605" s="3"/>
      <c r="Z605" s="3"/>
      <c r="AA605" s="3"/>
      <c r="AC605" s="298"/>
      <c r="AI605" s="298"/>
    </row>
    <row r="606">
      <c r="B606" s="576"/>
      <c r="C606" s="3"/>
      <c r="D606" s="298"/>
      <c r="F606" s="3"/>
      <c r="R606" s="298"/>
      <c r="S606" s="3"/>
      <c r="T606" s="3"/>
      <c r="W606" s="3"/>
      <c r="X606" s="3"/>
      <c r="Y606" s="3"/>
      <c r="Z606" s="3"/>
      <c r="AA606" s="3"/>
      <c r="AC606" s="298"/>
      <c r="AI606" s="298"/>
    </row>
    <row r="607">
      <c r="B607" s="576"/>
      <c r="C607" s="3"/>
      <c r="D607" s="298"/>
      <c r="F607" s="3"/>
      <c r="R607" s="298"/>
      <c r="S607" s="3"/>
      <c r="T607" s="3"/>
      <c r="W607" s="3"/>
      <c r="X607" s="3"/>
      <c r="Y607" s="3"/>
      <c r="Z607" s="3"/>
      <c r="AA607" s="3"/>
      <c r="AC607" s="298"/>
      <c r="AI607" s="298"/>
    </row>
    <row r="608">
      <c r="B608" s="576"/>
      <c r="C608" s="3"/>
      <c r="D608" s="298"/>
      <c r="F608" s="3"/>
      <c r="R608" s="298"/>
      <c r="S608" s="3"/>
      <c r="T608" s="3"/>
      <c r="W608" s="3"/>
      <c r="X608" s="3"/>
      <c r="Y608" s="3"/>
      <c r="Z608" s="3"/>
      <c r="AA608" s="3"/>
      <c r="AC608" s="298"/>
      <c r="AI608" s="298"/>
    </row>
    <row r="609">
      <c r="B609" s="576"/>
      <c r="C609" s="3"/>
      <c r="D609" s="298"/>
      <c r="F609" s="3"/>
      <c r="R609" s="298"/>
      <c r="S609" s="3"/>
      <c r="T609" s="3"/>
      <c r="W609" s="3"/>
      <c r="X609" s="3"/>
      <c r="Y609" s="3"/>
      <c r="Z609" s="3"/>
      <c r="AA609" s="3"/>
      <c r="AC609" s="298"/>
      <c r="AI609" s="298"/>
    </row>
    <row r="610">
      <c r="B610" s="576"/>
      <c r="C610" s="3"/>
      <c r="D610" s="298"/>
      <c r="F610" s="3"/>
      <c r="R610" s="298"/>
      <c r="S610" s="3"/>
      <c r="T610" s="3"/>
      <c r="W610" s="3"/>
      <c r="X610" s="3"/>
      <c r="Y610" s="3"/>
      <c r="Z610" s="3"/>
      <c r="AA610" s="3"/>
      <c r="AC610" s="298"/>
      <c r="AI610" s="298"/>
    </row>
    <row r="611">
      <c r="B611" s="576"/>
      <c r="C611" s="3"/>
      <c r="D611" s="298"/>
      <c r="F611" s="3"/>
      <c r="R611" s="298"/>
      <c r="S611" s="3"/>
      <c r="T611" s="3"/>
      <c r="W611" s="3"/>
      <c r="X611" s="3"/>
      <c r="Y611" s="3"/>
      <c r="Z611" s="3"/>
      <c r="AA611" s="3"/>
      <c r="AC611" s="298"/>
      <c r="AI611" s="298"/>
    </row>
    <row r="612">
      <c r="B612" s="576"/>
      <c r="C612" s="3"/>
      <c r="D612" s="298"/>
      <c r="F612" s="3"/>
      <c r="R612" s="298"/>
      <c r="S612" s="3"/>
      <c r="T612" s="3"/>
      <c r="W612" s="3"/>
      <c r="X612" s="3"/>
      <c r="Y612" s="3"/>
      <c r="Z612" s="3"/>
      <c r="AA612" s="3"/>
      <c r="AC612" s="298"/>
      <c r="AI612" s="298"/>
    </row>
    <row r="613">
      <c r="B613" s="576"/>
      <c r="C613" s="3"/>
      <c r="D613" s="298"/>
      <c r="F613" s="3"/>
      <c r="R613" s="298"/>
      <c r="S613" s="3"/>
      <c r="T613" s="3"/>
      <c r="W613" s="3"/>
      <c r="X613" s="3"/>
      <c r="Y613" s="3"/>
      <c r="Z613" s="3"/>
      <c r="AA613" s="3"/>
      <c r="AC613" s="298"/>
      <c r="AI613" s="298"/>
    </row>
    <row r="614">
      <c r="B614" s="576"/>
      <c r="C614" s="3"/>
      <c r="D614" s="298"/>
      <c r="F614" s="3"/>
      <c r="R614" s="298"/>
      <c r="S614" s="3"/>
      <c r="T614" s="3"/>
      <c r="W614" s="3"/>
      <c r="X614" s="3"/>
      <c r="Y614" s="3"/>
      <c r="Z614" s="3"/>
      <c r="AA614" s="3"/>
      <c r="AC614" s="298"/>
      <c r="AI614" s="298"/>
    </row>
    <row r="615">
      <c r="B615" s="576"/>
      <c r="C615" s="3"/>
      <c r="D615" s="298"/>
      <c r="F615" s="3"/>
      <c r="R615" s="298"/>
      <c r="S615" s="3"/>
      <c r="T615" s="3"/>
      <c r="W615" s="3"/>
      <c r="X615" s="3"/>
      <c r="Y615" s="3"/>
      <c r="Z615" s="3"/>
      <c r="AA615" s="3"/>
      <c r="AC615" s="298"/>
      <c r="AI615" s="298"/>
    </row>
    <row r="616">
      <c r="B616" s="576"/>
      <c r="C616" s="3"/>
      <c r="D616" s="298"/>
      <c r="F616" s="3"/>
      <c r="R616" s="298"/>
      <c r="S616" s="3"/>
      <c r="T616" s="3"/>
      <c r="W616" s="3"/>
      <c r="X616" s="3"/>
      <c r="Y616" s="3"/>
      <c r="Z616" s="3"/>
      <c r="AA616" s="3"/>
      <c r="AC616" s="298"/>
      <c r="AI616" s="298"/>
    </row>
    <row r="617">
      <c r="B617" s="576"/>
      <c r="C617" s="3"/>
      <c r="D617" s="298"/>
      <c r="F617" s="3"/>
      <c r="R617" s="298"/>
      <c r="S617" s="3"/>
      <c r="T617" s="3"/>
      <c r="W617" s="3"/>
      <c r="X617" s="3"/>
      <c r="Y617" s="3"/>
      <c r="Z617" s="3"/>
      <c r="AA617" s="3"/>
      <c r="AC617" s="298"/>
      <c r="AI617" s="298"/>
    </row>
    <row r="618">
      <c r="B618" s="576"/>
      <c r="C618" s="3"/>
      <c r="D618" s="298"/>
      <c r="F618" s="3"/>
      <c r="R618" s="298"/>
      <c r="S618" s="3"/>
      <c r="T618" s="3"/>
      <c r="W618" s="3"/>
      <c r="X618" s="3"/>
      <c r="Y618" s="3"/>
      <c r="Z618" s="3"/>
      <c r="AA618" s="3"/>
      <c r="AC618" s="298"/>
      <c r="AI618" s="298"/>
    </row>
    <row r="619">
      <c r="B619" s="576"/>
      <c r="C619" s="3"/>
      <c r="D619" s="298"/>
      <c r="F619" s="3"/>
      <c r="R619" s="298"/>
      <c r="S619" s="3"/>
      <c r="T619" s="3"/>
      <c r="W619" s="3"/>
      <c r="X619" s="3"/>
      <c r="Y619" s="3"/>
      <c r="Z619" s="3"/>
      <c r="AA619" s="3"/>
      <c r="AC619" s="298"/>
      <c r="AI619" s="298"/>
    </row>
    <row r="620">
      <c r="B620" s="576"/>
      <c r="C620" s="3"/>
      <c r="D620" s="298"/>
      <c r="F620" s="3"/>
      <c r="R620" s="298"/>
      <c r="S620" s="3"/>
      <c r="T620" s="3"/>
      <c r="W620" s="3"/>
      <c r="X620" s="3"/>
      <c r="Y620" s="3"/>
      <c r="Z620" s="3"/>
      <c r="AA620" s="3"/>
      <c r="AC620" s="298"/>
      <c r="AI620" s="298"/>
    </row>
    <row r="621">
      <c r="B621" s="576"/>
      <c r="C621" s="3"/>
      <c r="D621" s="298"/>
      <c r="F621" s="3"/>
      <c r="R621" s="298"/>
      <c r="S621" s="3"/>
      <c r="T621" s="3"/>
      <c r="W621" s="3"/>
      <c r="X621" s="3"/>
      <c r="Y621" s="3"/>
      <c r="Z621" s="3"/>
      <c r="AA621" s="3"/>
      <c r="AC621" s="298"/>
      <c r="AI621" s="298"/>
    </row>
    <row r="622">
      <c r="B622" s="576"/>
      <c r="C622" s="3"/>
      <c r="D622" s="298"/>
      <c r="F622" s="3"/>
      <c r="R622" s="298"/>
      <c r="S622" s="3"/>
      <c r="T622" s="3"/>
      <c r="W622" s="3"/>
      <c r="X622" s="3"/>
      <c r="Y622" s="3"/>
      <c r="Z622" s="3"/>
      <c r="AA622" s="3"/>
      <c r="AC622" s="298"/>
      <c r="AI622" s="298"/>
    </row>
    <row r="623">
      <c r="B623" s="576"/>
      <c r="C623" s="3"/>
      <c r="D623" s="298"/>
      <c r="F623" s="3"/>
      <c r="R623" s="298"/>
      <c r="S623" s="3"/>
      <c r="T623" s="3"/>
      <c r="W623" s="3"/>
      <c r="X623" s="3"/>
      <c r="Y623" s="3"/>
      <c r="Z623" s="3"/>
      <c r="AA623" s="3"/>
      <c r="AC623" s="298"/>
      <c r="AI623" s="298"/>
    </row>
    <row r="624">
      <c r="B624" s="576"/>
      <c r="C624" s="3"/>
      <c r="D624" s="298"/>
      <c r="F624" s="3"/>
      <c r="R624" s="298"/>
      <c r="S624" s="3"/>
      <c r="T624" s="3"/>
      <c r="W624" s="3"/>
      <c r="X624" s="3"/>
      <c r="Y624" s="3"/>
      <c r="Z624" s="3"/>
      <c r="AA624" s="3"/>
      <c r="AC624" s="298"/>
      <c r="AI624" s="298"/>
    </row>
    <row r="625">
      <c r="B625" s="576"/>
      <c r="C625" s="3"/>
      <c r="D625" s="298"/>
      <c r="F625" s="3"/>
      <c r="R625" s="298"/>
      <c r="S625" s="3"/>
      <c r="T625" s="3"/>
      <c r="W625" s="3"/>
      <c r="X625" s="3"/>
      <c r="Y625" s="3"/>
      <c r="Z625" s="3"/>
      <c r="AA625" s="3"/>
      <c r="AC625" s="298"/>
      <c r="AI625" s="298"/>
    </row>
    <row r="626">
      <c r="B626" s="576"/>
      <c r="C626" s="3"/>
      <c r="D626" s="298"/>
      <c r="F626" s="3"/>
      <c r="R626" s="298"/>
      <c r="S626" s="3"/>
      <c r="T626" s="3"/>
      <c r="W626" s="3"/>
      <c r="X626" s="3"/>
      <c r="Y626" s="3"/>
      <c r="Z626" s="3"/>
      <c r="AA626" s="3"/>
      <c r="AC626" s="298"/>
      <c r="AI626" s="298"/>
    </row>
    <row r="627">
      <c r="B627" s="576"/>
      <c r="C627" s="3"/>
      <c r="D627" s="298"/>
      <c r="F627" s="3"/>
      <c r="R627" s="298"/>
      <c r="S627" s="3"/>
      <c r="T627" s="3"/>
      <c r="W627" s="3"/>
      <c r="X627" s="3"/>
      <c r="Y627" s="3"/>
      <c r="Z627" s="3"/>
      <c r="AA627" s="3"/>
      <c r="AC627" s="298"/>
      <c r="AI627" s="298"/>
    </row>
    <row r="628">
      <c r="B628" s="576"/>
      <c r="C628" s="3"/>
      <c r="D628" s="298"/>
      <c r="F628" s="3"/>
      <c r="R628" s="298"/>
      <c r="S628" s="3"/>
      <c r="T628" s="3"/>
      <c r="W628" s="3"/>
      <c r="X628" s="3"/>
      <c r="Y628" s="3"/>
      <c r="Z628" s="3"/>
      <c r="AA628" s="3"/>
      <c r="AC628" s="298"/>
      <c r="AI628" s="298"/>
    </row>
    <row r="629">
      <c r="B629" s="576"/>
      <c r="C629" s="3"/>
      <c r="D629" s="298"/>
      <c r="F629" s="3"/>
      <c r="R629" s="298"/>
      <c r="S629" s="3"/>
      <c r="T629" s="3"/>
      <c r="W629" s="3"/>
      <c r="X629" s="3"/>
      <c r="Y629" s="3"/>
      <c r="Z629" s="3"/>
      <c r="AA629" s="3"/>
      <c r="AC629" s="298"/>
      <c r="AI629" s="298"/>
    </row>
    <row r="630">
      <c r="B630" s="576"/>
      <c r="C630" s="3"/>
      <c r="D630" s="298"/>
      <c r="F630" s="3"/>
      <c r="R630" s="298"/>
      <c r="S630" s="3"/>
      <c r="T630" s="3"/>
      <c r="W630" s="3"/>
      <c r="X630" s="3"/>
      <c r="Y630" s="3"/>
      <c r="Z630" s="3"/>
      <c r="AA630" s="3"/>
      <c r="AC630" s="298"/>
      <c r="AI630" s="298"/>
    </row>
    <row r="631">
      <c r="B631" s="576"/>
      <c r="C631" s="3"/>
      <c r="D631" s="298"/>
      <c r="F631" s="3"/>
      <c r="R631" s="298"/>
      <c r="S631" s="3"/>
      <c r="T631" s="3"/>
      <c r="W631" s="3"/>
      <c r="X631" s="3"/>
      <c r="Y631" s="3"/>
      <c r="Z631" s="3"/>
      <c r="AA631" s="3"/>
      <c r="AC631" s="298"/>
      <c r="AI631" s="298"/>
    </row>
    <row r="632">
      <c r="B632" s="576"/>
      <c r="C632" s="3"/>
      <c r="D632" s="298"/>
      <c r="F632" s="3"/>
      <c r="R632" s="298"/>
      <c r="S632" s="3"/>
      <c r="T632" s="3"/>
      <c r="W632" s="3"/>
      <c r="X632" s="3"/>
      <c r="Y632" s="3"/>
      <c r="Z632" s="3"/>
      <c r="AA632" s="3"/>
      <c r="AC632" s="298"/>
      <c r="AI632" s="298"/>
    </row>
    <row r="633">
      <c r="B633" s="576"/>
      <c r="C633" s="3"/>
      <c r="D633" s="298"/>
      <c r="F633" s="3"/>
      <c r="R633" s="298"/>
      <c r="S633" s="3"/>
      <c r="T633" s="3"/>
      <c r="W633" s="3"/>
      <c r="X633" s="3"/>
      <c r="Y633" s="3"/>
      <c r="Z633" s="3"/>
      <c r="AA633" s="3"/>
      <c r="AC633" s="298"/>
      <c r="AI633" s="298"/>
    </row>
    <row r="634">
      <c r="B634" s="576"/>
      <c r="C634" s="3"/>
      <c r="D634" s="298"/>
      <c r="F634" s="3"/>
      <c r="R634" s="298"/>
      <c r="S634" s="3"/>
      <c r="T634" s="3"/>
      <c r="W634" s="3"/>
      <c r="X634" s="3"/>
      <c r="Y634" s="3"/>
      <c r="Z634" s="3"/>
      <c r="AA634" s="3"/>
      <c r="AC634" s="298"/>
      <c r="AI634" s="298"/>
    </row>
    <row r="635">
      <c r="B635" s="576"/>
      <c r="C635" s="3"/>
      <c r="D635" s="298"/>
      <c r="F635" s="3"/>
      <c r="R635" s="298"/>
      <c r="S635" s="3"/>
      <c r="T635" s="3"/>
      <c r="W635" s="3"/>
      <c r="X635" s="3"/>
      <c r="Y635" s="3"/>
      <c r="Z635" s="3"/>
      <c r="AA635" s="3"/>
      <c r="AC635" s="298"/>
      <c r="AI635" s="298"/>
    </row>
    <row r="636">
      <c r="B636" s="576"/>
      <c r="C636" s="3"/>
      <c r="D636" s="298"/>
      <c r="F636" s="3"/>
      <c r="R636" s="298"/>
      <c r="S636" s="3"/>
      <c r="T636" s="3"/>
      <c r="W636" s="3"/>
      <c r="X636" s="3"/>
      <c r="Y636" s="3"/>
      <c r="Z636" s="3"/>
      <c r="AA636" s="3"/>
      <c r="AC636" s="298"/>
      <c r="AI636" s="298"/>
    </row>
    <row r="637">
      <c r="B637" s="576"/>
      <c r="C637" s="3"/>
      <c r="D637" s="298"/>
      <c r="F637" s="3"/>
      <c r="R637" s="298"/>
      <c r="S637" s="3"/>
      <c r="T637" s="3"/>
      <c r="W637" s="3"/>
      <c r="X637" s="3"/>
      <c r="Y637" s="3"/>
      <c r="Z637" s="3"/>
      <c r="AA637" s="3"/>
      <c r="AC637" s="298"/>
      <c r="AI637" s="298"/>
    </row>
    <row r="638">
      <c r="B638" s="576"/>
      <c r="C638" s="3"/>
      <c r="D638" s="298"/>
      <c r="F638" s="3"/>
      <c r="R638" s="298"/>
      <c r="S638" s="3"/>
      <c r="T638" s="3"/>
      <c r="W638" s="3"/>
      <c r="X638" s="3"/>
      <c r="Y638" s="3"/>
      <c r="Z638" s="3"/>
      <c r="AA638" s="3"/>
      <c r="AC638" s="298"/>
      <c r="AI638" s="298"/>
    </row>
    <row r="639">
      <c r="B639" s="576"/>
      <c r="C639" s="3"/>
      <c r="D639" s="298"/>
      <c r="F639" s="3"/>
      <c r="R639" s="298"/>
      <c r="S639" s="3"/>
      <c r="T639" s="3"/>
      <c r="W639" s="3"/>
      <c r="X639" s="3"/>
      <c r="Y639" s="3"/>
      <c r="Z639" s="3"/>
      <c r="AA639" s="3"/>
      <c r="AC639" s="298"/>
      <c r="AI639" s="298"/>
    </row>
    <row r="640">
      <c r="B640" s="576"/>
      <c r="C640" s="3"/>
      <c r="D640" s="298"/>
      <c r="F640" s="3"/>
      <c r="R640" s="298"/>
      <c r="S640" s="3"/>
      <c r="T640" s="3"/>
      <c r="W640" s="3"/>
      <c r="X640" s="3"/>
      <c r="Y640" s="3"/>
      <c r="Z640" s="3"/>
      <c r="AA640" s="3"/>
      <c r="AC640" s="298"/>
      <c r="AI640" s="298"/>
    </row>
    <row r="641">
      <c r="B641" s="576"/>
      <c r="C641" s="3"/>
      <c r="D641" s="298"/>
      <c r="F641" s="3"/>
      <c r="R641" s="298"/>
      <c r="S641" s="3"/>
      <c r="T641" s="3"/>
      <c r="W641" s="3"/>
      <c r="X641" s="3"/>
      <c r="Y641" s="3"/>
      <c r="Z641" s="3"/>
      <c r="AA641" s="3"/>
      <c r="AC641" s="298"/>
      <c r="AI641" s="298"/>
    </row>
    <row r="642">
      <c r="B642" s="576"/>
      <c r="C642" s="3"/>
      <c r="D642" s="298"/>
      <c r="F642" s="3"/>
      <c r="R642" s="298"/>
      <c r="S642" s="3"/>
      <c r="T642" s="3"/>
      <c r="W642" s="3"/>
      <c r="X642" s="3"/>
      <c r="Y642" s="3"/>
      <c r="Z642" s="3"/>
      <c r="AA642" s="3"/>
      <c r="AC642" s="298"/>
      <c r="AI642" s="298"/>
    </row>
    <row r="643">
      <c r="B643" s="576"/>
      <c r="C643" s="3"/>
      <c r="D643" s="298"/>
      <c r="F643" s="3"/>
      <c r="R643" s="298"/>
      <c r="S643" s="3"/>
      <c r="T643" s="3"/>
      <c r="W643" s="3"/>
      <c r="X643" s="3"/>
      <c r="Y643" s="3"/>
      <c r="Z643" s="3"/>
      <c r="AA643" s="3"/>
      <c r="AC643" s="298"/>
      <c r="AI643" s="298"/>
    </row>
    <row r="644">
      <c r="B644" s="576"/>
      <c r="C644" s="3"/>
      <c r="D644" s="298"/>
      <c r="F644" s="3"/>
      <c r="R644" s="298"/>
      <c r="S644" s="3"/>
      <c r="T644" s="3"/>
      <c r="W644" s="3"/>
      <c r="X644" s="3"/>
      <c r="Y644" s="3"/>
      <c r="Z644" s="3"/>
      <c r="AA644" s="3"/>
      <c r="AC644" s="298"/>
      <c r="AI644" s="298"/>
    </row>
    <row r="645">
      <c r="B645" s="576"/>
      <c r="C645" s="3"/>
      <c r="D645" s="298"/>
      <c r="F645" s="3"/>
      <c r="R645" s="298"/>
      <c r="S645" s="3"/>
      <c r="T645" s="3"/>
      <c r="W645" s="3"/>
      <c r="X645" s="3"/>
      <c r="Y645" s="3"/>
      <c r="Z645" s="3"/>
      <c r="AA645" s="3"/>
      <c r="AC645" s="298"/>
      <c r="AI645" s="298"/>
    </row>
    <row r="646">
      <c r="B646" s="576"/>
      <c r="C646" s="3"/>
      <c r="D646" s="298"/>
      <c r="F646" s="3"/>
      <c r="R646" s="298"/>
      <c r="S646" s="3"/>
      <c r="T646" s="3"/>
      <c r="W646" s="3"/>
      <c r="X646" s="3"/>
      <c r="Y646" s="3"/>
      <c r="Z646" s="3"/>
      <c r="AA646" s="3"/>
      <c r="AC646" s="298"/>
      <c r="AI646" s="298"/>
    </row>
    <row r="647">
      <c r="B647" s="576"/>
      <c r="C647" s="3"/>
      <c r="D647" s="298"/>
      <c r="F647" s="3"/>
      <c r="R647" s="298"/>
      <c r="S647" s="3"/>
      <c r="T647" s="3"/>
      <c r="W647" s="3"/>
      <c r="X647" s="3"/>
      <c r="Y647" s="3"/>
      <c r="Z647" s="3"/>
      <c r="AA647" s="3"/>
      <c r="AC647" s="298"/>
      <c r="AI647" s="298"/>
    </row>
    <row r="648">
      <c r="B648" s="576"/>
      <c r="C648" s="3"/>
      <c r="D648" s="298"/>
      <c r="F648" s="3"/>
      <c r="R648" s="298"/>
      <c r="S648" s="3"/>
      <c r="T648" s="3"/>
      <c r="W648" s="3"/>
      <c r="X648" s="3"/>
      <c r="Y648" s="3"/>
      <c r="Z648" s="3"/>
      <c r="AA648" s="3"/>
      <c r="AC648" s="298"/>
      <c r="AI648" s="298"/>
    </row>
    <row r="649">
      <c r="B649" s="576"/>
      <c r="C649" s="3"/>
      <c r="D649" s="298"/>
      <c r="F649" s="3"/>
      <c r="R649" s="298"/>
      <c r="S649" s="3"/>
      <c r="T649" s="3"/>
      <c r="W649" s="3"/>
      <c r="X649" s="3"/>
      <c r="Y649" s="3"/>
      <c r="Z649" s="3"/>
      <c r="AA649" s="3"/>
      <c r="AC649" s="298"/>
      <c r="AI649" s="298"/>
    </row>
    <row r="650">
      <c r="B650" s="576"/>
      <c r="C650" s="3"/>
      <c r="D650" s="298"/>
      <c r="F650" s="3"/>
      <c r="R650" s="298"/>
      <c r="S650" s="3"/>
      <c r="T650" s="3"/>
      <c r="W650" s="3"/>
      <c r="X650" s="3"/>
      <c r="Y650" s="3"/>
      <c r="Z650" s="3"/>
      <c r="AA650" s="3"/>
      <c r="AC650" s="298"/>
      <c r="AI650" s="298"/>
    </row>
    <row r="651">
      <c r="B651" s="576"/>
      <c r="C651" s="3"/>
      <c r="D651" s="298"/>
      <c r="F651" s="3"/>
      <c r="R651" s="298"/>
      <c r="S651" s="3"/>
      <c r="T651" s="3"/>
      <c r="W651" s="3"/>
      <c r="X651" s="3"/>
      <c r="Y651" s="3"/>
      <c r="Z651" s="3"/>
      <c r="AA651" s="3"/>
      <c r="AC651" s="298"/>
      <c r="AI651" s="298"/>
    </row>
    <row r="652">
      <c r="B652" s="576"/>
      <c r="C652" s="3"/>
      <c r="D652" s="298"/>
      <c r="F652" s="3"/>
      <c r="R652" s="298"/>
      <c r="S652" s="3"/>
      <c r="T652" s="3"/>
      <c r="W652" s="3"/>
      <c r="X652" s="3"/>
      <c r="Y652" s="3"/>
      <c r="Z652" s="3"/>
      <c r="AA652" s="3"/>
      <c r="AC652" s="298"/>
      <c r="AI652" s="298"/>
    </row>
    <row r="653">
      <c r="B653" s="576"/>
      <c r="C653" s="3"/>
      <c r="D653" s="298"/>
      <c r="F653" s="3"/>
      <c r="R653" s="298"/>
      <c r="S653" s="3"/>
      <c r="T653" s="3"/>
      <c r="W653" s="3"/>
      <c r="X653" s="3"/>
      <c r="Y653" s="3"/>
      <c r="Z653" s="3"/>
      <c r="AA653" s="3"/>
      <c r="AC653" s="298"/>
      <c r="AI653" s="298"/>
    </row>
    <row r="654">
      <c r="B654" s="576"/>
      <c r="C654" s="3"/>
      <c r="D654" s="298"/>
      <c r="F654" s="3"/>
      <c r="R654" s="298"/>
      <c r="S654" s="3"/>
      <c r="T654" s="3"/>
      <c r="W654" s="3"/>
      <c r="X654" s="3"/>
      <c r="Y654" s="3"/>
      <c r="Z654" s="3"/>
      <c r="AA654" s="3"/>
      <c r="AC654" s="298"/>
      <c r="AI654" s="298"/>
    </row>
    <row r="655">
      <c r="B655" s="576"/>
      <c r="C655" s="3"/>
      <c r="D655" s="298"/>
      <c r="F655" s="3"/>
      <c r="R655" s="298"/>
      <c r="S655" s="3"/>
      <c r="T655" s="3"/>
      <c r="W655" s="3"/>
      <c r="X655" s="3"/>
      <c r="Y655" s="3"/>
      <c r="Z655" s="3"/>
      <c r="AA655" s="3"/>
      <c r="AC655" s="298"/>
      <c r="AI655" s="298"/>
    </row>
    <row r="656">
      <c r="B656" s="576"/>
      <c r="C656" s="3"/>
      <c r="D656" s="298"/>
      <c r="F656" s="3"/>
      <c r="R656" s="298"/>
      <c r="S656" s="3"/>
      <c r="T656" s="3"/>
      <c r="W656" s="3"/>
      <c r="X656" s="3"/>
      <c r="Y656" s="3"/>
      <c r="Z656" s="3"/>
      <c r="AA656" s="3"/>
      <c r="AC656" s="298"/>
      <c r="AI656" s="298"/>
    </row>
    <row r="657">
      <c r="B657" s="576"/>
      <c r="C657" s="3"/>
      <c r="D657" s="298"/>
      <c r="F657" s="3"/>
      <c r="R657" s="298"/>
      <c r="S657" s="3"/>
      <c r="T657" s="3"/>
      <c r="W657" s="3"/>
      <c r="X657" s="3"/>
      <c r="Y657" s="3"/>
      <c r="Z657" s="3"/>
      <c r="AA657" s="3"/>
      <c r="AC657" s="298"/>
      <c r="AI657" s="298"/>
    </row>
    <row r="658">
      <c r="B658" s="576"/>
      <c r="C658" s="3"/>
      <c r="D658" s="298"/>
      <c r="F658" s="3"/>
      <c r="R658" s="298"/>
      <c r="S658" s="3"/>
      <c r="T658" s="3"/>
      <c r="W658" s="3"/>
      <c r="X658" s="3"/>
      <c r="Y658" s="3"/>
      <c r="Z658" s="3"/>
      <c r="AA658" s="3"/>
      <c r="AC658" s="298"/>
      <c r="AI658" s="298"/>
    </row>
    <row r="659">
      <c r="B659" s="576"/>
      <c r="C659" s="3"/>
      <c r="D659" s="298"/>
      <c r="F659" s="3"/>
      <c r="R659" s="298"/>
      <c r="S659" s="3"/>
      <c r="T659" s="3"/>
      <c r="W659" s="3"/>
      <c r="X659" s="3"/>
      <c r="Y659" s="3"/>
      <c r="Z659" s="3"/>
      <c r="AA659" s="3"/>
      <c r="AC659" s="298"/>
      <c r="AI659" s="298"/>
    </row>
    <row r="660">
      <c r="B660" s="576"/>
      <c r="C660" s="3"/>
      <c r="D660" s="298"/>
      <c r="F660" s="3"/>
      <c r="R660" s="298"/>
      <c r="S660" s="3"/>
      <c r="T660" s="3"/>
      <c r="W660" s="3"/>
      <c r="X660" s="3"/>
      <c r="Y660" s="3"/>
      <c r="Z660" s="3"/>
      <c r="AA660" s="3"/>
      <c r="AC660" s="298"/>
      <c r="AI660" s="298"/>
    </row>
    <row r="661">
      <c r="B661" s="576"/>
      <c r="C661" s="3"/>
      <c r="D661" s="298"/>
      <c r="F661" s="3"/>
      <c r="R661" s="298"/>
      <c r="S661" s="3"/>
      <c r="T661" s="3"/>
      <c r="W661" s="3"/>
      <c r="X661" s="3"/>
      <c r="Y661" s="3"/>
      <c r="Z661" s="3"/>
      <c r="AA661" s="3"/>
      <c r="AC661" s="298"/>
      <c r="AI661" s="298"/>
    </row>
    <row r="662">
      <c r="B662" s="576"/>
      <c r="C662" s="3"/>
      <c r="D662" s="298"/>
      <c r="F662" s="3"/>
      <c r="R662" s="298"/>
      <c r="S662" s="3"/>
      <c r="T662" s="3"/>
      <c r="W662" s="3"/>
      <c r="X662" s="3"/>
      <c r="Y662" s="3"/>
      <c r="Z662" s="3"/>
      <c r="AA662" s="3"/>
      <c r="AC662" s="298"/>
      <c r="AI662" s="298"/>
    </row>
    <row r="663">
      <c r="B663" s="576"/>
      <c r="C663" s="3"/>
      <c r="D663" s="298"/>
      <c r="F663" s="3"/>
      <c r="R663" s="298"/>
      <c r="S663" s="3"/>
      <c r="T663" s="3"/>
      <c r="W663" s="3"/>
      <c r="X663" s="3"/>
      <c r="Y663" s="3"/>
      <c r="Z663" s="3"/>
      <c r="AA663" s="3"/>
      <c r="AC663" s="298"/>
      <c r="AI663" s="298"/>
    </row>
    <row r="664">
      <c r="B664" s="576"/>
      <c r="C664" s="3"/>
      <c r="D664" s="298"/>
      <c r="F664" s="3"/>
      <c r="R664" s="298"/>
      <c r="S664" s="3"/>
      <c r="T664" s="3"/>
      <c r="W664" s="3"/>
      <c r="X664" s="3"/>
      <c r="Y664" s="3"/>
      <c r="Z664" s="3"/>
      <c r="AA664" s="3"/>
      <c r="AC664" s="298"/>
      <c r="AI664" s="298"/>
    </row>
    <row r="665">
      <c r="B665" s="576"/>
      <c r="C665" s="3"/>
      <c r="D665" s="298"/>
      <c r="F665" s="3"/>
      <c r="R665" s="298"/>
      <c r="S665" s="3"/>
      <c r="T665" s="3"/>
      <c r="W665" s="3"/>
      <c r="X665" s="3"/>
      <c r="Y665" s="3"/>
      <c r="Z665" s="3"/>
      <c r="AA665" s="3"/>
      <c r="AC665" s="298"/>
      <c r="AI665" s="298"/>
    </row>
    <row r="666">
      <c r="B666" s="576"/>
      <c r="C666" s="3"/>
      <c r="D666" s="298"/>
      <c r="F666" s="3"/>
      <c r="R666" s="298"/>
      <c r="S666" s="3"/>
      <c r="T666" s="3"/>
      <c r="W666" s="3"/>
      <c r="X666" s="3"/>
      <c r="Y666" s="3"/>
      <c r="Z666" s="3"/>
      <c r="AA666" s="3"/>
      <c r="AC666" s="298"/>
      <c r="AI666" s="298"/>
    </row>
    <row r="667">
      <c r="B667" s="576"/>
      <c r="C667" s="3"/>
      <c r="D667" s="298"/>
      <c r="F667" s="3"/>
      <c r="R667" s="298"/>
      <c r="S667" s="3"/>
      <c r="T667" s="3"/>
      <c r="W667" s="3"/>
      <c r="X667" s="3"/>
      <c r="Y667" s="3"/>
      <c r="Z667" s="3"/>
      <c r="AA667" s="3"/>
      <c r="AC667" s="298"/>
      <c r="AI667" s="298"/>
    </row>
    <row r="668">
      <c r="B668" s="576"/>
      <c r="C668" s="3"/>
      <c r="D668" s="298"/>
      <c r="F668" s="3"/>
      <c r="R668" s="298"/>
      <c r="S668" s="3"/>
      <c r="T668" s="3"/>
      <c r="W668" s="3"/>
      <c r="X668" s="3"/>
      <c r="Y668" s="3"/>
      <c r="Z668" s="3"/>
      <c r="AA668" s="3"/>
      <c r="AC668" s="298"/>
      <c r="AI668" s="298"/>
    </row>
    <row r="669">
      <c r="B669" s="576"/>
      <c r="C669" s="3"/>
      <c r="D669" s="298"/>
      <c r="F669" s="3"/>
      <c r="R669" s="298"/>
      <c r="S669" s="3"/>
      <c r="T669" s="3"/>
      <c r="W669" s="3"/>
      <c r="X669" s="3"/>
      <c r="Y669" s="3"/>
      <c r="Z669" s="3"/>
      <c r="AA669" s="3"/>
      <c r="AC669" s="298"/>
      <c r="AI669" s="298"/>
    </row>
    <row r="670">
      <c r="B670" s="576"/>
      <c r="C670" s="3"/>
      <c r="D670" s="298"/>
      <c r="F670" s="3"/>
      <c r="R670" s="298"/>
      <c r="S670" s="3"/>
      <c r="T670" s="3"/>
      <c r="W670" s="3"/>
      <c r="X670" s="3"/>
      <c r="Y670" s="3"/>
      <c r="Z670" s="3"/>
      <c r="AA670" s="3"/>
      <c r="AC670" s="298"/>
      <c r="AI670" s="298"/>
    </row>
    <row r="671">
      <c r="B671" s="576"/>
      <c r="C671" s="3"/>
      <c r="D671" s="298"/>
      <c r="F671" s="3"/>
      <c r="R671" s="298"/>
      <c r="S671" s="3"/>
      <c r="T671" s="3"/>
      <c r="W671" s="3"/>
      <c r="X671" s="3"/>
      <c r="Y671" s="3"/>
      <c r="Z671" s="3"/>
      <c r="AA671" s="3"/>
      <c r="AC671" s="298"/>
      <c r="AI671" s="298"/>
    </row>
    <row r="672">
      <c r="B672" s="576"/>
      <c r="C672" s="3"/>
      <c r="D672" s="298"/>
      <c r="F672" s="3"/>
      <c r="R672" s="298"/>
      <c r="S672" s="3"/>
      <c r="T672" s="3"/>
      <c r="W672" s="3"/>
      <c r="X672" s="3"/>
      <c r="Y672" s="3"/>
      <c r="Z672" s="3"/>
      <c r="AA672" s="3"/>
      <c r="AC672" s="298"/>
      <c r="AI672" s="298"/>
    </row>
    <row r="673">
      <c r="B673" s="576"/>
      <c r="C673" s="3"/>
      <c r="D673" s="298"/>
      <c r="F673" s="3"/>
      <c r="R673" s="298"/>
      <c r="S673" s="3"/>
      <c r="T673" s="3"/>
      <c r="W673" s="3"/>
      <c r="X673" s="3"/>
      <c r="Y673" s="3"/>
      <c r="Z673" s="3"/>
      <c r="AA673" s="3"/>
      <c r="AC673" s="298"/>
      <c r="AI673" s="298"/>
    </row>
    <row r="674">
      <c r="B674" s="576"/>
      <c r="C674" s="3"/>
      <c r="D674" s="298"/>
      <c r="F674" s="3"/>
      <c r="R674" s="298"/>
      <c r="S674" s="3"/>
      <c r="T674" s="3"/>
      <c r="W674" s="3"/>
      <c r="X674" s="3"/>
      <c r="Y674" s="3"/>
      <c r="Z674" s="3"/>
      <c r="AA674" s="3"/>
      <c r="AC674" s="298"/>
      <c r="AI674" s="298"/>
    </row>
    <row r="675">
      <c r="B675" s="576"/>
      <c r="C675" s="3"/>
      <c r="D675" s="298"/>
      <c r="F675" s="3"/>
      <c r="R675" s="298"/>
      <c r="S675" s="3"/>
      <c r="T675" s="3"/>
      <c r="W675" s="3"/>
      <c r="X675" s="3"/>
      <c r="Y675" s="3"/>
      <c r="Z675" s="3"/>
      <c r="AA675" s="3"/>
      <c r="AC675" s="298"/>
      <c r="AI675" s="298"/>
    </row>
    <row r="676">
      <c r="B676" s="576"/>
      <c r="C676" s="3"/>
      <c r="D676" s="298"/>
      <c r="F676" s="3"/>
      <c r="R676" s="298"/>
      <c r="S676" s="3"/>
      <c r="T676" s="3"/>
      <c r="W676" s="3"/>
      <c r="X676" s="3"/>
      <c r="Y676" s="3"/>
      <c r="Z676" s="3"/>
      <c r="AA676" s="3"/>
      <c r="AC676" s="298"/>
      <c r="AI676" s="298"/>
    </row>
    <row r="677">
      <c r="B677" s="576"/>
      <c r="C677" s="3"/>
      <c r="D677" s="298"/>
      <c r="F677" s="3"/>
      <c r="R677" s="298"/>
      <c r="S677" s="3"/>
      <c r="T677" s="3"/>
      <c r="W677" s="3"/>
      <c r="X677" s="3"/>
      <c r="Y677" s="3"/>
      <c r="Z677" s="3"/>
      <c r="AA677" s="3"/>
      <c r="AC677" s="298"/>
      <c r="AI677" s="298"/>
    </row>
    <row r="678">
      <c r="B678" s="576"/>
      <c r="C678" s="3"/>
      <c r="D678" s="298"/>
      <c r="F678" s="3"/>
      <c r="R678" s="298"/>
      <c r="S678" s="3"/>
      <c r="T678" s="3"/>
      <c r="W678" s="3"/>
      <c r="X678" s="3"/>
      <c r="Y678" s="3"/>
      <c r="Z678" s="3"/>
      <c r="AA678" s="3"/>
      <c r="AC678" s="298"/>
      <c r="AI678" s="298"/>
    </row>
    <row r="679">
      <c r="B679" s="576"/>
      <c r="C679" s="3"/>
      <c r="D679" s="298"/>
      <c r="F679" s="3"/>
      <c r="R679" s="298"/>
      <c r="S679" s="3"/>
      <c r="T679" s="3"/>
      <c r="W679" s="3"/>
      <c r="X679" s="3"/>
      <c r="Y679" s="3"/>
      <c r="Z679" s="3"/>
      <c r="AA679" s="3"/>
      <c r="AC679" s="298"/>
      <c r="AI679" s="298"/>
    </row>
    <row r="680">
      <c r="B680" s="576"/>
      <c r="C680" s="3"/>
      <c r="D680" s="298"/>
      <c r="F680" s="3"/>
      <c r="R680" s="298"/>
      <c r="S680" s="3"/>
      <c r="T680" s="3"/>
      <c r="W680" s="3"/>
      <c r="X680" s="3"/>
      <c r="Y680" s="3"/>
      <c r="Z680" s="3"/>
      <c r="AA680" s="3"/>
      <c r="AC680" s="298"/>
      <c r="AI680" s="298"/>
    </row>
    <row r="681">
      <c r="B681" s="576"/>
      <c r="C681" s="3"/>
      <c r="D681" s="298"/>
      <c r="F681" s="3"/>
      <c r="R681" s="298"/>
      <c r="S681" s="3"/>
      <c r="T681" s="3"/>
      <c r="W681" s="3"/>
      <c r="X681" s="3"/>
      <c r="Y681" s="3"/>
      <c r="Z681" s="3"/>
      <c r="AA681" s="3"/>
      <c r="AC681" s="298"/>
      <c r="AI681" s="298"/>
    </row>
    <row r="682">
      <c r="B682" s="576"/>
      <c r="C682" s="3"/>
      <c r="D682" s="298"/>
      <c r="F682" s="3"/>
      <c r="R682" s="298"/>
      <c r="S682" s="3"/>
      <c r="T682" s="3"/>
      <c r="W682" s="3"/>
      <c r="X682" s="3"/>
      <c r="Y682" s="3"/>
      <c r="Z682" s="3"/>
      <c r="AA682" s="3"/>
      <c r="AC682" s="298"/>
      <c r="AI682" s="298"/>
    </row>
    <row r="683">
      <c r="B683" s="576"/>
      <c r="C683" s="3"/>
      <c r="D683" s="298"/>
      <c r="F683" s="3"/>
      <c r="R683" s="298"/>
      <c r="S683" s="3"/>
      <c r="T683" s="3"/>
      <c r="W683" s="3"/>
      <c r="X683" s="3"/>
      <c r="Y683" s="3"/>
      <c r="Z683" s="3"/>
      <c r="AA683" s="3"/>
      <c r="AC683" s="298"/>
      <c r="AI683" s="298"/>
    </row>
    <row r="684">
      <c r="B684" s="576"/>
      <c r="C684" s="3"/>
      <c r="D684" s="298"/>
      <c r="F684" s="3"/>
      <c r="R684" s="298"/>
      <c r="S684" s="3"/>
      <c r="T684" s="3"/>
      <c r="W684" s="3"/>
      <c r="X684" s="3"/>
      <c r="Y684" s="3"/>
      <c r="Z684" s="3"/>
      <c r="AA684" s="3"/>
      <c r="AC684" s="298"/>
      <c r="AI684" s="298"/>
    </row>
    <row r="685">
      <c r="B685" s="576"/>
      <c r="C685" s="3"/>
      <c r="D685" s="298"/>
      <c r="F685" s="3"/>
      <c r="R685" s="298"/>
      <c r="S685" s="3"/>
      <c r="T685" s="3"/>
      <c r="W685" s="3"/>
      <c r="X685" s="3"/>
      <c r="Y685" s="3"/>
      <c r="Z685" s="3"/>
      <c r="AA685" s="3"/>
      <c r="AC685" s="298"/>
      <c r="AI685" s="298"/>
    </row>
    <row r="686">
      <c r="B686" s="576"/>
      <c r="C686" s="3"/>
      <c r="D686" s="298"/>
      <c r="F686" s="3"/>
      <c r="R686" s="298"/>
      <c r="S686" s="3"/>
      <c r="T686" s="3"/>
      <c r="W686" s="3"/>
      <c r="X686" s="3"/>
      <c r="Y686" s="3"/>
      <c r="Z686" s="3"/>
      <c r="AA686" s="3"/>
      <c r="AC686" s="298"/>
      <c r="AI686" s="298"/>
    </row>
    <row r="687">
      <c r="B687" s="576"/>
      <c r="C687" s="3"/>
      <c r="D687" s="298"/>
      <c r="F687" s="3"/>
      <c r="R687" s="298"/>
      <c r="S687" s="3"/>
      <c r="T687" s="3"/>
      <c r="W687" s="3"/>
      <c r="X687" s="3"/>
      <c r="Y687" s="3"/>
      <c r="Z687" s="3"/>
      <c r="AA687" s="3"/>
      <c r="AC687" s="298"/>
      <c r="AI687" s="298"/>
    </row>
    <row r="688">
      <c r="B688" s="576"/>
      <c r="C688" s="3"/>
      <c r="D688" s="298"/>
      <c r="F688" s="3"/>
      <c r="R688" s="298"/>
      <c r="S688" s="3"/>
      <c r="T688" s="3"/>
      <c r="W688" s="3"/>
      <c r="X688" s="3"/>
      <c r="Y688" s="3"/>
      <c r="Z688" s="3"/>
      <c r="AA688" s="3"/>
      <c r="AC688" s="298"/>
      <c r="AI688" s="298"/>
    </row>
    <row r="689">
      <c r="B689" s="576"/>
      <c r="C689" s="3"/>
      <c r="D689" s="298"/>
      <c r="F689" s="3"/>
      <c r="R689" s="298"/>
      <c r="S689" s="3"/>
      <c r="T689" s="3"/>
      <c r="W689" s="3"/>
      <c r="X689" s="3"/>
      <c r="Y689" s="3"/>
      <c r="Z689" s="3"/>
      <c r="AA689" s="3"/>
      <c r="AC689" s="298"/>
      <c r="AI689" s="298"/>
    </row>
    <row r="690">
      <c r="B690" s="576"/>
      <c r="C690" s="3"/>
      <c r="D690" s="298"/>
      <c r="F690" s="3"/>
      <c r="R690" s="298"/>
      <c r="S690" s="3"/>
      <c r="T690" s="3"/>
      <c r="W690" s="3"/>
      <c r="X690" s="3"/>
      <c r="Y690" s="3"/>
      <c r="Z690" s="3"/>
      <c r="AA690" s="3"/>
      <c r="AC690" s="298"/>
      <c r="AI690" s="298"/>
    </row>
    <row r="691">
      <c r="B691" s="576"/>
      <c r="C691" s="3"/>
      <c r="D691" s="298"/>
      <c r="F691" s="3"/>
      <c r="R691" s="298"/>
      <c r="S691" s="3"/>
      <c r="T691" s="3"/>
      <c r="W691" s="3"/>
      <c r="X691" s="3"/>
      <c r="Y691" s="3"/>
      <c r="Z691" s="3"/>
      <c r="AA691" s="3"/>
      <c r="AC691" s="298"/>
      <c r="AI691" s="298"/>
    </row>
    <row r="692">
      <c r="B692" s="576"/>
      <c r="C692" s="3"/>
      <c r="D692" s="298"/>
      <c r="F692" s="3"/>
      <c r="R692" s="298"/>
      <c r="S692" s="3"/>
      <c r="T692" s="3"/>
      <c r="W692" s="3"/>
      <c r="X692" s="3"/>
      <c r="Y692" s="3"/>
      <c r="Z692" s="3"/>
      <c r="AA692" s="3"/>
      <c r="AC692" s="298"/>
      <c r="AI692" s="298"/>
    </row>
    <row r="693">
      <c r="B693" s="576"/>
      <c r="C693" s="3"/>
      <c r="D693" s="298"/>
      <c r="F693" s="3"/>
      <c r="R693" s="298"/>
      <c r="S693" s="3"/>
      <c r="T693" s="3"/>
      <c r="W693" s="3"/>
      <c r="X693" s="3"/>
      <c r="Y693" s="3"/>
      <c r="Z693" s="3"/>
      <c r="AA693" s="3"/>
      <c r="AC693" s="298"/>
      <c r="AI693" s="298"/>
    </row>
    <row r="694">
      <c r="B694" s="576"/>
      <c r="C694" s="3"/>
      <c r="D694" s="298"/>
      <c r="F694" s="3"/>
      <c r="R694" s="298"/>
      <c r="S694" s="3"/>
      <c r="T694" s="3"/>
      <c r="W694" s="3"/>
      <c r="X694" s="3"/>
      <c r="Y694" s="3"/>
      <c r="Z694" s="3"/>
      <c r="AA694" s="3"/>
      <c r="AC694" s="298"/>
      <c r="AI694" s="298"/>
    </row>
    <row r="695">
      <c r="B695" s="576"/>
      <c r="C695" s="3"/>
      <c r="D695" s="298"/>
      <c r="F695" s="3"/>
      <c r="R695" s="298"/>
      <c r="S695" s="3"/>
      <c r="T695" s="3"/>
      <c r="W695" s="3"/>
      <c r="X695" s="3"/>
      <c r="Y695" s="3"/>
      <c r="Z695" s="3"/>
      <c r="AA695" s="3"/>
      <c r="AC695" s="298"/>
      <c r="AI695" s="298"/>
    </row>
    <row r="696">
      <c r="B696" s="576"/>
      <c r="C696" s="3"/>
      <c r="D696" s="298"/>
      <c r="F696" s="3"/>
      <c r="R696" s="298"/>
      <c r="S696" s="3"/>
      <c r="T696" s="3"/>
      <c r="W696" s="3"/>
      <c r="X696" s="3"/>
      <c r="Y696" s="3"/>
      <c r="Z696" s="3"/>
      <c r="AA696" s="3"/>
      <c r="AC696" s="298"/>
      <c r="AI696" s="298"/>
    </row>
    <row r="697">
      <c r="B697" s="576"/>
      <c r="C697" s="3"/>
      <c r="D697" s="298"/>
      <c r="F697" s="3"/>
      <c r="R697" s="298"/>
      <c r="S697" s="3"/>
      <c r="T697" s="3"/>
      <c r="W697" s="3"/>
      <c r="X697" s="3"/>
      <c r="Y697" s="3"/>
      <c r="Z697" s="3"/>
      <c r="AA697" s="3"/>
      <c r="AC697" s="298"/>
      <c r="AI697" s="298"/>
    </row>
    <row r="698">
      <c r="B698" s="576"/>
      <c r="C698" s="3"/>
      <c r="D698" s="298"/>
      <c r="F698" s="3"/>
      <c r="R698" s="298"/>
      <c r="S698" s="3"/>
      <c r="T698" s="3"/>
      <c r="W698" s="3"/>
      <c r="X698" s="3"/>
      <c r="Y698" s="3"/>
      <c r="Z698" s="3"/>
      <c r="AA698" s="3"/>
      <c r="AC698" s="298"/>
      <c r="AI698" s="298"/>
    </row>
    <row r="699">
      <c r="B699" s="576"/>
      <c r="C699" s="3"/>
      <c r="D699" s="298"/>
      <c r="F699" s="3"/>
      <c r="R699" s="298"/>
      <c r="S699" s="3"/>
      <c r="T699" s="3"/>
      <c r="W699" s="3"/>
      <c r="X699" s="3"/>
      <c r="Y699" s="3"/>
      <c r="Z699" s="3"/>
      <c r="AA699" s="3"/>
      <c r="AC699" s="298"/>
      <c r="AI699" s="298"/>
    </row>
    <row r="700">
      <c r="B700" s="576"/>
      <c r="C700" s="3"/>
      <c r="D700" s="298"/>
      <c r="F700" s="3"/>
      <c r="R700" s="298"/>
      <c r="S700" s="3"/>
      <c r="T700" s="3"/>
      <c r="W700" s="3"/>
      <c r="X700" s="3"/>
      <c r="Y700" s="3"/>
      <c r="Z700" s="3"/>
      <c r="AA700" s="3"/>
      <c r="AC700" s="298"/>
      <c r="AI700" s="298"/>
    </row>
    <row r="701">
      <c r="B701" s="576"/>
      <c r="C701" s="3"/>
      <c r="D701" s="298"/>
      <c r="F701" s="3"/>
      <c r="R701" s="298"/>
      <c r="S701" s="3"/>
      <c r="T701" s="3"/>
      <c r="W701" s="3"/>
      <c r="X701" s="3"/>
      <c r="Y701" s="3"/>
      <c r="Z701" s="3"/>
      <c r="AA701" s="3"/>
      <c r="AC701" s="298"/>
      <c r="AI701" s="298"/>
    </row>
    <row r="702">
      <c r="B702" s="576"/>
      <c r="C702" s="3"/>
      <c r="D702" s="298"/>
      <c r="F702" s="3"/>
      <c r="R702" s="298"/>
      <c r="S702" s="3"/>
      <c r="T702" s="3"/>
      <c r="W702" s="3"/>
      <c r="X702" s="3"/>
      <c r="Y702" s="3"/>
      <c r="Z702" s="3"/>
      <c r="AA702" s="3"/>
      <c r="AC702" s="298"/>
      <c r="AI702" s="298"/>
    </row>
    <row r="703">
      <c r="B703" s="576"/>
      <c r="C703" s="3"/>
      <c r="D703" s="298"/>
      <c r="F703" s="3"/>
      <c r="R703" s="298"/>
      <c r="S703" s="3"/>
      <c r="T703" s="3"/>
      <c r="W703" s="3"/>
      <c r="X703" s="3"/>
      <c r="Y703" s="3"/>
      <c r="Z703" s="3"/>
      <c r="AA703" s="3"/>
      <c r="AC703" s="298"/>
      <c r="AI703" s="298"/>
    </row>
    <row r="704">
      <c r="B704" s="576"/>
      <c r="C704" s="3"/>
      <c r="D704" s="298"/>
      <c r="F704" s="3"/>
      <c r="R704" s="298"/>
      <c r="S704" s="3"/>
      <c r="T704" s="3"/>
      <c r="W704" s="3"/>
      <c r="X704" s="3"/>
      <c r="Y704" s="3"/>
      <c r="Z704" s="3"/>
      <c r="AA704" s="3"/>
      <c r="AC704" s="298"/>
      <c r="AI704" s="298"/>
    </row>
    <row r="705">
      <c r="B705" s="576"/>
      <c r="C705" s="3"/>
      <c r="D705" s="298"/>
      <c r="F705" s="3"/>
      <c r="R705" s="298"/>
      <c r="S705" s="3"/>
      <c r="T705" s="3"/>
      <c r="W705" s="3"/>
      <c r="X705" s="3"/>
      <c r="Y705" s="3"/>
      <c r="Z705" s="3"/>
      <c r="AA705" s="3"/>
      <c r="AC705" s="298"/>
      <c r="AI705" s="298"/>
    </row>
    <row r="706">
      <c r="B706" s="576"/>
      <c r="C706" s="3"/>
      <c r="D706" s="298"/>
      <c r="F706" s="3"/>
      <c r="R706" s="298"/>
      <c r="S706" s="3"/>
      <c r="T706" s="3"/>
      <c r="W706" s="3"/>
      <c r="X706" s="3"/>
      <c r="Y706" s="3"/>
      <c r="Z706" s="3"/>
      <c r="AA706" s="3"/>
      <c r="AC706" s="298"/>
      <c r="AI706" s="298"/>
    </row>
    <row r="707">
      <c r="B707" s="576"/>
      <c r="C707" s="3"/>
      <c r="D707" s="298"/>
      <c r="F707" s="3"/>
      <c r="R707" s="298"/>
      <c r="S707" s="3"/>
      <c r="T707" s="3"/>
      <c r="W707" s="3"/>
      <c r="X707" s="3"/>
      <c r="Y707" s="3"/>
      <c r="Z707" s="3"/>
      <c r="AA707" s="3"/>
      <c r="AC707" s="298"/>
      <c r="AI707" s="298"/>
    </row>
    <row r="708">
      <c r="B708" s="576"/>
      <c r="C708" s="3"/>
      <c r="D708" s="298"/>
      <c r="F708" s="3"/>
      <c r="R708" s="298"/>
      <c r="S708" s="3"/>
      <c r="T708" s="3"/>
      <c r="W708" s="3"/>
      <c r="X708" s="3"/>
      <c r="Y708" s="3"/>
      <c r="Z708" s="3"/>
      <c r="AA708" s="3"/>
      <c r="AC708" s="298"/>
      <c r="AI708" s="298"/>
    </row>
    <row r="709">
      <c r="B709" s="576"/>
      <c r="C709" s="3"/>
      <c r="D709" s="298"/>
      <c r="F709" s="3"/>
      <c r="R709" s="298"/>
      <c r="S709" s="3"/>
      <c r="T709" s="3"/>
      <c r="W709" s="3"/>
      <c r="X709" s="3"/>
      <c r="Y709" s="3"/>
      <c r="Z709" s="3"/>
      <c r="AA709" s="3"/>
      <c r="AC709" s="298"/>
      <c r="AI709" s="298"/>
    </row>
    <row r="710">
      <c r="B710" s="576"/>
      <c r="C710" s="3"/>
      <c r="D710" s="298"/>
      <c r="F710" s="3"/>
      <c r="R710" s="298"/>
      <c r="S710" s="3"/>
      <c r="T710" s="3"/>
      <c r="W710" s="3"/>
      <c r="X710" s="3"/>
      <c r="Y710" s="3"/>
      <c r="Z710" s="3"/>
      <c r="AA710" s="3"/>
      <c r="AC710" s="298"/>
      <c r="AI710" s="298"/>
    </row>
    <row r="711">
      <c r="B711" s="576"/>
      <c r="C711" s="3"/>
      <c r="D711" s="298"/>
      <c r="F711" s="3"/>
      <c r="R711" s="298"/>
      <c r="S711" s="3"/>
      <c r="T711" s="3"/>
      <c r="W711" s="3"/>
      <c r="X711" s="3"/>
      <c r="Y711" s="3"/>
      <c r="Z711" s="3"/>
      <c r="AA711" s="3"/>
      <c r="AC711" s="298"/>
      <c r="AI711" s="298"/>
    </row>
    <row r="712">
      <c r="B712" s="576"/>
      <c r="C712" s="3"/>
      <c r="D712" s="298"/>
      <c r="F712" s="3"/>
      <c r="R712" s="298"/>
      <c r="S712" s="3"/>
      <c r="T712" s="3"/>
      <c r="W712" s="3"/>
      <c r="X712" s="3"/>
      <c r="Y712" s="3"/>
      <c r="Z712" s="3"/>
      <c r="AA712" s="3"/>
      <c r="AC712" s="298"/>
      <c r="AI712" s="298"/>
    </row>
    <row r="713">
      <c r="B713" s="576"/>
      <c r="C713" s="3"/>
      <c r="D713" s="298"/>
      <c r="F713" s="3"/>
      <c r="R713" s="298"/>
      <c r="S713" s="3"/>
      <c r="T713" s="3"/>
      <c r="W713" s="3"/>
      <c r="X713" s="3"/>
      <c r="Y713" s="3"/>
      <c r="Z713" s="3"/>
      <c r="AA713" s="3"/>
      <c r="AC713" s="298"/>
      <c r="AI713" s="298"/>
    </row>
    <row r="714">
      <c r="B714" s="576"/>
      <c r="C714" s="3"/>
      <c r="D714" s="298"/>
      <c r="F714" s="3"/>
      <c r="R714" s="298"/>
      <c r="S714" s="3"/>
      <c r="T714" s="3"/>
      <c r="W714" s="3"/>
      <c r="X714" s="3"/>
      <c r="Y714" s="3"/>
      <c r="Z714" s="3"/>
      <c r="AA714" s="3"/>
      <c r="AC714" s="298"/>
      <c r="AI714" s="298"/>
    </row>
    <row r="715">
      <c r="B715" s="576"/>
      <c r="C715" s="3"/>
      <c r="D715" s="298"/>
      <c r="F715" s="3"/>
      <c r="R715" s="298"/>
      <c r="S715" s="3"/>
      <c r="T715" s="3"/>
      <c r="W715" s="3"/>
      <c r="X715" s="3"/>
      <c r="Y715" s="3"/>
      <c r="Z715" s="3"/>
      <c r="AA715" s="3"/>
      <c r="AC715" s="298"/>
      <c r="AI715" s="298"/>
    </row>
    <row r="716">
      <c r="B716" s="576"/>
      <c r="C716" s="3"/>
      <c r="D716" s="298"/>
      <c r="F716" s="3"/>
      <c r="R716" s="298"/>
      <c r="S716" s="3"/>
      <c r="T716" s="3"/>
      <c r="W716" s="3"/>
      <c r="X716" s="3"/>
      <c r="Y716" s="3"/>
      <c r="Z716" s="3"/>
      <c r="AA716" s="3"/>
      <c r="AC716" s="298"/>
      <c r="AI716" s="298"/>
    </row>
    <row r="717">
      <c r="B717" s="576"/>
      <c r="C717" s="3"/>
      <c r="D717" s="298"/>
      <c r="F717" s="3"/>
      <c r="R717" s="298"/>
      <c r="S717" s="3"/>
      <c r="T717" s="3"/>
      <c r="W717" s="3"/>
      <c r="X717" s="3"/>
      <c r="Y717" s="3"/>
      <c r="Z717" s="3"/>
      <c r="AA717" s="3"/>
      <c r="AC717" s="298"/>
      <c r="AI717" s="298"/>
    </row>
    <row r="718">
      <c r="B718" s="576"/>
      <c r="C718" s="3"/>
      <c r="D718" s="298"/>
      <c r="F718" s="3"/>
      <c r="R718" s="298"/>
      <c r="S718" s="3"/>
      <c r="T718" s="3"/>
      <c r="W718" s="3"/>
      <c r="X718" s="3"/>
      <c r="Y718" s="3"/>
      <c r="Z718" s="3"/>
      <c r="AA718" s="3"/>
      <c r="AC718" s="298"/>
      <c r="AI718" s="298"/>
    </row>
    <row r="719">
      <c r="B719" s="576"/>
      <c r="C719" s="3"/>
      <c r="D719" s="298"/>
      <c r="F719" s="3"/>
      <c r="R719" s="298"/>
      <c r="S719" s="3"/>
      <c r="T719" s="3"/>
      <c r="W719" s="3"/>
      <c r="X719" s="3"/>
      <c r="Y719" s="3"/>
      <c r="Z719" s="3"/>
      <c r="AA719" s="3"/>
      <c r="AC719" s="298"/>
      <c r="AI719" s="298"/>
    </row>
    <row r="720">
      <c r="B720" s="576"/>
      <c r="C720" s="3"/>
      <c r="D720" s="298"/>
      <c r="F720" s="3"/>
      <c r="R720" s="298"/>
      <c r="S720" s="3"/>
      <c r="T720" s="3"/>
      <c r="W720" s="3"/>
      <c r="X720" s="3"/>
      <c r="Y720" s="3"/>
      <c r="Z720" s="3"/>
      <c r="AA720" s="3"/>
      <c r="AC720" s="298"/>
      <c r="AI720" s="298"/>
    </row>
    <row r="721">
      <c r="B721" s="576"/>
      <c r="C721" s="3"/>
      <c r="D721" s="298"/>
      <c r="F721" s="3"/>
      <c r="R721" s="298"/>
      <c r="S721" s="3"/>
      <c r="T721" s="3"/>
      <c r="W721" s="3"/>
      <c r="X721" s="3"/>
      <c r="Y721" s="3"/>
      <c r="Z721" s="3"/>
      <c r="AA721" s="3"/>
      <c r="AC721" s="298"/>
      <c r="AI721" s="298"/>
    </row>
    <row r="722">
      <c r="B722" s="576"/>
      <c r="C722" s="3"/>
      <c r="D722" s="298"/>
      <c r="F722" s="3"/>
      <c r="R722" s="298"/>
      <c r="S722" s="3"/>
      <c r="T722" s="3"/>
      <c r="W722" s="3"/>
      <c r="X722" s="3"/>
      <c r="Y722" s="3"/>
      <c r="Z722" s="3"/>
      <c r="AA722" s="3"/>
      <c r="AC722" s="298"/>
      <c r="AI722" s="298"/>
    </row>
    <row r="723">
      <c r="B723" s="576"/>
      <c r="C723" s="3"/>
      <c r="D723" s="298"/>
      <c r="F723" s="3"/>
      <c r="R723" s="298"/>
      <c r="S723" s="3"/>
      <c r="T723" s="3"/>
      <c r="W723" s="3"/>
      <c r="X723" s="3"/>
      <c r="Y723" s="3"/>
      <c r="Z723" s="3"/>
      <c r="AA723" s="3"/>
      <c r="AC723" s="298"/>
      <c r="AI723" s="298"/>
    </row>
    <row r="724">
      <c r="B724" s="576"/>
      <c r="C724" s="3"/>
      <c r="D724" s="298"/>
      <c r="F724" s="3"/>
      <c r="R724" s="298"/>
      <c r="S724" s="3"/>
      <c r="T724" s="3"/>
      <c r="W724" s="3"/>
      <c r="X724" s="3"/>
      <c r="Y724" s="3"/>
      <c r="Z724" s="3"/>
      <c r="AA724" s="3"/>
      <c r="AC724" s="298"/>
      <c r="AI724" s="298"/>
    </row>
    <row r="725">
      <c r="B725" s="576"/>
      <c r="C725" s="3"/>
      <c r="D725" s="298"/>
      <c r="F725" s="3"/>
      <c r="R725" s="298"/>
      <c r="S725" s="3"/>
      <c r="T725" s="3"/>
      <c r="W725" s="3"/>
      <c r="X725" s="3"/>
      <c r="Y725" s="3"/>
      <c r="Z725" s="3"/>
      <c r="AA725" s="3"/>
      <c r="AC725" s="298"/>
      <c r="AI725" s="298"/>
    </row>
    <row r="726">
      <c r="B726" s="576"/>
      <c r="C726" s="3"/>
      <c r="D726" s="298"/>
      <c r="F726" s="3"/>
      <c r="R726" s="298"/>
      <c r="S726" s="3"/>
      <c r="T726" s="3"/>
      <c r="W726" s="3"/>
      <c r="X726" s="3"/>
      <c r="Y726" s="3"/>
      <c r="Z726" s="3"/>
      <c r="AA726" s="3"/>
      <c r="AC726" s="298"/>
      <c r="AI726" s="298"/>
    </row>
    <row r="727">
      <c r="B727" s="576"/>
      <c r="C727" s="3"/>
      <c r="D727" s="298"/>
      <c r="F727" s="3"/>
      <c r="R727" s="298"/>
      <c r="S727" s="3"/>
      <c r="T727" s="3"/>
      <c r="W727" s="3"/>
      <c r="X727" s="3"/>
      <c r="Y727" s="3"/>
      <c r="Z727" s="3"/>
      <c r="AA727" s="3"/>
      <c r="AC727" s="298"/>
      <c r="AI727" s="298"/>
    </row>
    <row r="728">
      <c r="B728" s="576"/>
      <c r="C728" s="3"/>
      <c r="D728" s="298"/>
      <c r="F728" s="3"/>
      <c r="R728" s="298"/>
      <c r="S728" s="3"/>
      <c r="T728" s="3"/>
      <c r="W728" s="3"/>
      <c r="X728" s="3"/>
      <c r="Y728" s="3"/>
      <c r="Z728" s="3"/>
      <c r="AA728" s="3"/>
      <c r="AC728" s="298"/>
      <c r="AI728" s="298"/>
    </row>
    <row r="729">
      <c r="B729" s="576"/>
      <c r="C729" s="3"/>
      <c r="D729" s="298"/>
      <c r="F729" s="3"/>
      <c r="R729" s="298"/>
      <c r="S729" s="3"/>
      <c r="T729" s="3"/>
      <c r="W729" s="3"/>
      <c r="X729" s="3"/>
      <c r="Y729" s="3"/>
      <c r="Z729" s="3"/>
      <c r="AA729" s="3"/>
      <c r="AC729" s="298"/>
      <c r="AI729" s="298"/>
    </row>
    <row r="730">
      <c r="B730" s="576"/>
      <c r="C730" s="3"/>
      <c r="D730" s="298"/>
      <c r="F730" s="3"/>
      <c r="R730" s="298"/>
      <c r="S730" s="3"/>
      <c r="T730" s="3"/>
      <c r="W730" s="3"/>
      <c r="X730" s="3"/>
      <c r="Y730" s="3"/>
      <c r="Z730" s="3"/>
      <c r="AA730" s="3"/>
      <c r="AC730" s="298"/>
      <c r="AI730" s="298"/>
    </row>
    <row r="731">
      <c r="B731" s="576"/>
      <c r="C731" s="3"/>
      <c r="D731" s="298"/>
      <c r="F731" s="3"/>
      <c r="R731" s="298"/>
      <c r="S731" s="3"/>
      <c r="T731" s="3"/>
      <c r="W731" s="3"/>
      <c r="X731" s="3"/>
      <c r="Y731" s="3"/>
      <c r="Z731" s="3"/>
      <c r="AA731" s="3"/>
      <c r="AC731" s="298"/>
      <c r="AI731" s="298"/>
    </row>
    <row r="732">
      <c r="B732" s="576"/>
      <c r="C732" s="3"/>
      <c r="D732" s="298"/>
      <c r="F732" s="3"/>
      <c r="R732" s="298"/>
      <c r="S732" s="3"/>
      <c r="T732" s="3"/>
      <c r="W732" s="3"/>
      <c r="X732" s="3"/>
      <c r="Y732" s="3"/>
      <c r="Z732" s="3"/>
      <c r="AA732" s="3"/>
      <c r="AC732" s="298"/>
      <c r="AI732" s="298"/>
    </row>
    <row r="733">
      <c r="B733" s="576"/>
      <c r="C733" s="3"/>
      <c r="D733" s="298"/>
      <c r="F733" s="3"/>
      <c r="R733" s="298"/>
      <c r="S733" s="3"/>
      <c r="T733" s="3"/>
      <c r="W733" s="3"/>
      <c r="X733" s="3"/>
      <c r="Y733" s="3"/>
      <c r="Z733" s="3"/>
      <c r="AA733" s="3"/>
      <c r="AC733" s="298"/>
      <c r="AI733" s="298"/>
    </row>
    <row r="734">
      <c r="B734" s="576"/>
      <c r="C734" s="3"/>
      <c r="D734" s="298"/>
      <c r="F734" s="3"/>
      <c r="R734" s="298"/>
      <c r="S734" s="3"/>
      <c r="T734" s="3"/>
      <c r="W734" s="3"/>
      <c r="X734" s="3"/>
      <c r="Y734" s="3"/>
      <c r="Z734" s="3"/>
      <c r="AA734" s="3"/>
      <c r="AC734" s="298"/>
      <c r="AI734" s="298"/>
    </row>
    <row r="735">
      <c r="B735" s="576"/>
      <c r="C735" s="3"/>
      <c r="D735" s="298"/>
      <c r="F735" s="3"/>
      <c r="R735" s="298"/>
      <c r="S735" s="3"/>
      <c r="T735" s="3"/>
      <c r="W735" s="3"/>
      <c r="X735" s="3"/>
      <c r="Y735" s="3"/>
      <c r="Z735" s="3"/>
      <c r="AA735" s="3"/>
      <c r="AC735" s="298"/>
      <c r="AI735" s="298"/>
    </row>
    <row r="736">
      <c r="B736" s="576"/>
      <c r="C736" s="3"/>
      <c r="D736" s="298"/>
      <c r="F736" s="3"/>
      <c r="R736" s="298"/>
      <c r="S736" s="3"/>
      <c r="T736" s="3"/>
      <c r="W736" s="3"/>
      <c r="X736" s="3"/>
      <c r="Y736" s="3"/>
      <c r="Z736" s="3"/>
      <c r="AA736" s="3"/>
      <c r="AC736" s="298"/>
      <c r="AI736" s="298"/>
    </row>
    <row r="737">
      <c r="B737" s="576"/>
      <c r="C737" s="3"/>
      <c r="D737" s="298"/>
      <c r="F737" s="3"/>
      <c r="R737" s="298"/>
      <c r="S737" s="3"/>
      <c r="T737" s="3"/>
      <c r="W737" s="3"/>
      <c r="X737" s="3"/>
      <c r="Y737" s="3"/>
      <c r="Z737" s="3"/>
      <c r="AA737" s="3"/>
      <c r="AC737" s="298"/>
      <c r="AI737" s="298"/>
    </row>
    <row r="738">
      <c r="B738" s="576"/>
      <c r="C738" s="3"/>
      <c r="D738" s="298"/>
      <c r="F738" s="3"/>
      <c r="R738" s="298"/>
      <c r="S738" s="3"/>
      <c r="T738" s="3"/>
      <c r="W738" s="3"/>
      <c r="X738" s="3"/>
      <c r="Y738" s="3"/>
      <c r="Z738" s="3"/>
      <c r="AA738" s="3"/>
      <c r="AC738" s="298"/>
      <c r="AI738" s="298"/>
    </row>
    <row r="739">
      <c r="B739" s="576"/>
      <c r="C739" s="3"/>
      <c r="D739" s="298"/>
      <c r="F739" s="3"/>
      <c r="R739" s="298"/>
      <c r="S739" s="3"/>
      <c r="T739" s="3"/>
      <c r="W739" s="3"/>
      <c r="X739" s="3"/>
      <c r="Y739" s="3"/>
      <c r="Z739" s="3"/>
      <c r="AA739" s="3"/>
      <c r="AC739" s="298"/>
      <c r="AI739" s="298"/>
    </row>
    <row r="740">
      <c r="B740" s="576"/>
      <c r="C740" s="3"/>
      <c r="D740" s="298"/>
      <c r="F740" s="3"/>
      <c r="R740" s="298"/>
      <c r="S740" s="3"/>
      <c r="T740" s="3"/>
      <c r="W740" s="3"/>
      <c r="X740" s="3"/>
      <c r="Y740" s="3"/>
      <c r="Z740" s="3"/>
      <c r="AA740" s="3"/>
      <c r="AC740" s="298"/>
      <c r="AI740" s="298"/>
    </row>
    <row r="741">
      <c r="B741" s="576"/>
      <c r="C741" s="3"/>
      <c r="D741" s="298"/>
      <c r="F741" s="3"/>
      <c r="R741" s="298"/>
      <c r="S741" s="3"/>
      <c r="T741" s="3"/>
      <c r="W741" s="3"/>
      <c r="X741" s="3"/>
      <c r="Y741" s="3"/>
      <c r="Z741" s="3"/>
      <c r="AA741" s="3"/>
      <c r="AC741" s="298"/>
      <c r="AI741" s="298"/>
    </row>
    <row r="742">
      <c r="B742" s="576"/>
      <c r="C742" s="3"/>
      <c r="D742" s="298"/>
      <c r="F742" s="3"/>
      <c r="R742" s="298"/>
      <c r="S742" s="3"/>
      <c r="T742" s="3"/>
      <c r="W742" s="3"/>
      <c r="X742" s="3"/>
      <c r="Y742" s="3"/>
      <c r="Z742" s="3"/>
      <c r="AA742" s="3"/>
      <c r="AC742" s="298"/>
      <c r="AI742" s="298"/>
    </row>
    <row r="743">
      <c r="B743" s="576"/>
      <c r="C743" s="3"/>
      <c r="D743" s="298"/>
      <c r="F743" s="3"/>
      <c r="R743" s="298"/>
      <c r="S743" s="3"/>
      <c r="T743" s="3"/>
      <c r="W743" s="3"/>
      <c r="X743" s="3"/>
      <c r="Y743" s="3"/>
      <c r="Z743" s="3"/>
      <c r="AA743" s="3"/>
      <c r="AC743" s="298"/>
      <c r="AI743" s="298"/>
    </row>
    <row r="744">
      <c r="B744" s="576"/>
      <c r="C744" s="3"/>
      <c r="D744" s="298"/>
      <c r="F744" s="3"/>
      <c r="R744" s="298"/>
      <c r="S744" s="3"/>
      <c r="T744" s="3"/>
      <c r="W744" s="3"/>
      <c r="X744" s="3"/>
      <c r="Y744" s="3"/>
      <c r="Z744" s="3"/>
      <c r="AA744" s="3"/>
      <c r="AC744" s="298"/>
      <c r="AI744" s="298"/>
    </row>
    <row r="745">
      <c r="B745" s="576"/>
      <c r="C745" s="3"/>
      <c r="D745" s="298"/>
      <c r="F745" s="3"/>
      <c r="R745" s="298"/>
      <c r="S745" s="3"/>
      <c r="T745" s="3"/>
      <c r="W745" s="3"/>
      <c r="X745" s="3"/>
      <c r="Y745" s="3"/>
      <c r="Z745" s="3"/>
      <c r="AA745" s="3"/>
      <c r="AC745" s="298"/>
      <c r="AI745" s="298"/>
    </row>
    <row r="746">
      <c r="B746" s="576"/>
      <c r="C746" s="3"/>
      <c r="D746" s="298"/>
      <c r="F746" s="3"/>
      <c r="R746" s="298"/>
      <c r="S746" s="3"/>
      <c r="T746" s="3"/>
      <c r="W746" s="3"/>
      <c r="X746" s="3"/>
      <c r="Y746" s="3"/>
      <c r="Z746" s="3"/>
      <c r="AA746" s="3"/>
      <c r="AC746" s="298"/>
      <c r="AI746" s="298"/>
    </row>
    <row r="747">
      <c r="B747" s="576"/>
      <c r="C747" s="3"/>
      <c r="D747" s="298"/>
      <c r="F747" s="3"/>
      <c r="R747" s="298"/>
      <c r="S747" s="3"/>
      <c r="T747" s="3"/>
      <c r="W747" s="3"/>
      <c r="X747" s="3"/>
      <c r="Y747" s="3"/>
      <c r="Z747" s="3"/>
      <c r="AA747" s="3"/>
      <c r="AC747" s="298"/>
      <c r="AI747" s="298"/>
    </row>
    <row r="748">
      <c r="B748" s="576"/>
      <c r="C748" s="3"/>
      <c r="D748" s="298"/>
      <c r="F748" s="3"/>
      <c r="R748" s="298"/>
      <c r="S748" s="3"/>
      <c r="T748" s="3"/>
      <c r="W748" s="3"/>
      <c r="X748" s="3"/>
      <c r="Y748" s="3"/>
      <c r="Z748" s="3"/>
      <c r="AA748" s="3"/>
      <c r="AC748" s="298"/>
      <c r="AI748" s="298"/>
    </row>
    <row r="749">
      <c r="B749" s="576"/>
      <c r="C749" s="3"/>
      <c r="D749" s="298"/>
      <c r="F749" s="3"/>
      <c r="R749" s="298"/>
      <c r="S749" s="3"/>
      <c r="T749" s="3"/>
      <c r="W749" s="3"/>
      <c r="X749" s="3"/>
      <c r="Y749" s="3"/>
      <c r="Z749" s="3"/>
      <c r="AA749" s="3"/>
      <c r="AC749" s="298"/>
      <c r="AI749" s="298"/>
    </row>
    <row r="750">
      <c r="B750" s="576"/>
      <c r="C750" s="3"/>
      <c r="D750" s="298"/>
      <c r="F750" s="3"/>
      <c r="R750" s="298"/>
      <c r="S750" s="3"/>
      <c r="T750" s="3"/>
      <c r="W750" s="3"/>
      <c r="X750" s="3"/>
      <c r="Y750" s="3"/>
      <c r="Z750" s="3"/>
      <c r="AA750" s="3"/>
      <c r="AC750" s="298"/>
      <c r="AI750" s="298"/>
    </row>
    <row r="751">
      <c r="B751" s="576"/>
      <c r="C751" s="3"/>
      <c r="D751" s="298"/>
      <c r="F751" s="3"/>
      <c r="R751" s="298"/>
      <c r="S751" s="3"/>
      <c r="T751" s="3"/>
      <c r="W751" s="3"/>
      <c r="X751" s="3"/>
      <c r="Y751" s="3"/>
      <c r="Z751" s="3"/>
      <c r="AA751" s="3"/>
      <c r="AC751" s="298"/>
      <c r="AI751" s="298"/>
    </row>
    <row r="752">
      <c r="B752" s="576"/>
      <c r="C752" s="3"/>
      <c r="D752" s="298"/>
      <c r="F752" s="3"/>
      <c r="R752" s="298"/>
      <c r="S752" s="3"/>
      <c r="T752" s="3"/>
      <c r="W752" s="3"/>
      <c r="X752" s="3"/>
      <c r="Y752" s="3"/>
      <c r="Z752" s="3"/>
      <c r="AA752" s="3"/>
      <c r="AC752" s="298"/>
      <c r="AI752" s="298"/>
    </row>
    <row r="753">
      <c r="B753" s="576"/>
      <c r="C753" s="3"/>
      <c r="D753" s="298"/>
      <c r="F753" s="3"/>
      <c r="R753" s="298"/>
      <c r="S753" s="3"/>
      <c r="T753" s="3"/>
      <c r="W753" s="3"/>
      <c r="X753" s="3"/>
      <c r="Y753" s="3"/>
      <c r="Z753" s="3"/>
      <c r="AA753" s="3"/>
      <c r="AC753" s="298"/>
      <c r="AI753" s="298"/>
    </row>
    <row r="754">
      <c r="B754" s="576"/>
      <c r="C754" s="3"/>
      <c r="D754" s="298"/>
      <c r="F754" s="3"/>
      <c r="R754" s="298"/>
      <c r="S754" s="3"/>
      <c r="T754" s="3"/>
      <c r="W754" s="3"/>
      <c r="X754" s="3"/>
      <c r="Y754" s="3"/>
      <c r="Z754" s="3"/>
      <c r="AA754" s="3"/>
      <c r="AC754" s="298"/>
      <c r="AI754" s="298"/>
    </row>
    <row r="755">
      <c r="B755" s="576"/>
      <c r="C755" s="3"/>
      <c r="D755" s="298"/>
      <c r="F755" s="3"/>
      <c r="R755" s="298"/>
      <c r="S755" s="3"/>
      <c r="T755" s="3"/>
      <c r="W755" s="3"/>
      <c r="X755" s="3"/>
      <c r="Y755" s="3"/>
      <c r="Z755" s="3"/>
      <c r="AA755" s="3"/>
      <c r="AC755" s="298"/>
      <c r="AI755" s="298"/>
    </row>
    <row r="756">
      <c r="B756" s="576"/>
      <c r="C756" s="3"/>
      <c r="D756" s="298"/>
      <c r="F756" s="3"/>
      <c r="R756" s="298"/>
      <c r="S756" s="3"/>
      <c r="T756" s="3"/>
      <c r="W756" s="3"/>
      <c r="X756" s="3"/>
      <c r="Y756" s="3"/>
      <c r="Z756" s="3"/>
      <c r="AA756" s="3"/>
      <c r="AC756" s="298"/>
      <c r="AI756" s="298"/>
    </row>
    <row r="757">
      <c r="B757" s="576"/>
      <c r="C757" s="3"/>
      <c r="D757" s="298"/>
      <c r="F757" s="3"/>
      <c r="R757" s="298"/>
      <c r="S757" s="3"/>
      <c r="T757" s="3"/>
      <c r="W757" s="3"/>
      <c r="X757" s="3"/>
      <c r="Y757" s="3"/>
      <c r="Z757" s="3"/>
      <c r="AA757" s="3"/>
      <c r="AC757" s="298"/>
      <c r="AI757" s="298"/>
    </row>
    <row r="758">
      <c r="B758" s="576"/>
      <c r="C758" s="3"/>
      <c r="D758" s="298"/>
      <c r="F758" s="3"/>
      <c r="R758" s="298"/>
      <c r="S758" s="3"/>
      <c r="T758" s="3"/>
      <c r="W758" s="3"/>
      <c r="X758" s="3"/>
      <c r="Y758" s="3"/>
      <c r="Z758" s="3"/>
      <c r="AA758" s="3"/>
      <c r="AC758" s="298"/>
      <c r="AI758" s="298"/>
    </row>
    <row r="759">
      <c r="B759" s="576"/>
      <c r="C759" s="3"/>
      <c r="D759" s="298"/>
      <c r="F759" s="3"/>
      <c r="R759" s="298"/>
      <c r="S759" s="3"/>
      <c r="T759" s="3"/>
      <c r="W759" s="3"/>
      <c r="X759" s="3"/>
      <c r="Y759" s="3"/>
      <c r="Z759" s="3"/>
      <c r="AA759" s="3"/>
      <c r="AC759" s="298"/>
      <c r="AI759" s="298"/>
    </row>
    <row r="760">
      <c r="B760" s="576"/>
      <c r="C760" s="3"/>
      <c r="D760" s="298"/>
      <c r="F760" s="3"/>
      <c r="R760" s="298"/>
      <c r="S760" s="3"/>
      <c r="T760" s="3"/>
      <c r="W760" s="3"/>
      <c r="X760" s="3"/>
      <c r="Y760" s="3"/>
      <c r="Z760" s="3"/>
      <c r="AA760" s="3"/>
      <c r="AC760" s="298"/>
      <c r="AI760" s="298"/>
    </row>
    <row r="761">
      <c r="B761" s="576"/>
      <c r="C761" s="3"/>
      <c r="D761" s="298"/>
      <c r="F761" s="3"/>
      <c r="R761" s="298"/>
      <c r="S761" s="3"/>
      <c r="T761" s="3"/>
      <c r="W761" s="3"/>
      <c r="X761" s="3"/>
      <c r="Y761" s="3"/>
      <c r="Z761" s="3"/>
      <c r="AA761" s="3"/>
      <c r="AC761" s="298"/>
      <c r="AI761" s="298"/>
    </row>
    <row r="762">
      <c r="B762" s="576"/>
      <c r="C762" s="3"/>
      <c r="D762" s="298"/>
      <c r="F762" s="3"/>
      <c r="R762" s="298"/>
      <c r="S762" s="3"/>
      <c r="T762" s="3"/>
      <c r="W762" s="3"/>
      <c r="X762" s="3"/>
      <c r="Y762" s="3"/>
      <c r="Z762" s="3"/>
      <c r="AA762" s="3"/>
      <c r="AC762" s="298"/>
      <c r="AI762" s="298"/>
    </row>
    <row r="763">
      <c r="B763" s="576"/>
      <c r="C763" s="3"/>
      <c r="D763" s="298"/>
      <c r="F763" s="3"/>
      <c r="R763" s="298"/>
      <c r="S763" s="3"/>
      <c r="T763" s="3"/>
      <c r="W763" s="3"/>
      <c r="X763" s="3"/>
      <c r="Y763" s="3"/>
      <c r="Z763" s="3"/>
      <c r="AA763" s="3"/>
      <c r="AC763" s="298"/>
      <c r="AI763" s="298"/>
    </row>
    <row r="764">
      <c r="B764" s="576"/>
      <c r="C764" s="3"/>
      <c r="D764" s="298"/>
      <c r="F764" s="3"/>
      <c r="R764" s="298"/>
      <c r="S764" s="3"/>
      <c r="T764" s="3"/>
      <c r="W764" s="3"/>
      <c r="X764" s="3"/>
      <c r="Y764" s="3"/>
      <c r="Z764" s="3"/>
      <c r="AA764" s="3"/>
      <c r="AC764" s="298"/>
      <c r="AI764" s="298"/>
    </row>
    <row r="765">
      <c r="B765" s="576"/>
      <c r="C765" s="3"/>
      <c r="D765" s="298"/>
      <c r="F765" s="3"/>
      <c r="R765" s="298"/>
      <c r="S765" s="3"/>
      <c r="T765" s="3"/>
      <c r="W765" s="3"/>
      <c r="X765" s="3"/>
      <c r="Y765" s="3"/>
      <c r="Z765" s="3"/>
      <c r="AA765" s="3"/>
      <c r="AC765" s="298"/>
      <c r="AI765" s="298"/>
    </row>
    <row r="766">
      <c r="B766" s="576"/>
      <c r="C766" s="3"/>
      <c r="D766" s="298"/>
      <c r="F766" s="3"/>
      <c r="R766" s="298"/>
      <c r="S766" s="3"/>
      <c r="T766" s="3"/>
      <c r="W766" s="3"/>
      <c r="X766" s="3"/>
      <c r="Y766" s="3"/>
      <c r="Z766" s="3"/>
      <c r="AA766" s="3"/>
      <c r="AC766" s="298"/>
      <c r="AI766" s="298"/>
    </row>
    <row r="767">
      <c r="B767" s="576"/>
      <c r="C767" s="3"/>
      <c r="D767" s="298"/>
      <c r="F767" s="3"/>
      <c r="R767" s="298"/>
      <c r="S767" s="3"/>
      <c r="T767" s="3"/>
      <c r="W767" s="3"/>
      <c r="X767" s="3"/>
      <c r="Y767" s="3"/>
      <c r="Z767" s="3"/>
      <c r="AA767" s="3"/>
      <c r="AC767" s="298"/>
      <c r="AI767" s="298"/>
    </row>
    <row r="768">
      <c r="B768" s="576"/>
      <c r="C768" s="3"/>
      <c r="D768" s="298"/>
      <c r="F768" s="3"/>
      <c r="R768" s="298"/>
      <c r="S768" s="3"/>
      <c r="T768" s="3"/>
      <c r="W768" s="3"/>
      <c r="X768" s="3"/>
      <c r="Y768" s="3"/>
      <c r="Z768" s="3"/>
      <c r="AA768" s="3"/>
      <c r="AC768" s="298"/>
      <c r="AI768" s="298"/>
    </row>
    <row r="769">
      <c r="B769" s="576"/>
      <c r="C769" s="3"/>
      <c r="D769" s="298"/>
      <c r="F769" s="3"/>
      <c r="R769" s="298"/>
      <c r="S769" s="3"/>
      <c r="T769" s="3"/>
      <c r="W769" s="3"/>
      <c r="X769" s="3"/>
      <c r="Y769" s="3"/>
      <c r="Z769" s="3"/>
      <c r="AA769" s="3"/>
      <c r="AC769" s="298"/>
      <c r="AI769" s="298"/>
    </row>
    <row r="770">
      <c r="B770" s="576"/>
      <c r="C770" s="3"/>
      <c r="D770" s="298"/>
      <c r="F770" s="3"/>
      <c r="R770" s="298"/>
      <c r="S770" s="3"/>
      <c r="T770" s="3"/>
      <c r="W770" s="3"/>
      <c r="X770" s="3"/>
      <c r="Y770" s="3"/>
      <c r="Z770" s="3"/>
      <c r="AA770" s="3"/>
      <c r="AC770" s="298"/>
      <c r="AI770" s="298"/>
    </row>
    <row r="771">
      <c r="B771" s="576"/>
      <c r="C771" s="3"/>
      <c r="D771" s="298"/>
      <c r="F771" s="3"/>
      <c r="R771" s="298"/>
      <c r="S771" s="3"/>
      <c r="T771" s="3"/>
      <c r="W771" s="3"/>
      <c r="X771" s="3"/>
      <c r="Y771" s="3"/>
      <c r="Z771" s="3"/>
      <c r="AA771" s="3"/>
      <c r="AC771" s="298"/>
      <c r="AI771" s="298"/>
    </row>
    <row r="772">
      <c r="B772" s="576"/>
      <c r="C772" s="3"/>
      <c r="D772" s="298"/>
      <c r="F772" s="3"/>
      <c r="R772" s="298"/>
      <c r="S772" s="3"/>
      <c r="T772" s="3"/>
      <c r="W772" s="3"/>
      <c r="X772" s="3"/>
      <c r="Y772" s="3"/>
      <c r="Z772" s="3"/>
      <c r="AA772" s="3"/>
      <c r="AC772" s="298"/>
      <c r="AI772" s="298"/>
    </row>
    <row r="773">
      <c r="B773" s="576"/>
      <c r="C773" s="3"/>
      <c r="D773" s="298"/>
      <c r="F773" s="3"/>
      <c r="R773" s="298"/>
      <c r="S773" s="3"/>
      <c r="T773" s="3"/>
      <c r="W773" s="3"/>
      <c r="X773" s="3"/>
      <c r="Y773" s="3"/>
      <c r="Z773" s="3"/>
      <c r="AA773" s="3"/>
      <c r="AC773" s="298"/>
      <c r="AI773" s="298"/>
    </row>
    <row r="774">
      <c r="B774" s="576"/>
      <c r="C774" s="3"/>
      <c r="D774" s="298"/>
      <c r="F774" s="3"/>
      <c r="R774" s="298"/>
      <c r="S774" s="3"/>
      <c r="T774" s="3"/>
      <c r="W774" s="3"/>
      <c r="X774" s="3"/>
      <c r="Y774" s="3"/>
      <c r="Z774" s="3"/>
      <c r="AA774" s="3"/>
      <c r="AC774" s="298"/>
      <c r="AI774" s="298"/>
    </row>
    <row r="775">
      <c r="B775" s="576"/>
      <c r="C775" s="3"/>
      <c r="D775" s="298"/>
      <c r="F775" s="3"/>
      <c r="R775" s="298"/>
      <c r="S775" s="3"/>
      <c r="T775" s="3"/>
      <c r="W775" s="3"/>
      <c r="X775" s="3"/>
      <c r="Y775" s="3"/>
      <c r="Z775" s="3"/>
      <c r="AA775" s="3"/>
      <c r="AC775" s="298"/>
      <c r="AI775" s="298"/>
    </row>
    <row r="776">
      <c r="B776" s="576"/>
      <c r="C776" s="3"/>
      <c r="D776" s="298"/>
      <c r="F776" s="3"/>
      <c r="R776" s="298"/>
      <c r="S776" s="3"/>
      <c r="T776" s="3"/>
      <c r="W776" s="3"/>
      <c r="X776" s="3"/>
      <c r="Y776" s="3"/>
      <c r="Z776" s="3"/>
      <c r="AA776" s="3"/>
      <c r="AC776" s="298"/>
      <c r="AI776" s="298"/>
    </row>
    <row r="777">
      <c r="B777" s="576"/>
      <c r="C777" s="3"/>
      <c r="D777" s="298"/>
      <c r="F777" s="3"/>
      <c r="R777" s="298"/>
      <c r="S777" s="3"/>
      <c r="T777" s="3"/>
      <c r="W777" s="3"/>
      <c r="X777" s="3"/>
      <c r="Y777" s="3"/>
      <c r="Z777" s="3"/>
      <c r="AA777" s="3"/>
      <c r="AC777" s="298"/>
      <c r="AI777" s="298"/>
    </row>
    <row r="778">
      <c r="B778" s="576"/>
      <c r="C778" s="3"/>
      <c r="D778" s="298"/>
      <c r="F778" s="3"/>
      <c r="R778" s="298"/>
      <c r="S778" s="3"/>
      <c r="T778" s="3"/>
      <c r="W778" s="3"/>
      <c r="X778" s="3"/>
      <c r="Y778" s="3"/>
      <c r="Z778" s="3"/>
      <c r="AA778" s="3"/>
      <c r="AC778" s="298"/>
      <c r="AI778" s="298"/>
    </row>
    <row r="779">
      <c r="B779" s="576"/>
      <c r="C779" s="3"/>
      <c r="D779" s="298"/>
      <c r="F779" s="3"/>
      <c r="R779" s="298"/>
      <c r="S779" s="3"/>
      <c r="T779" s="3"/>
      <c r="W779" s="3"/>
      <c r="X779" s="3"/>
      <c r="Y779" s="3"/>
      <c r="Z779" s="3"/>
      <c r="AA779" s="3"/>
      <c r="AC779" s="298"/>
      <c r="AI779" s="298"/>
    </row>
    <row r="780">
      <c r="B780" s="576"/>
      <c r="C780" s="3"/>
      <c r="D780" s="298"/>
      <c r="F780" s="3"/>
      <c r="R780" s="298"/>
      <c r="S780" s="3"/>
      <c r="T780" s="3"/>
      <c r="W780" s="3"/>
      <c r="X780" s="3"/>
      <c r="Y780" s="3"/>
      <c r="Z780" s="3"/>
      <c r="AA780" s="3"/>
      <c r="AC780" s="298"/>
      <c r="AI780" s="298"/>
    </row>
    <row r="781">
      <c r="B781" s="576"/>
      <c r="C781" s="3"/>
      <c r="D781" s="298"/>
      <c r="F781" s="3"/>
      <c r="R781" s="298"/>
      <c r="S781" s="3"/>
      <c r="T781" s="3"/>
      <c r="W781" s="3"/>
      <c r="X781" s="3"/>
      <c r="Y781" s="3"/>
      <c r="Z781" s="3"/>
      <c r="AA781" s="3"/>
      <c r="AC781" s="298"/>
      <c r="AI781" s="298"/>
    </row>
    <row r="782">
      <c r="B782" s="576"/>
      <c r="C782" s="3"/>
      <c r="D782" s="298"/>
      <c r="F782" s="3"/>
      <c r="R782" s="298"/>
      <c r="S782" s="3"/>
      <c r="T782" s="3"/>
      <c r="W782" s="3"/>
      <c r="X782" s="3"/>
      <c r="Y782" s="3"/>
      <c r="Z782" s="3"/>
      <c r="AA782" s="3"/>
      <c r="AC782" s="298"/>
      <c r="AI782" s="298"/>
    </row>
    <row r="783">
      <c r="B783" s="576"/>
      <c r="C783" s="3"/>
      <c r="D783" s="298"/>
      <c r="F783" s="3"/>
      <c r="R783" s="298"/>
      <c r="S783" s="3"/>
      <c r="T783" s="3"/>
      <c r="W783" s="3"/>
      <c r="X783" s="3"/>
      <c r="Y783" s="3"/>
      <c r="Z783" s="3"/>
      <c r="AA783" s="3"/>
      <c r="AC783" s="298"/>
      <c r="AI783" s="298"/>
    </row>
    <row r="784">
      <c r="B784" s="576"/>
      <c r="C784" s="3"/>
      <c r="D784" s="298"/>
      <c r="F784" s="3"/>
      <c r="R784" s="298"/>
      <c r="S784" s="3"/>
      <c r="T784" s="3"/>
      <c r="W784" s="3"/>
      <c r="X784" s="3"/>
      <c r="Y784" s="3"/>
      <c r="Z784" s="3"/>
      <c r="AA784" s="3"/>
      <c r="AC784" s="298"/>
      <c r="AI784" s="298"/>
    </row>
    <row r="785">
      <c r="B785" s="576"/>
      <c r="C785" s="3"/>
      <c r="D785" s="298"/>
      <c r="F785" s="3"/>
      <c r="R785" s="298"/>
      <c r="S785" s="3"/>
      <c r="T785" s="3"/>
      <c r="W785" s="3"/>
      <c r="X785" s="3"/>
      <c r="Y785" s="3"/>
      <c r="Z785" s="3"/>
      <c r="AA785" s="3"/>
      <c r="AC785" s="298"/>
      <c r="AI785" s="298"/>
    </row>
    <row r="786">
      <c r="B786" s="576"/>
      <c r="C786" s="3"/>
      <c r="D786" s="298"/>
      <c r="F786" s="3"/>
      <c r="R786" s="298"/>
      <c r="S786" s="3"/>
      <c r="T786" s="3"/>
      <c r="W786" s="3"/>
      <c r="X786" s="3"/>
      <c r="Y786" s="3"/>
      <c r="Z786" s="3"/>
      <c r="AA786" s="3"/>
      <c r="AC786" s="298"/>
      <c r="AI786" s="298"/>
    </row>
    <row r="787">
      <c r="B787" s="576"/>
      <c r="C787" s="3"/>
      <c r="D787" s="298"/>
      <c r="F787" s="3"/>
      <c r="R787" s="298"/>
      <c r="S787" s="3"/>
      <c r="T787" s="3"/>
      <c r="W787" s="3"/>
      <c r="X787" s="3"/>
      <c r="Y787" s="3"/>
      <c r="Z787" s="3"/>
      <c r="AA787" s="3"/>
      <c r="AC787" s="298"/>
      <c r="AI787" s="298"/>
    </row>
    <row r="788">
      <c r="B788" s="576"/>
      <c r="C788" s="3"/>
      <c r="D788" s="298"/>
      <c r="F788" s="3"/>
      <c r="R788" s="298"/>
      <c r="S788" s="3"/>
      <c r="T788" s="3"/>
      <c r="W788" s="3"/>
      <c r="X788" s="3"/>
      <c r="Y788" s="3"/>
      <c r="Z788" s="3"/>
      <c r="AA788" s="3"/>
      <c r="AC788" s="298"/>
      <c r="AI788" s="298"/>
    </row>
    <row r="789">
      <c r="B789" s="576"/>
      <c r="C789" s="3"/>
      <c r="D789" s="298"/>
      <c r="F789" s="3"/>
      <c r="R789" s="298"/>
      <c r="S789" s="3"/>
      <c r="T789" s="3"/>
      <c r="W789" s="3"/>
      <c r="X789" s="3"/>
      <c r="Y789" s="3"/>
      <c r="Z789" s="3"/>
      <c r="AA789" s="3"/>
      <c r="AC789" s="298"/>
      <c r="AI789" s="298"/>
    </row>
    <row r="790">
      <c r="B790" s="576"/>
      <c r="C790" s="3"/>
      <c r="D790" s="298"/>
      <c r="F790" s="3"/>
      <c r="R790" s="298"/>
      <c r="S790" s="3"/>
      <c r="T790" s="3"/>
      <c r="W790" s="3"/>
      <c r="X790" s="3"/>
      <c r="Y790" s="3"/>
      <c r="Z790" s="3"/>
      <c r="AA790" s="3"/>
      <c r="AC790" s="298"/>
      <c r="AI790" s="298"/>
    </row>
    <row r="791">
      <c r="B791" s="576"/>
      <c r="C791" s="3"/>
      <c r="D791" s="298"/>
      <c r="F791" s="3"/>
      <c r="R791" s="298"/>
      <c r="S791" s="3"/>
      <c r="T791" s="3"/>
      <c r="W791" s="3"/>
      <c r="X791" s="3"/>
      <c r="Y791" s="3"/>
      <c r="Z791" s="3"/>
      <c r="AA791" s="3"/>
      <c r="AC791" s="298"/>
      <c r="AI791" s="298"/>
    </row>
    <row r="792">
      <c r="B792" s="576"/>
      <c r="C792" s="3"/>
      <c r="D792" s="298"/>
      <c r="F792" s="3"/>
      <c r="R792" s="298"/>
      <c r="S792" s="3"/>
      <c r="T792" s="3"/>
      <c r="W792" s="3"/>
      <c r="X792" s="3"/>
      <c r="Y792" s="3"/>
      <c r="Z792" s="3"/>
      <c r="AA792" s="3"/>
      <c r="AC792" s="298"/>
      <c r="AI792" s="298"/>
    </row>
    <row r="793">
      <c r="B793" s="576"/>
      <c r="C793" s="3"/>
      <c r="D793" s="298"/>
      <c r="F793" s="3"/>
      <c r="R793" s="298"/>
      <c r="S793" s="3"/>
      <c r="T793" s="3"/>
      <c r="W793" s="3"/>
      <c r="X793" s="3"/>
      <c r="Y793" s="3"/>
      <c r="Z793" s="3"/>
      <c r="AA793" s="3"/>
      <c r="AC793" s="298"/>
      <c r="AI793" s="298"/>
    </row>
    <row r="794">
      <c r="B794" s="576"/>
      <c r="C794" s="3"/>
      <c r="D794" s="298"/>
      <c r="F794" s="3"/>
      <c r="R794" s="298"/>
      <c r="S794" s="3"/>
      <c r="T794" s="3"/>
      <c r="W794" s="3"/>
      <c r="X794" s="3"/>
      <c r="Y794" s="3"/>
      <c r="Z794" s="3"/>
      <c r="AA794" s="3"/>
      <c r="AC794" s="298"/>
      <c r="AI794" s="298"/>
    </row>
    <row r="795">
      <c r="B795" s="576"/>
      <c r="C795" s="3"/>
      <c r="D795" s="298"/>
      <c r="F795" s="3"/>
      <c r="R795" s="298"/>
      <c r="S795" s="3"/>
      <c r="T795" s="3"/>
      <c r="W795" s="3"/>
      <c r="X795" s="3"/>
      <c r="Y795" s="3"/>
      <c r="Z795" s="3"/>
      <c r="AA795" s="3"/>
      <c r="AC795" s="298"/>
      <c r="AI795" s="298"/>
    </row>
    <row r="796">
      <c r="B796" s="576"/>
      <c r="C796" s="3"/>
      <c r="D796" s="298"/>
      <c r="F796" s="3"/>
      <c r="R796" s="298"/>
      <c r="S796" s="3"/>
      <c r="T796" s="3"/>
      <c r="W796" s="3"/>
      <c r="X796" s="3"/>
      <c r="Y796" s="3"/>
      <c r="Z796" s="3"/>
      <c r="AA796" s="3"/>
      <c r="AC796" s="298"/>
      <c r="AI796" s="298"/>
    </row>
    <row r="797">
      <c r="B797" s="576"/>
      <c r="C797" s="3"/>
      <c r="D797" s="298"/>
      <c r="F797" s="3"/>
      <c r="R797" s="298"/>
      <c r="S797" s="3"/>
      <c r="T797" s="3"/>
      <c r="W797" s="3"/>
      <c r="X797" s="3"/>
      <c r="Y797" s="3"/>
      <c r="Z797" s="3"/>
      <c r="AA797" s="3"/>
      <c r="AC797" s="298"/>
      <c r="AI797" s="298"/>
    </row>
    <row r="798">
      <c r="B798" s="576"/>
      <c r="C798" s="3"/>
      <c r="D798" s="298"/>
      <c r="F798" s="3"/>
      <c r="R798" s="298"/>
      <c r="S798" s="3"/>
      <c r="T798" s="3"/>
      <c r="W798" s="3"/>
      <c r="X798" s="3"/>
      <c r="Y798" s="3"/>
      <c r="Z798" s="3"/>
      <c r="AA798" s="3"/>
      <c r="AC798" s="298"/>
      <c r="AI798" s="298"/>
    </row>
    <row r="799">
      <c r="B799" s="576"/>
      <c r="C799" s="3"/>
      <c r="D799" s="298"/>
      <c r="F799" s="3"/>
      <c r="R799" s="298"/>
      <c r="S799" s="3"/>
      <c r="T799" s="3"/>
      <c r="W799" s="3"/>
      <c r="X799" s="3"/>
      <c r="Y799" s="3"/>
      <c r="Z799" s="3"/>
      <c r="AA799" s="3"/>
      <c r="AC799" s="298"/>
      <c r="AI799" s="298"/>
    </row>
    <row r="800">
      <c r="B800" s="576"/>
      <c r="C800" s="3"/>
      <c r="D800" s="298"/>
      <c r="F800" s="3"/>
      <c r="R800" s="298"/>
      <c r="S800" s="3"/>
      <c r="T800" s="3"/>
      <c r="W800" s="3"/>
      <c r="X800" s="3"/>
      <c r="Y800" s="3"/>
      <c r="Z800" s="3"/>
      <c r="AA800" s="3"/>
      <c r="AC800" s="298"/>
      <c r="AI800" s="298"/>
    </row>
    <row r="801">
      <c r="B801" s="576"/>
      <c r="C801" s="3"/>
      <c r="D801" s="298"/>
      <c r="F801" s="3"/>
      <c r="R801" s="298"/>
      <c r="S801" s="3"/>
      <c r="T801" s="3"/>
      <c r="W801" s="3"/>
      <c r="X801" s="3"/>
      <c r="Y801" s="3"/>
      <c r="Z801" s="3"/>
      <c r="AA801" s="3"/>
      <c r="AC801" s="298"/>
      <c r="AI801" s="298"/>
    </row>
    <row r="802">
      <c r="B802" s="576"/>
      <c r="C802" s="3"/>
      <c r="D802" s="298"/>
      <c r="F802" s="3"/>
      <c r="R802" s="298"/>
      <c r="S802" s="3"/>
      <c r="T802" s="3"/>
      <c r="W802" s="3"/>
      <c r="X802" s="3"/>
      <c r="Y802" s="3"/>
      <c r="Z802" s="3"/>
      <c r="AA802" s="3"/>
      <c r="AC802" s="298"/>
      <c r="AI802" s="298"/>
    </row>
    <row r="803">
      <c r="B803" s="576"/>
      <c r="C803" s="3"/>
      <c r="D803" s="298"/>
      <c r="F803" s="3"/>
      <c r="R803" s="298"/>
      <c r="S803" s="3"/>
      <c r="T803" s="3"/>
      <c r="W803" s="3"/>
      <c r="X803" s="3"/>
      <c r="Y803" s="3"/>
      <c r="Z803" s="3"/>
      <c r="AA803" s="3"/>
      <c r="AC803" s="298"/>
      <c r="AI803" s="298"/>
    </row>
    <row r="804">
      <c r="B804" s="576"/>
      <c r="C804" s="3"/>
      <c r="D804" s="298"/>
      <c r="F804" s="3"/>
      <c r="R804" s="298"/>
      <c r="S804" s="3"/>
      <c r="T804" s="3"/>
      <c r="W804" s="3"/>
      <c r="X804" s="3"/>
      <c r="Y804" s="3"/>
      <c r="Z804" s="3"/>
      <c r="AA804" s="3"/>
      <c r="AC804" s="298"/>
      <c r="AI804" s="298"/>
    </row>
    <row r="805">
      <c r="B805" s="576"/>
      <c r="C805" s="3"/>
      <c r="D805" s="298"/>
      <c r="F805" s="3"/>
      <c r="R805" s="298"/>
      <c r="S805" s="3"/>
      <c r="T805" s="3"/>
      <c r="W805" s="3"/>
      <c r="X805" s="3"/>
      <c r="Y805" s="3"/>
      <c r="Z805" s="3"/>
      <c r="AA805" s="3"/>
      <c r="AC805" s="298"/>
      <c r="AI805" s="298"/>
    </row>
    <row r="806">
      <c r="B806" s="576"/>
      <c r="C806" s="3"/>
      <c r="D806" s="298"/>
      <c r="F806" s="3"/>
      <c r="R806" s="298"/>
      <c r="S806" s="3"/>
      <c r="T806" s="3"/>
      <c r="W806" s="3"/>
      <c r="X806" s="3"/>
      <c r="Y806" s="3"/>
      <c r="Z806" s="3"/>
      <c r="AA806" s="3"/>
      <c r="AC806" s="298"/>
      <c r="AI806" s="298"/>
    </row>
    <row r="807">
      <c r="B807" s="576"/>
      <c r="C807" s="3"/>
      <c r="D807" s="298"/>
      <c r="F807" s="3"/>
      <c r="R807" s="298"/>
      <c r="S807" s="3"/>
      <c r="T807" s="3"/>
      <c r="W807" s="3"/>
      <c r="X807" s="3"/>
      <c r="Y807" s="3"/>
      <c r="Z807" s="3"/>
      <c r="AA807" s="3"/>
      <c r="AC807" s="298"/>
      <c r="AI807" s="298"/>
    </row>
    <row r="808">
      <c r="B808" s="576"/>
      <c r="C808" s="3"/>
      <c r="D808" s="298"/>
      <c r="F808" s="3"/>
      <c r="R808" s="298"/>
      <c r="S808" s="3"/>
      <c r="T808" s="3"/>
      <c r="W808" s="3"/>
      <c r="X808" s="3"/>
      <c r="Y808" s="3"/>
      <c r="Z808" s="3"/>
      <c r="AA808" s="3"/>
      <c r="AC808" s="298"/>
      <c r="AI808" s="298"/>
    </row>
    <row r="809">
      <c r="B809" s="576"/>
      <c r="C809" s="3"/>
      <c r="D809" s="298"/>
      <c r="F809" s="3"/>
      <c r="R809" s="298"/>
      <c r="S809" s="3"/>
      <c r="T809" s="3"/>
      <c r="W809" s="3"/>
      <c r="X809" s="3"/>
      <c r="Y809" s="3"/>
      <c r="Z809" s="3"/>
      <c r="AA809" s="3"/>
      <c r="AC809" s="298"/>
      <c r="AI809" s="298"/>
    </row>
    <row r="810">
      <c r="B810" s="576"/>
      <c r="C810" s="3"/>
      <c r="D810" s="298"/>
      <c r="F810" s="3"/>
      <c r="R810" s="298"/>
      <c r="S810" s="3"/>
      <c r="T810" s="3"/>
      <c r="W810" s="3"/>
      <c r="X810" s="3"/>
      <c r="Y810" s="3"/>
      <c r="Z810" s="3"/>
      <c r="AA810" s="3"/>
      <c r="AC810" s="298"/>
      <c r="AI810" s="298"/>
    </row>
    <row r="811">
      <c r="B811" s="576"/>
      <c r="C811" s="3"/>
      <c r="D811" s="298"/>
      <c r="F811" s="3"/>
      <c r="R811" s="298"/>
      <c r="S811" s="3"/>
      <c r="T811" s="3"/>
      <c r="W811" s="3"/>
      <c r="X811" s="3"/>
      <c r="Y811" s="3"/>
      <c r="Z811" s="3"/>
      <c r="AA811" s="3"/>
      <c r="AC811" s="298"/>
      <c r="AI811" s="298"/>
    </row>
    <row r="812">
      <c r="B812" s="576"/>
      <c r="C812" s="3"/>
      <c r="D812" s="298"/>
      <c r="F812" s="3"/>
      <c r="R812" s="298"/>
      <c r="S812" s="3"/>
      <c r="T812" s="3"/>
      <c r="W812" s="3"/>
      <c r="X812" s="3"/>
      <c r="Y812" s="3"/>
      <c r="Z812" s="3"/>
      <c r="AA812" s="3"/>
      <c r="AC812" s="298"/>
      <c r="AI812" s="298"/>
    </row>
    <row r="813">
      <c r="B813" s="576"/>
      <c r="C813" s="3"/>
      <c r="D813" s="298"/>
      <c r="F813" s="3"/>
      <c r="R813" s="298"/>
      <c r="S813" s="3"/>
      <c r="T813" s="3"/>
      <c r="W813" s="3"/>
      <c r="X813" s="3"/>
      <c r="Y813" s="3"/>
      <c r="Z813" s="3"/>
      <c r="AA813" s="3"/>
      <c r="AC813" s="298"/>
      <c r="AI813" s="298"/>
    </row>
    <row r="814">
      <c r="B814" s="576"/>
      <c r="C814" s="3"/>
      <c r="D814" s="298"/>
      <c r="F814" s="3"/>
      <c r="R814" s="298"/>
      <c r="S814" s="3"/>
      <c r="T814" s="3"/>
      <c r="W814" s="3"/>
      <c r="X814" s="3"/>
      <c r="Y814" s="3"/>
      <c r="Z814" s="3"/>
      <c r="AA814" s="3"/>
      <c r="AC814" s="298"/>
      <c r="AI814" s="298"/>
    </row>
    <row r="815">
      <c r="B815" s="576"/>
      <c r="C815" s="3"/>
      <c r="D815" s="298"/>
      <c r="F815" s="3"/>
      <c r="R815" s="298"/>
      <c r="S815" s="3"/>
      <c r="T815" s="3"/>
      <c r="W815" s="3"/>
      <c r="X815" s="3"/>
      <c r="Y815" s="3"/>
      <c r="Z815" s="3"/>
      <c r="AA815" s="3"/>
      <c r="AC815" s="298"/>
      <c r="AI815" s="298"/>
    </row>
    <row r="816">
      <c r="B816" s="576"/>
      <c r="C816" s="3"/>
      <c r="D816" s="298"/>
      <c r="F816" s="3"/>
      <c r="R816" s="298"/>
      <c r="S816" s="3"/>
      <c r="T816" s="3"/>
      <c r="W816" s="3"/>
      <c r="X816" s="3"/>
      <c r="Y816" s="3"/>
      <c r="Z816" s="3"/>
      <c r="AA816" s="3"/>
      <c r="AC816" s="298"/>
      <c r="AI816" s="298"/>
    </row>
    <row r="817">
      <c r="B817" s="576"/>
      <c r="C817" s="3"/>
      <c r="D817" s="298"/>
      <c r="F817" s="3"/>
      <c r="R817" s="298"/>
      <c r="S817" s="3"/>
      <c r="T817" s="3"/>
      <c r="W817" s="3"/>
      <c r="X817" s="3"/>
      <c r="Y817" s="3"/>
      <c r="Z817" s="3"/>
      <c r="AA817" s="3"/>
      <c r="AC817" s="298"/>
      <c r="AI817" s="298"/>
    </row>
    <row r="818">
      <c r="B818" s="576"/>
      <c r="C818" s="3"/>
      <c r="D818" s="298"/>
      <c r="F818" s="3"/>
      <c r="R818" s="298"/>
      <c r="S818" s="3"/>
      <c r="T818" s="3"/>
      <c r="W818" s="3"/>
      <c r="X818" s="3"/>
      <c r="Y818" s="3"/>
      <c r="Z818" s="3"/>
      <c r="AA818" s="3"/>
      <c r="AC818" s="298"/>
      <c r="AI818" s="298"/>
    </row>
    <row r="819">
      <c r="B819" s="576"/>
      <c r="C819" s="3"/>
      <c r="D819" s="298"/>
      <c r="F819" s="3"/>
      <c r="R819" s="298"/>
      <c r="S819" s="3"/>
      <c r="T819" s="3"/>
      <c r="W819" s="3"/>
      <c r="X819" s="3"/>
      <c r="Y819" s="3"/>
      <c r="Z819" s="3"/>
      <c r="AA819" s="3"/>
      <c r="AC819" s="298"/>
      <c r="AI819" s="298"/>
    </row>
    <row r="820">
      <c r="B820" s="576"/>
      <c r="C820" s="3"/>
      <c r="D820" s="298"/>
      <c r="F820" s="3"/>
      <c r="R820" s="298"/>
      <c r="S820" s="3"/>
      <c r="T820" s="3"/>
      <c r="W820" s="3"/>
      <c r="X820" s="3"/>
      <c r="Y820" s="3"/>
      <c r="Z820" s="3"/>
      <c r="AA820" s="3"/>
      <c r="AC820" s="298"/>
      <c r="AI820" s="298"/>
    </row>
    <row r="821">
      <c r="B821" s="576"/>
      <c r="C821" s="3"/>
      <c r="D821" s="298"/>
      <c r="F821" s="3"/>
      <c r="R821" s="298"/>
      <c r="S821" s="3"/>
      <c r="T821" s="3"/>
      <c r="W821" s="3"/>
      <c r="X821" s="3"/>
      <c r="Y821" s="3"/>
      <c r="Z821" s="3"/>
      <c r="AA821" s="3"/>
      <c r="AC821" s="298"/>
      <c r="AI821" s="298"/>
    </row>
    <row r="822">
      <c r="B822" s="576"/>
      <c r="C822" s="3"/>
      <c r="D822" s="298"/>
      <c r="F822" s="3"/>
      <c r="R822" s="298"/>
      <c r="S822" s="3"/>
      <c r="T822" s="3"/>
      <c r="W822" s="3"/>
      <c r="X822" s="3"/>
      <c r="Y822" s="3"/>
      <c r="Z822" s="3"/>
      <c r="AA822" s="3"/>
      <c r="AC822" s="298"/>
      <c r="AI822" s="298"/>
    </row>
    <row r="823">
      <c r="B823" s="576"/>
      <c r="C823" s="3"/>
      <c r="D823" s="298"/>
      <c r="F823" s="3"/>
      <c r="R823" s="298"/>
      <c r="S823" s="3"/>
      <c r="T823" s="3"/>
      <c r="W823" s="3"/>
      <c r="X823" s="3"/>
      <c r="Y823" s="3"/>
      <c r="Z823" s="3"/>
      <c r="AA823" s="3"/>
      <c r="AC823" s="298"/>
      <c r="AI823" s="298"/>
    </row>
    <row r="824">
      <c r="B824" s="576"/>
      <c r="C824" s="3"/>
      <c r="D824" s="298"/>
      <c r="F824" s="3"/>
      <c r="R824" s="298"/>
      <c r="S824" s="3"/>
      <c r="T824" s="3"/>
      <c r="W824" s="3"/>
      <c r="X824" s="3"/>
      <c r="Y824" s="3"/>
      <c r="Z824" s="3"/>
      <c r="AA824" s="3"/>
      <c r="AC824" s="298"/>
      <c r="AI824" s="298"/>
    </row>
    <row r="825">
      <c r="B825" s="576"/>
      <c r="C825" s="3"/>
      <c r="D825" s="298"/>
      <c r="F825" s="3"/>
      <c r="R825" s="298"/>
      <c r="S825" s="3"/>
      <c r="T825" s="3"/>
      <c r="W825" s="3"/>
      <c r="X825" s="3"/>
      <c r="Y825" s="3"/>
      <c r="Z825" s="3"/>
      <c r="AA825" s="3"/>
      <c r="AC825" s="298"/>
      <c r="AI825" s="298"/>
    </row>
    <row r="826">
      <c r="B826" s="576"/>
      <c r="C826" s="3"/>
      <c r="D826" s="298"/>
      <c r="F826" s="3"/>
      <c r="R826" s="298"/>
      <c r="S826" s="3"/>
      <c r="T826" s="3"/>
      <c r="W826" s="3"/>
      <c r="X826" s="3"/>
      <c r="Y826" s="3"/>
      <c r="Z826" s="3"/>
      <c r="AA826" s="3"/>
      <c r="AC826" s="298"/>
      <c r="AI826" s="298"/>
    </row>
    <row r="827">
      <c r="B827" s="576"/>
      <c r="C827" s="3"/>
      <c r="D827" s="298"/>
      <c r="F827" s="3"/>
      <c r="R827" s="298"/>
      <c r="S827" s="3"/>
      <c r="T827" s="3"/>
      <c r="W827" s="3"/>
      <c r="X827" s="3"/>
      <c r="Y827" s="3"/>
      <c r="Z827" s="3"/>
      <c r="AA827" s="3"/>
      <c r="AC827" s="298"/>
      <c r="AI827" s="298"/>
    </row>
    <row r="828">
      <c r="B828" s="576"/>
      <c r="C828" s="3"/>
      <c r="D828" s="298"/>
      <c r="F828" s="3"/>
      <c r="R828" s="298"/>
      <c r="S828" s="3"/>
      <c r="T828" s="3"/>
      <c r="W828" s="3"/>
      <c r="X828" s="3"/>
      <c r="Y828" s="3"/>
      <c r="Z828" s="3"/>
      <c r="AA828" s="3"/>
      <c r="AC828" s="298"/>
      <c r="AI828" s="298"/>
    </row>
    <row r="829">
      <c r="B829" s="576"/>
      <c r="C829" s="3"/>
      <c r="D829" s="298"/>
      <c r="F829" s="3"/>
      <c r="R829" s="298"/>
      <c r="S829" s="3"/>
      <c r="T829" s="3"/>
      <c r="W829" s="3"/>
      <c r="X829" s="3"/>
      <c r="Y829" s="3"/>
      <c r="Z829" s="3"/>
      <c r="AA829" s="3"/>
      <c r="AC829" s="298"/>
      <c r="AI829" s="298"/>
    </row>
    <row r="830">
      <c r="B830" s="576"/>
      <c r="C830" s="3"/>
      <c r="D830" s="298"/>
      <c r="F830" s="3"/>
      <c r="R830" s="298"/>
      <c r="S830" s="3"/>
      <c r="T830" s="3"/>
      <c r="W830" s="3"/>
      <c r="X830" s="3"/>
      <c r="Y830" s="3"/>
      <c r="Z830" s="3"/>
      <c r="AA830" s="3"/>
      <c r="AC830" s="298"/>
      <c r="AI830" s="298"/>
    </row>
    <row r="831">
      <c r="B831" s="576"/>
      <c r="C831" s="3"/>
      <c r="D831" s="298"/>
      <c r="F831" s="3"/>
      <c r="R831" s="298"/>
      <c r="S831" s="3"/>
      <c r="T831" s="3"/>
      <c r="W831" s="3"/>
      <c r="X831" s="3"/>
      <c r="Y831" s="3"/>
      <c r="Z831" s="3"/>
      <c r="AA831" s="3"/>
      <c r="AC831" s="298"/>
      <c r="AI831" s="298"/>
    </row>
    <row r="832">
      <c r="B832" s="576"/>
      <c r="C832" s="3"/>
      <c r="D832" s="298"/>
      <c r="F832" s="3"/>
      <c r="R832" s="298"/>
      <c r="S832" s="3"/>
      <c r="T832" s="3"/>
      <c r="W832" s="3"/>
      <c r="X832" s="3"/>
      <c r="Y832" s="3"/>
      <c r="Z832" s="3"/>
      <c r="AA832" s="3"/>
      <c r="AC832" s="298"/>
      <c r="AI832" s="298"/>
    </row>
    <row r="833">
      <c r="B833" s="576"/>
      <c r="C833" s="3"/>
      <c r="D833" s="298"/>
      <c r="F833" s="3"/>
      <c r="R833" s="298"/>
      <c r="S833" s="3"/>
      <c r="T833" s="3"/>
      <c r="W833" s="3"/>
      <c r="X833" s="3"/>
      <c r="Y833" s="3"/>
      <c r="Z833" s="3"/>
      <c r="AA833" s="3"/>
      <c r="AC833" s="298"/>
      <c r="AI833" s="298"/>
    </row>
    <row r="834">
      <c r="B834" s="576"/>
      <c r="C834" s="3"/>
      <c r="D834" s="298"/>
      <c r="F834" s="3"/>
      <c r="R834" s="298"/>
      <c r="S834" s="3"/>
      <c r="T834" s="3"/>
      <c r="W834" s="3"/>
      <c r="X834" s="3"/>
      <c r="Y834" s="3"/>
      <c r="Z834" s="3"/>
      <c r="AA834" s="3"/>
      <c r="AC834" s="298"/>
      <c r="AI834" s="298"/>
    </row>
    <row r="835">
      <c r="B835" s="576"/>
      <c r="C835" s="3"/>
      <c r="D835" s="298"/>
      <c r="F835" s="3"/>
      <c r="R835" s="298"/>
      <c r="S835" s="3"/>
      <c r="T835" s="3"/>
      <c r="W835" s="3"/>
      <c r="X835" s="3"/>
      <c r="Y835" s="3"/>
      <c r="Z835" s="3"/>
      <c r="AA835" s="3"/>
      <c r="AC835" s="298"/>
      <c r="AI835" s="298"/>
    </row>
    <row r="836">
      <c r="B836" s="576"/>
      <c r="C836" s="3"/>
      <c r="D836" s="298"/>
      <c r="F836" s="3"/>
      <c r="R836" s="298"/>
      <c r="S836" s="3"/>
      <c r="T836" s="3"/>
      <c r="W836" s="3"/>
      <c r="X836" s="3"/>
      <c r="Y836" s="3"/>
      <c r="Z836" s="3"/>
      <c r="AA836" s="3"/>
      <c r="AC836" s="298"/>
      <c r="AI836" s="298"/>
    </row>
    <row r="837">
      <c r="B837" s="576"/>
      <c r="C837" s="3"/>
      <c r="D837" s="298"/>
      <c r="F837" s="3"/>
      <c r="R837" s="298"/>
      <c r="S837" s="3"/>
      <c r="T837" s="3"/>
      <c r="W837" s="3"/>
      <c r="X837" s="3"/>
      <c r="Y837" s="3"/>
      <c r="Z837" s="3"/>
      <c r="AA837" s="3"/>
      <c r="AC837" s="298"/>
      <c r="AI837" s="298"/>
    </row>
    <row r="838">
      <c r="B838" s="576"/>
      <c r="C838" s="3"/>
      <c r="D838" s="298"/>
      <c r="F838" s="3"/>
      <c r="R838" s="298"/>
      <c r="S838" s="3"/>
      <c r="T838" s="3"/>
      <c r="W838" s="3"/>
      <c r="X838" s="3"/>
      <c r="Y838" s="3"/>
      <c r="Z838" s="3"/>
      <c r="AA838" s="3"/>
      <c r="AC838" s="298"/>
      <c r="AI838" s="298"/>
    </row>
    <row r="839">
      <c r="B839" s="576"/>
      <c r="C839" s="3"/>
      <c r="D839" s="298"/>
      <c r="F839" s="3"/>
      <c r="R839" s="298"/>
      <c r="S839" s="3"/>
      <c r="T839" s="3"/>
      <c r="W839" s="3"/>
      <c r="X839" s="3"/>
      <c r="Y839" s="3"/>
      <c r="Z839" s="3"/>
      <c r="AA839" s="3"/>
      <c r="AC839" s="298"/>
      <c r="AI839" s="298"/>
    </row>
    <row r="840">
      <c r="B840" s="576"/>
      <c r="C840" s="3"/>
      <c r="D840" s="298"/>
      <c r="F840" s="3"/>
      <c r="R840" s="298"/>
      <c r="S840" s="3"/>
      <c r="T840" s="3"/>
      <c r="W840" s="3"/>
      <c r="X840" s="3"/>
      <c r="Y840" s="3"/>
      <c r="Z840" s="3"/>
      <c r="AA840" s="3"/>
      <c r="AC840" s="298"/>
      <c r="AI840" s="298"/>
    </row>
    <row r="841">
      <c r="B841" s="576"/>
      <c r="C841" s="3"/>
      <c r="D841" s="298"/>
      <c r="F841" s="3"/>
      <c r="R841" s="298"/>
      <c r="S841" s="3"/>
      <c r="T841" s="3"/>
      <c r="W841" s="3"/>
      <c r="X841" s="3"/>
      <c r="Y841" s="3"/>
      <c r="Z841" s="3"/>
      <c r="AA841" s="3"/>
      <c r="AC841" s="298"/>
      <c r="AI841" s="298"/>
    </row>
    <row r="842">
      <c r="B842" s="576"/>
      <c r="C842" s="3"/>
      <c r="D842" s="298"/>
      <c r="F842" s="3"/>
      <c r="R842" s="298"/>
      <c r="S842" s="3"/>
      <c r="T842" s="3"/>
      <c r="W842" s="3"/>
      <c r="X842" s="3"/>
      <c r="Y842" s="3"/>
      <c r="Z842" s="3"/>
      <c r="AA842" s="3"/>
      <c r="AC842" s="298"/>
      <c r="AI842" s="298"/>
    </row>
    <row r="843">
      <c r="B843" s="576"/>
      <c r="C843" s="3"/>
      <c r="D843" s="298"/>
      <c r="F843" s="3"/>
      <c r="R843" s="298"/>
      <c r="S843" s="3"/>
      <c r="T843" s="3"/>
      <c r="W843" s="3"/>
      <c r="X843" s="3"/>
      <c r="Y843" s="3"/>
      <c r="Z843" s="3"/>
      <c r="AA843" s="3"/>
      <c r="AC843" s="298"/>
      <c r="AI843" s="298"/>
    </row>
    <row r="844">
      <c r="B844" s="576"/>
      <c r="C844" s="3"/>
      <c r="D844" s="298"/>
      <c r="F844" s="3"/>
      <c r="R844" s="298"/>
      <c r="S844" s="3"/>
      <c r="T844" s="3"/>
      <c r="W844" s="3"/>
      <c r="X844" s="3"/>
      <c r="Y844" s="3"/>
      <c r="Z844" s="3"/>
      <c r="AA844" s="3"/>
      <c r="AC844" s="298"/>
      <c r="AI844" s="298"/>
    </row>
    <row r="845">
      <c r="B845" s="576"/>
      <c r="C845" s="3"/>
      <c r="D845" s="298"/>
      <c r="F845" s="3"/>
      <c r="R845" s="298"/>
      <c r="S845" s="3"/>
      <c r="T845" s="3"/>
      <c r="W845" s="3"/>
      <c r="X845" s="3"/>
      <c r="Y845" s="3"/>
      <c r="Z845" s="3"/>
      <c r="AA845" s="3"/>
      <c r="AC845" s="298"/>
      <c r="AI845" s="298"/>
    </row>
    <row r="846">
      <c r="B846" s="576"/>
      <c r="C846" s="3"/>
      <c r="D846" s="298"/>
      <c r="F846" s="3"/>
      <c r="R846" s="298"/>
      <c r="S846" s="3"/>
      <c r="T846" s="3"/>
      <c r="W846" s="3"/>
      <c r="X846" s="3"/>
      <c r="Y846" s="3"/>
      <c r="Z846" s="3"/>
      <c r="AA846" s="3"/>
      <c r="AC846" s="298"/>
      <c r="AI846" s="298"/>
    </row>
    <row r="847">
      <c r="B847" s="576"/>
      <c r="C847" s="3"/>
      <c r="D847" s="298"/>
      <c r="F847" s="3"/>
      <c r="R847" s="298"/>
      <c r="S847" s="3"/>
      <c r="T847" s="3"/>
      <c r="W847" s="3"/>
      <c r="X847" s="3"/>
      <c r="Y847" s="3"/>
      <c r="Z847" s="3"/>
      <c r="AA847" s="3"/>
      <c r="AC847" s="298"/>
      <c r="AI847" s="298"/>
    </row>
    <row r="848">
      <c r="B848" s="576"/>
      <c r="C848" s="3"/>
      <c r="D848" s="298"/>
      <c r="F848" s="3"/>
      <c r="R848" s="298"/>
      <c r="S848" s="3"/>
      <c r="T848" s="3"/>
      <c r="W848" s="3"/>
      <c r="X848" s="3"/>
      <c r="Y848" s="3"/>
      <c r="Z848" s="3"/>
      <c r="AA848" s="3"/>
      <c r="AC848" s="298"/>
      <c r="AI848" s="298"/>
    </row>
    <row r="849">
      <c r="B849" s="576"/>
      <c r="C849" s="3"/>
      <c r="D849" s="298"/>
      <c r="F849" s="3"/>
      <c r="R849" s="298"/>
      <c r="S849" s="3"/>
      <c r="T849" s="3"/>
      <c r="W849" s="3"/>
      <c r="X849" s="3"/>
      <c r="Y849" s="3"/>
      <c r="Z849" s="3"/>
      <c r="AA849" s="3"/>
      <c r="AC849" s="298"/>
      <c r="AI849" s="298"/>
    </row>
    <row r="850">
      <c r="B850" s="576"/>
      <c r="C850" s="3"/>
      <c r="D850" s="298"/>
      <c r="F850" s="3"/>
      <c r="R850" s="298"/>
      <c r="S850" s="3"/>
      <c r="T850" s="3"/>
      <c r="W850" s="3"/>
      <c r="X850" s="3"/>
      <c r="Y850" s="3"/>
      <c r="Z850" s="3"/>
      <c r="AA850" s="3"/>
      <c r="AC850" s="298"/>
      <c r="AI850" s="298"/>
    </row>
    <row r="851">
      <c r="B851" s="576"/>
      <c r="C851" s="3"/>
      <c r="D851" s="298"/>
      <c r="F851" s="3"/>
      <c r="R851" s="298"/>
      <c r="S851" s="3"/>
      <c r="T851" s="3"/>
      <c r="W851" s="3"/>
      <c r="X851" s="3"/>
      <c r="Y851" s="3"/>
      <c r="Z851" s="3"/>
      <c r="AA851" s="3"/>
      <c r="AC851" s="298"/>
      <c r="AI851" s="298"/>
    </row>
    <row r="852">
      <c r="B852" s="576"/>
      <c r="C852" s="3"/>
      <c r="D852" s="298"/>
      <c r="F852" s="3"/>
      <c r="R852" s="298"/>
      <c r="S852" s="3"/>
      <c r="T852" s="3"/>
      <c r="W852" s="3"/>
      <c r="X852" s="3"/>
      <c r="Y852" s="3"/>
      <c r="Z852" s="3"/>
      <c r="AA852" s="3"/>
      <c r="AC852" s="298"/>
      <c r="AI852" s="298"/>
    </row>
    <row r="853">
      <c r="B853" s="576"/>
      <c r="C853" s="3"/>
      <c r="D853" s="298"/>
      <c r="F853" s="3"/>
      <c r="R853" s="298"/>
      <c r="S853" s="3"/>
      <c r="T853" s="3"/>
      <c r="W853" s="3"/>
      <c r="X853" s="3"/>
      <c r="Y853" s="3"/>
      <c r="Z853" s="3"/>
      <c r="AA853" s="3"/>
      <c r="AC853" s="298"/>
      <c r="AI853" s="298"/>
    </row>
    <row r="854">
      <c r="B854" s="576"/>
      <c r="C854" s="3"/>
      <c r="D854" s="298"/>
      <c r="F854" s="3"/>
      <c r="R854" s="298"/>
      <c r="S854" s="3"/>
      <c r="T854" s="3"/>
      <c r="W854" s="3"/>
      <c r="X854" s="3"/>
      <c r="Y854" s="3"/>
      <c r="Z854" s="3"/>
      <c r="AA854" s="3"/>
      <c r="AC854" s="298"/>
      <c r="AI854" s="298"/>
    </row>
    <row r="855">
      <c r="B855" s="576"/>
      <c r="C855" s="3"/>
      <c r="D855" s="298"/>
      <c r="F855" s="3"/>
      <c r="R855" s="298"/>
      <c r="S855" s="3"/>
      <c r="T855" s="3"/>
      <c r="W855" s="3"/>
      <c r="X855" s="3"/>
      <c r="Y855" s="3"/>
      <c r="Z855" s="3"/>
      <c r="AA855" s="3"/>
      <c r="AC855" s="298"/>
      <c r="AI855" s="298"/>
    </row>
    <row r="856">
      <c r="B856" s="576"/>
      <c r="C856" s="3"/>
      <c r="D856" s="298"/>
      <c r="F856" s="3"/>
      <c r="R856" s="298"/>
      <c r="S856" s="3"/>
      <c r="T856" s="3"/>
      <c r="W856" s="3"/>
      <c r="X856" s="3"/>
      <c r="Y856" s="3"/>
      <c r="Z856" s="3"/>
      <c r="AA856" s="3"/>
      <c r="AC856" s="298"/>
      <c r="AI856" s="298"/>
    </row>
    <row r="857">
      <c r="B857" s="576"/>
      <c r="C857" s="3"/>
      <c r="D857" s="298"/>
      <c r="F857" s="3"/>
      <c r="R857" s="298"/>
      <c r="S857" s="3"/>
      <c r="T857" s="3"/>
      <c r="W857" s="3"/>
      <c r="X857" s="3"/>
      <c r="Y857" s="3"/>
      <c r="Z857" s="3"/>
      <c r="AA857" s="3"/>
      <c r="AC857" s="298"/>
      <c r="AI857" s="298"/>
    </row>
    <row r="858">
      <c r="B858" s="576"/>
      <c r="C858" s="3"/>
      <c r="D858" s="298"/>
      <c r="F858" s="3"/>
      <c r="R858" s="298"/>
      <c r="S858" s="3"/>
      <c r="T858" s="3"/>
      <c r="W858" s="3"/>
      <c r="X858" s="3"/>
      <c r="Y858" s="3"/>
      <c r="Z858" s="3"/>
      <c r="AA858" s="3"/>
      <c r="AC858" s="298"/>
      <c r="AI858" s="298"/>
    </row>
    <row r="859">
      <c r="B859" s="576"/>
      <c r="C859" s="3"/>
      <c r="D859" s="298"/>
      <c r="F859" s="3"/>
      <c r="R859" s="298"/>
      <c r="S859" s="3"/>
      <c r="T859" s="3"/>
      <c r="W859" s="3"/>
      <c r="X859" s="3"/>
      <c r="Y859" s="3"/>
      <c r="Z859" s="3"/>
      <c r="AA859" s="3"/>
      <c r="AC859" s="298"/>
      <c r="AI859" s="298"/>
    </row>
    <row r="860">
      <c r="B860" s="576"/>
      <c r="C860" s="3"/>
      <c r="D860" s="298"/>
      <c r="F860" s="3"/>
      <c r="R860" s="298"/>
      <c r="S860" s="3"/>
      <c r="T860" s="3"/>
      <c r="W860" s="3"/>
      <c r="X860" s="3"/>
      <c r="Y860" s="3"/>
      <c r="Z860" s="3"/>
      <c r="AA860" s="3"/>
      <c r="AC860" s="298"/>
      <c r="AI860" s="298"/>
    </row>
    <row r="861">
      <c r="B861" s="576"/>
      <c r="C861" s="3"/>
      <c r="D861" s="298"/>
      <c r="F861" s="3"/>
      <c r="R861" s="298"/>
      <c r="S861" s="3"/>
      <c r="T861" s="3"/>
      <c r="W861" s="3"/>
      <c r="X861" s="3"/>
      <c r="Y861" s="3"/>
      <c r="Z861" s="3"/>
      <c r="AA861" s="3"/>
      <c r="AC861" s="298"/>
      <c r="AI861" s="298"/>
    </row>
    <row r="862">
      <c r="B862" s="576"/>
      <c r="C862" s="3"/>
      <c r="D862" s="298"/>
      <c r="F862" s="3"/>
      <c r="R862" s="298"/>
      <c r="S862" s="3"/>
      <c r="T862" s="3"/>
      <c r="W862" s="3"/>
      <c r="X862" s="3"/>
      <c r="Y862" s="3"/>
      <c r="Z862" s="3"/>
      <c r="AA862" s="3"/>
      <c r="AC862" s="298"/>
      <c r="AI862" s="298"/>
    </row>
    <row r="863">
      <c r="B863" s="576"/>
      <c r="C863" s="3"/>
      <c r="D863" s="298"/>
      <c r="F863" s="3"/>
      <c r="R863" s="298"/>
      <c r="S863" s="3"/>
      <c r="T863" s="3"/>
      <c r="W863" s="3"/>
      <c r="X863" s="3"/>
      <c r="Y863" s="3"/>
      <c r="Z863" s="3"/>
      <c r="AA863" s="3"/>
      <c r="AC863" s="298"/>
      <c r="AI863" s="298"/>
    </row>
    <row r="864">
      <c r="B864" s="576"/>
      <c r="C864" s="3"/>
      <c r="D864" s="298"/>
      <c r="F864" s="3"/>
      <c r="R864" s="298"/>
      <c r="S864" s="3"/>
      <c r="T864" s="3"/>
      <c r="W864" s="3"/>
      <c r="X864" s="3"/>
      <c r="Y864" s="3"/>
      <c r="Z864" s="3"/>
      <c r="AA864" s="3"/>
      <c r="AC864" s="298"/>
      <c r="AI864" s="298"/>
    </row>
    <row r="865">
      <c r="B865" s="576"/>
      <c r="C865" s="3"/>
      <c r="D865" s="298"/>
      <c r="F865" s="3"/>
      <c r="R865" s="298"/>
      <c r="S865" s="3"/>
      <c r="T865" s="3"/>
      <c r="W865" s="3"/>
      <c r="X865" s="3"/>
      <c r="Y865" s="3"/>
      <c r="Z865" s="3"/>
      <c r="AA865" s="3"/>
      <c r="AC865" s="298"/>
      <c r="AI865" s="298"/>
    </row>
    <row r="866">
      <c r="B866" s="576"/>
      <c r="C866" s="3"/>
      <c r="D866" s="298"/>
      <c r="F866" s="3"/>
      <c r="R866" s="298"/>
      <c r="S866" s="3"/>
      <c r="T866" s="3"/>
      <c r="W866" s="3"/>
      <c r="X866" s="3"/>
      <c r="Y866" s="3"/>
      <c r="Z866" s="3"/>
      <c r="AA866" s="3"/>
      <c r="AC866" s="298"/>
      <c r="AI866" s="298"/>
    </row>
    <row r="867">
      <c r="B867" s="576"/>
      <c r="C867" s="3"/>
      <c r="D867" s="298"/>
      <c r="F867" s="3"/>
      <c r="R867" s="298"/>
      <c r="S867" s="3"/>
      <c r="T867" s="3"/>
      <c r="W867" s="3"/>
      <c r="X867" s="3"/>
      <c r="Y867" s="3"/>
      <c r="Z867" s="3"/>
      <c r="AA867" s="3"/>
      <c r="AC867" s="298"/>
      <c r="AI867" s="298"/>
    </row>
    <row r="868">
      <c r="B868" s="576"/>
      <c r="C868" s="3"/>
      <c r="D868" s="298"/>
      <c r="F868" s="3"/>
      <c r="R868" s="298"/>
      <c r="S868" s="3"/>
      <c r="T868" s="3"/>
      <c r="W868" s="3"/>
      <c r="X868" s="3"/>
      <c r="Y868" s="3"/>
      <c r="Z868" s="3"/>
      <c r="AA868" s="3"/>
      <c r="AC868" s="298"/>
      <c r="AI868" s="298"/>
    </row>
    <row r="869">
      <c r="B869" s="576"/>
      <c r="C869" s="3"/>
      <c r="D869" s="298"/>
      <c r="F869" s="3"/>
      <c r="R869" s="298"/>
      <c r="S869" s="3"/>
      <c r="T869" s="3"/>
      <c r="W869" s="3"/>
      <c r="X869" s="3"/>
      <c r="Y869" s="3"/>
      <c r="Z869" s="3"/>
      <c r="AA869" s="3"/>
      <c r="AC869" s="298"/>
      <c r="AI869" s="298"/>
    </row>
    <row r="870">
      <c r="B870" s="576"/>
      <c r="C870" s="3"/>
      <c r="D870" s="298"/>
      <c r="F870" s="3"/>
      <c r="R870" s="298"/>
      <c r="S870" s="3"/>
      <c r="T870" s="3"/>
      <c r="W870" s="3"/>
      <c r="X870" s="3"/>
      <c r="Y870" s="3"/>
      <c r="Z870" s="3"/>
      <c r="AA870" s="3"/>
      <c r="AC870" s="298"/>
      <c r="AI870" s="298"/>
    </row>
    <row r="871">
      <c r="B871" s="576"/>
      <c r="C871" s="3"/>
      <c r="D871" s="298"/>
      <c r="F871" s="3"/>
      <c r="R871" s="298"/>
      <c r="S871" s="3"/>
      <c r="T871" s="3"/>
      <c r="W871" s="3"/>
      <c r="X871" s="3"/>
      <c r="Y871" s="3"/>
      <c r="Z871" s="3"/>
      <c r="AA871" s="3"/>
      <c r="AC871" s="298"/>
      <c r="AI871" s="298"/>
    </row>
    <row r="872">
      <c r="B872" s="576"/>
      <c r="C872" s="3"/>
      <c r="D872" s="298"/>
      <c r="F872" s="3"/>
      <c r="R872" s="298"/>
      <c r="S872" s="3"/>
      <c r="T872" s="3"/>
      <c r="W872" s="3"/>
      <c r="X872" s="3"/>
      <c r="Y872" s="3"/>
      <c r="Z872" s="3"/>
      <c r="AA872" s="3"/>
      <c r="AC872" s="298"/>
      <c r="AI872" s="298"/>
    </row>
    <row r="873">
      <c r="B873" s="576"/>
      <c r="C873" s="3"/>
      <c r="D873" s="298"/>
      <c r="F873" s="3"/>
      <c r="R873" s="298"/>
      <c r="S873" s="3"/>
      <c r="T873" s="3"/>
      <c r="W873" s="3"/>
      <c r="X873" s="3"/>
      <c r="Y873" s="3"/>
      <c r="Z873" s="3"/>
      <c r="AA873" s="3"/>
      <c r="AC873" s="298"/>
      <c r="AI873" s="298"/>
    </row>
    <row r="874">
      <c r="B874" s="576"/>
      <c r="C874" s="3"/>
      <c r="D874" s="298"/>
      <c r="F874" s="3"/>
      <c r="R874" s="298"/>
      <c r="S874" s="3"/>
      <c r="T874" s="3"/>
      <c r="W874" s="3"/>
      <c r="X874" s="3"/>
      <c r="Y874" s="3"/>
      <c r="Z874" s="3"/>
      <c r="AA874" s="3"/>
      <c r="AC874" s="298"/>
      <c r="AI874" s="298"/>
    </row>
    <row r="875">
      <c r="B875" s="576"/>
      <c r="C875" s="3"/>
      <c r="D875" s="298"/>
      <c r="F875" s="3"/>
      <c r="R875" s="298"/>
      <c r="S875" s="3"/>
      <c r="T875" s="3"/>
      <c r="W875" s="3"/>
      <c r="X875" s="3"/>
      <c r="Y875" s="3"/>
      <c r="Z875" s="3"/>
      <c r="AA875" s="3"/>
      <c r="AC875" s="298"/>
      <c r="AI875" s="298"/>
    </row>
    <row r="876">
      <c r="B876" s="576"/>
      <c r="C876" s="3"/>
      <c r="D876" s="298"/>
      <c r="F876" s="3"/>
      <c r="R876" s="298"/>
      <c r="S876" s="3"/>
      <c r="T876" s="3"/>
      <c r="W876" s="3"/>
      <c r="X876" s="3"/>
      <c r="Y876" s="3"/>
      <c r="Z876" s="3"/>
      <c r="AA876" s="3"/>
      <c r="AC876" s="298"/>
      <c r="AI876" s="298"/>
    </row>
    <row r="877">
      <c r="B877" s="576"/>
      <c r="C877" s="3"/>
      <c r="D877" s="298"/>
      <c r="F877" s="3"/>
      <c r="R877" s="298"/>
      <c r="S877" s="3"/>
      <c r="T877" s="3"/>
      <c r="W877" s="3"/>
      <c r="X877" s="3"/>
      <c r="Y877" s="3"/>
      <c r="Z877" s="3"/>
      <c r="AA877" s="3"/>
      <c r="AC877" s="298"/>
      <c r="AI877" s="298"/>
    </row>
    <row r="878">
      <c r="B878" s="576"/>
      <c r="C878" s="3"/>
      <c r="D878" s="298"/>
      <c r="F878" s="3"/>
      <c r="R878" s="298"/>
      <c r="S878" s="3"/>
      <c r="T878" s="3"/>
      <c r="W878" s="3"/>
      <c r="X878" s="3"/>
      <c r="Y878" s="3"/>
      <c r="Z878" s="3"/>
      <c r="AA878" s="3"/>
      <c r="AC878" s="298"/>
      <c r="AI878" s="298"/>
    </row>
    <row r="879">
      <c r="B879" s="576"/>
      <c r="C879" s="3"/>
      <c r="D879" s="298"/>
      <c r="F879" s="3"/>
      <c r="R879" s="298"/>
      <c r="S879" s="3"/>
      <c r="T879" s="3"/>
      <c r="W879" s="3"/>
      <c r="X879" s="3"/>
      <c r="Y879" s="3"/>
      <c r="Z879" s="3"/>
      <c r="AA879" s="3"/>
      <c r="AC879" s="298"/>
      <c r="AI879" s="298"/>
    </row>
    <row r="880">
      <c r="B880" s="576"/>
      <c r="C880" s="3"/>
      <c r="D880" s="298"/>
      <c r="F880" s="3"/>
      <c r="R880" s="298"/>
      <c r="S880" s="3"/>
      <c r="T880" s="3"/>
      <c r="W880" s="3"/>
      <c r="X880" s="3"/>
      <c r="Y880" s="3"/>
      <c r="Z880" s="3"/>
      <c r="AA880" s="3"/>
      <c r="AC880" s="298"/>
      <c r="AI880" s="298"/>
    </row>
    <row r="881">
      <c r="B881" s="576"/>
      <c r="C881" s="3"/>
      <c r="D881" s="298"/>
      <c r="F881" s="3"/>
      <c r="R881" s="298"/>
      <c r="S881" s="3"/>
      <c r="T881" s="3"/>
      <c r="W881" s="3"/>
      <c r="X881" s="3"/>
      <c r="Y881" s="3"/>
      <c r="Z881" s="3"/>
      <c r="AA881" s="3"/>
      <c r="AC881" s="298"/>
      <c r="AI881" s="298"/>
    </row>
    <row r="882">
      <c r="B882" s="576"/>
      <c r="C882" s="3"/>
      <c r="D882" s="298"/>
      <c r="F882" s="3"/>
      <c r="R882" s="298"/>
      <c r="S882" s="3"/>
      <c r="T882" s="3"/>
      <c r="W882" s="3"/>
      <c r="X882" s="3"/>
      <c r="Y882" s="3"/>
      <c r="Z882" s="3"/>
      <c r="AA882" s="3"/>
      <c r="AC882" s="298"/>
      <c r="AI882" s="298"/>
    </row>
    <row r="883">
      <c r="B883" s="576"/>
      <c r="C883" s="3"/>
      <c r="D883" s="298"/>
      <c r="F883" s="3"/>
      <c r="R883" s="298"/>
      <c r="S883" s="3"/>
      <c r="T883" s="3"/>
      <c r="W883" s="3"/>
      <c r="X883" s="3"/>
      <c r="Y883" s="3"/>
      <c r="Z883" s="3"/>
      <c r="AA883" s="3"/>
      <c r="AC883" s="298"/>
      <c r="AI883" s="298"/>
    </row>
    <row r="884">
      <c r="B884" s="576"/>
      <c r="C884" s="3"/>
      <c r="D884" s="298"/>
      <c r="F884" s="3"/>
      <c r="R884" s="298"/>
      <c r="S884" s="3"/>
      <c r="T884" s="3"/>
      <c r="W884" s="3"/>
      <c r="X884" s="3"/>
      <c r="Y884" s="3"/>
      <c r="Z884" s="3"/>
      <c r="AA884" s="3"/>
      <c r="AC884" s="298"/>
      <c r="AI884" s="298"/>
    </row>
    <row r="885">
      <c r="B885" s="576"/>
      <c r="C885" s="3"/>
      <c r="D885" s="298"/>
      <c r="F885" s="3"/>
      <c r="R885" s="298"/>
      <c r="S885" s="3"/>
      <c r="T885" s="3"/>
      <c r="W885" s="3"/>
      <c r="X885" s="3"/>
      <c r="Y885" s="3"/>
      <c r="Z885" s="3"/>
      <c r="AA885" s="3"/>
      <c r="AC885" s="298"/>
      <c r="AI885" s="298"/>
    </row>
    <row r="886">
      <c r="B886" s="576"/>
      <c r="C886" s="3"/>
      <c r="D886" s="298"/>
      <c r="F886" s="3"/>
      <c r="R886" s="298"/>
      <c r="S886" s="3"/>
      <c r="T886" s="3"/>
      <c r="W886" s="3"/>
      <c r="X886" s="3"/>
      <c r="Y886" s="3"/>
      <c r="Z886" s="3"/>
      <c r="AA886" s="3"/>
      <c r="AC886" s="298"/>
      <c r="AI886" s="298"/>
    </row>
    <row r="887">
      <c r="B887" s="576"/>
      <c r="C887" s="3"/>
      <c r="D887" s="298"/>
      <c r="F887" s="3"/>
      <c r="R887" s="298"/>
      <c r="S887" s="3"/>
      <c r="T887" s="3"/>
      <c r="W887" s="3"/>
      <c r="X887" s="3"/>
      <c r="Y887" s="3"/>
      <c r="Z887" s="3"/>
      <c r="AA887" s="3"/>
      <c r="AC887" s="298"/>
      <c r="AI887" s="298"/>
    </row>
    <row r="888">
      <c r="B888" s="576"/>
      <c r="C888" s="3"/>
      <c r="D888" s="298"/>
      <c r="F888" s="3"/>
      <c r="R888" s="298"/>
      <c r="S888" s="3"/>
      <c r="T888" s="3"/>
      <c r="W888" s="3"/>
      <c r="X888" s="3"/>
      <c r="Y888" s="3"/>
      <c r="Z888" s="3"/>
      <c r="AA888" s="3"/>
      <c r="AC888" s="298"/>
      <c r="AI888" s="298"/>
    </row>
    <row r="889">
      <c r="B889" s="576"/>
      <c r="C889" s="3"/>
      <c r="D889" s="298"/>
      <c r="F889" s="3"/>
      <c r="R889" s="298"/>
      <c r="S889" s="3"/>
      <c r="T889" s="3"/>
      <c r="W889" s="3"/>
      <c r="X889" s="3"/>
      <c r="Y889" s="3"/>
      <c r="Z889" s="3"/>
      <c r="AA889" s="3"/>
      <c r="AC889" s="298"/>
      <c r="AI889" s="298"/>
    </row>
    <row r="890">
      <c r="B890" s="576"/>
      <c r="C890" s="3"/>
      <c r="D890" s="298"/>
      <c r="F890" s="3"/>
      <c r="R890" s="298"/>
      <c r="S890" s="3"/>
      <c r="T890" s="3"/>
      <c r="W890" s="3"/>
      <c r="X890" s="3"/>
      <c r="Y890" s="3"/>
      <c r="Z890" s="3"/>
      <c r="AA890" s="3"/>
      <c r="AC890" s="298"/>
      <c r="AI890" s="298"/>
    </row>
    <row r="891">
      <c r="B891" s="576"/>
      <c r="C891" s="3"/>
      <c r="D891" s="298"/>
      <c r="F891" s="3"/>
      <c r="R891" s="298"/>
      <c r="S891" s="3"/>
      <c r="T891" s="3"/>
      <c r="W891" s="3"/>
      <c r="X891" s="3"/>
      <c r="Y891" s="3"/>
      <c r="Z891" s="3"/>
      <c r="AA891" s="3"/>
      <c r="AC891" s="298"/>
      <c r="AI891" s="298"/>
    </row>
    <row r="892">
      <c r="B892" s="576"/>
      <c r="C892" s="3"/>
      <c r="D892" s="298"/>
      <c r="F892" s="3"/>
      <c r="R892" s="298"/>
      <c r="S892" s="3"/>
      <c r="T892" s="3"/>
      <c r="W892" s="3"/>
      <c r="X892" s="3"/>
      <c r="Y892" s="3"/>
      <c r="Z892" s="3"/>
      <c r="AA892" s="3"/>
      <c r="AC892" s="298"/>
      <c r="AI892" s="298"/>
    </row>
    <row r="893">
      <c r="B893" s="576"/>
      <c r="C893" s="3"/>
      <c r="D893" s="298"/>
      <c r="F893" s="3"/>
      <c r="R893" s="298"/>
      <c r="S893" s="3"/>
      <c r="T893" s="3"/>
      <c r="W893" s="3"/>
      <c r="X893" s="3"/>
      <c r="Y893" s="3"/>
      <c r="Z893" s="3"/>
      <c r="AA893" s="3"/>
      <c r="AC893" s="298"/>
      <c r="AI893" s="298"/>
    </row>
    <row r="894">
      <c r="B894" s="576"/>
      <c r="C894" s="3"/>
      <c r="D894" s="298"/>
      <c r="F894" s="3"/>
      <c r="R894" s="298"/>
      <c r="S894" s="3"/>
      <c r="T894" s="3"/>
      <c r="W894" s="3"/>
      <c r="X894" s="3"/>
      <c r="Y894" s="3"/>
      <c r="Z894" s="3"/>
      <c r="AA894" s="3"/>
      <c r="AC894" s="298"/>
      <c r="AI894" s="298"/>
    </row>
    <row r="895">
      <c r="B895" s="576"/>
      <c r="C895" s="3"/>
      <c r="D895" s="298"/>
      <c r="F895" s="3"/>
      <c r="R895" s="298"/>
      <c r="S895" s="3"/>
      <c r="T895" s="3"/>
      <c r="W895" s="3"/>
      <c r="X895" s="3"/>
      <c r="Y895" s="3"/>
      <c r="Z895" s="3"/>
      <c r="AA895" s="3"/>
      <c r="AC895" s="298"/>
      <c r="AI895" s="298"/>
    </row>
    <row r="896">
      <c r="B896" s="576"/>
      <c r="C896" s="3"/>
      <c r="D896" s="298"/>
      <c r="F896" s="3"/>
      <c r="R896" s="298"/>
      <c r="S896" s="3"/>
      <c r="T896" s="3"/>
      <c r="W896" s="3"/>
      <c r="X896" s="3"/>
      <c r="Y896" s="3"/>
      <c r="Z896" s="3"/>
      <c r="AA896" s="3"/>
      <c r="AC896" s="298"/>
      <c r="AI896" s="298"/>
    </row>
    <row r="897">
      <c r="B897" s="576"/>
      <c r="C897" s="3"/>
      <c r="D897" s="298"/>
      <c r="F897" s="3"/>
      <c r="R897" s="298"/>
      <c r="S897" s="3"/>
      <c r="T897" s="3"/>
      <c r="W897" s="3"/>
      <c r="X897" s="3"/>
      <c r="Y897" s="3"/>
      <c r="Z897" s="3"/>
      <c r="AA897" s="3"/>
      <c r="AC897" s="298"/>
      <c r="AI897" s="298"/>
    </row>
    <row r="898">
      <c r="B898" s="576"/>
      <c r="C898" s="3"/>
      <c r="D898" s="298"/>
      <c r="F898" s="3"/>
      <c r="R898" s="298"/>
      <c r="S898" s="3"/>
      <c r="T898" s="3"/>
      <c r="W898" s="3"/>
      <c r="X898" s="3"/>
      <c r="Y898" s="3"/>
      <c r="Z898" s="3"/>
      <c r="AA898" s="3"/>
      <c r="AC898" s="298"/>
      <c r="AI898" s="298"/>
    </row>
    <row r="899">
      <c r="B899" s="576"/>
      <c r="C899" s="3"/>
      <c r="D899" s="298"/>
      <c r="F899" s="3"/>
      <c r="R899" s="298"/>
      <c r="S899" s="3"/>
      <c r="T899" s="3"/>
      <c r="W899" s="3"/>
      <c r="X899" s="3"/>
      <c r="Y899" s="3"/>
      <c r="Z899" s="3"/>
      <c r="AA899" s="3"/>
      <c r="AC899" s="298"/>
      <c r="AI899" s="298"/>
    </row>
    <row r="900">
      <c r="B900" s="576"/>
      <c r="C900" s="3"/>
      <c r="D900" s="298"/>
      <c r="F900" s="3"/>
      <c r="R900" s="298"/>
      <c r="S900" s="3"/>
      <c r="T900" s="3"/>
      <c r="W900" s="3"/>
      <c r="X900" s="3"/>
      <c r="Y900" s="3"/>
      <c r="Z900" s="3"/>
      <c r="AA900" s="3"/>
      <c r="AC900" s="298"/>
      <c r="AI900" s="298"/>
    </row>
    <row r="901">
      <c r="B901" s="576"/>
      <c r="C901" s="3"/>
      <c r="D901" s="298"/>
      <c r="F901" s="3"/>
      <c r="R901" s="298"/>
      <c r="S901" s="3"/>
      <c r="T901" s="3"/>
      <c r="W901" s="3"/>
      <c r="X901" s="3"/>
      <c r="Y901" s="3"/>
      <c r="Z901" s="3"/>
      <c r="AA901" s="3"/>
      <c r="AC901" s="298"/>
      <c r="AI901" s="298"/>
    </row>
    <row r="902">
      <c r="B902" s="576"/>
      <c r="C902" s="3"/>
      <c r="D902" s="298"/>
      <c r="F902" s="3"/>
      <c r="R902" s="298"/>
      <c r="S902" s="3"/>
      <c r="T902" s="3"/>
      <c r="W902" s="3"/>
      <c r="X902" s="3"/>
      <c r="Y902" s="3"/>
      <c r="Z902" s="3"/>
      <c r="AA902" s="3"/>
      <c r="AC902" s="298"/>
      <c r="AI902" s="298"/>
    </row>
    <row r="903">
      <c r="B903" s="576"/>
      <c r="C903" s="3"/>
      <c r="D903" s="298"/>
      <c r="F903" s="3"/>
      <c r="R903" s="298"/>
      <c r="S903" s="3"/>
      <c r="T903" s="3"/>
      <c r="W903" s="3"/>
      <c r="X903" s="3"/>
      <c r="Y903" s="3"/>
      <c r="Z903" s="3"/>
      <c r="AA903" s="3"/>
      <c r="AC903" s="298"/>
      <c r="AI903" s="298"/>
    </row>
    <row r="904">
      <c r="B904" s="576"/>
      <c r="C904" s="3"/>
      <c r="D904" s="298"/>
      <c r="F904" s="3"/>
      <c r="R904" s="298"/>
      <c r="S904" s="3"/>
      <c r="T904" s="3"/>
      <c r="W904" s="3"/>
      <c r="X904" s="3"/>
      <c r="Y904" s="3"/>
      <c r="Z904" s="3"/>
      <c r="AA904" s="3"/>
      <c r="AC904" s="298"/>
      <c r="AI904" s="298"/>
    </row>
    <row r="905">
      <c r="B905" s="576"/>
      <c r="C905" s="3"/>
      <c r="D905" s="298"/>
      <c r="F905" s="3"/>
      <c r="R905" s="298"/>
      <c r="S905" s="3"/>
      <c r="T905" s="3"/>
      <c r="W905" s="3"/>
      <c r="X905" s="3"/>
      <c r="Y905" s="3"/>
      <c r="Z905" s="3"/>
      <c r="AA905" s="3"/>
      <c r="AC905" s="298"/>
      <c r="AI905" s="298"/>
    </row>
    <row r="906">
      <c r="B906" s="576"/>
      <c r="C906" s="3"/>
      <c r="D906" s="298"/>
      <c r="F906" s="3"/>
      <c r="R906" s="298"/>
      <c r="S906" s="3"/>
      <c r="T906" s="3"/>
      <c r="W906" s="3"/>
      <c r="X906" s="3"/>
      <c r="Y906" s="3"/>
      <c r="Z906" s="3"/>
      <c r="AA906" s="3"/>
      <c r="AC906" s="298"/>
      <c r="AI906" s="298"/>
    </row>
    <row r="907">
      <c r="B907" s="576"/>
      <c r="C907" s="3"/>
      <c r="D907" s="298"/>
      <c r="F907" s="3"/>
      <c r="R907" s="298"/>
      <c r="S907" s="3"/>
      <c r="T907" s="3"/>
      <c r="W907" s="3"/>
      <c r="X907" s="3"/>
      <c r="Y907" s="3"/>
      <c r="Z907" s="3"/>
      <c r="AA907" s="3"/>
      <c r="AC907" s="298"/>
      <c r="AI907" s="298"/>
    </row>
    <row r="908">
      <c r="B908" s="576"/>
      <c r="C908" s="3"/>
      <c r="D908" s="298"/>
      <c r="F908" s="3"/>
      <c r="R908" s="298"/>
      <c r="S908" s="3"/>
      <c r="T908" s="3"/>
      <c r="W908" s="3"/>
      <c r="X908" s="3"/>
      <c r="Y908" s="3"/>
      <c r="Z908" s="3"/>
      <c r="AA908" s="3"/>
      <c r="AC908" s="298"/>
      <c r="AI908" s="298"/>
    </row>
    <row r="909">
      <c r="B909" s="576"/>
      <c r="C909" s="3"/>
      <c r="D909" s="298"/>
      <c r="F909" s="3"/>
      <c r="R909" s="298"/>
      <c r="S909" s="3"/>
      <c r="T909" s="3"/>
      <c r="W909" s="3"/>
      <c r="X909" s="3"/>
      <c r="Y909" s="3"/>
      <c r="Z909" s="3"/>
      <c r="AA909" s="3"/>
      <c r="AC909" s="298"/>
      <c r="AI909" s="298"/>
    </row>
    <row r="910">
      <c r="B910" s="576"/>
      <c r="C910" s="3"/>
      <c r="D910" s="298"/>
      <c r="F910" s="3"/>
      <c r="R910" s="298"/>
      <c r="S910" s="3"/>
      <c r="T910" s="3"/>
      <c r="W910" s="3"/>
      <c r="X910" s="3"/>
      <c r="Y910" s="3"/>
      <c r="Z910" s="3"/>
      <c r="AA910" s="3"/>
      <c r="AC910" s="298"/>
      <c r="AI910" s="298"/>
    </row>
    <row r="911">
      <c r="B911" s="576"/>
      <c r="C911" s="3"/>
      <c r="D911" s="298"/>
      <c r="F911" s="3"/>
      <c r="R911" s="298"/>
      <c r="S911" s="3"/>
      <c r="T911" s="3"/>
      <c r="W911" s="3"/>
      <c r="X911" s="3"/>
      <c r="Y911" s="3"/>
      <c r="Z911" s="3"/>
      <c r="AA911" s="3"/>
      <c r="AC911" s="298"/>
      <c r="AI911" s="298"/>
    </row>
    <row r="912">
      <c r="B912" s="576"/>
      <c r="C912" s="3"/>
      <c r="D912" s="298"/>
      <c r="F912" s="3"/>
      <c r="R912" s="298"/>
      <c r="S912" s="3"/>
      <c r="T912" s="3"/>
      <c r="W912" s="3"/>
      <c r="X912" s="3"/>
      <c r="Y912" s="3"/>
      <c r="Z912" s="3"/>
      <c r="AA912" s="3"/>
      <c r="AC912" s="298"/>
      <c r="AI912" s="298"/>
    </row>
    <row r="913">
      <c r="B913" s="576"/>
      <c r="C913" s="3"/>
      <c r="D913" s="298"/>
      <c r="F913" s="3"/>
      <c r="R913" s="298"/>
      <c r="S913" s="3"/>
      <c r="T913" s="3"/>
      <c r="W913" s="3"/>
      <c r="X913" s="3"/>
      <c r="Y913" s="3"/>
      <c r="Z913" s="3"/>
      <c r="AA913" s="3"/>
      <c r="AC913" s="298"/>
      <c r="AI913" s="298"/>
    </row>
    <row r="914">
      <c r="B914" s="576"/>
      <c r="C914" s="3"/>
      <c r="D914" s="298"/>
      <c r="F914" s="3"/>
      <c r="R914" s="298"/>
      <c r="S914" s="3"/>
      <c r="T914" s="3"/>
      <c r="W914" s="3"/>
      <c r="X914" s="3"/>
      <c r="Y914" s="3"/>
      <c r="Z914" s="3"/>
      <c r="AA914" s="3"/>
      <c r="AC914" s="298"/>
      <c r="AI914" s="298"/>
    </row>
    <row r="915">
      <c r="B915" s="576"/>
      <c r="C915" s="3"/>
      <c r="D915" s="298"/>
      <c r="F915" s="3"/>
      <c r="R915" s="298"/>
      <c r="S915" s="3"/>
      <c r="T915" s="3"/>
      <c r="W915" s="3"/>
      <c r="X915" s="3"/>
      <c r="Y915" s="3"/>
      <c r="Z915" s="3"/>
      <c r="AA915" s="3"/>
      <c r="AC915" s="298"/>
      <c r="AI915" s="298"/>
    </row>
    <row r="916">
      <c r="B916" s="576"/>
      <c r="C916" s="3"/>
      <c r="D916" s="298"/>
      <c r="F916" s="3"/>
      <c r="R916" s="298"/>
      <c r="S916" s="3"/>
      <c r="T916" s="3"/>
      <c r="W916" s="3"/>
      <c r="X916" s="3"/>
      <c r="Y916" s="3"/>
      <c r="Z916" s="3"/>
      <c r="AA916" s="3"/>
      <c r="AC916" s="298"/>
      <c r="AI916" s="298"/>
    </row>
    <row r="917">
      <c r="B917" s="576"/>
      <c r="C917" s="3"/>
      <c r="D917" s="298"/>
      <c r="F917" s="3"/>
      <c r="R917" s="298"/>
      <c r="S917" s="3"/>
      <c r="T917" s="3"/>
      <c r="W917" s="3"/>
      <c r="X917" s="3"/>
      <c r="Y917" s="3"/>
      <c r="Z917" s="3"/>
      <c r="AA917" s="3"/>
      <c r="AC917" s="298"/>
      <c r="AI917" s="298"/>
    </row>
    <row r="918">
      <c r="B918" s="576"/>
      <c r="C918" s="3"/>
      <c r="D918" s="298"/>
      <c r="F918" s="3"/>
      <c r="R918" s="298"/>
      <c r="S918" s="3"/>
      <c r="T918" s="3"/>
      <c r="W918" s="3"/>
      <c r="X918" s="3"/>
      <c r="Y918" s="3"/>
      <c r="Z918" s="3"/>
      <c r="AA918" s="3"/>
      <c r="AC918" s="298"/>
      <c r="AI918" s="298"/>
    </row>
    <row r="919">
      <c r="B919" s="576"/>
      <c r="C919" s="3"/>
      <c r="D919" s="298"/>
      <c r="F919" s="3"/>
      <c r="R919" s="298"/>
      <c r="S919" s="3"/>
      <c r="T919" s="3"/>
      <c r="W919" s="3"/>
      <c r="X919" s="3"/>
      <c r="Y919" s="3"/>
      <c r="Z919" s="3"/>
      <c r="AA919" s="3"/>
      <c r="AC919" s="298"/>
      <c r="AI919" s="298"/>
    </row>
    <row r="920">
      <c r="B920" s="576"/>
      <c r="C920" s="3"/>
      <c r="D920" s="298"/>
      <c r="F920" s="3"/>
      <c r="R920" s="298"/>
      <c r="S920" s="3"/>
      <c r="T920" s="3"/>
      <c r="W920" s="3"/>
      <c r="X920" s="3"/>
      <c r="Y920" s="3"/>
      <c r="Z920" s="3"/>
      <c r="AA920" s="3"/>
      <c r="AC920" s="298"/>
      <c r="AI920" s="298"/>
    </row>
    <row r="921">
      <c r="B921" s="576"/>
      <c r="C921" s="3"/>
      <c r="D921" s="298"/>
      <c r="F921" s="3"/>
      <c r="R921" s="298"/>
      <c r="S921" s="3"/>
      <c r="T921" s="3"/>
      <c r="W921" s="3"/>
      <c r="X921" s="3"/>
      <c r="Y921" s="3"/>
      <c r="Z921" s="3"/>
      <c r="AA921" s="3"/>
      <c r="AC921" s="298"/>
      <c r="AI921" s="298"/>
    </row>
    <row r="922">
      <c r="B922" s="576"/>
      <c r="C922" s="3"/>
      <c r="D922" s="298"/>
      <c r="F922" s="3"/>
      <c r="R922" s="298"/>
      <c r="S922" s="3"/>
      <c r="T922" s="3"/>
      <c r="W922" s="3"/>
      <c r="X922" s="3"/>
      <c r="Y922" s="3"/>
      <c r="Z922" s="3"/>
      <c r="AA922" s="3"/>
      <c r="AC922" s="298"/>
      <c r="AI922" s="298"/>
    </row>
    <row r="923">
      <c r="B923" s="576"/>
      <c r="C923" s="3"/>
      <c r="D923" s="298"/>
      <c r="F923" s="3"/>
      <c r="R923" s="298"/>
      <c r="S923" s="3"/>
      <c r="T923" s="3"/>
      <c r="W923" s="3"/>
      <c r="X923" s="3"/>
      <c r="Y923" s="3"/>
      <c r="Z923" s="3"/>
      <c r="AA923" s="3"/>
      <c r="AC923" s="298"/>
      <c r="AI923" s="298"/>
    </row>
    <row r="924">
      <c r="B924" s="576"/>
      <c r="C924" s="3"/>
      <c r="D924" s="298"/>
      <c r="F924" s="3"/>
      <c r="R924" s="298"/>
      <c r="S924" s="3"/>
      <c r="T924" s="3"/>
      <c r="W924" s="3"/>
      <c r="X924" s="3"/>
      <c r="Y924" s="3"/>
      <c r="Z924" s="3"/>
      <c r="AA924" s="3"/>
      <c r="AC924" s="298"/>
      <c r="AI924" s="298"/>
    </row>
    <row r="925">
      <c r="B925" s="576"/>
      <c r="C925" s="3"/>
      <c r="D925" s="298"/>
      <c r="F925" s="3"/>
      <c r="R925" s="298"/>
      <c r="S925" s="3"/>
      <c r="T925" s="3"/>
      <c r="W925" s="3"/>
      <c r="X925" s="3"/>
      <c r="Y925" s="3"/>
      <c r="Z925" s="3"/>
      <c r="AA925" s="3"/>
      <c r="AC925" s="298"/>
      <c r="AI925" s="298"/>
    </row>
    <row r="926">
      <c r="B926" s="576"/>
      <c r="C926" s="3"/>
      <c r="D926" s="298"/>
      <c r="F926" s="3"/>
      <c r="R926" s="298"/>
      <c r="S926" s="3"/>
      <c r="T926" s="3"/>
      <c r="W926" s="3"/>
      <c r="X926" s="3"/>
      <c r="Y926" s="3"/>
      <c r="Z926" s="3"/>
      <c r="AA926" s="3"/>
      <c r="AC926" s="298"/>
      <c r="AI926" s="298"/>
    </row>
    <row r="927">
      <c r="B927" s="576"/>
      <c r="C927" s="3"/>
      <c r="D927" s="298"/>
      <c r="F927" s="3"/>
      <c r="R927" s="298"/>
      <c r="S927" s="3"/>
      <c r="T927" s="3"/>
      <c r="W927" s="3"/>
      <c r="X927" s="3"/>
      <c r="Y927" s="3"/>
      <c r="Z927" s="3"/>
      <c r="AA927" s="3"/>
      <c r="AC927" s="298"/>
      <c r="AI927" s="298"/>
    </row>
    <row r="928">
      <c r="B928" s="576"/>
      <c r="C928" s="3"/>
      <c r="D928" s="298"/>
      <c r="F928" s="3"/>
      <c r="R928" s="298"/>
      <c r="S928" s="3"/>
      <c r="T928" s="3"/>
      <c r="W928" s="3"/>
      <c r="X928" s="3"/>
      <c r="Y928" s="3"/>
      <c r="Z928" s="3"/>
      <c r="AA928" s="3"/>
      <c r="AC928" s="298"/>
      <c r="AI928" s="298"/>
    </row>
    <row r="929">
      <c r="B929" s="576"/>
      <c r="C929" s="3"/>
      <c r="D929" s="298"/>
      <c r="F929" s="3"/>
      <c r="R929" s="298"/>
      <c r="S929" s="3"/>
      <c r="T929" s="3"/>
      <c r="W929" s="3"/>
      <c r="X929" s="3"/>
      <c r="Y929" s="3"/>
      <c r="Z929" s="3"/>
      <c r="AA929" s="3"/>
      <c r="AC929" s="298"/>
      <c r="AI929" s="298"/>
    </row>
    <row r="930">
      <c r="B930" s="576"/>
      <c r="C930" s="3"/>
      <c r="D930" s="298"/>
      <c r="F930" s="3"/>
      <c r="R930" s="298"/>
      <c r="S930" s="3"/>
      <c r="T930" s="3"/>
      <c r="W930" s="3"/>
      <c r="X930" s="3"/>
      <c r="Y930" s="3"/>
      <c r="Z930" s="3"/>
      <c r="AA930" s="3"/>
      <c r="AC930" s="298"/>
      <c r="AI930" s="298"/>
    </row>
    <row r="931">
      <c r="B931" s="576"/>
      <c r="C931" s="3"/>
      <c r="D931" s="298"/>
      <c r="F931" s="3"/>
      <c r="R931" s="298"/>
      <c r="S931" s="3"/>
      <c r="T931" s="3"/>
      <c r="W931" s="3"/>
      <c r="X931" s="3"/>
      <c r="Y931" s="3"/>
      <c r="Z931" s="3"/>
      <c r="AA931" s="3"/>
      <c r="AC931" s="298"/>
      <c r="AI931" s="298"/>
    </row>
    <row r="932">
      <c r="B932" s="576"/>
      <c r="C932" s="3"/>
      <c r="D932" s="298"/>
      <c r="F932" s="3"/>
      <c r="R932" s="298"/>
      <c r="S932" s="3"/>
      <c r="T932" s="3"/>
      <c r="W932" s="3"/>
      <c r="X932" s="3"/>
      <c r="Y932" s="3"/>
      <c r="Z932" s="3"/>
      <c r="AA932" s="3"/>
      <c r="AC932" s="298"/>
      <c r="AI932" s="298"/>
    </row>
    <row r="933">
      <c r="B933" s="576"/>
      <c r="C933" s="3"/>
      <c r="D933" s="298"/>
      <c r="F933" s="3"/>
      <c r="R933" s="298"/>
      <c r="S933" s="3"/>
      <c r="T933" s="3"/>
      <c r="W933" s="3"/>
      <c r="X933" s="3"/>
      <c r="Y933" s="3"/>
      <c r="Z933" s="3"/>
      <c r="AA933" s="3"/>
      <c r="AC933" s="298"/>
      <c r="AI933" s="298"/>
    </row>
    <row r="934">
      <c r="B934" s="576"/>
      <c r="C934" s="3"/>
      <c r="D934" s="298"/>
      <c r="F934" s="3"/>
      <c r="R934" s="298"/>
      <c r="S934" s="3"/>
      <c r="T934" s="3"/>
      <c r="W934" s="3"/>
      <c r="X934" s="3"/>
      <c r="Y934" s="3"/>
      <c r="Z934" s="3"/>
      <c r="AA934" s="3"/>
      <c r="AC934" s="298"/>
      <c r="AI934" s="298"/>
    </row>
    <row r="935">
      <c r="B935" s="576"/>
      <c r="C935" s="3"/>
      <c r="D935" s="298"/>
      <c r="F935" s="3"/>
      <c r="R935" s="298"/>
      <c r="S935" s="3"/>
      <c r="T935" s="3"/>
      <c r="W935" s="3"/>
      <c r="X935" s="3"/>
      <c r="Y935" s="3"/>
      <c r="Z935" s="3"/>
      <c r="AA935" s="3"/>
      <c r="AC935" s="298"/>
      <c r="AI935" s="298"/>
    </row>
    <row r="936">
      <c r="B936" s="576"/>
      <c r="C936" s="3"/>
      <c r="D936" s="298"/>
      <c r="F936" s="3"/>
      <c r="R936" s="298"/>
      <c r="S936" s="3"/>
      <c r="T936" s="3"/>
      <c r="W936" s="3"/>
      <c r="X936" s="3"/>
      <c r="Y936" s="3"/>
      <c r="Z936" s="3"/>
      <c r="AA936" s="3"/>
      <c r="AC936" s="298"/>
      <c r="AI936" s="298"/>
    </row>
    <row r="937">
      <c r="B937" s="576"/>
      <c r="C937" s="3"/>
      <c r="D937" s="298"/>
      <c r="F937" s="3"/>
      <c r="R937" s="298"/>
      <c r="S937" s="3"/>
      <c r="T937" s="3"/>
      <c r="W937" s="3"/>
      <c r="X937" s="3"/>
      <c r="Y937" s="3"/>
      <c r="Z937" s="3"/>
      <c r="AA937" s="3"/>
      <c r="AC937" s="298"/>
      <c r="AI937" s="298"/>
    </row>
    <row r="938">
      <c r="B938" s="576"/>
      <c r="C938" s="3"/>
      <c r="D938" s="298"/>
      <c r="F938" s="3"/>
      <c r="R938" s="298"/>
      <c r="S938" s="3"/>
      <c r="T938" s="3"/>
      <c r="W938" s="3"/>
      <c r="X938" s="3"/>
      <c r="Y938" s="3"/>
      <c r="Z938" s="3"/>
      <c r="AA938" s="3"/>
      <c r="AC938" s="298"/>
      <c r="AI938" s="298"/>
    </row>
    <row r="939">
      <c r="B939" s="576"/>
      <c r="C939" s="3"/>
      <c r="D939" s="298"/>
      <c r="F939" s="3"/>
      <c r="R939" s="298"/>
      <c r="S939" s="3"/>
      <c r="T939" s="3"/>
      <c r="W939" s="3"/>
      <c r="X939" s="3"/>
      <c r="Y939" s="3"/>
      <c r="Z939" s="3"/>
      <c r="AA939" s="3"/>
      <c r="AC939" s="298"/>
      <c r="AI939" s="298"/>
    </row>
    <row r="940">
      <c r="B940" s="576"/>
      <c r="C940" s="3"/>
      <c r="D940" s="298"/>
      <c r="F940" s="3"/>
      <c r="R940" s="298"/>
      <c r="S940" s="3"/>
      <c r="T940" s="3"/>
      <c r="W940" s="3"/>
      <c r="X940" s="3"/>
      <c r="Y940" s="3"/>
      <c r="Z940" s="3"/>
      <c r="AA940" s="3"/>
      <c r="AC940" s="298"/>
      <c r="AI940" s="298"/>
    </row>
    <row r="941">
      <c r="B941" s="576"/>
      <c r="C941" s="3"/>
      <c r="D941" s="298"/>
      <c r="F941" s="3"/>
      <c r="R941" s="298"/>
      <c r="S941" s="3"/>
      <c r="T941" s="3"/>
      <c r="W941" s="3"/>
      <c r="X941" s="3"/>
      <c r="Y941" s="3"/>
      <c r="Z941" s="3"/>
      <c r="AA941" s="3"/>
      <c r="AC941" s="298"/>
      <c r="AI941" s="298"/>
    </row>
    <row r="942">
      <c r="B942" s="576"/>
      <c r="C942" s="3"/>
      <c r="D942" s="298"/>
      <c r="F942" s="3"/>
      <c r="R942" s="298"/>
      <c r="S942" s="3"/>
      <c r="T942" s="3"/>
      <c r="W942" s="3"/>
      <c r="X942" s="3"/>
      <c r="Y942" s="3"/>
      <c r="Z942" s="3"/>
      <c r="AA942" s="3"/>
      <c r="AC942" s="298"/>
      <c r="AI942" s="298"/>
    </row>
    <row r="943">
      <c r="B943" s="576"/>
      <c r="C943" s="3"/>
      <c r="D943" s="298"/>
      <c r="F943" s="3"/>
      <c r="R943" s="298"/>
      <c r="S943" s="3"/>
      <c r="T943" s="3"/>
      <c r="W943" s="3"/>
      <c r="X943" s="3"/>
      <c r="Y943" s="3"/>
      <c r="Z943" s="3"/>
      <c r="AA943" s="3"/>
      <c r="AC943" s="298"/>
      <c r="AI943" s="298"/>
    </row>
    <row r="944">
      <c r="B944" s="576"/>
      <c r="C944" s="3"/>
      <c r="D944" s="298"/>
      <c r="F944" s="3"/>
      <c r="R944" s="298"/>
      <c r="S944" s="3"/>
      <c r="T944" s="3"/>
      <c r="W944" s="3"/>
      <c r="X944" s="3"/>
      <c r="Y944" s="3"/>
      <c r="Z944" s="3"/>
      <c r="AA944" s="3"/>
      <c r="AC944" s="298"/>
      <c r="AI944" s="298"/>
    </row>
    <row r="945">
      <c r="B945" s="576"/>
      <c r="C945" s="3"/>
      <c r="D945" s="298"/>
      <c r="F945" s="3"/>
      <c r="R945" s="298"/>
      <c r="S945" s="3"/>
      <c r="T945" s="3"/>
      <c r="W945" s="3"/>
      <c r="X945" s="3"/>
      <c r="Y945" s="3"/>
      <c r="Z945" s="3"/>
      <c r="AA945" s="3"/>
      <c r="AC945" s="298"/>
      <c r="AI945" s="298"/>
    </row>
    <row r="946">
      <c r="B946" s="576"/>
      <c r="C946" s="3"/>
      <c r="D946" s="298"/>
      <c r="F946" s="3"/>
      <c r="R946" s="298"/>
      <c r="S946" s="3"/>
      <c r="T946" s="3"/>
      <c r="W946" s="3"/>
      <c r="X946" s="3"/>
      <c r="Y946" s="3"/>
      <c r="Z946" s="3"/>
      <c r="AA946" s="3"/>
      <c r="AC946" s="298"/>
      <c r="AI946" s="298"/>
    </row>
    <row r="947">
      <c r="B947" s="576"/>
      <c r="C947" s="3"/>
      <c r="D947" s="298"/>
      <c r="F947" s="3"/>
      <c r="R947" s="298"/>
      <c r="S947" s="3"/>
      <c r="T947" s="3"/>
      <c r="W947" s="3"/>
      <c r="X947" s="3"/>
      <c r="Y947" s="3"/>
      <c r="Z947" s="3"/>
      <c r="AA947" s="3"/>
      <c r="AC947" s="298"/>
      <c r="AI947" s="298"/>
    </row>
    <row r="948">
      <c r="B948" s="576"/>
      <c r="C948" s="3"/>
      <c r="D948" s="298"/>
      <c r="F948" s="3"/>
      <c r="R948" s="298"/>
      <c r="S948" s="3"/>
      <c r="T948" s="3"/>
      <c r="W948" s="3"/>
      <c r="X948" s="3"/>
      <c r="Y948" s="3"/>
      <c r="Z948" s="3"/>
      <c r="AA948" s="3"/>
      <c r="AC948" s="298"/>
      <c r="AI948" s="298"/>
    </row>
    <row r="949">
      <c r="B949" s="576"/>
      <c r="C949" s="3"/>
      <c r="D949" s="298"/>
      <c r="F949" s="3"/>
      <c r="R949" s="298"/>
      <c r="S949" s="3"/>
      <c r="T949" s="3"/>
      <c r="W949" s="3"/>
      <c r="X949" s="3"/>
      <c r="Y949" s="3"/>
      <c r="Z949" s="3"/>
      <c r="AA949" s="3"/>
      <c r="AC949" s="298"/>
      <c r="AI949" s="298"/>
    </row>
    <row r="950">
      <c r="B950" s="576"/>
      <c r="C950" s="3"/>
      <c r="D950" s="298"/>
      <c r="F950" s="3"/>
      <c r="R950" s="298"/>
      <c r="S950" s="3"/>
      <c r="T950" s="3"/>
      <c r="W950" s="3"/>
      <c r="X950" s="3"/>
      <c r="Y950" s="3"/>
      <c r="Z950" s="3"/>
      <c r="AA950" s="3"/>
      <c r="AC950" s="298"/>
      <c r="AI950" s="298"/>
    </row>
    <row r="951">
      <c r="B951" s="576"/>
      <c r="C951" s="3"/>
      <c r="D951" s="298"/>
      <c r="F951" s="3"/>
      <c r="R951" s="298"/>
      <c r="S951" s="3"/>
      <c r="T951" s="3"/>
      <c r="W951" s="3"/>
      <c r="X951" s="3"/>
      <c r="Y951" s="3"/>
      <c r="Z951" s="3"/>
      <c r="AA951" s="3"/>
      <c r="AC951" s="298"/>
      <c r="AI951" s="298"/>
    </row>
    <row r="952">
      <c r="B952" s="576"/>
      <c r="C952" s="3"/>
      <c r="D952" s="298"/>
      <c r="F952" s="3"/>
      <c r="R952" s="298"/>
      <c r="S952" s="3"/>
      <c r="T952" s="3"/>
      <c r="W952" s="3"/>
      <c r="X952" s="3"/>
      <c r="Y952" s="3"/>
      <c r="Z952" s="3"/>
      <c r="AA952" s="3"/>
      <c r="AC952" s="298"/>
      <c r="AI952" s="298"/>
    </row>
    <row r="953">
      <c r="B953" s="576"/>
      <c r="C953" s="3"/>
      <c r="D953" s="298"/>
      <c r="F953" s="3"/>
      <c r="R953" s="298"/>
      <c r="S953" s="3"/>
      <c r="T953" s="3"/>
      <c r="W953" s="3"/>
      <c r="X953" s="3"/>
      <c r="Y953" s="3"/>
      <c r="Z953" s="3"/>
      <c r="AA953" s="3"/>
      <c r="AC953" s="298"/>
      <c r="AI953" s="298"/>
    </row>
    <row r="954">
      <c r="B954" s="576"/>
      <c r="C954" s="3"/>
      <c r="D954" s="298"/>
      <c r="F954" s="3"/>
      <c r="R954" s="298"/>
      <c r="S954" s="3"/>
      <c r="T954" s="3"/>
      <c r="W954" s="3"/>
      <c r="X954" s="3"/>
      <c r="Y954" s="3"/>
      <c r="Z954" s="3"/>
      <c r="AA954" s="3"/>
      <c r="AC954" s="298"/>
      <c r="AI954" s="298"/>
    </row>
    <row r="955">
      <c r="B955" s="576"/>
      <c r="C955" s="3"/>
      <c r="D955" s="298"/>
      <c r="F955" s="3"/>
      <c r="R955" s="298"/>
      <c r="S955" s="3"/>
      <c r="T955" s="3"/>
      <c r="W955" s="3"/>
      <c r="X955" s="3"/>
      <c r="Y955" s="3"/>
      <c r="Z955" s="3"/>
      <c r="AA955" s="3"/>
      <c r="AC955" s="298"/>
      <c r="AI955" s="298"/>
    </row>
    <row r="956">
      <c r="B956" s="576"/>
      <c r="C956" s="3"/>
      <c r="D956" s="298"/>
      <c r="F956" s="3"/>
      <c r="R956" s="298"/>
      <c r="S956" s="3"/>
      <c r="T956" s="3"/>
      <c r="W956" s="3"/>
      <c r="X956" s="3"/>
      <c r="Y956" s="3"/>
      <c r="Z956" s="3"/>
      <c r="AA956" s="3"/>
      <c r="AC956" s="298"/>
      <c r="AI956" s="298"/>
    </row>
    <row r="957">
      <c r="B957" s="576"/>
      <c r="C957" s="3"/>
      <c r="D957" s="298"/>
      <c r="F957" s="3"/>
      <c r="R957" s="298"/>
      <c r="S957" s="3"/>
      <c r="T957" s="3"/>
      <c r="W957" s="3"/>
      <c r="X957" s="3"/>
      <c r="Y957" s="3"/>
      <c r="Z957" s="3"/>
      <c r="AA957" s="3"/>
      <c r="AC957" s="298"/>
      <c r="AI957" s="298"/>
    </row>
    <row r="958">
      <c r="B958" s="576"/>
      <c r="C958" s="3"/>
      <c r="D958" s="298"/>
      <c r="F958" s="3"/>
      <c r="R958" s="298"/>
      <c r="S958" s="3"/>
      <c r="T958" s="3"/>
      <c r="W958" s="3"/>
      <c r="X958" s="3"/>
      <c r="Y958" s="3"/>
      <c r="Z958" s="3"/>
      <c r="AA958" s="3"/>
      <c r="AC958" s="298"/>
      <c r="AI958" s="298"/>
    </row>
    <row r="959">
      <c r="B959" s="576"/>
      <c r="C959" s="3"/>
      <c r="D959" s="298"/>
      <c r="F959" s="3"/>
      <c r="R959" s="298"/>
      <c r="S959" s="3"/>
      <c r="T959" s="3"/>
      <c r="W959" s="3"/>
      <c r="X959" s="3"/>
      <c r="Y959" s="3"/>
      <c r="Z959" s="3"/>
      <c r="AA959" s="3"/>
      <c r="AC959" s="298"/>
      <c r="AI959" s="298"/>
    </row>
    <row r="960">
      <c r="B960" s="576"/>
      <c r="C960" s="3"/>
      <c r="D960" s="298"/>
      <c r="F960" s="3"/>
      <c r="R960" s="298"/>
      <c r="S960" s="3"/>
      <c r="T960" s="3"/>
      <c r="W960" s="3"/>
      <c r="X960" s="3"/>
      <c r="Y960" s="3"/>
      <c r="Z960" s="3"/>
      <c r="AA960" s="3"/>
      <c r="AC960" s="298"/>
      <c r="AI960" s="298"/>
    </row>
    <row r="961">
      <c r="B961" s="576"/>
      <c r="C961" s="3"/>
      <c r="D961" s="298"/>
      <c r="F961" s="3"/>
      <c r="R961" s="298"/>
      <c r="S961" s="3"/>
      <c r="T961" s="3"/>
      <c r="W961" s="3"/>
      <c r="X961" s="3"/>
      <c r="Y961" s="3"/>
      <c r="Z961" s="3"/>
      <c r="AA961" s="3"/>
      <c r="AC961" s="298"/>
      <c r="AI961" s="298"/>
    </row>
    <row r="962">
      <c r="B962" s="576"/>
      <c r="C962" s="3"/>
      <c r="D962" s="298"/>
      <c r="F962" s="3"/>
      <c r="R962" s="298"/>
      <c r="S962" s="3"/>
      <c r="T962" s="3"/>
      <c r="W962" s="3"/>
      <c r="X962" s="3"/>
      <c r="Y962" s="3"/>
      <c r="Z962" s="3"/>
      <c r="AA962" s="3"/>
      <c r="AC962" s="298"/>
      <c r="AI962" s="298"/>
    </row>
    <row r="963">
      <c r="B963" s="576"/>
      <c r="C963" s="3"/>
      <c r="D963" s="298"/>
      <c r="F963" s="3"/>
      <c r="R963" s="298"/>
      <c r="S963" s="3"/>
      <c r="T963" s="3"/>
      <c r="W963" s="3"/>
      <c r="X963" s="3"/>
      <c r="Y963" s="3"/>
      <c r="Z963" s="3"/>
      <c r="AA963" s="3"/>
      <c r="AC963" s="298"/>
      <c r="AI963" s="298"/>
    </row>
    <row r="964">
      <c r="B964" s="576"/>
      <c r="C964" s="3"/>
      <c r="D964" s="298"/>
      <c r="F964" s="3"/>
      <c r="R964" s="298"/>
      <c r="S964" s="3"/>
      <c r="T964" s="3"/>
      <c r="W964" s="3"/>
      <c r="X964" s="3"/>
      <c r="Y964" s="3"/>
      <c r="Z964" s="3"/>
      <c r="AA964" s="3"/>
      <c r="AC964" s="298"/>
      <c r="AI964" s="298"/>
    </row>
    <row r="965">
      <c r="B965" s="576"/>
      <c r="C965" s="3"/>
      <c r="D965" s="298"/>
      <c r="F965" s="3"/>
      <c r="R965" s="298"/>
      <c r="S965" s="3"/>
      <c r="T965" s="3"/>
      <c r="W965" s="3"/>
      <c r="X965" s="3"/>
      <c r="Y965" s="3"/>
      <c r="Z965" s="3"/>
      <c r="AA965" s="3"/>
      <c r="AC965" s="298"/>
      <c r="AI965" s="298"/>
    </row>
    <row r="966">
      <c r="B966" s="576"/>
      <c r="C966" s="3"/>
      <c r="D966" s="298"/>
      <c r="F966" s="3"/>
      <c r="R966" s="298"/>
      <c r="S966" s="3"/>
      <c r="T966" s="3"/>
      <c r="W966" s="3"/>
      <c r="X966" s="3"/>
      <c r="Y966" s="3"/>
      <c r="Z966" s="3"/>
      <c r="AA966" s="3"/>
      <c r="AC966" s="298"/>
      <c r="AI966" s="298"/>
    </row>
    <row r="967">
      <c r="B967" s="576"/>
      <c r="C967" s="3"/>
      <c r="D967" s="298"/>
      <c r="F967" s="3"/>
      <c r="R967" s="298"/>
      <c r="S967" s="3"/>
      <c r="T967" s="3"/>
      <c r="W967" s="3"/>
      <c r="X967" s="3"/>
      <c r="Y967" s="3"/>
      <c r="Z967" s="3"/>
      <c r="AA967" s="3"/>
      <c r="AC967" s="298"/>
      <c r="AI967" s="298"/>
    </row>
    <row r="968">
      <c r="B968" s="576"/>
      <c r="C968" s="3"/>
      <c r="D968" s="298"/>
      <c r="F968" s="3"/>
      <c r="R968" s="298"/>
      <c r="S968" s="3"/>
      <c r="T968" s="3"/>
      <c r="W968" s="3"/>
      <c r="X968" s="3"/>
      <c r="Y968" s="3"/>
      <c r="Z968" s="3"/>
      <c r="AA968" s="3"/>
      <c r="AC968" s="298"/>
      <c r="AI968" s="298"/>
    </row>
    <row r="969">
      <c r="B969" s="576"/>
      <c r="C969" s="3"/>
      <c r="D969" s="298"/>
      <c r="F969" s="3"/>
      <c r="R969" s="298"/>
      <c r="S969" s="3"/>
      <c r="T969" s="3"/>
      <c r="W969" s="3"/>
      <c r="X969" s="3"/>
      <c r="Y969" s="3"/>
      <c r="Z969" s="3"/>
      <c r="AA969" s="3"/>
      <c r="AC969" s="298"/>
      <c r="AI969" s="298"/>
    </row>
    <row r="970">
      <c r="B970" s="576"/>
      <c r="C970" s="3"/>
      <c r="D970" s="298"/>
      <c r="F970" s="3"/>
      <c r="R970" s="298"/>
      <c r="S970" s="3"/>
      <c r="T970" s="3"/>
      <c r="W970" s="3"/>
      <c r="X970" s="3"/>
      <c r="Y970" s="3"/>
      <c r="Z970" s="3"/>
      <c r="AA970" s="3"/>
      <c r="AC970" s="298"/>
      <c r="AI970" s="298"/>
    </row>
    <row r="971">
      <c r="B971" s="576"/>
      <c r="C971" s="3"/>
      <c r="D971" s="298"/>
      <c r="F971" s="3"/>
      <c r="R971" s="298"/>
      <c r="S971" s="3"/>
      <c r="T971" s="3"/>
      <c r="W971" s="3"/>
      <c r="X971" s="3"/>
      <c r="Y971" s="3"/>
      <c r="Z971" s="3"/>
      <c r="AA971" s="3"/>
      <c r="AC971" s="298"/>
      <c r="AI971" s="298"/>
    </row>
    <row r="972">
      <c r="B972" s="576"/>
      <c r="C972" s="3"/>
      <c r="D972" s="298"/>
      <c r="F972" s="3"/>
      <c r="R972" s="298"/>
      <c r="S972" s="3"/>
      <c r="T972" s="3"/>
      <c r="W972" s="3"/>
      <c r="X972" s="3"/>
      <c r="Y972" s="3"/>
      <c r="Z972" s="3"/>
      <c r="AA972" s="3"/>
      <c r="AC972" s="298"/>
      <c r="AI972" s="298"/>
    </row>
    <row r="973">
      <c r="B973" s="576"/>
      <c r="C973" s="3"/>
      <c r="D973" s="298"/>
      <c r="F973" s="3"/>
      <c r="R973" s="298"/>
      <c r="S973" s="3"/>
      <c r="T973" s="3"/>
      <c r="W973" s="3"/>
      <c r="X973" s="3"/>
      <c r="Y973" s="3"/>
      <c r="Z973" s="3"/>
      <c r="AA973" s="3"/>
      <c r="AC973" s="298"/>
      <c r="AI973" s="298"/>
    </row>
    <row r="974">
      <c r="B974" s="576"/>
      <c r="C974" s="3"/>
      <c r="D974" s="298"/>
      <c r="F974" s="3"/>
      <c r="R974" s="298"/>
      <c r="S974" s="3"/>
      <c r="T974" s="3"/>
      <c r="W974" s="3"/>
      <c r="X974" s="3"/>
      <c r="Y974" s="3"/>
      <c r="Z974" s="3"/>
      <c r="AA974" s="3"/>
      <c r="AC974" s="298"/>
      <c r="AI974" s="298"/>
    </row>
    <row r="975">
      <c r="B975" s="576"/>
      <c r="C975" s="3"/>
      <c r="D975" s="298"/>
      <c r="F975" s="3"/>
      <c r="R975" s="298"/>
      <c r="S975" s="3"/>
      <c r="T975" s="3"/>
      <c r="W975" s="3"/>
      <c r="X975" s="3"/>
      <c r="Y975" s="3"/>
      <c r="Z975" s="3"/>
      <c r="AA975" s="3"/>
      <c r="AC975" s="298"/>
      <c r="AI975" s="298"/>
    </row>
    <row r="976">
      <c r="B976" s="576"/>
      <c r="C976" s="3"/>
      <c r="D976" s="298"/>
      <c r="F976" s="3"/>
      <c r="R976" s="298"/>
      <c r="S976" s="3"/>
      <c r="T976" s="3"/>
      <c r="W976" s="3"/>
      <c r="X976" s="3"/>
      <c r="Y976" s="3"/>
      <c r="Z976" s="3"/>
      <c r="AA976" s="3"/>
      <c r="AC976" s="298"/>
      <c r="AI976" s="298"/>
    </row>
    <row r="977">
      <c r="B977" s="576"/>
      <c r="C977" s="3"/>
      <c r="D977" s="298"/>
      <c r="F977" s="3"/>
      <c r="R977" s="298"/>
      <c r="S977" s="3"/>
      <c r="T977" s="3"/>
      <c r="W977" s="3"/>
      <c r="X977" s="3"/>
      <c r="Y977" s="3"/>
      <c r="Z977" s="3"/>
      <c r="AA977" s="3"/>
      <c r="AC977" s="298"/>
      <c r="AI977" s="298"/>
    </row>
    <row r="978">
      <c r="B978" s="576"/>
      <c r="C978" s="3"/>
      <c r="D978" s="298"/>
      <c r="F978" s="3"/>
      <c r="R978" s="298"/>
      <c r="S978" s="3"/>
      <c r="T978" s="3"/>
      <c r="W978" s="3"/>
      <c r="X978" s="3"/>
      <c r="Y978" s="3"/>
      <c r="Z978" s="3"/>
      <c r="AA978" s="3"/>
      <c r="AC978" s="298"/>
      <c r="AI978" s="298"/>
    </row>
    <row r="979">
      <c r="B979" s="576"/>
      <c r="C979" s="3"/>
      <c r="D979" s="298"/>
      <c r="F979" s="3"/>
      <c r="R979" s="298"/>
      <c r="S979" s="3"/>
      <c r="T979" s="3"/>
      <c r="W979" s="3"/>
      <c r="X979" s="3"/>
      <c r="Y979" s="3"/>
      <c r="Z979" s="3"/>
      <c r="AA979" s="3"/>
      <c r="AC979" s="298"/>
      <c r="AI979" s="298"/>
    </row>
    <row r="980">
      <c r="B980" s="576"/>
      <c r="C980" s="3"/>
      <c r="D980" s="298"/>
      <c r="F980" s="3"/>
      <c r="R980" s="298"/>
      <c r="S980" s="3"/>
      <c r="T980" s="3"/>
      <c r="W980" s="3"/>
      <c r="X980" s="3"/>
      <c r="Y980" s="3"/>
      <c r="Z980" s="3"/>
      <c r="AA980" s="3"/>
      <c r="AC980" s="298"/>
      <c r="AI980" s="298"/>
    </row>
    <row r="981">
      <c r="B981" s="576"/>
      <c r="C981" s="3"/>
      <c r="D981" s="298"/>
      <c r="F981" s="3"/>
      <c r="R981" s="298"/>
      <c r="S981" s="3"/>
      <c r="T981" s="3"/>
      <c r="W981" s="3"/>
      <c r="X981" s="3"/>
      <c r="Y981" s="3"/>
      <c r="Z981" s="3"/>
      <c r="AA981" s="3"/>
      <c r="AC981" s="298"/>
      <c r="AI981" s="298"/>
    </row>
    <row r="982">
      <c r="B982" s="576"/>
      <c r="C982" s="3"/>
      <c r="D982" s="298"/>
      <c r="F982" s="3"/>
      <c r="R982" s="298"/>
      <c r="S982" s="3"/>
      <c r="T982" s="3"/>
      <c r="W982" s="3"/>
      <c r="X982" s="3"/>
      <c r="Y982" s="3"/>
      <c r="Z982" s="3"/>
      <c r="AA982" s="3"/>
      <c r="AC982" s="298"/>
      <c r="AI982" s="298"/>
    </row>
    <row r="983">
      <c r="B983" s="576"/>
      <c r="C983" s="3"/>
      <c r="D983" s="298"/>
      <c r="F983" s="3"/>
      <c r="R983" s="298"/>
      <c r="S983" s="3"/>
      <c r="T983" s="3"/>
      <c r="W983" s="3"/>
      <c r="X983" s="3"/>
      <c r="Y983" s="3"/>
      <c r="Z983" s="3"/>
      <c r="AA983" s="3"/>
      <c r="AC983" s="298"/>
      <c r="AI983" s="298"/>
    </row>
    <row r="984">
      <c r="B984" s="576"/>
      <c r="C984" s="3"/>
      <c r="D984" s="298"/>
      <c r="F984" s="3"/>
      <c r="R984" s="298"/>
      <c r="S984" s="3"/>
      <c r="T984" s="3"/>
      <c r="W984" s="3"/>
      <c r="X984" s="3"/>
      <c r="Y984" s="3"/>
      <c r="Z984" s="3"/>
      <c r="AA984" s="3"/>
      <c r="AC984" s="298"/>
      <c r="AI984" s="298"/>
    </row>
    <row r="985">
      <c r="B985" s="576"/>
      <c r="C985" s="3"/>
      <c r="D985" s="298"/>
      <c r="F985" s="3"/>
      <c r="R985" s="298"/>
      <c r="S985" s="3"/>
      <c r="T985" s="3"/>
      <c r="W985" s="3"/>
      <c r="X985" s="3"/>
      <c r="Y985" s="3"/>
      <c r="Z985" s="3"/>
      <c r="AA985" s="3"/>
      <c r="AC985" s="298"/>
      <c r="AI985" s="298"/>
    </row>
    <row r="986">
      <c r="B986" s="576"/>
      <c r="C986" s="3"/>
      <c r="D986" s="298"/>
      <c r="F986" s="3"/>
      <c r="R986" s="298"/>
      <c r="S986" s="3"/>
      <c r="T986" s="3"/>
      <c r="W986" s="3"/>
      <c r="X986" s="3"/>
      <c r="Y986" s="3"/>
      <c r="Z986" s="3"/>
      <c r="AA986" s="3"/>
      <c r="AC986" s="298"/>
      <c r="AI986" s="298"/>
    </row>
    <row r="987">
      <c r="B987" s="576"/>
      <c r="C987" s="3"/>
      <c r="D987" s="298"/>
      <c r="F987" s="3"/>
      <c r="R987" s="298"/>
      <c r="S987" s="3"/>
      <c r="T987" s="3"/>
      <c r="W987" s="3"/>
      <c r="X987" s="3"/>
      <c r="Y987" s="3"/>
      <c r="Z987" s="3"/>
      <c r="AA987" s="3"/>
      <c r="AC987" s="298"/>
      <c r="AI987" s="298"/>
    </row>
    <row r="988">
      <c r="B988" s="576"/>
      <c r="C988" s="3"/>
      <c r="D988" s="298"/>
      <c r="F988" s="3"/>
      <c r="R988" s="298"/>
      <c r="S988" s="3"/>
      <c r="T988" s="3"/>
      <c r="W988" s="3"/>
      <c r="X988" s="3"/>
      <c r="Y988" s="3"/>
      <c r="Z988" s="3"/>
      <c r="AA988" s="3"/>
      <c r="AC988" s="298"/>
      <c r="AI988" s="298"/>
    </row>
    <row r="989">
      <c r="B989" s="576"/>
      <c r="C989" s="3"/>
      <c r="D989" s="298"/>
      <c r="F989" s="3"/>
      <c r="R989" s="298"/>
      <c r="S989" s="3"/>
      <c r="T989" s="3"/>
      <c r="W989" s="3"/>
      <c r="X989" s="3"/>
      <c r="Y989" s="3"/>
      <c r="Z989" s="3"/>
      <c r="AA989" s="3"/>
      <c r="AC989" s="298"/>
      <c r="AI989" s="298"/>
    </row>
    <row r="990">
      <c r="B990" s="576"/>
      <c r="C990" s="3"/>
      <c r="D990" s="298"/>
      <c r="F990" s="3"/>
      <c r="R990" s="298"/>
      <c r="S990" s="3"/>
      <c r="T990" s="3"/>
      <c r="W990" s="3"/>
      <c r="X990" s="3"/>
      <c r="Y990" s="3"/>
      <c r="Z990" s="3"/>
      <c r="AA990" s="3"/>
      <c r="AC990" s="298"/>
      <c r="AI990" s="298"/>
    </row>
    <row r="991">
      <c r="B991" s="576"/>
      <c r="C991" s="3"/>
      <c r="D991" s="298"/>
      <c r="F991" s="3"/>
      <c r="R991" s="298"/>
      <c r="S991" s="3"/>
      <c r="T991" s="3"/>
      <c r="W991" s="3"/>
      <c r="X991" s="3"/>
      <c r="Y991" s="3"/>
      <c r="Z991" s="3"/>
      <c r="AA991" s="3"/>
      <c r="AC991" s="298"/>
      <c r="AI991" s="298"/>
    </row>
    <row r="992">
      <c r="B992" s="576"/>
      <c r="C992" s="3"/>
      <c r="D992" s="298"/>
      <c r="F992" s="3"/>
      <c r="R992" s="298"/>
      <c r="S992" s="3"/>
      <c r="T992" s="3"/>
      <c r="W992" s="3"/>
      <c r="X992" s="3"/>
      <c r="Y992" s="3"/>
      <c r="Z992" s="3"/>
      <c r="AA992" s="3"/>
      <c r="AC992" s="298"/>
      <c r="AI992" s="298"/>
    </row>
    <row r="993">
      <c r="B993" s="576"/>
      <c r="C993" s="3"/>
      <c r="D993" s="298"/>
      <c r="F993" s="3"/>
      <c r="R993" s="298"/>
      <c r="S993" s="3"/>
      <c r="T993" s="3"/>
      <c r="W993" s="3"/>
      <c r="X993" s="3"/>
      <c r="Y993" s="3"/>
      <c r="Z993" s="3"/>
      <c r="AA993" s="3"/>
      <c r="AC993" s="298"/>
      <c r="AI993" s="298"/>
    </row>
    <row r="994">
      <c r="B994" s="576"/>
      <c r="C994" s="3"/>
      <c r="D994" s="298"/>
      <c r="F994" s="3"/>
      <c r="R994" s="298"/>
      <c r="S994" s="3"/>
      <c r="T994" s="3"/>
      <c r="W994" s="3"/>
      <c r="X994" s="3"/>
      <c r="Y994" s="3"/>
      <c r="Z994" s="3"/>
      <c r="AA994" s="3"/>
      <c r="AC994" s="298"/>
      <c r="AI994" s="298"/>
    </row>
    <row r="995">
      <c r="B995" s="576"/>
      <c r="C995" s="3"/>
      <c r="D995" s="298"/>
      <c r="F995" s="3"/>
      <c r="R995" s="298"/>
      <c r="S995" s="3"/>
      <c r="T995" s="3"/>
      <c r="W995" s="3"/>
      <c r="X995" s="3"/>
      <c r="Y995" s="3"/>
      <c r="Z995" s="3"/>
      <c r="AA995" s="3"/>
      <c r="AC995" s="298"/>
      <c r="AI995" s="298"/>
    </row>
    <row r="996">
      <c r="B996" s="576"/>
      <c r="C996" s="3"/>
      <c r="D996" s="298"/>
      <c r="F996" s="3"/>
      <c r="R996" s="298"/>
      <c r="S996" s="3"/>
      <c r="T996" s="3"/>
      <c r="W996" s="3"/>
      <c r="X996" s="3"/>
      <c r="Y996" s="3"/>
      <c r="Z996" s="3"/>
      <c r="AA996" s="3"/>
      <c r="AC996" s="298"/>
      <c r="AI996" s="298"/>
    </row>
    <row r="997">
      <c r="B997" s="576"/>
      <c r="C997" s="3"/>
      <c r="D997" s="298"/>
      <c r="F997" s="3"/>
      <c r="R997" s="298"/>
      <c r="S997" s="3"/>
      <c r="T997" s="3"/>
      <c r="W997" s="3"/>
      <c r="X997" s="3"/>
      <c r="Y997" s="3"/>
      <c r="Z997" s="3"/>
      <c r="AA997" s="3"/>
      <c r="AC997" s="298"/>
      <c r="AI997" s="298"/>
    </row>
    <row r="998">
      <c r="B998" s="576"/>
      <c r="C998" s="3"/>
      <c r="D998" s="298"/>
      <c r="F998" s="3"/>
      <c r="R998" s="298"/>
      <c r="S998" s="3"/>
      <c r="T998" s="3"/>
      <c r="W998" s="3"/>
      <c r="X998" s="3"/>
      <c r="Y998" s="3"/>
      <c r="Z998" s="3"/>
      <c r="AA998" s="3"/>
      <c r="AC998" s="298"/>
      <c r="AI998" s="298"/>
    </row>
    <row r="999">
      <c r="B999" s="576"/>
      <c r="C999" s="3"/>
      <c r="D999" s="298"/>
      <c r="F999" s="3"/>
      <c r="R999" s="298"/>
      <c r="S999" s="3"/>
      <c r="T999" s="3"/>
      <c r="W999" s="3"/>
      <c r="X999" s="3"/>
      <c r="Y999" s="3"/>
      <c r="Z999" s="3"/>
      <c r="AA999" s="3"/>
      <c r="AC999" s="298"/>
      <c r="AI999" s="298"/>
    </row>
  </sheetData>
  <mergeCells count="5">
    <mergeCell ref="E1:P1"/>
    <mergeCell ref="S1:V1"/>
    <mergeCell ref="W1:AB1"/>
    <mergeCell ref="AD1:AH1"/>
    <mergeCell ref="AJ3:AK3"/>
  </mergeCells>
  <dataValidations>
    <dataValidation type="list" allowBlank="1" showErrorMessage="1" sqref="AA49">
      <formula1>"29.48 (10/23/25),31.90 (01/12/26)"</formula1>
    </dataValidation>
    <dataValidation type="list" allowBlank="1" showErrorMessage="1" sqref="Q55">
      <formula1>"9.56 (08/03/23),9.56 (08/09/23),9.56 (09/21/23),9.56 (10/05/23)"</formula1>
    </dataValidation>
    <dataValidation type="list" allowBlank="1" showErrorMessage="1" sqref="AA129">
      <formula1>"3.50 (01/15/26)"</formula1>
    </dataValidation>
    <dataValidation type="list" allowBlank="1" showErrorMessage="1" sqref="U143">
      <formula1>"33.6 (2/6/25),Option 2"</formula1>
    </dataValidation>
    <dataValidation type="list" allowBlank="1" showErrorMessage="1" sqref="Q33">
      <formula1>"2.62 (4/28/23),2.62 (6/14/23),2.62 (8/8/23)"</formula1>
    </dataValidation>
    <dataValidation type="list" allowBlank="1" showErrorMessage="1" sqref="Q92">
      <formula1>"34.06 (11/09/23),34.06 (11/21/23),34.84 (3/6/24)"</formula1>
    </dataValidation>
    <dataValidation type="list" allowBlank="1" showErrorMessage="1" sqref="AA45">
      <formula1>"50 (07/10/25),Uber (8/11/25)"</formula1>
    </dataValidation>
    <dataValidation type="list" allowBlank="1" showErrorMessage="1" sqref="Q113">
      <formula1>"7.73 (12/13/23),7.90 (1/11/23),7.90 (1/18/24)"</formula1>
    </dataValidation>
    <dataValidation type="list" allowBlank="1" showErrorMessage="1" sqref="U159">
      <formula1>"29.4 (4/23/25),Option 2"</formula1>
    </dataValidation>
    <dataValidation type="list" allowBlank="1" showErrorMessage="1" sqref="AA177">
      <formula1>"10.73 (05/01/26),Option 2"</formula1>
    </dataValidation>
    <dataValidation type="list" allowBlank="1" showErrorMessage="1" sqref="U185">
      <formula1>"24.92 (05/03/25),Option 2"</formula1>
    </dataValidation>
    <dataValidation type="list" allowBlank="1" showErrorMessage="1" sqref="Q51">
      <formula1>"11.27 (07/14/23),11.27 (08/03/23),11.27 (08/10/23)"</formula1>
    </dataValidation>
    <dataValidation type="list" allowBlank="1" showErrorMessage="1" sqref="Q147">
      <formula1>"18.76 (2/27/24),18.76 (03/26/24),18.76 (06/11/24)"</formula1>
    </dataValidation>
    <dataValidation type="list" allowBlank="1" showErrorMessage="1" sqref="Q245">
      <formula1>"13.40 (6/6/24),13.40 (11/22/24),14.00 (03/14/24)"</formula1>
    </dataValidation>
    <dataValidation type="list" allowBlank="1" showErrorMessage="1" sqref="Q136">
      <formula1>"50 (2/9/24),50 (2/23/24),50 (8/01/24)"</formula1>
    </dataValidation>
    <dataValidation type="list" allowBlank="1" showErrorMessage="1" sqref="Q96">
      <formula1>"19.65 (11/15/23),20.10 (3/8/24)"</formula1>
    </dataValidation>
    <dataValidation type="list" allowBlank="1" showErrorMessage="1" sqref="Q202">
      <formula1>"50 (7/17/24),Option 2"</formula1>
    </dataValidation>
    <dataValidation type="list" allowBlank="1" showErrorMessage="1" sqref="Q8">
      <formula1>"6.68 -  (2/8/23),6.68 -  (5/8/23),6.68 -  (8/24/23)"</formula1>
    </dataValidation>
    <dataValidation type="list" allowBlank="1" showErrorMessage="1" sqref="AA197">
      <formula1>"23.93 (07/13/26),23.93 (07/15/26),23.93 (09/1/26)"</formula1>
    </dataValidation>
    <dataValidation type="list" allowBlank="1" showErrorMessage="1" sqref="U51">
      <formula1>"12.32 (8/6/24),Option 2"</formula1>
    </dataValidation>
    <dataValidation type="list" allowBlank="1" showErrorMessage="1" sqref="Q157">
      <formula1>"50 (4/1/24),50 (5/13/24)"</formula1>
    </dataValidation>
    <dataValidation type="list" allowBlank="1" showErrorMessage="1" sqref="Q253">
      <formula1>"50 (1/14/25),50 (1/27/25),50 (3/10/25)"</formula1>
    </dataValidation>
    <dataValidation type="list" allowBlank="1" showErrorMessage="1" sqref="U49">
      <formula1>"29.48 (10/30/24)"</formula1>
    </dataValidation>
    <dataValidation type="list" allowBlank="1" showErrorMessage="1" sqref="U92">
      <formula1>"34.84 (11/13/24),Option 2"</formula1>
    </dataValidation>
    <dataValidation type="list" allowBlank="1" showErrorMessage="1" sqref="U123">
      <formula1>"15.40 (1/13/25)"</formula1>
    </dataValidation>
    <dataValidation type="list" allowBlank="1" showErrorMessage="1" sqref="AA96">
      <formula1>"29.00 (11/11/25),29.00 (12/4/25)"</formula1>
    </dataValidation>
    <dataValidation type="list" allowBlank="1" showErrorMessage="1" sqref="AA139">
      <formula1>"41.32 (03/04/26),Option 2"</formula1>
    </dataValidation>
    <dataValidation type="list" allowBlank="1" showErrorMessage="1" sqref="U243">
      <formula1>"10 (1/22/26),Option 2"</formula1>
    </dataValidation>
    <dataValidation type="list" allowBlank="1" showErrorMessage="1" sqref="Q137">
      <formula1>"24.12 (2/9/24),24.12 (2/12/24),24.12 (3/29/24)"</formula1>
    </dataValidation>
    <dataValidation type="list" allowBlank="1" showErrorMessage="1" sqref="Q246">
      <formula1>"50 (12/03/24),50 (2/04/24)"</formula1>
    </dataValidation>
    <dataValidation type="list" allowBlank="1" showErrorMessage="1" sqref="Q130">
      <formula1>"10.31 (02/06/24),10.31 (02/13/24),10.31 (05/01/24)"</formula1>
    </dataValidation>
    <dataValidation type="list" allowBlank="1" showErrorMessage="1" sqref="U140">
      <formula1>"15.4 (2/26/25),Option 2"</formula1>
    </dataValidation>
    <dataValidation type="list" allowBlank="1" showErrorMessage="1" sqref="AA68">
      <formula1>"17.42 (9/25/25),17.42 (10/21/25)"</formula1>
    </dataValidation>
    <dataValidation type="list" allowBlank="1" showErrorMessage="1" sqref="AG68">
      <formula1>"20.30 (9/29/26),Option 2"</formula1>
    </dataValidation>
    <dataValidation type="list" allowBlank="1" showErrorMessage="1" sqref="Q112">
      <formula1>"50 (12/13/23),50 (2/16/24),50 (3/7/24),50 (3/21/24),50 (7/19/24)"</formula1>
    </dataValidation>
    <dataValidation type="list" allowBlank="1" showErrorMessage="1" sqref="U184">
      <formula1>"25.46 (06/03/24),25.46 (08/02/24),25.46 (10/22/24),25.46 (9/3/25)"</formula1>
    </dataValidation>
    <dataValidation type="list" allowBlank="1" showErrorMessage="1" sqref="Q186">
      <formula1>"13.40 (06/06/24),Option 2"</formula1>
    </dataValidation>
    <dataValidation type="list" allowBlank="1" showErrorMessage="1" sqref="U52">
      <formula1>"25.46 (10/3/24),Option 2"</formula1>
    </dataValidation>
    <dataValidation type="list" allowBlank="1" showErrorMessage="1" sqref="Q7">
      <formula1>"47.16 -  (01/23/23),47.16 -  (03/16/23),47.16 - (06/02/23),47.16 - (04/24/23),47.16 - (07/31/23)"</formula1>
    </dataValidation>
    <dataValidation type="list" allowBlank="1" showErrorMessage="1" sqref="Q117">
      <formula1>"50 (12/19/23)"</formula1>
    </dataValidation>
    <dataValidation type="list" allowBlank="1" showErrorMessage="1" sqref="AA116">
      <formula1>"28.13 (1/30/26),Option 2"</formula1>
    </dataValidation>
    <dataValidation type="list" allowBlank="1" showErrorMessage="1" sqref="Q128">
      <formula1>"50 (01/16/24),50  (02/12/24)"</formula1>
    </dataValidation>
    <dataValidation type="list" allowBlank="1" showErrorMessage="1" sqref="U128">
      <formula1>"50 (02/03/25)"</formula1>
    </dataValidation>
    <dataValidation type="list" allowBlank="1" showErrorMessage="1" sqref="AG70">
      <formula1>"50 (10/06/26)"</formula1>
    </dataValidation>
    <dataValidation type="list" allowBlank="1" showErrorMessage="1" sqref="Q133">
      <formula1>"16.08 (02/06/24),16.08 (02/16/24)"</formula1>
    </dataValidation>
    <dataValidation type="list" allowBlank="1" showErrorMessage="1" sqref="AA91">
      <formula1>"50 (11/17/24),50 (11/24/24)"</formula1>
    </dataValidation>
    <dataValidation type="list" allowBlank="1" showErrorMessage="1" sqref="Q24">
      <formula1>"5.50 - (3/29/23),5.50 - (6/9/23),5.50 - (7/14/23),5.50 - (7/17/23)"</formula1>
    </dataValidation>
    <dataValidation type="list" allowBlank="1" showErrorMessage="1" sqref="U82">
      <formula1>"15.4 (2/11/25),Option 2"</formula1>
    </dataValidation>
    <dataValidation type="list" allowBlank="1" showErrorMessage="1" sqref="AA52">
      <formula1>"25.46 (10/3/24),25.46 (11/10/25),25.46 (12/15/25)"</formula1>
    </dataValidation>
    <dataValidation type="list" allowBlank="1" showErrorMessage="1" sqref="U165">
      <formula1>"24.50 (4/15/25)"</formula1>
    </dataValidation>
    <dataValidation type="list" allowBlank="1" showErrorMessage="1" sqref="Q211">
      <formula1>"44.22 (8/22/24)"</formula1>
    </dataValidation>
    <dataValidation type="list" allowBlank="1" showErrorMessage="1" sqref="Q231">
      <formula1>"26.80 (11/08/24),26.80 (12/12/24)"</formula1>
    </dataValidation>
    <dataValidation type="list" allowBlank="1" showErrorMessage="1" sqref="AA35">
      <formula1>"15.40 (6/04/25),16.80 (6/5/25)"</formula1>
    </dataValidation>
    <dataValidation type="list" allowBlank="1" showErrorMessage="1" sqref="U83">
      <formula1>"50 (11/11/24)"</formula1>
    </dataValidation>
    <dataValidation type="list" allowBlank="1" showErrorMessage="1" sqref="AA70">
      <formula1>"50 (10/07/25),50 (11/26/25)"</formula1>
    </dataValidation>
    <dataValidation type="list" allowBlank="1" showErrorMessage="1" sqref="AA47">
      <formula1>"12.06 (8/8/25),14.70 (08/15/25)"</formula1>
    </dataValidation>
    <dataValidation type="list" allowBlank="1" showErrorMessage="1" sqref="AG21">
      <formula1>"21.46 (06/23/26)"</formula1>
    </dataValidation>
    <dataValidation type="list" allowBlank="1" showErrorMessage="1" sqref="Q175">
      <formula1>"14.74 (4/25/24),14.74 (05/07/24),Uber"</formula1>
    </dataValidation>
    <dataValidation type="list" allowBlank="1" showErrorMessage="1" sqref="U249">
      <formula1>"50 (1/27/26)"</formula1>
    </dataValidation>
    <dataValidation type="list" allowBlank="1" showErrorMessage="1" sqref="AA106">
      <formula1>"31.75 (2/12/26),31.75 (3/5/26)"</formula1>
    </dataValidation>
    <dataValidation type="list" allowBlank="1" showErrorMessage="1" sqref="AA50">
      <formula1>"16.80 (6/11/25),16.80 (7/15/25)"</formula1>
    </dataValidation>
    <dataValidation type="list" allowBlank="1" showErrorMessage="1" sqref="U251">
      <formula1>"20.30 (3/17/26),Option 2"</formula1>
    </dataValidation>
    <dataValidation type="list" allowBlank="1" showErrorMessage="1" sqref="Q141">
      <formula1>"11.92 (02/15/24),Option 2"</formula1>
    </dataValidation>
    <dataValidation type="list" allowBlank="1" showErrorMessage="1" sqref="Q174">
      <formula1>"8.71 (4/25/24),8.71 (5/8/24),8.71 (6/4/24),8.71 (8/16/24),8.71 (9/5/24)"</formula1>
    </dataValidation>
    <dataValidation type="list" allowBlank="1" showErrorMessage="1" sqref="AA51">
      <formula1>"12.32 (7/30/25),12.32 (8/28/25)"</formula1>
    </dataValidation>
    <dataValidation type="list" allowBlank="1" showErrorMessage="1" sqref="AA216">
      <formula1>"39.15 (8/25/26),Option 2,39.15 (10/9/26"</formula1>
    </dataValidation>
    <dataValidation type="list" allowBlank="1" showErrorMessage="1" sqref="U80">
      <formula1>"50 (3/6/2025),Option 2"</formula1>
    </dataValidation>
    <dataValidation type="list" allowBlank="1" showErrorMessage="1" sqref="AA162">
      <formula1>"30.45 (5/20/26),30.45 (06/04/26)"</formula1>
    </dataValidation>
    <dataValidation type="list" allowBlank="1" showErrorMessage="1" sqref="Q49">
      <formula1>"28.82 (07/10/23),28.82 (08/10/23),28.82 (08/14/23),28.82 (09/15/23),28.82 (10/20/23),28.82 (10/25/23)"</formula1>
    </dataValidation>
    <dataValidation type="list" allowBlank="1" showErrorMessage="1" sqref="AG8">
      <formula1>"7.25 (8/18/26),Option 2"</formula1>
    </dataValidation>
    <dataValidation type="list" allowBlank="1" showErrorMessage="1" sqref="Q230">
      <formula1>"36.18 (10/30/24),36.18 (11/5/24),36.18 (11/19/24),38.50 (04/30/25)"</formula1>
    </dataValidation>
    <dataValidation type="list" allowBlank="1" sqref="U4 U20">
      <formula1>"50 - (06/28/24)"</formula1>
    </dataValidation>
    <dataValidation type="list" allowBlank="1" showErrorMessage="1" sqref="AA85">
      <formula1>"37.66 11/25/25,37.66 12/05/25"</formula1>
    </dataValidation>
    <dataValidation type="list" allowBlank="1" showErrorMessage="1" sqref="U215">
      <formula1>"37.52 (9/17/25),Option 2"</formula1>
    </dataValidation>
    <dataValidation type="list" allowBlank="1" showErrorMessage="1" sqref="Q50">
      <formula1>"14.41 (07/11/23),14.41 (07/12/23),14.41 (07/19/23)"</formula1>
    </dataValidation>
    <dataValidation type="list" allowBlank="1" showErrorMessage="1" sqref="Q107">
      <formula1>"17.03 (12/1/23),17.03 (12/22/23),18.76 (4/26/24)"</formula1>
    </dataValidation>
    <dataValidation type="list" allowBlank="1" sqref="AA4">
      <formula1>"50 - (06/28/24),50 (5/30/25),50 (8/04/25),50 (12/03/25)"</formula1>
    </dataValidation>
    <dataValidation type="list" allowBlank="1" showErrorMessage="1" sqref="AA8 AA34">
      <formula1>"6.83 (8/20/25),6.83 (8/28/25)"</formula1>
    </dataValidation>
    <dataValidation type="list" allowBlank="1" showErrorMessage="1" sqref="AA148">
      <formula1>"50 (4/1/26)"</formula1>
    </dataValidation>
    <dataValidation type="list" allowBlank="1" showErrorMessage="1" sqref="Q177">
      <formula1>"$6.56 (4/30/24),6.56 (05/31/24),Uber (8/23/24),6.56 (11/21/24)"</formula1>
    </dataValidation>
    <dataValidation type="list" allowBlank="1" showErrorMessage="1" sqref="AA108">
      <formula1>"35.00 (11/25/25),35.00 (12/12/25)"</formula1>
    </dataValidation>
    <dataValidation type="list" allowBlank="1" showErrorMessage="1" sqref="AA147">
      <formula1>"20.30 (05/21/26),Option 2"</formula1>
    </dataValidation>
    <dataValidation type="list" allowBlank="1" showErrorMessage="1" sqref="U50">
      <formula1>"14.74 (7/2/24),Option 2"</formula1>
    </dataValidation>
    <dataValidation type="list" allowBlank="1" showErrorMessage="1" sqref="U90">
      <formula1>"32.16 (11/26/24),Option 2"</formula1>
    </dataValidation>
    <dataValidation type="list" allowBlank="1" showErrorMessage="1" sqref="U203">
      <formula1>"50 (9/26/25),Option 2"</formula1>
    </dataValidation>
    <dataValidation type="list" allowBlank="1" showErrorMessage="1" sqref="Q195">
      <formula1>"14.74 (08/05/24),14.74 (12/09/24)"</formula1>
    </dataValidation>
    <dataValidation type="list" allowBlank="1" showErrorMessage="1" sqref="AA93">
      <formula1>"23.8 (1/30/26)"</formula1>
    </dataValidation>
    <dataValidation type="list" allowBlank="1" showErrorMessage="1" sqref="Q179">
      <formula1>"9.92 (5/6/24)"</formula1>
    </dataValidation>
    <dataValidation type="list" allowBlank="1" showErrorMessage="1" sqref="Q201">
      <formula1>"22.78 (7/15/24),22.78 (8/1/24) ,Uber (8/23/24),22.78 (10/15/24)"</formula1>
    </dataValidation>
    <dataValidation type="list" allowBlank="1" showErrorMessage="1" sqref="Q223">
      <formula1>"30.82 9/17/24,30.82 (09/24/24),50 (10/3/24),50 (1/9/24),50 (3/6/24)"</formula1>
    </dataValidation>
    <dataValidation type="list" allowBlank="1" showErrorMessage="1" sqref="Q247">
      <formula1>"17.42 (12/5/24),18.20 (4/2/25)"</formula1>
    </dataValidation>
    <dataValidation type="list" allowBlank="1" showErrorMessage="1" sqref="U245">
      <formula1>"13.40 (6/6/24),13.40 (11/22/24),14.00 (03/14/24),14.00 (11/24/25"</formula1>
    </dataValidation>
    <dataValidation type="list" allowBlank="1" showErrorMessage="1" sqref="Q48">
      <formula1>"23.58 - (07/10/23),23.58 (07/26/23),23.58 (07/28/23),23.58 (08/03/23),23.58 (10/13/23)"</formula1>
    </dataValidation>
    <dataValidation type="list" allowBlank="1" showErrorMessage="1" sqref="U204">
      <formula1>"37.80 (08/12/25)"</formula1>
    </dataValidation>
    <dataValidation type="list" allowBlank="1" showErrorMessage="1" sqref="U142">
      <formula1>"11.79 (2/15/24),11.79 (03/01/24),11.79 (03/15/24),11.79 (04/30/24),11.79 (05/06/24),12.25 (04/07/24)"</formula1>
    </dataValidation>
    <dataValidation type="list" allowBlank="1" showErrorMessage="1" sqref="U171">
      <formula1>"21.44 (6/12/25),Option 2"</formula1>
    </dataValidation>
    <dataValidation type="list" allowBlank="1" showErrorMessage="1" sqref="Q154">
      <formula1>"24.79 (3/27/24),24.79 (4/1/24),24.79 (4/29/24),24.79 (10/11/24)"</formula1>
    </dataValidation>
    <dataValidation type="list" allowBlank="1" showErrorMessage="1" sqref="U177">
      <formula1>"7.98 (5/30/25),Option 2"</formula1>
    </dataValidation>
    <dataValidation type="list" allowBlank="1" showErrorMessage="1" sqref="U126">
      <formula1>"8.68 (1/14/25),Option 2"</formula1>
    </dataValidation>
    <dataValidation type="list" allowBlank="1" showErrorMessage="1" sqref="Q196 U196">
      <formula1>"22.78 (6/20/24),22.78 (8/8/24),23.80 (3/19/25),23.80 (12/4/25)"</formula1>
    </dataValidation>
    <dataValidation type="list" allowBlank="1" showErrorMessage="1" sqref="AA90">
      <formula1>"32.2 (12/11/25),32.2 (12/23/25)"</formula1>
    </dataValidation>
    <dataValidation type="list" allowBlank="1" showErrorMessage="1" sqref="U241">
      <formula1>"50 (1/22/26),Option 2"</formula1>
    </dataValidation>
    <dataValidation type="list" allowBlank="1" showErrorMessage="1" sqref="AA155">
      <formula1>"18.50 (5/15/26)"</formula1>
    </dataValidation>
    <dataValidation type="list" allowBlank="1" showErrorMessage="1" sqref="AA193">
      <formula1>"5.36 (06/16/26),5.36 (06/24/26)"</formula1>
    </dataValidation>
    <dataValidation type="list" allowBlank="1" showErrorMessage="1" sqref="Q85">
      <formula1>"28.82 (10/23/23),28.82 (11/01/23),34.17 (4/04/24)"</formula1>
    </dataValidation>
    <dataValidation type="list" allowBlank="1" showErrorMessage="1" sqref="Q99">
      <formula1>"15.72 (12/7/23),16.08 (1/24/24)"</formula1>
    </dataValidation>
    <dataValidation type="list" allowBlank="1" showErrorMessage="1" sqref="Q251">
      <formula1>"13.40 (12/19/24),14.00 (02/20/25),14.00 (03/03/25),14.00 (03/13/25)"</formula1>
    </dataValidation>
    <dataValidation type="list" allowBlank="1" showErrorMessage="1" sqref="U6">
      <formula1>"30.82 (06/17/24)"</formula1>
    </dataValidation>
    <dataValidation type="list" allowBlank="1" showErrorMessage="1" sqref="Q68">
      <formula1>"17.03 (09/18/23),17.03 (09/25/23),17.03 (11/30/23),17.42 (01/08/24)"</formula1>
    </dataValidation>
    <dataValidation type="list" allowBlank="1" showErrorMessage="1" sqref="AA156">
      <formula1>"14.5 (5/12/26),14.50 (8/04/26)"</formula1>
    </dataValidation>
    <dataValidation type="list" allowBlank="1" showErrorMessage="1" sqref="AG42">
      <formula1>"50 (08/03/26)"</formula1>
    </dataValidation>
    <dataValidation type="list" allowBlank="1" showErrorMessage="1" sqref="AA6">
      <formula1>"30.82 (06/05/25),30.82 (6/11/25)"</formula1>
    </dataValidation>
    <dataValidation type="list" allowBlank="1" showErrorMessage="1" sqref="Q82">
      <formula1>"14.41 (10/16/23),14.41 (11/8/23),14.74 (2/2/24)"</formula1>
    </dataValidation>
    <dataValidation type="list" allowBlank="1" showErrorMessage="1" sqref="U7">
      <formula1>"$48.24 (6/06/24),Option 2"</formula1>
    </dataValidation>
    <dataValidation type="list" allowBlank="1" showErrorMessage="1" sqref="Q129">
      <formula1>"3.35 (01/29/24),3.35 (02/16/24),3.35 (08/02/24)"</formula1>
    </dataValidation>
    <dataValidation type="list" allowBlank="1" showErrorMessage="1" sqref="U115">
      <formula1>"49.00 (02/19/25),Option 2"</formula1>
    </dataValidation>
    <dataValidation type="list" allowBlank="1" showErrorMessage="1" sqref="Q237">
      <formula1>"4.42 (11/13/24),4.42 (11/27/24),4.55 (4/7/25)"</formula1>
    </dataValidation>
    <dataValidation type="list" allowBlank="1" showErrorMessage="1" sqref="Q78">
      <formula1>"27.51 (10/03/23),27.51 (10/20/23),27.51 (10/27/23),27.51 (12/04/23)"</formula1>
    </dataValidation>
    <dataValidation type="list" allowBlank="1" showErrorMessage="1" sqref="AG51">
      <formula1>"12.62 (08/11/26)"</formula1>
    </dataValidation>
    <dataValidation type="list" allowBlank="1" showErrorMessage="1" sqref="Q228">
      <formula1>"10.58 (10/25/24),10.58 (11/06/24),10.58 (2/05/25)"</formula1>
    </dataValidation>
    <dataValidation type="list" allowBlank="1" showErrorMessage="1" sqref="Q80">
      <formula1>"50 (10/11/23),50 (11/14/23),50 (1/16/23)"</formula1>
    </dataValidation>
    <dataValidation type="list" allowBlank="1" showErrorMessage="1" sqref="AA92">
      <formula1>"34.84 (11/11/25),Uber (11/20/25),Uber (11/25/25)"</formula1>
    </dataValidation>
    <dataValidation type="list" allowBlank="1" showErrorMessage="1" sqref="Q104">
      <formula1>"17.16 (12/13/23)"</formula1>
    </dataValidation>
    <dataValidation type="list" allowBlank="1" showErrorMessage="1" sqref="U156">
      <formula1>"21.00 (5/20/25),Option 2"</formula1>
    </dataValidation>
    <dataValidation type="list" allowBlank="1" showErrorMessage="1" sqref="Q198">
      <formula1>"21.44 (7/2/24),21.44 (08/01/24),22.40 (01/17/25)"</formula1>
    </dataValidation>
    <dataValidation type="list" allowBlank="1" showErrorMessage="1" sqref="AG6">
      <formula1>"34.37 (6/16/26),34.37 (6/29/26)"</formula1>
    </dataValidation>
    <dataValidation type="list" allowBlank="1" showErrorMessage="1" sqref="Q77">
      <formula1>"20.96 (10/03/23),20.96 (10/11/23),20.96 (10/27/23),20.96 (12/8/23)"</formula1>
    </dataValidation>
    <dataValidation type="list" allowBlank="1" showErrorMessage="1" sqref="U187">
      <formula1>"3.22 (7/14/25),Option 2"</formula1>
    </dataValidation>
    <dataValidation type="list" allowBlank="1" showErrorMessage="1" sqref="Q123">
      <formula1>"14.74 (01/08/24),14.74 (01/16/24),14.74 (01/25/24),14.74 (01/31/24)"</formula1>
    </dataValidation>
    <dataValidation type="list" allowBlank="1" showErrorMessage="1" sqref="U237">
      <formula1>"5.07 (1/7/26)"</formula1>
    </dataValidation>
    <dataValidation type="list" allowBlank="1" showErrorMessage="1" sqref="AA24">
      <formula1>"7.42 (6/10/25),7.84 (6/12/25),7.84 ( 6/18/25)"</formula1>
    </dataValidation>
    <dataValidation type="list" allowBlank="1" showErrorMessage="1" sqref="Q52">
      <formula1>"15.72 (07/24/23),15.72 (10/12/23),15.72 (10/17/23)"</formula1>
    </dataValidation>
    <dataValidation type="list" allowBlank="1" showErrorMessage="1" sqref="Q58">
      <formula1>"40.61 (08/15/23),40.61 (11/22/23),41.54 (03/22/24)"</formula1>
    </dataValidation>
    <dataValidation type="list" allowBlank="1" showErrorMessage="1" sqref="U106">
      <formula1>"30.8 (1/15/25),Option 2"</formula1>
    </dataValidation>
    <dataValidation type="list" allowBlank="1" showErrorMessage="1" sqref="Q29">
      <formula1>"20.96 (04/21/23),20.96 (06/23/23),20.96 (07/14/23),20.96 (09/12/23)"</formula1>
    </dataValidation>
    <dataValidation type="list" allowBlank="1" showErrorMessage="1" sqref="Q168">
      <formula1>"47.57 (4/12/24),47.57 (4/26/24),47.57 (8/21/24)"</formula1>
    </dataValidation>
    <dataValidation type="list" allowBlank="1" showErrorMessage="1" sqref="Q53">
      <formula1>"3.93 (08/02/23),3.93 (08/23/23),3.93 (10/4/23)"</formula1>
    </dataValidation>
    <dataValidation type="list" allowBlank="1" showErrorMessage="1" sqref="U221">
      <formula1>"8.4 (10/28/25),Option 2"</formula1>
    </dataValidation>
    <dataValidation type="list" allowBlank="1" showErrorMessage="1" sqref="AA53">
      <formula1>"Uber (8/11/25),Uber (08/18/25)"</formula1>
    </dataValidation>
    <dataValidation type="list" allowBlank="1" showErrorMessage="1" sqref="AA131:AA132">
      <formula1>"46.54 (03/03/26),Option 2"</formula1>
    </dataValidation>
    <dataValidation type="list" allowBlank="1" showErrorMessage="1" sqref="Q151">
      <formula1>"11.12 (3/14/24),Option 2"</formula1>
    </dataValidation>
    <dataValidation type="list" allowBlank="1" showErrorMessage="1" sqref="Q248">
      <formula1>"10.98 (12/12/24),11.46 (2/20/24),11.46 (3/17/25)"</formula1>
    </dataValidation>
    <dataValidation type="list" allowBlank="1" showErrorMessage="1" sqref="Q120">
      <formula1>"26.8 (01/04/24),26.8 (01/30/24),26.8 (04/3/24),14.07 (04/05/24)"</formula1>
    </dataValidation>
    <dataValidation type="list" allowBlank="1" showErrorMessage="1" sqref="AA165">
      <formula1>"26.10 (4/6/26),Option 2"</formula1>
    </dataValidation>
    <dataValidation type="list" allowBlank="1" showErrorMessage="1" sqref="U213">
      <formula1>"35 (9/23/25),Option 2"</formula1>
    </dataValidation>
    <dataValidation type="list" allowBlank="1" showErrorMessage="1" sqref="U22">
      <formula1>"37.52 (10/29/24),Option 2"</formula1>
    </dataValidation>
    <dataValidation type="list" allowBlank="1" showErrorMessage="1" sqref="Q144">
      <formula1>"24.12 (2/21/24),Option 2"</formula1>
    </dataValidation>
    <dataValidation type="list" allowBlank="1" showErrorMessage="1" sqref="Q238">
      <formula1>"17.42 (11/25/24),17.42 (11/27/24),18.2 (03/26/25)"</formula1>
    </dataValidation>
    <dataValidation type="list" allowBlank="1" showErrorMessage="1" sqref="Q146">
      <formula1>"18.76 (03/14/24),18.76 (05/14/24)"</formula1>
    </dataValidation>
    <dataValidation type="list" allowBlank="1" sqref="Q4">
      <formula1>"50 - 1 (01/11/23),50 - 2 (03/20/23),50 - 3 (06/12/23),50 - 4 (09/08/23)"</formula1>
    </dataValidation>
    <dataValidation type="list" allowBlank="1" showErrorMessage="1" sqref="Q169">
      <formula1>"5.00 (4/15/24),5.00 (10/07/24)"</formula1>
    </dataValidation>
    <dataValidation type="list" allowBlank="1" showErrorMessage="1" sqref="Q193">
      <formula1>"6.9 (6/18/24),6.9 (7/2/24)"</formula1>
    </dataValidation>
    <dataValidation type="list" allowBlank="1" showErrorMessage="1" sqref="AG53">
      <formula1>"9.28 (8/11/26),Option 2"</formula1>
    </dataValidation>
    <dataValidation type="list" allowBlank="1" showErrorMessage="1" sqref="Q162">
      <formula1>"27.73 (04/08/24),27.73 (05/08/24),27.73 (08/20/24)"</formula1>
    </dataValidation>
    <dataValidation type="list" allowBlank="1" showErrorMessage="1" sqref="AA72">
      <formula1>"25.2 (10/21/25),25.2 (11/18/25)"</formula1>
    </dataValidation>
    <dataValidation type="list" allowBlank="1" showErrorMessage="1" sqref="Q30">
      <formula1>"3.93 - (4/26/23),Option 2"</formula1>
    </dataValidation>
    <dataValidation type="list" allowBlank="1" showErrorMessage="1" sqref="Q214">
      <formula1>"16.08 (8/28/24),16.08 (9/27/24),16.08 (10/31/24)"</formula1>
    </dataValidation>
    <dataValidation type="list" allowBlank="1" showErrorMessage="1" sqref="Q256">
      <formula1>"50 (2/19/24),50 (3/19/24),50 (4/28/25)"</formula1>
    </dataValidation>
    <dataValidation type="list" allowBlank="1" showErrorMessage="1" sqref="Q47">
      <formula1>"11.53 - (08/01/23)"</formula1>
    </dataValidation>
    <dataValidation type="list" allowBlank="1" showErrorMessage="1" sqref="AA107">
      <formula1>"18. (12/19/25),18.85 (01/09/26)"</formula1>
    </dataValidation>
    <dataValidation type="list" allowBlank="1" showErrorMessage="1" sqref="U139">
      <formula1>"40.60 (03/04/25),Option 2"</formula1>
    </dataValidation>
    <dataValidation type="list" allowBlank="1" showErrorMessage="1" sqref="AA126">
      <formula1>"8.99 (1/20/26),8.99 (1/22/26)"</formula1>
    </dataValidation>
    <dataValidation type="list" allowBlank="1" showErrorMessage="1" sqref="Q122">
      <formula1>"17.42 (02/05/24)"</formula1>
    </dataValidation>
    <dataValidation type="list" allowBlank="1" showErrorMessage="1" sqref="AA180">
      <formula1>"36.25 (5/5/26),Option 2"</formula1>
    </dataValidation>
    <dataValidation type="list" allowBlank="1" showErrorMessage="1" sqref="Q200">
      <formula1>"15.41 (7/8/24),Option 2"</formula1>
    </dataValidation>
    <dataValidation type="list" allowBlank="1" showErrorMessage="1" sqref="U70">
      <formula1>"50 (10/23/24),Option 2"</formula1>
    </dataValidation>
    <dataValidation type="list" allowBlank="1" showErrorMessage="1" sqref="U180">
      <formula1>"29.40 (5/05/25),Option 2"</formula1>
    </dataValidation>
    <dataValidation type="list" allowBlank="1" showErrorMessage="1" sqref="U119">
      <formula1>"13.58 (1/23/25),Option 2"</formula1>
    </dataValidation>
    <dataValidation type="list" allowBlank="1" showErrorMessage="1" sqref="Q181">
      <formula1>"$17.42 (5/15/24),17.42 (05/22/24),17.42 (8/27/24)"</formula1>
    </dataValidation>
    <dataValidation type="list" allowBlank="1" showErrorMessage="1" sqref="U129">
      <formula1>"3.50 (01/14/25)"</formula1>
    </dataValidation>
    <dataValidation type="list" allowBlank="1" showErrorMessage="1" sqref="Q139">
      <formula1>"38.86 (2/14/24),38.86 (2/21/24),38.86 (5/1/24)"</formula1>
    </dataValidation>
    <dataValidation type="list" allowBlank="1" showErrorMessage="1" sqref="Q250">
      <formula1>"29.48 (12/18/24),30.80 (03/07/25),30.80 (03/14/25)"</formula1>
    </dataValidation>
    <dataValidation type="list" allowBlank="1" showErrorMessage="1" sqref="U93">
      <formula1>"22.78 (11/18/24),22.78 (11/21/24)"</formula1>
    </dataValidation>
    <dataValidation type="list" allowBlank="1" showErrorMessage="1" sqref="AA121">
      <formula1>"30.45 (3/10/26),30.45 (6/11/26)"</formula1>
    </dataValidation>
    <dataValidation type="list" allowBlank="1" showErrorMessage="1" sqref="Q215">
      <formula1>"37.52 (8/30/24),37.52 (9/11/24),37.52 (10/16/24),37.52 (10/18/24),37.52 (11/27/24)"</formula1>
    </dataValidation>
    <dataValidation type="list" allowBlank="1" showErrorMessage="1" sqref="Q234">
      <formula1>"26.80 (11/12/24),28.00 (2/14/25)"</formula1>
    </dataValidation>
    <dataValidation type="list" allowBlank="1" showErrorMessage="1" sqref="AA21">
      <formula1>"17.71 (06/10/25),17.71 (06/11/25)"</formula1>
    </dataValidation>
    <dataValidation type="list" allowBlank="1" showErrorMessage="1" sqref="U21">
      <formula1>"13.4 (6/25/24),Option 2"</formula1>
    </dataValidation>
    <dataValidation type="list" allowBlank="1" showErrorMessage="1" sqref="Q116">
      <formula1>"26.2 (12/19/23),26.8 (01/23/24),26.8 (04/16/24)"</formula1>
    </dataValidation>
    <dataValidation type="list" allowBlank="1" showErrorMessage="1" sqref="Q161">
      <formula1>"16.08 (04/18/24),16.08 (04/24/24)"</formula1>
    </dataValidation>
    <dataValidation type="list" allowBlank="1" showErrorMessage="1" sqref="AA83">
      <formula1>"50 (11/11/24),50 11/10/25,50 11/14/25"</formula1>
    </dataValidation>
    <dataValidation type="list" allowBlank="1" showErrorMessage="1" sqref="Q100">
      <formula1>"23.58 (11/22/23),50 (12/1/23)"</formula1>
    </dataValidation>
    <dataValidation type="list" allowBlank="1" showErrorMessage="1" sqref="U118">
      <formula1>"18.2 (1/17/24),Option 2"</formula1>
    </dataValidation>
    <dataValidation type="list" allowBlank="1" showErrorMessage="1" sqref="AA123">
      <formula1>"15.95 (01/07/2026),15.95 (01/23/2026)"</formula1>
    </dataValidation>
    <dataValidation type="list" allowBlank="1" showErrorMessage="1" sqref="AA223">
      <formula1>"50 (9/26/25),50 (10/3/25),50 (9/24/26)"</formula1>
    </dataValidation>
    <dataValidation type="list" allowBlank="1" showErrorMessage="1" sqref="AG50">
      <formula1>"17.40 (07/24/26),Option 2"</formula1>
    </dataValidation>
    <dataValidation type="list" allowBlank="1" showErrorMessage="1" sqref="U174">
      <formula1>"9.10 (5/12/25),Option 2"</formula1>
    </dataValidation>
    <dataValidation type="list" allowBlank="1" showErrorMessage="1" sqref="Q199">
      <formula1>"4.42 (7/2/24),4.42 (7/29/24),Uber (11/5/24)"</formula1>
    </dataValidation>
    <dataValidation type="list" allowBlank="1" showErrorMessage="1" sqref="Q31">
      <formula1>"12.31 (05/02/23),12.31 (05/26/23),12.31 (10/30/23)"</formula1>
    </dataValidation>
    <dataValidation type="list" allowBlank="1" showErrorMessage="1" sqref="Q155">
      <formula1>"50 (3/29/24),50 (4/26/24),50 (8/16/24)"</formula1>
    </dataValidation>
    <dataValidation type="list" allowBlank="1" showErrorMessage="1" sqref="Q243">
      <formula1>"8.85 (12/02/24),9.24 (01/07/25),9.24 (02/12/25)"</formula1>
    </dataValidation>
    <dataValidation type="list" allowBlank="1" showErrorMessage="1" sqref="U148">
      <formula1>"50 (4/15/25)"</formula1>
    </dataValidation>
    <dataValidation type="list" allowBlank="1" showErrorMessage="1" sqref="Q75">
      <formula1>"18.73 (10/02/23),18.73 (10/27/23)"</formula1>
    </dataValidation>
    <dataValidation type="list" allowBlank="1" showErrorMessage="1" sqref="U33">
      <formula1>"2.68 (08/12/24)"</formula1>
    </dataValidation>
    <dataValidation type="list" allowBlank="1" showErrorMessage="1" sqref="Q227">
      <formula1>"30.82 (11/1/24),Uber (2/28/25) "</formula1>
    </dataValidation>
    <dataValidation type="list" allowBlank="1" showErrorMessage="1" sqref="U116">
      <formula1>"28.00 (1/30/25),Option 2"</formula1>
    </dataValidation>
    <dataValidation type="list" allowBlank="1" showErrorMessage="1" sqref="Q213">
      <formula1>"33.50 (08/28/24),35 (03/25/24)"</formula1>
    </dataValidation>
    <dataValidation type="list" allowBlank="1" showErrorMessage="1" sqref="Q226">
      <formula1>"29.48 (10/10/24),Option 2"</formula1>
    </dataValidation>
    <dataValidation type="list" allowBlank="1" showErrorMessage="1" sqref="U58">
      <formula1>"41.54 (11/26/24)"</formula1>
    </dataValidation>
    <dataValidation type="list" allowBlank="1" showErrorMessage="1" sqref="Q219">
      <formula1>"50 (9/12/24),50 (9/19/24),50 (1/27/25)"</formula1>
    </dataValidation>
    <dataValidation type="list" allowBlank="1" showErrorMessage="1" sqref="U231">
      <formula1>"26.80 (11/6/25),Option 2"</formula1>
    </dataValidation>
    <dataValidation type="list" allowBlank="1" showErrorMessage="1" sqref="Q236">
      <formula1>"24.12 (11/12/24),24.12 (12/4/24)"</formula1>
    </dataValidation>
    <dataValidation type="list" allowBlank="1" showErrorMessage="1" sqref="Q93">
      <formula1>"22.78 (01/12/24),22.78 (1/26/24)"</formula1>
    </dataValidation>
    <dataValidation type="list" allowBlank="1" showErrorMessage="1" sqref="Q171">
      <formula1>"21.44 (4/17/24),21.44 (5/29/24),21.44 (10/10/24)"</formula1>
    </dataValidation>
    <dataValidation type="list" allowBlank="1" showErrorMessage="1" sqref="Q187">
      <formula1>"13.40 (06/10/24),2.00 (06/14/24),2.00 (07/1/24),2.10 (01/06/25)"</formula1>
    </dataValidation>
    <dataValidation type="list" allowBlank="1" showErrorMessage="1" sqref="U223">
      <formula1>"50 (9/26/25),50 (10/3/25)"</formula1>
    </dataValidation>
    <dataValidation type="list" allowBlank="1" showErrorMessage="1" sqref="U181">
      <formula1>"17.42 (8/8/25),Option 2"</formula1>
    </dataValidation>
    <dataValidation type="list" allowBlank="1" showErrorMessage="1" sqref="U169">
      <formula1>"$50(8/11/25),Option 2"</formula1>
    </dataValidation>
    <dataValidation type="list" allowBlank="1" showErrorMessage="1" sqref="AA174:AB174">
      <formula1>" 8.27(05/07/26),Option 2"</formula1>
    </dataValidation>
    <dataValidation type="list" allowBlank="1" showErrorMessage="1" sqref="Q188">
      <formula1>"13.40 (06/10/24),Option 2"</formula1>
    </dataValidation>
    <dataValidation type="list" allowBlank="1" showErrorMessage="1" sqref="Q190">
      <formula1>"26.8 (6/17/24),Option 2"</formula1>
    </dataValidation>
    <dataValidation type="list" allowBlank="1" showErrorMessage="1" sqref="U254 U256">
      <formula1>"50 (2/18/26),50 (2/19/26)"</formula1>
    </dataValidation>
    <dataValidation type="list" allowBlank="1" showErrorMessage="1" sqref="Q103">
      <formula1>"22.27 (11/22/23),22.27 (12/15/23)"</formula1>
    </dataValidation>
    <dataValidation type="list" allowBlank="1" showErrorMessage="1" sqref="Q42">
      <formula1>"50 - 6/19/23,50 - 7/13/23,50 - 7/25/23"</formula1>
    </dataValidation>
    <dataValidation type="list" allowBlank="1" showErrorMessage="1" sqref="AA58">
      <formula1>"44.24(12/19/25),44.24(12/23/25)"</formula1>
    </dataValidation>
    <dataValidation type="list" allowBlank="1" showErrorMessage="1" sqref="Q119">
      <formula1>"12.59 (12/20/23),12.36 (01/17/24),6.30 (05/30/24)"</formula1>
    </dataValidation>
    <dataValidation type="list" allowBlank="1" sqref="Q12">
      <formula1>"24.89 (2/17/23),24.89 (5/4/23),24.89 (9/29/23)"</formula1>
    </dataValidation>
    <dataValidation type="list" allowBlank="1" showErrorMessage="1" sqref="Q126">
      <formula1>"8.31 (01/16/24),8.31 (01/23/24),8.31 (03/18/24"</formula1>
    </dataValidation>
    <dataValidation type="list" allowBlank="1" showErrorMessage="1" sqref="Q142">
      <formula1>"11.79 (2/15/24),11.79 (03/01/24),11.79 (03/15/24),11.79 (04/30/24),11.79 (05/06/24)"</formula1>
    </dataValidation>
    <dataValidation type="list" allowBlank="1" showErrorMessage="1" sqref="Q127">
      <formula1>"50 (01/16/24),50 (02/01/24),50 (03/28/24)"</formula1>
    </dataValidation>
    <dataValidation type="list" allowBlank="1" showErrorMessage="1" sqref="AA168">
      <formula1>"50 (7/23/2026),Option 2"</formula1>
    </dataValidation>
    <dataValidation type="list" allowBlank="1" showErrorMessage="1" sqref="AA192">
      <formula1>"11.6 06/15/26 ,11.60 (06/15/26) "</formula1>
    </dataValidation>
    <dataValidation type="list" allowBlank="1" showErrorMessage="1" sqref="Q73">
      <formula1>"4.85 (09/27/23),4.85 (10/18/23)"</formula1>
    </dataValidation>
    <dataValidation type="list" allowBlank="1" showErrorMessage="1" sqref="Q156">
      <formula1>"16 (4/1/24),16 (04/09/24),16 (04/16/24),16 (04/29/24),16 (10/01/24)"</formula1>
    </dataValidation>
    <dataValidation type="list" allowBlank="1" showErrorMessage="1" sqref="U96">
      <formula1>"29.00 (09/30/25),29.00 (10/01/25)"</formula1>
    </dataValidation>
    <dataValidation type="list" allowBlank="1" showErrorMessage="1" sqref="AG7">
      <formula1>"50 (6/10/26),Option 2"</formula1>
    </dataValidation>
    <dataValidation type="list" allowBlank="1" showErrorMessage="1" sqref="AA61">
      <formula1>"14.74 (8/1/25),14.74 (8/15/25)"</formula1>
    </dataValidation>
    <dataValidation type="list" allowBlank="1" showErrorMessage="1" sqref="AA195">
      <formula1>"17.40 (8/26/26),Option 2"</formula1>
    </dataValidation>
    <dataValidation type="list" allowBlank="1" showErrorMessage="1" sqref="Q131">
      <formula1>"36.18 (02/06/24),36.18 (03/05/24),36.18 (03/19/24),36.18 (05/28/24)"</formula1>
    </dataValidation>
    <dataValidation type="list" allowBlank="1" showErrorMessage="1" sqref="AA142">
      <formula1>"12.91 (4/7/26),12.91 (6/2/26)"</formula1>
    </dataValidation>
    <dataValidation type="list" allowBlank="1" showErrorMessage="1" sqref="U162">
      <formula1>"28.7 (5/8/25),Option 2"</formula1>
    </dataValidation>
    <dataValidation type="list" allowBlank="1" showErrorMessage="1" sqref="Q255">
      <formula1>"50 (1/23/24),Option 2"</formula1>
    </dataValidation>
    <dataValidation type="list" allowBlank="1" showErrorMessage="1" sqref="U55">
      <formula1>"9.56 (08/03/23),9.56 (08/09/23),9.56 (09/21/23),9.56 (10/05/23),9.72 (08/22/24)"</formula1>
    </dataValidation>
    <dataValidation type="list" allowBlank="1" showErrorMessage="1" sqref="Q118">
      <formula1>"17.42 (1/19/24),17.42 (03/22/24)"</formula1>
    </dataValidation>
    <dataValidation type="list" allowBlank="1" showErrorMessage="1" sqref="Q249">
      <formula1>"50 (12/16/24),50 (1/24/25),50 (3/24/25)"</formula1>
    </dataValidation>
    <dataValidation type="list" allowBlank="1" showErrorMessage="1" sqref="Q222">
      <formula1>"50 (9/16/24),Option 2"</formula1>
    </dataValidation>
    <dataValidation type="list" allowBlank="1" showErrorMessage="1" sqref="AA118">
      <formula1>"18.85 (5/6/26),Option 2"</formula1>
    </dataValidation>
    <dataValidation type="list" allowBlank="1" showErrorMessage="1" sqref="U250">
      <formula1>"31.90 (2/24/26),Option 2"</formula1>
    </dataValidation>
    <dataValidation type="list" allowBlank="1" showErrorMessage="1" sqref="U105">
      <formula1>"21 (01/31/25)"</formula1>
    </dataValidation>
    <dataValidation type="list" allowBlank="1" showErrorMessage="1" sqref="Q153">
      <formula1>"13.80 (3/21/24),13.80 (04/04/24),13.80 (04/11/24),13.80 (05/30/24)"</formula1>
    </dataValidation>
    <dataValidation type="list" allowBlank="1" showErrorMessage="1" sqref="Q254">
      <formula1>"50 (1/22/24),50 (2/19/24),50 (3/19/24),50 (4/22/24)"</formula1>
    </dataValidation>
    <dataValidation type="list" allowBlank="1" showErrorMessage="1" sqref="Q40">
      <formula1>"28.82 - (06/02/23)"</formula1>
    </dataValidation>
    <dataValidation type="list" allowBlank="1" showErrorMessage="1" sqref="Q197">
      <formula1>"17.42 (6/20/24),17.42 (06/26/24),17.42 (07/30/24),17.42 (10/16/24)"</formula1>
    </dataValidation>
    <dataValidation type="list" allowBlank="1" showErrorMessage="1" sqref="Q217">
      <formula1>"17.42 (9/6/24),17.42 (9/18/24)"</formula1>
    </dataValidation>
    <dataValidation type="list" allowBlank="1" showErrorMessage="1" sqref="AG34">
      <formula1>"7.25 (08/18/26)"</formula1>
    </dataValidation>
    <dataValidation type="list" allowBlank="1" showErrorMessage="1" sqref="U195">
      <formula1>"14.14 (08/13/25),Option 2"</formula1>
    </dataValidation>
    <dataValidation type="list" allowBlank="1" showErrorMessage="1" sqref="AA128">
      <formula1>"50 (02/09/26)"</formula1>
    </dataValidation>
    <dataValidation type="list" allowBlank="1" showErrorMessage="1" sqref="Q203">
      <formula1>"50 (7/18/24),50 (7/29/24),50 (9/17/24),50 (11/19/24)"</formula1>
    </dataValidation>
    <dataValidation type="list" allowBlank="1" showErrorMessage="1" sqref="U198">
      <formula1>"21.98 (08/08/25)"</formula1>
    </dataValidation>
    <dataValidation type="list" allowBlank="1" showErrorMessage="1" sqref="AA78">
      <formula1>"30.8 (10/09/25),50 (10/13/25)"</formula1>
    </dataValidation>
    <dataValidation type="list" allowBlank="1" showErrorMessage="1" sqref="AA204">
      <formula1>"40.6(8/11/26),40.6(8/25/26)"</formula1>
    </dataValidation>
    <dataValidation type="list" allowBlank="1" showErrorMessage="1" sqref="Q225">
      <formula1>"25.46 (10/9/24),25.46 (10/23/24)"</formula1>
    </dataValidation>
    <dataValidation type="list" allowBlank="1" showErrorMessage="1" sqref="Q45">
      <formula1>"50 - (06/26/23)"</formula1>
    </dataValidation>
    <dataValidation type="list" allowBlank="1" showErrorMessage="1" sqref="Q46">
      <formula1>"4.45 - (06/29/23)"</formula1>
    </dataValidation>
    <dataValidation type="list" allowBlank="1" showErrorMessage="1" sqref="Q108">
      <formula1>"34.06 (12/01/23),34.06 (12/11/23),34.06 (12/18/23)"</formula1>
    </dataValidation>
    <dataValidation type="list" allowBlank="1" showErrorMessage="1" sqref="Q43">
      <formula1>"3.93 - 6/20/23,3.93 - 7/31/23,3.93 - 9/22/23"</formula1>
    </dataValidation>
    <dataValidation type="list" allowBlank="1" showErrorMessage="1" sqref="Q252">
      <formula1>"$2.80 (1/7/25),Option 2"</formula1>
    </dataValidation>
    <dataValidation type="list" allowBlank="1" showErrorMessage="1" sqref="U47">
      <formula1>"12.06 (8/7/24),Option 2"</formula1>
    </dataValidation>
    <dataValidation type="list" allowBlank="1" showErrorMessage="1" sqref="Q61">
      <formula1>"14.41 (08/18/23),14.41 (09/22/23),14.74 (2/16/24)"</formula1>
    </dataValidation>
    <dataValidation type="list" allowBlank="1" showErrorMessage="1" sqref="U91">
      <formula1>"50 (11/15/24),Option 2"</formula1>
    </dataValidation>
    <dataValidation type="list" allowBlank="1" showErrorMessage="1" sqref="AA215">
      <formula1>"43.50 (9/23/26),Option 2"</formula1>
    </dataValidation>
    <dataValidation type="list" allowBlank="1" showErrorMessage="1" sqref="U68">
      <formula1>"17.42 (9/9/24),Option 2"</formula1>
    </dataValidation>
    <dataValidation type="list" allowBlank="1" showErrorMessage="1" sqref="U107">
      <formula1>"18.76 (12/6/24)"</formula1>
    </dataValidation>
    <dataValidation type="list" allowBlank="1" showErrorMessage="1" sqref="U127">
      <formula1>"50 (02/07/25)"</formula1>
    </dataValidation>
    <dataValidation type="list" allowBlank="1" showErrorMessage="1" sqref="Q20">
      <formula1>"50 - 1 (03/20/23),50 - 2 (06/12/23),50 - 3 (09/08/23)"</formula1>
    </dataValidation>
    <dataValidation type="list" allowBlank="1" showErrorMessage="1" sqref="AA98">
      <formula1>"$17.55 (1/14/26),$17.55 (1/15/26),$17.55 (2/18/26)"</formula1>
    </dataValidation>
    <dataValidation type="list" allowBlank="1" showErrorMessage="1" sqref="U168">
      <formula1>"49.70 (5/02/25),Option 2"</formula1>
    </dataValidation>
    <dataValidation type="list" allowBlank="1" showErrorMessage="1" sqref="U209">
      <formula1>"22.4 (9/11/25),Option 2"</formula1>
    </dataValidation>
    <dataValidation type="list" allowBlank="1" showErrorMessage="1" sqref="AG24">
      <formula1>"7.69 (6/09/26)"</formula1>
    </dataValidation>
    <dataValidation type="list" allowBlank="1" showErrorMessage="1" sqref="R48">
      <formula1>"23.58 - (07/10/23),23.58 (07/26/23),23.58 (07/28/23),23.58 (08/03/23)"</formula1>
    </dataValidation>
    <dataValidation type="list" allowBlank="1" showErrorMessage="1" sqref="Q66">
      <formula1>"35.37 (09/05/23),45.37 (09/26/23)"</formula1>
    </dataValidation>
    <dataValidation type="list" allowBlank="1" showErrorMessage="1" sqref="Q132">
      <formula1>"36.18 (02/06/24),36.18 (03/05/24),36.18 (05/28/24)"</formula1>
    </dataValidation>
    <dataValidation type="list" allowBlank="1" showErrorMessage="1" sqref="Q95">
      <formula1>"26.20 (11/15/23),26.20 (12/13/23),26.80 (2/14/23)"</formula1>
    </dataValidation>
    <dataValidation type="list" allowBlank="1" showErrorMessage="1" sqref="U120:U121">
      <formula1>"28.14 (02/21/25),28.14 (07/11/25)"</formula1>
    </dataValidation>
    <dataValidation type="list" allowBlank="1" showErrorMessage="1" sqref="Q212">
      <formula1>"50 (8/26/24),50 (9/10/24),50 (12/17/24)"</formula1>
    </dataValidation>
    <dataValidation type="list" allowBlank="1" showErrorMessage="1" sqref="Q59">
      <formula1>"50.00 (08/16/23)"</formula1>
    </dataValidation>
    <dataValidation type="list" allowBlank="1" showErrorMessage="1" sqref="AG4 AG20">
      <formula1>"50 (5/27/26),Option 2"</formula1>
    </dataValidation>
    <dataValidation type="list" allowBlank="1" showErrorMessage="1" sqref="U147">
      <formula1>"19.6 (5/21/25),Option 2"</formula1>
    </dataValidation>
    <dataValidation type="list" allowBlank="1" showErrorMessage="1" sqref="Q56">
      <formula1>"7.07 (08/10/23)"</formula1>
    </dataValidation>
    <dataValidation type="list" allowBlank="1" showErrorMessage="1" sqref="U238">
      <formula1>"17.42 (11/25/24),17.42 (11/27/24),18.2 (03/26/25),18.2 (11/20/25)"</formula1>
    </dataValidation>
    <dataValidation type="list" allowBlank="1" showErrorMessage="1" sqref="U72">
      <formula1>"12.06 (10/24/24),Option 2"</formula1>
    </dataValidation>
    <dataValidation type="list" allowBlank="1" showErrorMessage="1" sqref="Q178">
      <formula1>"$6.56 (4/30/24),18.76 (5/6/24)"</formula1>
    </dataValidation>
    <dataValidation type="list" allowBlank="1" showErrorMessage="1" sqref="AA154">
      <formula1>"23.49 (4/7/26)"</formula1>
    </dataValidation>
    <dataValidation type="list" allowBlank="1" showErrorMessage="1" sqref="Q221">
      <formula1>"7.63 (9/13/24),Uber (11/8/24)"</formula1>
    </dataValidation>
    <dataValidation type="list" allowBlank="1" showErrorMessage="1" sqref="AA213">
      <formula1>"36.25 (09/29/26),Option 2"</formula1>
    </dataValidation>
    <dataValidation type="list" allowBlank="1" showErrorMessage="1" sqref="U131">
      <formula1>"40.6 (7/2/25),Option 2"</formula1>
    </dataValidation>
    <dataValidation type="list" allowBlank="1" showErrorMessage="1" sqref="U193">
      <formula1>"6.9 (8/27/25),Option 2"</formula1>
    </dataValidation>
    <dataValidation type="list" allowBlank="1" showErrorMessage="1" sqref="U108">
      <formula1>"34.84 (12/3/24)"</formula1>
    </dataValidation>
    <dataValidation type="list" allowBlank="1" showErrorMessage="1" sqref="U154">
      <formula1>"25.90 (4/25/25)"</formula1>
    </dataValidation>
    <dataValidation type="list" allowBlank="1" showErrorMessage="1" sqref="AG35">
      <formula1>"16.80 (6/1/26)"</formula1>
    </dataValidation>
    <dataValidation type="list" allowBlank="1" showErrorMessage="1" sqref="U85">
      <formula1>"34.17 (11/08/24),Option 2"</formula1>
    </dataValidation>
    <dataValidation type="list" allowBlank="1" showErrorMessage="1" sqref="Q204">
      <formula1>"36.18 (7/19/24),36.18 (8/6/24),36.18 (8/13/24),37.80 (2/14/25)"</formula1>
    </dataValidation>
    <dataValidation type="list" allowBlank="1" showErrorMessage="1" sqref="U42">
      <formula1>"50 (7/29/24),Option 2"</formula1>
    </dataValidation>
    <dataValidation type="list" allowBlank="1" showErrorMessage="1" sqref="Q182">
      <formula1>"12.06 (5/21/24),12.06 (6/18/24),12.60 (4/25/25)"</formula1>
    </dataValidation>
    <dataValidation type="list" allowBlank="1" showErrorMessage="1" sqref="AA153">
      <formula1>"14.21 (4/8/26),Option 2,14.21 (05/18/26, MRI)"</formula1>
    </dataValidation>
    <dataValidation type="list" allowBlank="1" showErrorMessage="1" sqref="AA230">
      <formula1>"39.15 (10/14/26),Option 2"</formula1>
    </dataValidation>
    <dataValidation type="list" allowBlank="1" showErrorMessage="1" sqref="U240">
      <formula1>"32.16 (11/19/24),32.16 (12/11/24),33.60 (1/16/25),33.60 (2/13/25),33.60 (12/2/25)"</formula1>
    </dataValidation>
    <dataValidation type="list" allowBlank="1" showErrorMessage="1" sqref="AG47">
      <formula1>"15.95 (8/21/26),Option 2"</formula1>
    </dataValidation>
    <dataValidation type="list" allowBlank="1" showErrorMessage="1" sqref="Q83">
      <formula1>"50 (10/17/23),50 (11/2/23),50 (11/15/23),50 (1/12/24)"</formula1>
    </dataValidation>
    <dataValidation type="list" allowBlank="1" showErrorMessage="1" sqref="U197">
      <formula1>"24.64 (07/24/25),24.64 (07/30/25)"</formula1>
    </dataValidation>
    <dataValidation type="list" allowBlank="1" showErrorMessage="1" sqref="Q216">
      <formula1>"36.18 (9/3/24),36.18 (9/27/24),37.80 (1/31/25)"</formula1>
    </dataValidation>
    <dataValidation type="list" allowBlank="1" showErrorMessage="1" sqref="Q15">
      <formula1>"50 - (03/07/23)"</formula1>
    </dataValidation>
    <dataValidation type="list" allowBlank="1" showErrorMessage="1" sqref="U95">
      <formula1>"50 (12/11/24),Option 2"</formula1>
    </dataValidation>
    <dataValidation type="list" allowBlank="1" showErrorMessage="1" sqref="Q109">
      <formula1>"50 (12/05/23),Option 2"</formula1>
    </dataValidation>
    <dataValidation type="list" allowBlank="1" showErrorMessage="1" sqref="U230">
      <formula1>"38.50 (11/7/25)"</formula1>
    </dataValidation>
    <dataValidation type="list" allowBlank="1" showErrorMessage="1" sqref="Q244">
      <formula1>"11.39 (12/02/24),11.39 (2/13/24),22.78 (2/20/24),22.78 (4/25/25)"</formula1>
    </dataValidation>
    <dataValidation type="list" allowBlank="1" showErrorMessage="1" sqref="Q165">
      <formula1>"23.72 (4/10/24),23.72 (4/25/24),23.72 (10/25/24)"</formula1>
    </dataValidation>
    <dataValidation type="list" allowBlank="1" showErrorMessage="1" sqref="AA113">
      <formula1>"8.26 (11/04/2025),8.70 (1/28/2026)"</formula1>
    </dataValidation>
    <dataValidation type="list" allowBlank="1" showErrorMessage="1" sqref="Q240">
      <formula1>"32.16 (11/19/24),32.16 (12/11/24),33.60 (1/16/25),33.60 (2/13/25)"</formula1>
    </dataValidation>
    <dataValidation type="list" allowBlank="1" showErrorMessage="1" sqref="Q148">
      <formula1>"50 (3/1/24),50 (3/12/24),50 (5/20/24),50 (8/6/24)"</formula1>
    </dataValidation>
    <dataValidation type="list" allowBlank="1" showErrorMessage="1" sqref="Q135">
      <formula1>"50 (02/08/24),50 (04/04/24),50 (07/11/24)"</formula1>
    </dataValidation>
    <dataValidation type="list" allowBlank="1" showErrorMessage="1" sqref="U155">
      <formula1>"50 (4/18/25)"</formula1>
    </dataValidation>
    <dataValidation type="list" allowBlank="1" showErrorMessage="1" sqref="Q189">
      <formula1>"9.91 (6/11/;24),Option 2"</formula1>
    </dataValidation>
    <dataValidation type="list" allowBlank="1" showErrorMessage="1" sqref="Q34">
      <formula1>"6.68 -  (5/10/23),6.68 -  (5/30/23),6.68 -  (7/26/23)"</formula1>
    </dataValidation>
    <dataValidation type="list" allowBlank="1" showErrorMessage="1" sqref="Q170">
      <formula1>"50 (4/16/24),Option 2"</formula1>
    </dataValidation>
    <dataValidation type="list" allowBlank="1" showErrorMessage="1" sqref="U201">
      <formula1>"22.78 (7/15/24),22.78 (8/1/24) ,Uber (8/23/24),22.78 (10/15/24),22.78 (8/28/25)"</formula1>
    </dataValidation>
    <dataValidation type="list" allowBlank="1" showErrorMessage="1" sqref="AG96">
      <formula1>"29.00 (10/05/26),Option 2"</formula1>
    </dataValidation>
    <dataValidation type="list" allowBlank="1" showErrorMessage="1" sqref="U113">
      <formula1>"8.26 (1/30/25)"</formula1>
    </dataValidation>
    <dataValidation type="list" allowBlank="1" showErrorMessage="1" sqref="AA55">
      <formula1>"9.72 (8/7/25),Option 2"</formula1>
    </dataValidation>
    <dataValidation type="list" allowBlank="1" showErrorMessage="1" sqref="Q164">
      <formula1>"50 (4/10/24),Option 2"</formula1>
    </dataValidation>
    <dataValidation type="list" allowBlank="1" showErrorMessage="1" sqref="Q180">
      <formula1>"28.14 (5/13/24),28.14 (5/22/24),28.14 (10/14/24)"</formula1>
    </dataValidation>
    <dataValidation type="list" allowBlank="1" showErrorMessage="1" sqref="Q106">
      <formula1>"28.82 (11/30/23),29.48 (01/05/24),29.48 (01/16/24),29.48 (02/29/24)"</formula1>
    </dataValidation>
    <dataValidation type="list" allowBlank="1" showErrorMessage="1" sqref="AA143">
      <formula1>"34.80 (2/2/26),34.80 (2/23/26)"</formula1>
    </dataValidation>
    <dataValidation type="list" allowBlank="1" showErrorMessage="1" sqref="U132">
      <formula1>"40.6 (7/2/25),Option 2"</formula1>
    </dataValidation>
    <dataValidation type="list" allowBlank="1" showErrorMessage="1" sqref="Q220">
      <formula1>"4.3 (9/12/24),4.3 (09/30/24),4.3 (10/4/24)"</formula1>
    </dataValidation>
    <dataValidation type="list" allowBlank="1" showErrorMessage="1" sqref="Q81">
      <formula1>"14.41 (10/16/23),14.41 (10/24/23),14.41 (12/13/23),14.74 (02/09/24)"</formula1>
    </dataValidation>
    <dataValidation type="list" allowBlank="1" showErrorMessage="1" sqref="AA201">
      <formula1>"24.65 (8/10/26),24.65 (8/13/26)"</formula1>
    </dataValidation>
    <dataValidation type="list" allowBlank="1" showErrorMessage="1" sqref="AA42">
      <formula1>"50 (08/06/25),50 (08/21/25),50 (10/23/25)"</formula1>
    </dataValidation>
    <dataValidation type="list" allowBlank="1" showErrorMessage="1" sqref="Q60">
      <formula1>"20.96 (08/18/23),20.96 (08/30/23)"</formula1>
    </dataValidation>
    <dataValidation type="list" allowBlank="1" showErrorMessage="1" sqref="U228">
      <formula1>"10.58 (11/19/25),Option 2"</formula1>
    </dataValidation>
    <dataValidation type="list" allowBlank="1" showErrorMessage="1" sqref="Q121">
      <formula1>"26.8 (01/04/24),26.8 (01/30/24),26.8 (04/3/24),26.8 (4/11/24)"</formula1>
    </dataValidation>
    <dataValidation type="list" allowBlank="1" showErrorMessage="1" sqref="U130">
      <formula1>"10.77 (02/13/25)"</formula1>
    </dataValidation>
    <dataValidation type="list" allowBlank="1" showErrorMessage="1" sqref="Q70">
      <formula1>"50 (09/27/23)"</formula1>
    </dataValidation>
    <dataValidation type="list" allowBlank="1" showErrorMessage="1" sqref="U253">
      <formula1>"50 (1/14/25),50 (1/27/25),50 (3/10/25),50 (1/08/26)"</formula1>
    </dataValidation>
    <dataValidation type="list" allowBlank="1" showErrorMessage="1" sqref="AA20">
      <formula1>"50 (5/30/25),50 (8/04/25),50 (12/03/25)"</formula1>
    </dataValidation>
    <dataValidation type="list" allowBlank="1" showErrorMessage="1" sqref="AA140">
      <formula1>"15.95 (2/5/26),15.95 (2/24/26)"</formula1>
    </dataValidation>
    <dataValidation type="list" allowBlank="1" showErrorMessage="1" sqref="Q207">
      <formula1>"14.74 (7/31/24),14.74 (8/14/24),14.74 (11/20/24)"</formula1>
    </dataValidation>
    <dataValidation type="list" allowBlank="1" showErrorMessage="1" sqref="Q27">
      <formula1>"19.65 -  (4/12/23),19.65 -  (5/17/23)"</formula1>
    </dataValidation>
    <dataValidation type="list" allowBlank="1" showErrorMessage="1" sqref="U8 U34">
      <formula1>"6.83 (06/19/24),Option 2"</formula1>
    </dataValidation>
    <dataValidation type="list" allowBlank="1" showErrorMessage="1" sqref="U24">
      <formula1>"$6.03 (6/06/24),Option 2"</formula1>
    </dataValidation>
    <dataValidation type="list" allowBlank="1" showErrorMessage="1" sqref="Q62">
      <formula1>"18.34 (08/22/23)"</formula1>
    </dataValidation>
    <dataValidation type="list" allowBlank="1" showErrorMessage="1" sqref="AA120">
      <formula1>"30.45 (6/11/26)"</formula1>
    </dataValidation>
    <dataValidation type="list" allowBlank="1" showErrorMessage="1" sqref="Q218">
      <formula1>"4.82 (9/10/24),4.82 (10/08/24),4.82 (10/16/24),4.90 (1/15/25)"</formula1>
    </dataValidation>
    <dataValidation type="list" allowBlank="1" showErrorMessage="1" sqref="Q72">
      <formula1>"11.79 (09/26/23),11.79 (10/10/23),11.79 (12/6/23)"</formula1>
    </dataValidation>
    <dataValidation type="list" allowBlank="1" showErrorMessage="1" sqref="Q90">
      <formula1>"31.44 (11/06/23),31.44 (11/07/23),31.44 (12/20/23)"</formula1>
    </dataValidation>
    <dataValidation type="list" allowBlank="1" showErrorMessage="1" sqref="Q140">
      <formula1>"14.74 (02/14/24),14.74 (02/21/24),14.74 (02/27/24),14.74 (03/13/24)"</formula1>
    </dataValidation>
    <dataValidation type="list" allowBlank="1" showErrorMessage="1" sqref="Q192">
      <formula1>"10.85 (6/18/24),10.85 (06/24/24),10.85 (06/26/24),10.85 (10/02/24)"</formula1>
    </dataValidation>
    <dataValidation type="list" allowBlank="1" showErrorMessage="1" sqref="U192">
      <formula1>"10.85 (06/18/25),Option 2"</formula1>
    </dataValidation>
    <dataValidation type="list" allowBlank="1" showErrorMessage="1" sqref="AA187">
      <formula1>"1.89 (06/29/26),Option 2"</formula1>
    </dataValidation>
    <dataValidation type="list" allowBlank="1" showErrorMessage="1" sqref="Q149">
      <formula1>"50 (3/11/24),50 (4/8/24),50 (4/15/24)"</formula1>
    </dataValidation>
    <dataValidation type="list" allowBlank="1" showErrorMessage="1" sqref="AA7">
      <formula1>"50 (6/6/25),50 (6/25/25)"</formula1>
    </dataValidation>
    <dataValidation type="list" allowBlank="1" showErrorMessage="1" sqref="Q69">
      <formula1>"28.82 (09/19/23)"</formula1>
    </dataValidation>
    <dataValidation type="list" allowBlank="1" showErrorMessage="1" sqref="AA181">
      <formula1>"18.85 4/21/26 ,18.85 4/30/26"</formula1>
    </dataValidation>
    <dataValidation type="list" allowBlank="1" showErrorMessage="1" sqref="U216">
      <formula1>"37.80 (9/19/25),Option 2"</formula1>
    </dataValidation>
    <dataValidation type="list" allowBlank="1" showErrorMessage="1" sqref="Q241">
      <formula1>"50 (11/25/24),50 (1/21/25),50 (1/30/25)"</formula1>
    </dataValidation>
    <dataValidation type="list" allowBlank="1" showErrorMessage="1" sqref="Q105">
      <formula1>"14.41 (11/29/23),14.74 (01/03/24),14.74 (02/27/24)"</formula1>
    </dataValidation>
    <dataValidation type="list" allowBlank="1" showErrorMessage="1" sqref="AA134">
      <formula1>"31.02 (1/28/26) "</formula1>
    </dataValidation>
    <dataValidation type="list" allowBlank="1" showErrorMessage="1" sqref="U31">
      <formula1>"13.40 (06/03/24)"</formula1>
    </dataValidation>
    <dataValidation type="list" allowBlank="1" showErrorMessage="1" sqref="Q184">
      <formula1>"25.46 (06/03/24),25.46 (08/02/24),25.46 (10/22/24)"</formula1>
    </dataValidation>
    <dataValidation type="list" allowBlank="1" showErrorMessage="1" sqref="Q115">
      <formula1>"45.85 (12/18/23),46.90 (02/02/24),46.90 (05/08/24)"</formula1>
    </dataValidation>
    <dataValidation type="list" allowBlank="1" showErrorMessage="1" sqref="Q21">
      <formula1>"13.10 -  (3/22/23),13.10 -  (5/31/23),13.10 -  (7/26/23)"</formula1>
    </dataValidation>
    <dataValidation type="list" allowBlank="1" showErrorMessage="1" sqref="AG55">
      <formula1>"10.73 (8/6/26),Option 2"</formula1>
    </dataValidation>
    <dataValidation type="list" allowBlank="1" showErrorMessage="1" sqref="AA82">
      <formula1>"15.95 (02/04/2026)"</formula1>
    </dataValidation>
    <dataValidation type="list" allowBlank="1" showErrorMessage="1" sqref="U61">
      <formula1>"14.41 (08/18/23),14.41 (09/22/23),14.74 (2/16/24),14.74 (8/16/24"</formula1>
    </dataValidation>
    <dataValidation type="list" allowBlank="1" showErrorMessage="1" sqref="U153">
      <formula1>"15.4 (4/28/25),Option 2"</formula1>
    </dataValidation>
    <dataValidation type="list" allowBlank="1" showErrorMessage="1" sqref="U78">
      <formula1>"28.14 (10/01/24),Option 2"</formula1>
    </dataValidation>
    <dataValidation type="list" allowBlank="1" showErrorMessage="1" sqref="AA80">
      <formula1>"50 (3/6/2025),50 (3/2/2026)"</formula1>
    </dataValidation>
    <dataValidation type="list" allowBlank="1" showErrorMessage="1" sqref="AA105">
      <formula1>"22.33 (02/06/26),22.33 (02/25/26)"</formula1>
    </dataValidation>
    <dataValidation type="list" allowBlank="1" showErrorMessage="1" sqref="U220">
      <formula1>"6.16 (9/3/25),Option 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2"/>
  <cols>
    <col customWidth="1" min="1" max="1" width="10.13"/>
    <col customWidth="1" min="2" max="2" width="13.88"/>
    <col customWidth="1" min="3" max="3" width="8.63"/>
    <col customWidth="1" min="4" max="4" width="12.13"/>
    <col customWidth="1" min="5" max="5" width="22.25"/>
    <col customWidth="1" min="6" max="6" width="26.63"/>
    <col customWidth="1" min="7" max="7" width="16.25"/>
    <col customWidth="1" min="9" max="9" width="49.0"/>
    <col customWidth="1" min="12" max="12" width="17.0"/>
    <col customWidth="1" min="13" max="13" width="19.63"/>
  </cols>
  <sheetData>
    <row r="1">
      <c r="A1" s="18" t="s">
        <v>1084</v>
      </c>
      <c r="B1" s="18" t="s">
        <v>1086</v>
      </c>
      <c r="D1" s="274"/>
      <c r="E1" s="274" t="s">
        <v>1090</v>
      </c>
      <c r="F1" s="276" t="s">
        <v>1092</v>
      </c>
      <c r="G1" s="277" t="s">
        <v>1094</v>
      </c>
      <c r="H1" s="277" t="s">
        <v>1096</v>
      </c>
      <c r="I1" s="278" t="s">
        <v>1098</v>
      </c>
      <c r="J1" s="277" t="s">
        <v>1101</v>
      </c>
      <c r="K1" s="101"/>
      <c r="L1" s="282" t="s">
        <v>1104</v>
      </c>
      <c r="M1" s="283" t="s">
        <v>1107</v>
      </c>
      <c r="N1" s="287">
        <f>SUM(N2:N6)</f>
        <v>131</v>
      </c>
    </row>
    <row r="2">
      <c r="A2" s="289" t="s">
        <v>1125</v>
      </c>
      <c r="B2" s="294">
        <f>COUNTIF(B3:B134,"Complete")</f>
        <v>45</v>
      </c>
      <c r="C2" s="295"/>
      <c r="D2" s="297"/>
      <c r="E2" s="299"/>
      <c r="F2" s="300"/>
      <c r="G2" s="299"/>
      <c r="H2" s="297"/>
      <c r="I2" s="301"/>
      <c r="J2" s="299"/>
      <c r="L2" s="14"/>
      <c r="M2" s="302" t="s">
        <v>113</v>
      </c>
      <c r="N2" s="287">
        <f> COUNTIF(B3:B134,"Complete")</f>
        <v>45</v>
      </c>
    </row>
    <row r="3">
      <c r="A3" s="305" t="s">
        <v>22</v>
      </c>
      <c r="B3" s="306" t="s">
        <v>1154</v>
      </c>
      <c r="C3" s="307" t="s">
        <v>1156</v>
      </c>
      <c r="D3" s="212" t="s">
        <v>164</v>
      </c>
      <c r="E3" s="202">
        <v>45210.0</v>
      </c>
      <c r="F3" s="262"/>
      <c r="G3" s="202"/>
      <c r="H3" s="203" t="s">
        <v>1158</v>
      </c>
      <c r="I3" s="243"/>
      <c r="J3" s="202">
        <v>45217.0</v>
      </c>
      <c r="L3" s="11" t="b">
        <v>1</v>
      </c>
      <c r="M3" s="302" t="s">
        <v>1160</v>
      </c>
      <c r="N3" s="287">
        <f>COUNTIF(B3:B134,"Failed to complete")</f>
        <v>24</v>
      </c>
    </row>
    <row r="4" ht="24.0" customHeight="1">
      <c r="A4" s="39" t="s">
        <v>53</v>
      </c>
      <c r="B4" s="9" t="s">
        <v>1154</v>
      </c>
      <c r="C4" s="307" t="s">
        <v>1166</v>
      </c>
      <c r="D4" s="212" t="s">
        <v>431</v>
      </c>
      <c r="E4" s="311">
        <v>45589.0</v>
      </c>
      <c r="F4" s="212" t="s">
        <v>1171</v>
      </c>
      <c r="G4" s="212" t="s">
        <v>1065</v>
      </c>
      <c r="H4" s="203" t="s">
        <v>1158</v>
      </c>
      <c r="I4" s="313" t="s">
        <v>1173</v>
      </c>
      <c r="J4" s="311">
        <v>45609.0</v>
      </c>
      <c r="L4" s="11" t="b">
        <v>1</v>
      </c>
      <c r="M4" s="302" t="s">
        <v>1176</v>
      </c>
      <c r="N4" s="287">
        <f>COUNTIF(B3:B134,"Not offered")</f>
        <v>52</v>
      </c>
    </row>
    <row r="5">
      <c r="A5" s="39" t="s">
        <v>57</v>
      </c>
      <c r="B5" s="9" t="s">
        <v>1160</v>
      </c>
      <c r="C5" s="307" t="s">
        <v>1166</v>
      </c>
      <c r="D5" s="135" t="s">
        <v>400</v>
      </c>
      <c r="E5" s="317">
        <v>45589.0</v>
      </c>
      <c r="F5" s="135" t="s">
        <v>1185</v>
      </c>
      <c r="G5" s="135" t="s">
        <v>1065</v>
      </c>
      <c r="H5" s="203" t="s">
        <v>1158</v>
      </c>
      <c r="I5" s="126" t="s">
        <v>1187</v>
      </c>
      <c r="J5" s="318"/>
      <c r="L5" s="11" t="b">
        <v>1</v>
      </c>
      <c r="M5" s="302" t="s">
        <v>1190</v>
      </c>
      <c r="N5" s="287">
        <f>COUNTIF(B3:B134,"Declined")</f>
        <v>2</v>
      </c>
    </row>
    <row r="6">
      <c r="A6" s="39" t="s">
        <v>196</v>
      </c>
      <c r="B6" s="9" t="s">
        <v>1160</v>
      </c>
      <c r="C6" s="306"/>
      <c r="D6" s="135" t="s">
        <v>600</v>
      </c>
      <c r="E6" s="317">
        <v>45589.0</v>
      </c>
      <c r="F6" s="135" t="s">
        <v>1196</v>
      </c>
      <c r="G6" s="135" t="s">
        <v>1065</v>
      </c>
      <c r="H6" s="203" t="s">
        <v>1158</v>
      </c>
      <c r="I6" s="126" t="s">
        <v>1198</v>
      </c>
      <c r="J6" s="318"/>
      <c r="L6" s="11" t="b">
        <v>1</v>
      </c>
      <c r="M6" s="302" t="s">
        <v>1199</v>
      </c>
      <c r="N6" s="287">
        <f>COUNTIF(B3:B134,"dropout")</f>
        <v>8</v>
      </c>
    </row>
    <row r="7">
      <c r="A7" s="39" t="s">
        <v>164</v>
      </c>
      <c r="B7" s="9" t="s">
        <v>1154</v>
      </c>
      <c r="C7" s="14"/>
      <c r="D7" s="135" t="s">
        <v>512</v>
      </c>
      <c r="E7" s="317">
        <v>45589.0</v>
      </c>
      <c r="F7" s="135" t="s">
        <v>1204</v>
      </c>
      <c r="G7" s="135" t="s">
        <v>1065</v>
      </c>
      <c r="H7" s="203" t="s">
        <v>1158</v>
      </c>
      <c r="I7" s="126" t="s">
        <v>1205</v>
      </c>
      <c r="J7" s="318"/>
      <c r="L7" s="11" t="b">
        <v>1</v>
      </c>
      <c r="M7" s="39"/>
    </row>
    <row r="8">
      <c r="A8" s="39" t="s">
        <v>133</v>
      </c>
      <c r="B8" s="9" t="s">
        <v>1160</v>
      </c>
      <c r="C8" s="14"/>
      <c r="D8" s="135" t="s">
        <v>493</v>
      </c>
      <c r="E8" s="317">
        <v>45589.0</v>
      </c>
      <c r="F8" s="135" t="s">
        <v>1206</v>
      </c>
      <c r="G8" s="135" t="s">
        <v>1065</v>
      </c>
      <c r="H8" s="203" t="s">
        <v>1158</v>
      </c>
      <c r="I8" s="126" t="s">
        <v>1208</v>
      </c>
      <c r="J8" s="318"/>
      <c r="K8" s="16" t="s">
        <v>1209</v>
      </c>
      <c r="L8" s="11" t="b">
        <v>1</v>
      </c>
      <c r="M8" s="39"/>
    </row>
    <row r="9">
      <c r="A9" s="39" t="s">
        <v>216</v>
      </c>
      <c r="B9" s="9" t="s">
        <v>1211</v>
      </c>
      <c r="C9" s="14"/>
      <c r="D9" s="212" t="s">
        <v>443</v>
      </c>
      <c r="E9" s="311">
        <v>45589.0</v>
      </c>
      <c r="F9" s="212" t="s">
        <v>1212</v>
      </c>
      <c r="G9" s="212" t="s">
        <v>1065</v>
      </c>
      <c r="H9" s="203" t="s">
        <v>1158</v>
      </c>
      <c r="I9" s="313" t="s">
        <v>1213</v>
      </c>
      <c r="J9" s="311">
        <v>45611.0</v>
      </c>
      <c r="L9" s="11" t="b">
        <v>1</v>
      </c>
      <c r="M9" s="39"/>
    </row>
    <row r="10">
      <c r="A10" s="39" t="s">
        <v>229</v>
      </c>
      <c r="B10" s="9" t="s">
        <v>1160</v>
      </c>
      <c r="C10" s="14"/>
      <c r="D10" s="212" t="s">
        <v>410</v>
      </c>
      <c r="E10" s="311">
        <v>45587.0</v>
      </c>
      <c r="F10" s="212" t="s">
        <v>1219</v>
      </c>
      <c r="G10" s="212" t="s">
        <v>1065</v>
      </c>
      <c r="H10" s="203" t="s">
        <v>1158</v>
      </c>
      <c r="I10" s="313" t="s">
        <v>1220</v>
      </c>
      <c r="J10" s="311">
        <v>45621.0</v>
      </c>
      <c r="L10" s="11" t="b">
        <v>1</v>
      </c>
      <c r="M10" s="39"/>
    </row>
    <row r="11">
      <c r="A11" s="39" t="s">
        <v>192</v>
      </c>
      <c r="B11" s="9" t="s">
        <v>1154</v>
      </c>
      <c r="C11" s="14"/>
      <c r="D11" s="212" t="s">
        <v>407</v>
      </c>
      <c r="E11" s="311">
        <v>45587.0</v>
      </c>
      <c r="F11" s="212" t="s">
        <v>1221</v>
      </c>
      <c r="G11" s="212" t="s">
        <v>1065</v>
      </c>
      <c r="H11" s="203" t="s">
        <v>1158</v>
      </c>
      <c r="I11" s="313" t="s">
        <v>1223</v>
      </c>
      <c r="J11" s="311">
        <v>45600.0</v>
      </c>
      <c r="L11" s="11" t="b">
        <v>1</v>
      </c>
      <c r="M11" s="39"/>
    </row>
    <row r="12">
      <c r="A12" s="39" t="s">
        <v>227</v>
      </c>
      <c r="B12" s="9" t="s">
        <v>1211</v>
      </c>
      <c r="C12" s="14"/>
      <c r="D12" s="135" t="s">
        <v>503</v>
      </c>
      <c r="E12" s="317">
        <v>45587.0</v>
      </c>
      <c r="F12" s="135" t="s">
        <v>1226</v>
      </c>
      <c r="G12" s="135" t="s">
        <v>1065</v>
      </c>
      <c r="H12" s="203" t="s">
        <v>1158</v>
      </c>
      <c r="I12" s="126" t="s">
        <v>1227</v>
      </c>
      <c r="J12" s="318"/>
      <c r="L12" s="11" t="b">
        <v>1</v>
      </c>
      <c r="M12" s="39"/>
    </row>
    <row r="13">
      <c r="A13" s="39" t="s">
        <v>157</v>
      </c>
      <c r="B13" s="9" t="s">
        <v>1211</v>
      </c>
      <c r="C13" s="14"/>
      <c r="D13" s="212" t="s">
        <v>438</v>
      </c>
      <c r="E13" s="311">
        <v>45587.0</v>
      </c>
      <c r="F13" s="212" t="s">
        <v>1229</v>
      </c>
      <c r="G13" s="212" t="s">
        <v>1065</v>
      </c>
      <c r="H13" s="203" t="s">
        <v>1158</v>
      </c>
      <c r="I13" s="313" t="s">
        <v>1231</v>
      </c>
      <c r="J13" s="311">
        <v>45615.0</v>
      </c>
      <c r="L13" s="11" t="b">
        <v>1</v>
      </c>
      <c r="M13" s="39"/>
    </row>
    <row r="14">
      <c r="A14" s="39" t="s">
        <v>314</v>
      </c>
      <c r="B14" s="9" t="s">
        <v>1211</v>
      </c>
      <c r="C14" s="14"/>
      <c r="D14" s="212" t="s">
        <v>496</v>
      </c>
      <c r="E14" s="311">
        <v>45587.0</v>
      </c>
      <c r="F14" s="212" t="s">
        <v>1233</v>
      </c>
      <c r="G14" s="212" t="s">
        <v>1065</v>
      </c>
      <c r="H14" s="203" t="s">
        <v>1158</v>
      </c>
      <c r="I14" s="313" t="s">
        <v>1234</v>
      </c>
      <c r="J14" s="311">
        <v>45610.0</v>
      </c>
      <c r="L14" s="11" t="b">
        <v>1</v>
      </c>
      <c r="M14" s="39"/>
    </row>
    <row r="15">
      <c r="A15" s="39" t="s">
        <v>184</v>
      </c>
      <c r="B15" s="9" t="s">
        <v>1160</v>
      </c>
      <c r="C15" s="14"/>
      <c r="D15" s="135" t="s">
        <v>484</v>
      </c>
      <c r="E15" s="317">
        <v>45772.0</v>
      </c>
      <c r="F15" s="335" t="s">
        <v>1237</v>
      </c>
      <c r="G15" s="135" t="s">
        <v>1065</v>
      </c>
      <c r="H15" s="335">
        <v>1.0</v>
      </c>
      <c r="I15" s="126" t="s">
        <v>1238</v>
      </c>
      <c r="J15" s="318"/>
      <c r="L15" s="11" t="b">
        <v>1</v>
      </c>
      <c r="M15" s="39"/>
    </row>
    <row r="16">
      <c r="A16" s="39" t="s">
        <v>169</v>
      </c>
      <c r="B16" s="9" t="s">
        <v>1211</v>
      </c>
      <c r="C16" s="14"/>
      <c r="D16" s="212" t="s">
        <v>335</v>
      </c>
      <c r="E16" s="311">
        <v>45762.0</v>
      </c>
      <c r="F16" s="337" t="s">
        <v>1240</v>
      </c>
      <c r="G16" s="212" t="s">
        <v>1065</v>
      </c>
      <c r="H16" s="337">
        <v>2.0</v>
      </c>
      <c r="I16" s="338"/>
      <c r="J16" s="339">
        <v>45775.0</v>
      </c>
      <c r="L16" s="11" t="b">
        <v>1</v>
      </c>
      <c r="M16" s="39"/>
    </row>
    <row r="17">
      <c r="A17" s="39" t="s">
        <v>190</v>
      </c>
      <c r="B17" s="9" t="s">
        <v>1160</v>
      </c>
      <c r="C17" s="14"/>
      <c r="D17" s="212" t="s">
        <v>542</v>
      </c>
      <c r="E17" s="311">
        <v>45769.0</v>
      </c>
      <c r="F17" s="337" t="s">
        <v>1243</v>
      </c>
      <c r="G17" s="212" t="s">
        <v>1065</v>
      </c>
      <c r="H17" s="337">
        <v>3.0</v>
      </c>
      <c r="I17" s="338"/>
      <c r="J17" s="339">
        <v>45778.0</v>
      </c>
      <c r="L17" s="11" t="b">
        <v>1</v>
      </c>
      <c r="M17" s="39"/>
    </row>
    <row r="18">
      <c r="A18" s="39" t="s">
        <v>176</v>
      </c>
      <c r="B18" s="9" t="s">
        <v>1190</v>
      </c>
      <c r="C18" s="14"/>
      <c r="D18" s="212" t="s">
        <v>364</v>
      </c>
      <c r="E18" s="311">
        <v>45756.0</v>
      </c>
      <c r="F18" s="337" t="s">
        <v>1245</v>
      </c>
      <c r="G18" s="212" t="s">
        <v>1065</v>
      </c>
      <c r="H18" s="337">
        <v>4.0</v>
      </c>
      <c r="I18" s="338"/>
      <c r="J18" s="339">
        <v>45765.0</v>
      </c>
      <c r="L18" s="11" t="b">
        <v>1</v>
      </c>
      <c r="M18" s="39"/>
    </row>
    <row r="19">
      <c r="A19" s="39" t="s">
        <v>188</v>
      </c>
      <c r="B19" s="9" t="s">
        <v>1154</v>
      </c>
      <c r="C19" s="11" t="s">
        <v>1248</v>
      </c>
      <c r="D19" s="212" t="s">
        <v>311</v>
      </c>
      <c r="E19" s="311">
        <v>45754.0</v>
      </c>
      <c r="F19" s="337" t="s">
        <v>1249</v>
      </c>
      <c r="G19" s="212" t="s">
        <v>1065</v>
      </c>
      <c r="H19" s="337">
        <v>5.0</v>
      </c>
      <c r="I19" s="313" t="s">
        <v>1250</v>
      </c>
      <c r="J19" s="339">
        <v>45776.0</v>
      </c>
      <c r="L19" s="11" t="b">
        <v>1</v>
      </c>
      <c r="M19" s="39"/>
    </row>
    <row r="20">
      <c r="A20" s="39" t="s">
        <v>128</v>
      </c>
      <c r="B20" s="9" t="s">
        <v>1154</v>
      </c>
      <c r="C20" s="14"/>
      <c r="D20" s="212" t="s">
        <v>382</v>
      </c>
      <c r="E20" s="311">
        <v>45756.0</v>
      </c>
      <c r="F20" s="337" t="s">
        <v>1252</v>
      </c>
      <c r="G20" s="212" t="s">
        <v>1065</v>
      </c>
      <c r="H20" s="337">
        <v>6.0</v>
      </c>
      <c r="I20" s="313" t="s">
        <v>1253</v>
      </c>
      <c r="J20" s="339">
        <v>45776.0</v>
      </c>
      <c r="L20" s="11" t="b">
        <v>1</v>
      </c>
      <c r="M20" s="39"/>
    </row>
    <row r="21">
      <c r="A21" s="39" t="s">
        <v>228</v>
      </c>
      <c r="B21" s="9" t="s">
        <v>1211</v>
      </c>
      <c r="C21" s="14"/>
      <c r="D21" s="212" t="s">
        <v>322</v>
      </c>
      <c r="E21" s="311">
        <v>45764.0</v>
      </c>
      <c r="F21" s="337" t="s">
        <v>1256</v>
      </c>
      <c r="G21" s="212" t="s">
        <v>1065</v>
      </c>
      <c r="H21" s="337">
        <v>7.0</v>
      </c>
      <c r="I21" s="338"/>
      <c r="J21" s="339">
        <v>45771.0</v>
      </c>
      <c r="L21" s="11" t="b">
        <v>1</v>
      </c>
      <c r="M21" s="39"/>
    </row>
    <row r="22">
      <c r="A22" s="39" t="s">
        <v>272</v>
      </c>
      <c r="B22" s="9" t="s">
        <v>1211</v>
      </c>
      <c r="C22" s="14"/>
      <c r="D22" s="212" t="s">
        <v>301</v>
      </c>
      <c r="E22" s="311">
        <v>45770.0</v>
      </c>
      <c r="F22" s="337" t="s">
        <v>1258</v>
      </c>
      <c r="G22" s="212" t="s">
        <v>1065</v>
      </c>
      <c r="H22" s="337">
        <v>8.0</v>
      </c>
      <c r="I22" s="338"/>
      <c r="J22" s="339">
        <v>45772.0</v>
      </c>
      <c r="L22" s="11" t="b">
        <v>1</v>
      </c>
      <c r="M22" s="39"/>
    </row>
    <row r="23">
      <c r="A23" s="39" t="s">
        <v>274</v>
      </c>
      <c r="B23" s="9" t="s">
        <v>1211</v>
      </c>
      <c r="C23" s="14"/>
      <c r="D23" s="135" t="s">
        <v>317</v>
      </c>
      <c r="E23" s="317">
        <v>45772.0</v>
      </c>
      <c r="F23" s="335" t="s">
        <v>1261</v>
      </c>
      <c r="G23" s="135" t="s">
        <v>1065</v>
      </c>
      <c r="H23" s="335">
        <v>9.0</v>
      </c>
      <c r="I23" s="126" t="s">
        <v>1238</v>
      </c>
      <c r="J23" s="318"/>
      <c r="L23" s="11" t="b">
        <v>1</v>
      </c>
      <c r="M23" s="39"/>
    </row>
    <row r="24">
      <c r="A24" s="39" t="s">
        <v>243</v>
      </c>
      <c r="B24" s="9" t="s">
        <v>1211</v>
      </c>
      <c r="C24" s="14"/>
      <c r="D24" s="212" t="s">
        <v>551</v>
      </c>
      <c r="E24" s="311">
        <v>45775.0</v>
      </c>
      <c r="F24" s="337" t="s">
        <v>1264</v>
      </c>
      <c r="G24" s="212" t="s">
        <v>1065</v>
      </c>
      <c r="H24" s="337">
        <v>10.0</v>
      </c>
      <c r="I24" s="338"/>
      <c r="J24" s="339">
        <v>45779.0</v>
      </c>
      <c r="L24" s="11" t="b">
        <v>1</v>
      </c>
      <c r="M24" s="39"/>
    </row>
    <row r="25">
      <c r="A25" s="39" t="s">
        <v>195</v>
      </c>
      <c r="B25" s="9" t="s">
        <v>1211</v>
      </c>
      <c r="C25" s="14"/>
      <c r="D25" s="286" t="s">
        <v>315</v>
      </c>
      <c r="E25" s="347">
        <v>45775.0</v>
      </c>
      <c r="F25" s="348" t="s">
        <v>1270</v>
      </c>
      <c r="G25" s="286" t="s">
        <v>1271</v>
      </c>
      <c r="H25" s="348">
        <v>11.0</v>
      </c>
      <c r="I25" s="349" t="s">
        <v>1273</v>
      </c>
      <c r="L25" s="11" t="b">
        <v>1</v>
      </c>
      <c r="M25" s="39"/>
    </row>
    <row r="26">
      <c r="A26" s="39" t="s">
        <v>138</v>
      </c>
      <c r="B26" s="9" t="s">
        <v>1211</v>
      </c>
      <c r="C26" s="14"/>
      <c r="D26" s="212" t="s">
        <v>340</v>
      </c>
      <c r="E26" s="311">
        <v>45756.0</v>
      </c>
      <c r="F26" s="337" t="s">
        <v>1275</v>
      </c>
      <c r="G26" s="212" t="s">
        <v>1065</v>
      </c>
      <c r="H26" s="337">
        <v>12.0</v>
      </c>
      <c r="I26" s="313" t="s">
        <v>1277</v>
      </c>
      <c r="J26" s="311">
        <v>45845.0</v>
      </c>
      <c r="L26" s="11" t="b">
        <v>1</v>
      </c>
      <c r="M26" s="39"/>
    </row>
    <row r="27">
      <c r="A27" s="39" t="s">
        <v>259</v>
      </c>
      <c r="B27" s="9" t="s">
        <v>1211</v>
      </c>
      <c r="C27" s="14"/>
      <c r="D27" s="135" t="s">
        <v>336</v>
      </c>
      <c r="E27" s="317">
        <v>45798.0</v>
      </c>
      <c r="F27" s="335" t="s">
        <v>1280</v>
      </c>
      <c r="G27" s="135" t="s">
        <v>1065</v>
      </c>
      <c r="H27" s="335">
        <v>13.0</v>
      </c>
      <c r="I27" s="126" t="s">
        <v>1281</v>
      </c>
      <c r="J27" s="350"/>
      <c r="L27" s="11" t="b">
        <v>1</v>
      </c>
      <c r="M27" s="39"/>
    </row>
    <row r="28">
      <c r="A28" s="39" t="s">
        <v>254</v>
      </c>
      <c r="B28" s="9" t="s">
        <v>1211</v>
      </c>
      <c r="C28" s="14"/>
      <c r="D28" s="135" t="s">
        <v>53</v>
      </c>
      <c r="E28" s="317">
        <v>45807.0</v>
      </c>
      <c r="F28" s="335" t="s">
        <v>1286</v>
      </c>
      <c r="G28" s="135" t="s">
        <v>1065</v>
      </c>
      <c r="H28" s="335">
        <v>14.0</v>
      </c>
      <c r="I28" s="126" t="s">
        <v>1287</v>
      </c>
      <c r="J28" s="350"/>
      <c r="L28" s="11" t="b">
        <v>1</v>
      </c>
      <c r="M28" s="39"/>
    </row>
    <row r="29">
      <c r="A29" s="39" t="s">
        <v>279</v>
      </c>
      <c r="B29" s="9" t="s">
        <v>1160</v>
      </c>
      <c r="C29" s="14"/>
      <c r="D29" s="135" t="s">
        <v>57</v>
      </c>
      <c r="E29" s="317">
        <v>45807.0</v>
      </c>
      <c r="F29" s="335" t="s">
        <v>1290</v>
      </c>
      <c r="G29" s="135" t="s">
        <v>1065</v>
      </c>
      <c r="H29" s="335">
        <v>15.0</v>
      </c>
      <c r="I29" s="126" t="s">
        <v>1291</v>
      </c>
      <c r="J29" s="318"/>
      <c r="L29" s="11" t="b">
        <v>1</v>
      </c>
      <c r="M29" s="39"/>
    </row>
    <row r="30">
      <c r="A30" s="39" t="s">
        <v>168</v>
      </c>
      <c r="B30" s="9" t="s">
        <v>1211</v>
      </c>
      <c r="C30" s="14"/>
      <c r="F30" s="355" t="s">
        <v>1293</v>
      </c>
      <c r="H30" s="355">
        <v>16.0</v>
      </c>
      <c r="I30" s="356"/>
      <c r="L30" s="11" t="b">
        <v>1</v>
      </c>
      <c r="M30" s="39"/>
    </row>
    <row r="31">
      <c r="A31" s="39" t="s">
        <v>347</v>
      </c>
      <c r="B31" s="9" t="s">
        <v>1211</v>
      </c>
      <c r="C31" s="14"/>
      <c r="D31" s="135" t="s">
        <v>337</v>
      </c>
      <c r="E31" s="317">
        <v>45807.0</v>
      </c>
      <c r="F31" s="335" t="s">
        <v>1295</v>
      </c>
      <c r="G31" s="135" t="s">
        <v>1065</v>
      </c>
      <c r="H31" s="335">
        <v>17.0</v>
      </c>
      <c r="I31" s="126" t="s">
        <v>1281</v>
      </c>
      <c r="J31" s="357"/>
      <c r="L31" s="11" t="b">
        <v>1</v>
      </c>
      <c r="M31" s="39"/>
    </row>
    <row r="32">
      <c r="A32" s="39" t="s">
        <v>186</v>
      </c>
      <c r="B32" s="9" t="s">
        <v>1211</v>
      </c>
      <c r="C32" s="14"/>
      <c r="D32" s="212" t="s">
        <v>315</v>
      </c>
      <c r="E32" s="311">
        <v>45834.0</v>
      </c>
      <c r="F32" s="337" t="s">
        <v>1297</v>
      </c>
      <c r="G32" s="212" t="s">
        <v>1065</v>
      </c>
      <c r="H32" s="337">
        <v>18.0</v>
      </c>
      <c r="I32" s="313" t="s">
        <v>1298</v>
      </c>
      <c r="J32" s="339">
        <v>45835.0</v>
      </c>
      <c r="L32" s="11" t="b">
        <v>1</v>
      </c>
      <c r="M32" s="39"/>
    </row>
    <row r="33">
      <c r="A33" s="39" t="s">
        <v>287</v>
      </c>
      <c r="B33" s="9" t="s">
        <v>1160</v>
      </c>
      <c r="C33" s="14"/>
      <c r="D33" s="41" t="s">
        <v>277</v>
      </c>
      <c r="E33" s="347">
        <v>45840.0</v>
      </c>
      <c r="F33" s="348" t="s">
        <v>1299</v>
      </c>
      <c r="G33" s="286" t="s">
        <v>1065</v>
      </c>
      <c r="H33" s="348">
        <v>19.0</v>
      </c>
      <c r="I33" s="349" t="s">
        <v>1301</v>
      </c>
      <c r="J33" s="358"/>
      <c r="L33" s="11" t="b">
        <v>1</v>
      </c>
      <c r="M33" s="39"/>
    </row>
    <row r="34">
      <c r="A34" s="39" t="s">
        <v>231</v>
      </c>
      <c r="B34" s="9" t="s">
        <v>1154</v>
      </c>
      <c r="C34" s="14"/>
      <c r="D34" s="41" t="s">
        <v>283</v>
      </c>
      <c r="E34" s="347">
        <v>45840.0</v>
      </c>
      <c r="F34" s="348" t="s">
        <v>1303</v>
      </c>
      <c r="G34" s="286" t="s">
        <v>1065</v>
      </c>
      <c r="H34" s="348">
        <v>20.0</v>
      </c>
      <c r="I34" s="349" t="s">
        <v>1301</v>
      </c>
      <c r="J34" s="358"/>
      <c r="L34" s="11" t="b">
        <v>1</v>
      </c>
      <c r="M34" s="39"/>
    </row>
    <row r="35">
      <c r="A35" s="39" t="s">
        <v>311</v>
      </c>
      <c r="B35" s="9" t="s">
        <v>1154</v>
      </c>
      <c r="C35" s="14"/>
      <c r="D35" s="64" t="s">
        <v>448</v>
      </c>
      <c r="E35" s="359">
        <v>45852.0</v>
      </c>
      <c r="F35" s="337" t="s">
        <v>1306</v>
      </c>
      <c r="G35" s="212" t="s">
        <v>1065</v>
      </c>
      <c r="H35" s="337">
        <v>21.0</v>
      </c>
      <c r="I35" s="313" t="s">
        <v>1301</v>
      </c>
      <c r="J35" s="311">
        <v>45873.0</v>
      </c>
      <c r="L35" s="11" t="b">
        <v>1</v>
      </c>
      <c r="M35" s="39"/>
    </row>
    <row r="36">
      <c r="A36" s="39" t="s">
        <v>260</v>
      </c>
      <c r="B36" s="9" t="s">
        <v>1154</v>
      </c>
      <c r="C36" s="14"/>
      <c r="D36" s="360" t="s">
        <v>437</v>
      </c>
      <c r="E36" s="361">
        <v>45908.0</v>
      </c>
      <c r="F36" s="337" t="s">
        <v>1311</v>
      </c>
      <c r="G36" s="362" t="s">
        <v>1065</v>
      </c>
      <c r="H36" s="337">
        <v>22.0</v>
      </c>
      <c r="I36" s="362" t="s">
        <v>1312</v>
      </c>
      <c r="J36" s="361">
        <v>45923.0</v>
      </c>
      <c r="L36" s="11" t="b">
        <v>1</v>
      </c>
      <c r="M36" s="39"/>
    </row>
    <row r="37">
      <c r="A37" s="39" t="s">
        <v>207</v>
      </c>
      <c r="B37" s="9" t="s">
        <v>1211</v>
      </c>
      <c r="C37" s="14"/>
      <c r="D37" s="363" t="s">
        <v>1315</v>
      </c>
      <c r="E37" s="317">
        <v>45880.0</v>
      </c>
      <c r="F37" s="335" t="s">
        <v>1317</v>
      </c>
      <c r="G37" s="135" t="s">
        <v>1065</v>
      </c>
      <c r="H37" s="335">
        <v>23.0</v>
      </c>
      <c r="I37" s="126" t="s">
        <v>1318</v>
      </c>
      <c r="J37" s="318"/>
      <c r="L37" s="11" t="b">
        <v>1</v>
      </c>
      <c r="M37" s="39"/>
    </row>
    <row r="38">
      <c r="A38" s="39" t="s">
        <v>263</v>
      </c>
      <c r="B38" s="9" t="s">
        <v>1154</v>
      </c>
      <c r="C38" s="14"/>
      <c r="D38" s="64" t="s">
        <v>348</v>
      </c>
      <c r="E38" s="311">
        <v>45896.0</v>
      </c>
      <c r="F38" s="337" t="s">
        <v>1320</v>
      </c>
      <c r="G38" s="212" t="s">
        <v>1065</v>
      </c>
      <c r="H38" s="337">
        <v>24.0</v>
      </c>
      <c r="I38" s="313" t="s">
        <v>1321</v>
      </c>
      <c r="J38" s="311">
        <v>45910.0</v>
      </c>
      <c r="L38" s="11" t="b">
        <v>1</v>
      </c>
      <c r="M38" s="39"/>
    </row>
    <row r="39">
      <c r="A39" s="39" t="s">
        <v>209</v>
      </c>
      <c r="B39" s="9" t="s">
        <v>1154</v>
      </c>
      <c r="C39" s="14"/>
      <c r="D39" s="14"/>
      <c r="F39" s="355" t="s">
        <v>1322</v>
      </c>
      <c r="H39" s="355">
        <v>25.0</v>
      </c>
      <c r="I39" s="356"/>
      <c r="L39" s="11" t="b">
        <v>1</v>
      </c>
      <c r="M39" s="39"/>
    </row>
    <row r="40">
      <c r="A40" s="39" t="s">
        <v>307</v>
      </c>
      <c r="B40" s="9" t="s">
        <v>1154</v>
      </c>
      <c r="C40" s="14"/>
      <c r="D40" s="64" t="s">
        <v>434</v>
      </c>
      <c r="E40" s="311">
        <v>45923.0</v>
      </c>
      <c r="F40" s="337" t="s">
        <v>1323</v>
      </c>
      <c r="G40" s="212" t="s">
        <v>1065</v>
      </c>
      <c r="H40" s="337">
        <v>26.0</v>
      </c>
      <c r="I40" s="338"/>
      <c r="J40" s="339">
        <v>45931.0</v>
      </c>
      <c r="L40" s="11" t="b">
        <v>1</v>
      </c>
      <c r="M40" s="39"/>
    </row>
    <row r="41">
      <c r="A41" s="39" t="s">
        <v>378</v>
      </c>
      <c r="B41" s="9" t="s">
        <v>1211</v>
      </c>
      <c r="C41" s="14"/>
      <c r="D41" s="363" t="s">
        <v>454</v>
      </c>
      <c r="E41" s="317">
        <v>45926.0</v>
      </c>
      <c r="F41" s="335" t="s">
        <v>1326</v>
      </c>
      <c r="G41" s="135" t="s">
        <v>1065</v>
      </c>
      <c r="H41" s="335">
        <v>27.0</v>
      </c>
      <c r="I41" s="369"/>
      <c r="J41" s="318"/>
      <c r="L41" s="11" t="b">
        <v>1</v>
      </c>
      <c r="M41" s="39"/>
    </row>
    <row r="42">
      <c r="A42" s="39" t="s">
        <v>283</v>
      </c>
      <c r="B42" s="9" t="s">
        <v>1160</v>
      </c>
      <c r="C42" s="14"/>
      <c r="D42" s="64" t="s">
        <v>22</v>
      </c>
      <c r="E42" s="311">
        <v>45930.0</v>
      </c>
      <c r="F42" s="337" t="s">
        <v>1328</v>
      </c>
      <c r="G42" s="212" t="s">
        <v>1065</v>
      </c>
      <c r="H42" s="337">
        <v>28.0</v>
      </c>
      <c r="I42" s="313" t="s">
        <v>1329</v>
      </c>
      <c r="J42" s="339">
        <v>45931.0</v>
      </c>
      <c r="L42" s="11" t="b">
        <v>1</v>
      </c>
      <c r="M42" s="39"/>
    </row>
    <row r="43">
      <c r="A43" s="39" t="s">
        <v>394</v>
      </c>
      <c r="B43" s="9" t="s">
        <v>1154</v>
      </c>
      <c r="C43" s="14"/>
      <c r="D43" s="64" t="s">
        <v>128</v>
      </c>
      <c r="E43" s="339">
        <v>45930.0</v>
      </c>
      <c r="F43" s="337" t="s">
        <v>1331</v>
      </c>
      <c r="G43" s="212" t="s">
        <v>1065</v>
      </c>
      <c r="H43" s="337">
        <v>29.0</v>
      </c>
      <c r="I43" s="313" t="s">
        <v>1332</v>
      </c>
      <c r="J43" s="370">
        <v>45972.0</v>
      </c>
      <c r="K43" s="16" t="s">
        <v>1334</v>
      </c>
      <c r="L43" s="11" t="b">
        <v>1</v>
      </c>
      <c r="M43" s="39"/>
    </row>
    <row r="44">
      <c r="A44" s="39" t="s">
        <v>336</v>
      </c>
      <c r="B44" s="9" t="s">
        <v>1160</v>
      </c>
      <c r="C44" s="14"/>
      <c r="D44" s="363" t="s">
        <v>493</v>
      </c>
      <c r="E44" s="317">
        <v>45933.0</v>
      </c>
      <c r="F44" s="335" t="s">
        <v>1337</v>
      </c>
      <c r="G44" s="135" t="s">
        <v>1065</v>
      </c>
      <c r="H44" s="335">
        <v>30.0</v>
      </c>
      <c r="I44" s="126" t="s">
        <v>1339</v>
      </c>
      <c r="K44" s="16" t="s">
        <v>1334</v>
      </c>
      <c r="L44" s="11" t="b">
        <v>1</v>
      </c>
      <c r="M44" s="39"/>
    </row>
    <row r="45">
      <c r="A45" s="39" t="s">
        <v>217</v>
      </c>
      <c r="B45" s="9" t="s">
        <v>1211</v>
      </c>
      <c r="C45" s="14"/>
      <c r="D45" s="363" t="s">
        <v>133</v>
      </c>
      <c r="E45" s="317">
        <v>45939.0</v>
      </c>
      <c r="F45" s="335" t="s">
        <v>1341</v>
      </c>
      <c r="G45" s="135" t="s">
        <v>1065</v>
      </c>
      <c r="H45" s="335">
        <v>31.0</v>
      </c>
      <c r="I45" s="126" t="s">
        <v>1343</v>
      </c>
      <c r="K45" s="16" t="s">
        <v>1344</v>
      </c>
      <c r="L45" s="11" t="b">
        <v>1</v>
      </c>
      <c r="M45" s="39"/>
    </row>
    <row r="46">
      <c r="A46" s="39" t="s">
        <v>255</v>
      </c>
      <c r="B46" s="9" t="s">
        <v>1154</v>
      </c>
      <c r="C46" s="14"/>
      <c r="D46" s="64" t="s">
        <v>485</v>
      </c>
      <c r="E46" s="311">
        <v>45967.0</v>
      </c>
      <c r="F46" s="337" t="s">
        <v>1346</v>
      </c>
      <c r="G46" s="212" t="s">
        <v>1065</v>
      </c>
      <c r="H46" s="337">
        <v>32.0</v>
      </c>
      <c r="I46" s="313" t="s">
        <v>1348</v>
      </c>
      <c r="J46" s="311">
        <v>46002.0</v>
      </c>
      <c r="K46" s="16" t="s">
        <v>1349</v>
      </c>
      <c r="L46" s="11" t="b">
        <v>1</v>
      </c>
      <c r="M46" s="39"/>
    </row>
    <row r="47">
      <c r="A47" s="39" t="s">
        <v>256</v>
      </c>
      <c r="B47" s="9" t="s">
        <v>1154</v>
      </c>
      <c r="C47" s="14"/>
      <c r="D47" s="363" t="s">
        <v>502</v>
      </c>
      <c r="E47" s="317">
        <v>45968.0</v>
      </c>
      <c r="F47" s="335" t="s">
        <v>1351</v>
      </c>
      <c r="G47" s="135" t="s">
        <v>1065</v>
      </c>
      <c r="H47" s="335">
        <v>33.0</v>
      </c>
      <c r="I47" s="126" t="s">
        <v>1352</v>
      </c>
      <c r="J47" s="318"/>
      <c r="L47" s="11" t="b">
        <v>1</v>
      </c>
      <c r="M47" s="39"/>
    </row>
    <row r="48">
      <c r="A48" s="39" t="s">
        <v>244</v>
      </c>
      <c r="B48" s="9" t="s">
        <v>1154</v>
      </c>
      <c r="C48" s="14"/>
      <c r="D48" s="64" t="s">
        <v>188</v>
      </c>
      <c r="E48" s="311">
        <v>45986.0</v>
      </c>
      <c r="F48" s="337" t="s">
        <v>1355</v>
      </c>
      <c r="G48" s="212" t="s">
        <v>1065</v>
      </c>
      <c r="H48" s="337">
        <v>34.0</v>
      </c>
      <c r="I48" s="313" t="s">
        <v>1356</v>
      </c>
      <c r="J48" s="311">
        <v>46001.0</v>
      </c>
      <c r="L48" s="11" t="b">
        <v>1</v>
      </c>
      <c r="M48" s="39"/>
    </row>
    <row r="49">
      <c r="A49" s="39" t="s">
        <v>277</v>
      </c>
      <c r="B49" s="9" t="s">
        <v>1160</v>
      </c>
      <c r="C49" s="14"/>
      <c r="D49" s="363" t="s">
        <v>157</v>
      </c>
      <c r="E49" s="318"/>
      <c r="F49" s="335" t="s">
        <v>1358</v>
      </c>
      <c r="G49" s="318"/>
      <c r="H49" s="335">
        <v>35.0</v>
      </c>
      <c r="I49" s="369"/>
      <c r="J49" s="318"/>
      <c r="L49" s="11" t="b">
        <v>1</v>
      </c>
      <c r="M49" s="39"/>
    </row>
    <row r="50">
      <c r="A50" s="39" t="s">
        <v>597</v>
      </c>
      <c r="B50" s="9" t="s">
        <v>1211</v>
      </c>
      <c r="C50" s="14"/>
      <c r="D50" s="14"/>
      <c r="F50" s="355" t="s">
        <v>1360</v>
      </c>
      <c r="H50" s="355">
        <v>36.0</v>
      </c>
      <c r="I50" s="356"/>
      <c r="L50" s="11" t="b">
        <v>1</v>
      </c>
      <c r="M50" s="39"/>
    </row>
    <row r="51">
      <c r="A51" s="9" t="s">
        <v>364</v>
      </c>
      <c r="B51" s="9" t="s">
        <v>1154</v>
      </c>
      <c r="C51" s="14"/>
      <c r="D51" s="371" t="s">
        <v>53</v>
      </c>
      <c r="E51" s="372"/>
      <c r="F51" s="373" t="s">
        <v>1364</v>
      </c>
      <c r="G51" s="372"/>
      <c r="H51" s="374">
        <v>37.0</v>
      </c>
      <c r="I51" s="375" t="s">
        <v>1365</v>
      </c>
      <c r="J51" s="376">
        <v>46071.0</v>
      </c>
      <c r="L51" s="11" t="b">
        <v>1</v>
      </c>
      <c r="M51" s="39"/>
    </row>
    <row r="52">
      <c r="A52" s="39" t="s">
        <v>437</v>
      </c>
      <c r="B52" s="9" t="s">
        <v>1154</v>
      </c>
      <c r="C52" s="14"/>
      <c r="D52" s="363" t="s">
        <v>475</v>
      </c>
      <c r="E52" s="317">
        <v>45995.0</v>
      </c>
      <c r="F52" s="377" t="s">
        <v>1367</v>
      </c>
      <c r="G52" s="135" t="s">
        <v>1065</v>
      </c>
      <c r="H52" s="335">
        <v>38.0</v>
      </c>
      <c r="I52" s="126" t="s">
        <v>1368</v>
      </c>
      <c r="J52" s="318"/>
      <c r="L52" s="11" t="b">
        <v>1</v>
      </c>
      <c r="M52" s="39"/>
    </row>
    <row r="53">
      <c r="A53" s="39" t="s">
        <v>296</v>
      </c>
      <c r="B53" s="9" t="s">
        <v>1154</v>
      </c>
      <c r="C53" s="14"/>
      <c r="D53" s="378"/>
      <c r="E53" s="318"/>
      <c r="F53" s="377" t="s">
        <v>1372</v>
      </c>
      <c r="G53" s="318"/>
      <c r="H53" s="335">
        <v>39.0</v>
      </c>
      <c r="I53" s="369"/>
      <c r="J53" s="318"/>
      <c r="L53" s="11" t="b">
        <v>1</v>
      </c>
      <c r="M53" s="39"/>
    </row>
    <row r="54">
      <c r="A54" s="39" t="s">
        <v>304</v>
      </c>
      <c r="B54" s="9" t="s">
        <v>1154</v>
      </c>
      <c r="C54" s="14"/>
      <c r="D54" s="363" t="s">
        <v>190</v>
      </c>
      <c r="E54" s="317">
        <v>46010.0</v>
      </c>
      <c r="F54" s="377" t="s">
        <v>1374</v>
      </c>
      <c r="G54" s="135" t="s">
        <v>1065</v>
      </c>
      <c r="H54" s="335">
        <v>40.0</v>
      </c>
      <c r="I54" s="126" t="s">
        <v>1375</v>
      </c>
      <c r="J54" s="318"/>
      <c r="L54" s="11" t="b">
        <v>1</v>
      </c>
      <c r="M54" s="39"/>
    </row>
    <row r="55">
      <c r="A55" s="39" t="s">
        <v>358</v>
      </c>
      <c r="B55" s="9" t="s">
        <v>1154</v>
      </c>
      <c r="C55" s="14"/>
      <c r="D55" s="363" t="s">
        <v>196</v>
      </c>
      <c r="E55" s="317">
        <v>46013.0</v>
      </c>
      <c r="F55" s="377" t="s">
        <v>1378</v>
      </c>
      <c r="G55" s="135" t="s">
        <v>1065</v>
      </c>
      <c r="H55" s="335">
        <v>41.0</v>
      </c>
      <c r="I55" s="126" t="s">
        <v>1375</v>
      </c>
      <c r="J55" s="318"/>
      <c r="L55" s="11" t="b">
        <v>1</v>
      </c>
      <c r="M55" s="39"/>
    </row>
    <row r="56">
      <c r="A56" s="9" t="s">
        <v>340</v>
      </c>
      <c r="B56" s="9" t="s">
        <v>1154</v>
      </c>
      <c r="C56" s="14"/>
      <c r="D56" s="363" t="s">
        <v>184</v>
      </c>
      <c r="E56" s="317">
        <v>46027.0</v>
      </c>
      <c r="F56" s="377" t="s">
        <v>1380</v>
      </c>
      <c r="G56" s="318"/>
      <c r="H56" s="335">
        <v>42.0</v>
      </c>
      <c r="I56" s="126" t="s">
        <v>1382</v>
      </c>
      <c r="J56" s="318"/>
      <c r="L56" s="11" t="b">
        <v>1</v>
      </c>
      <c r="M56" s="39"/>
    </row>
    <row r="57">
      <c r="A57" s="39" t="s">
        <v>319</v>
      </c>
      <c r="B57" s="9" t="s">
        <v>1211</v>
      </c>
      <c r="C57" s="14"/>
      <c r="D57" s="64" t="s">
        <v>536</v>
      </c>
      <c r="E57" s="311">
        <v>46030.0</v>
      </c>
      <c r="F57" s="379" t="s">
        <v>1384</v>
      </c>
      <c r="G57" s="253"/>
      <c r="H57" s="337">
        <v>43.0</v>
      </c>
      <c r="I57" s="313" t="s">
        <v>1386</v>
      </c>
      <c r="J57" s="311">
        <v>46058.0</v>
      </c>
      <c r="L57" s="11" t="b">
        <v>1</v>
      </c>
      <c r="M57" s="39"/>
    </row>
    <row r="58">
      <c r="A58" s="39" t="s">
        <v>382</v>
      </c>
      <c r="B58" s="9" t="s">
        <v>1154</v>
      </c>
      <c r="C58" s="14"/>
      <c r="D58" s="64" t="s">
        <v>209</v>
      </c>
      <c r="E58" s="311">
        <v>46038.0</v>
      </c>
      <c r="F58" s="379" t="s">
        <v>1388</v>
      </c>
      <c r="G58" s="253"/>
      <c r="H58" s="337">
        <v>44.0</v>
      </c>
      <c r="I58" s="313" t="s">
        <v>1389</v>
      </c>
      <c r="J58" s="380">
        <v>46063.0</v>
      </c>
      <c r="K58" s="16" t="s">
        <v>1391</v>
      </c>
      <c r="L58" s="11" t="b">
        <v>1</v>
      </c>
      <c r="M58" s="39"/>
    </row>
    <row r="59">
      <c r="A59" s="39" t="s">
        <v>286</v>
      </c>
      <c r="B59" s="9" t="s">
        <v>1211</v>
      </c>
      <c r="C59" s="14"/>
      <c r="D59" s="363" t="s">
        <v>307</v>
      </c>
      <c r="E59" s="317">
        <v>46055.0</v>
      </c>
      <c r="F59" s="335" t="s">
        <v>1393</v>
      </c>
      <c r="G59" s="135" t="s">
        <v>1065</v>
      </c>
      <c r="H59" s="335">
        <v>45.0</v>
      </c>
      <c r="I59" s="381" t="s">
        <v>1394</v>
      </c>
      <c r="J59" s="382"/>
      <c r="L59" s="11" t="b">
        <v>1</v>
      </c>
      <c r="M59" s="39"/>
    </row>
    <row r="60">
      <c r="A60" s="39" t="s">
        <v>315</v>
      </c>
      <c r="B60" s="9" t="s">
        <v>1154</v>
      </c>
      <c r="C60" s="14"/>
      <c r="D60" s="64" t="s">
        <v>260</v>
      </c>
      <c r="E60" s="311">
        <v>46055.0</v>
      </c>
      <c r="F60" s="337" t="s">
        <v>1396</v>
      </c>
      <c r="G60" s="212" t="s">
        <v>1065</v>
      </c>
      <c r="H60" s="337">
        <v>46.0</v>
      </c>
      <c r="I60" s="313" t="s">
        <v>1397</v>
      </c>
      <c r="J60" s="311">
        <v>46063.0</v>
      </c>
      <c r="L60" s="11" t="b">
        <v>1</v>
      </c>
      <c r="M60" s="39"/>
    </row>
    <row r="61">
      <c r="A61" s="39" t="s">
        <v>317</v>
      </c>
      <c r="B61" s="9" t="s">
        <v>1160</v>
      </c>
      <c r="C61" s="14"/>
      <c r="D61" s="64" t="s">
        <v>231</v>
      </c>
      <c r="E61" s="311">
        <v>46056.0</v>
      </c>
      <c r="F61" s="337" t="s">
        <v>1398</v>
      </c>
      <c r="G61" s="212" t="s">
        <v>1065</v>
      </c>
      <c r="H61" s="212">
        <v>47.0</v>
      </c>
      <c r="I61" s="313" t="s">
        <v>1399</v>
      </c>
      <c r="J61" s="339">
        <v>46065.0</v>
      </c>
      <c r="L61" s="11" t="b">
        <v>1</v>
      </c>
      <c r="M61" s="39"/>
    </row>
    <row r="62">
      <c r="A62" s="39" t="s">
        <v>380</v>
      </c>
      <c r="B62" s="9" t="s">
        <v>1154</v>
      </c>
      <c r="C62" s="14"/>
      <c r="D62" s="64" t="s">
        <v>192</v>
      </c>
      <c r="E62" s="311">
        <v>46058.0</v>
      </c>
      <c r="F62" s="337" t="s">
        <v>1400</v>
      </c>
      <c r="G62" s="212" t="s">
        <v>1065</v>
      </c>
      <c r="H62" s="212">
        <v>48.0</v>
      </c>
      <c r="I62" s="384" t="s">
        <v>1401</v>
      </c>
      <c r="J62" s="380">
        <v>46066.0</v>
      </c>
      <c r="L62" s="11" t="b">
        <v>1</v>
      </c>
      <c r="M62" s="39"/>
    </row>
    <row r="63">
      <c r="A63" s="39" t="s">
        <v>322</v>
      </c>
      <c r="B63" s="9" t="s">
        <v>1154</v>
      </c>
      <c r="C63" s="14"/>
      <c r="D63" s="385" t="s">
        <v>279</v>
      </c>
      <c r="E63" s="386">
        <v>46057.0</v>
      </c>
      <c r="F63" s="387" t="s">
        <v>1403</v>
      </c>
      <c r="G63" s="388" t="s">
        <v>1065</v>
      </c>
      <c r="H63" s="388">
        <v>49.0</v>
      </c>
      <c r="I63" s="389" t="s">
        <v>1405</v>
      </c>
      <c r="J63" s="390"/>
      <c r="L63" s="11" t="b">
        <v>1</v>
      </c>
      <c r="M63" s="39"/>
    </row>
    <row r="64">
      <c r="A64" s="39" t="s">
        <v>489</v>
      </c>
      <c r="B64" s="9" t="s">
        <v>1211</v>
      </c>
      <c r="C64" s="14"/>
      <c r="D64" s="64" t="s">
        <v>244</v>
      </c>
      <c r="E64" s="311">
        <v>46058.0</v>
      </c>
      <c r="F64" s="337" t="s">
        <v>1408</v>
      </c>
      <c r="G64" s="212" t="s">
        <v>1065</v>
      </c>
      <c r="H64" s="212">
        <v>50.0</v>
      </c>
      <c r="I64" s="384" t="s">
        <v>1409</v>
      </c>
      <c r="J64" s="311">
        <v>46066.0</v>
      </c>
      <c r="L64" s="11" t="b">
        <v>1</v>
      </c>
      <c r="M64" s="39"/>
    </row>
    <row r="65">
      <c r="A65" s="39" t="s">
        <v>368</v>
      </c>
      <c r="B65" s="9" t="s">
        <v>1190</v>
      </c>
      <c r="C65" s="14"/>
      <c r="D65" s="391" t="s">
        <v>263</v>
      </c>
      <c r="E65" s="392">
        <v>46076.0</v>
      </c>
      <c r="F65" s="393" t="s">
        <v>1413</v>
      </c>
      <c r="G65" s="268" t="s">
        <v>1065</v>
      </c>
      <c r="H65" s="268">
        <v>51.0</v>
      </c>
      <c r="I65" s="394" t="s">
        <v>1415</v>
      </c>
      <c r="J65" s="396">
        <v>46086.0</v>
      </c>
      <c r="K65" s="16" t="s">
        <v>1425</v>
      </c>
      <c r="L65" s="11" t="b">
        <v>1</v>
      </c>
      <c r="M65" s="39"/>
    </row>
    <row r="66">
      <c r="A66" s="39" t="s">
        <v>335</v>
      </c>
      <c r="B66" s="9" t="s">
        <v>1154</v>
      </c>
      <c r="C66" s="14"/>
      <c r="D66" s="64" t="s">
        <v>1427</v>
      </c>
      <c r="E66" s="311">
        <v>46072.0</v>
      </c>
      <c r="F66" s="397" t="s">
        <v>1429</v>
      </c>
      <c r="G66" s="212" t="s">
        <v>1065</v>
      </c>
      <c r="H66" s="212">
        <v>52.0</v>
      </c>
      <c r="I66" s="313" t="s">
        <v>1433</v>
      </c>
      <c r="J66" s="311">
        <v>46076.0</v>
      </c>
      <c r="L66" s="11" t="b">
        <v>1</v>
      </c>
      <c r="M66" s="39"/>
    </row>
    <row r="67">
      <c r="A67" s="39" t="s">
        <v>301</v>
      </c>
      <c r="B67" s="9" t="s">
        <v>1154</v>
      </c>
      <c r="C67" s="14"/>
      <c r="D67" s="363" t="s">
        <v>229</v>
      </c>
      <c r="E67" s="317">
        <v>46065.0</v>
      </c>
      <c r="F67" s="335" t="s">
        <v>1438</v>
      </c>
      <c r="G67" s="135" t="s">
        <v>1065</v>
      </c>
      <c r="H67" s="135">
        <v>53.0</v>
      </c>
      <c r="I67" s="381" t="s">
        <v>1440</v>
      </c>
      <c r="J67" s="318"/>
      <c r="L67" s="11" t="b">
        <v>1</v>
      </c>
      <c r="M67" s="39"/>
    </row>
    <row r="68">
      <c r="A68" s="39" t="s">
        <v>448</v>
      </c>
      <c r="B68" s="9" t="s">
        <v>1154</v>
      </c>
      <c r="C68" s="14"/>
      <c r="D68" s="64" t="s">
        <v>296</v>
      </c>
      <c r="E68" s="359">
        <v>46083.0</v>
      </c>
      <c r="F68" s="337" t="s">
        <v>1443</v>
      </c>
      <c r="G68" s="212" t="s">
        <v>1065</v>
      </c>
      <c r="H68" s="212">
        <v>54.0</v>
      </c>
      <c r="I68" s="384" t="s">
        <v>1444</v>
      </c>
      <c r="J68" s="339">
        <v>46091.0</v>
      </c>
      <c r="L68" s="11" t="b">
        <v>1</v>
      </c>
      <c r="M68" s="39"/>
    </row>
    <row r="69">
      <c r="A69" s="39" t="s">
        <v>375</v>
      </c>
      <c r="B69" s="9" t="s">
        <v>1154</v>
      </c>
      <c r="C69" s="14"/>
      <c r="D69" s="268" t="s">
        <v>1446</v>
      </c>
      <c r="E69" s="268" t="s">
        <v>1448</v>
      </c>
      <c r="F69" s="399" t="s">
        <v>1449</v>
      </c>
      <c r="G69" s="268" t="s">
        <v>1065</v>
      </c>
      <c r="H69" s="268">
        <v>55.0</v>
      </c>
      <c r="I69" s="401" t="s">
        <v>1453</v>
      </c>
      <c r="L69" s="11" t="b">
        <v>1</v>
      </c>
      <c r="M69" s="39"/>
    </row>
    <row r="70">
      <c r="A70" s="39" t="s">
        <v>341</v>
      </c>
      <c r="B70" s="9" t="s">
        <v>1160</v>
      </c>
      <c r="C70" s="14"/>
      <c r="D70" s="363" t="s">
        <v>557</v>
      </c>
      <c r="E70" s="402">
        <v>46077.0</v>
      </c>
      <c r="F70" s="335" t="s">
        <v>1456</v>
      </c>
      <c r="G70" s="135" t="s">
        <v>1065</v>
      </c>
      <c r="H70" s="135">
        <v>56.0</v>
      </c>
      <c r="I70" s="126" t="s">
        <v>1458</v>
      </c>
      <c r="J70" s="318"/>
      <c r="L70" s="11" t="b">
        <v>1</v>
      </c>
      <c r="M70" s="39"/>
    </row>
    <row r="71">
      <c r="A71" s="39" t="s">
        <v>462</v>
      </c>
      <c r="B71" s="9" t="s">
        <v>1211</v>
      </c>
      <c r="C71" s="14"/>
      <c r="D71" s="363" t="s">
        <v>1460</v>
      </c>
      <c r="E71" s="402">
        <v>46098.0</v>
      </c>
      <c r="F71" s="335" t="s">
        <v>1461</v>
      </c>
      <c r="G71" s="135" t="s">
        <v>1065</v>
      </c>
      <c r="H71" s="135">
        <v>57.0</v>
      </c>
      <c r="I71" s="126" t="s">
        <v>1462</v>
      </c>
      <c r="J71" s="318"/>
      <c r="L71" s="11" t="b">
        <v>1</v>
      </c>
      <c r="M71" s="39"/>
    </row>
    <row r="72">
      <c r="A72" s="39" t="s">
        <v>362</v>
      </c>
      <c r="B72" s="9" t="s">
        <v>1160</v>
      </c>
      <c r="C72" s="14"/>
      <c r="D72" s="363" t="s">
        <v>287</v>
      </c>
      <c r="E72" s="317">
        <v>46085.0</v>
      </c>
      <c r="F72" s="335" t="s">
        <v>1464</v>
      </c>
      <c r="G72" s="135" t="s">
        <v>1065</v>
      </c>
      <c r="H72" s="135">
        <v>58.0</v>
      </c>
      <c r="I72" s="126" t="s">
        <v>1465</v>
      </c>
      <c r="J72" s="318"/>
      <c r="L72" s="11" t="b">
        <v>1</v>
      </c>
      <c r="M72" s="39"/>
    </row>
    <row r="73">
      <c r="A73" s="39" t="s">
        <v>415</v>
      </c>
      <c r="B73" s="9" t="s">
        <v>1211</v>
      </c>
      <c r="C73" s="39"/>
      <c r="D73" s="363" t="s">
        <v>304</v>
      </c>
      <c r="E73" s="402">
        <v>46113.0</v>
      </c>
      <c r="F73" s="135" t="s">
        <v>1467</v>
      </c>
      <c r="G73" s="135" t="s">
        <v>1065</v>
      </c>
      <c r="H73" s="135">
        <v>59.0</v>
      </c>
      <c r="I73" s="126" t="s">
        <v>1469</v>
      </c>
      <c r="J73" s="318"/>
      <c r="L73" s="11" t="b">
        <v>1</v>
      </c>
      <c r="M73" s="39"/>
    </row>
    <row r="74">
      <c r="A74" s="39" t="s">
        <v>365</v>
      </c>
      <c r="B74" s="9" t="s">
        <v>1154</v>
      </c>
      <c r="C74" s="14"/>
      <c r="D74" s="64" t="s">
        <v>263</v>
      </c>
      <c r="E74" s="212" t="s">
        <v>1471</v>
      </c>
      <c r="F74" s="212" t="s">
        <v>1472</v>
      </c>
      <c r="G74" s="212" t="s">
        <v>1065</v>
      </c>
      <c r="H74" s="212">
        <v>60.0</v>
      </c>
      <c r="I74" s="313" t="s">
        <v>1473</v>
      </c>
      <c r="J74" s="339">
        <v>46127.0</v>
      </c>
      <c r="L74" s="11" t="b">
        <v>1</v>
      </c>
      <c r="M74" s="39"/>
    </row>
    <row r="75">
      <c r="A75" s="39" t="s">
        <v>372</v>
      </c>
      <c r="B75" s="9" t="s">
        <v>1154</v>
      </c>
      <c r="C75" s="14"/>
      <c r="D75" s="64" t="s">
        <v>307</v>
      </c>
      <c r="E75" s="311">
        <v>46118.0</v>
      </c>
      <c r="F75" s="212" t="s">
        <v>1475</v>
      </c>
      <c r="G75" s="212" t="s">
        <v>1065</v>
      </c>
      <c r="H75" s="212">
        <v>61.0</v>
      </c>
      <c r="I75" s="212" t="s">
        <v>1477</v>
      </c>
      <c r="J75" s="311">
        <v>46122.0</v>
      </c>
      <c r="L75" s="11" t="b">
        <v>1</v>
      </c>
      <c r="M75" s="39"/>
    </row>
    <row r="76">
      <c r="A76" s="39" t="s">
        <v>391</v>
      </c>
      <c r="B76" s="9" t="s">
        <v>1211</v>
      </c>
      <c r="C76" s="14"/>
      <c r="D76" s="64" t="s">
        <v>256</v>
      </c>
      <c r="E76" s="339">
        <v>46125.0</v>
      </c>
      <c r="F76" s="212" t="s">
        <v>1479</v>
      </c>
      <c r="G76" s="212" t="s">
        <v>1065</v>
      </c>
      <c r="H76" s="253"/>
      <c r="I76" s="313" t="s">
        <v>1481</v>
      </c>
      <c r="J76" s="339">
        <v>46132.0</v>
      </c>
      <c r="L76" s="11" t="b">
        <v>1</v>
      </c>
      <c r="M76" s="39"/>
    </row>
    <row r="77">
      <c r="A77" s="39" t="s">
        <v>337</v>
      </c>
      <c r="B77" s="9" t="s">
        <v>1160</v>
      </c>
      <c r="C77" s="14"/>
      <c r="D77" s="64" t="s">
        <v>304</v>
      </c>
      <c r="E77" s="212" t="s">
        <v>1483</v>
      </c>
      <c r="F77" s="212" t="s">
        <v>1484</v>
      </c>
      <c r="G77" s="212" t="s">
        <v>1065</v>
      </c>
      <c r="H77" s="212">
        <v>63.0</v>
      </c>
      <c r="I77" s="313" t="s">
        <v>1485</v>
      </c>
      <c r="J77" s="339">
        <v>46140.0</v>
      </c>
      <c r="L77" s="11" t="b">
        <v>1</v>
      </c>
      <c r="M77" s="39"/>
    </row>
    <row r="78">
      <c r="A78" s="39" t="s">
        <v>327</v>
      </c>
      <c r="B78" s="9" t="s">
        <v>1160</v>
      </c>
      <c r="C78" s="39"/>
      <c r="D78" s="363" t="s">
        <v>327</v>
      </c>
      <c r="E78" s="317">
        <v>46133.0</v>
      </c>
      <c r="F78" s="135" t="s">
        <v>1488</v>
      </c>
      <c r="G78" s="135" t="s">
        <v>1065</v>
      </c>
      <c r="H78" s="135">
        <v>64.0</v>
      </c>
      <c r="I78" s="126" t="s">
        <v>1490</v>
      </c>
      <c r="J78" s="318"/>
      <c r="L78" s="11" t="b">
        <v>1</v>
      </c>
      <c r="M78" s="39"/>
    </row>
    <row r="79">
      <c r="A79" s="39" t="s">
        <v>345</v>
      </c>
      <c r="B79" s="9" t="s">
        <v>1154</v>
      </c>
      <c r="C79" s="39"/>
      <c r="D79" s="64" t="s">
        <v>358</v>
      </c>
      <c r="E79" s="359">
        <v>46148.0</v>
      </c>
      <c r="F79" s="212" t="s">
        <v>1493</v>
      </c>
      <c r="G79" s="212" t="s">
        <v>1065</v>
      </c>
      <c r="H79" s="212">
        <v>65.0</v>
      </c>
      <c r="I79" s="313" t="s">
        <v>1495</v>
      </c>
      <c r="J79" s="339">
        <v>46160.0</v>
      </c>
      <c r="L79" s="11" t="b">
        <v>1</v>
      </c>
      <c r="M79" s="39"/>
    </row>
    <row r="80">
      <c r="A80" s="39" t="s">
        <v>520</v>
      </c>
      <c r="B80" s="9" t="s">
        <v>1211</v>
      </c>
      <c r="C80" s="14"/>
      <c r="D80" s="363" t="s">
        <v>1500</v>
      </c>
      <c r="E80" s="402">
        <v>46149.0</v>
      </c>
      <c r="F80" s="135" t="s">
        <v>1502</v>
      </c>
      <c r="G80" s="135" t="s">
        <v>1065</v>
      </c>
      <c r="H80" s="135">
        <v>66.0</v>
      </c>
      <c r="I80" s="126" t="s">
        <v>1503</v>
      </c>
      <c r="J80" s="318"/>
      <c r="L80" s="11" t="b">
        <v>1</v>
      </c>
      <c r="M80" s="39"/>
    </row>
    <row r="81">
      <c r="A81" s="39" t="s">
        <v>484</v>
      </c>
      <c r="B81" s="9" t="s">
        <v>1160</v>
      </c>
      <c r="C81" s="14"/>
      <c r="D81" s="64" t="s">
        <v>345</v>
      </c>
      <c r="E81" s="359">
        <v>46147.0</v>
      </c>
      <c r="F81" s="212" t="s">
        <v>1506</v>
      </c>
      <c r="G81" s="212" t="s">
        <v>1065</v>
      </c>
      <c r="H81" s="212">
        <v>67.0</v>
      </c>
      <c r="I81" s="313" t="s">
        <v>1507</v>
      </c>
      <c r="J81" s="311">
        <v>46164.0</v>
      </c>
      <c r="K81" s="412">
        <v>46164.0</v>
      </c>
      <c r="L81" s="11" t="b">
        <v>1</v>
      </c>
      <c r="M81" s="39"/>
    </row>
    <row r="82">
      <c r="A82" s="39" t="s">
        <v>406</v>
      </c>
      <c r="B82" s="9" t="s">
        <v>1211</v>
      </c>
      <c r="C82" s="14"/>
      <c r="D82" s="64" t="s">
        <v>394</v>
      </c>
      <c r="E82" s="359">
        <v>46154.0</v>
      </c>
      <c r="F82" s="397" t="s">
        <v>1510</v>
      </c>
      <c r="G82" s="212"/>
      <c r="H82" s="212">
        <v>68.0</v>
      </c>
      <c r="I82" s="313" t="s">
        <v>1511</v>
      </c>
      <c r="J82" s="339">
        <v>46156.0</v>
      </c>
      <c r="K82" s="413">
        <v>46156.0</v>
      </c>
      <c r="L82" s="11" t="b">
        <v>1</v>
      </c>
      <c r="M82" s="39"/>
    </row>
    <row r="83">
      <c r="A83" s="39" t="s">
        <v>475</v>
      </c>
      <c r="B83" s="9" t="s">
        <v>1160</v>
      </c>
      <c r="C83" s="14"/>
      <c r="D83" s="64" t="s">
        <v>365</v>
      </c>
      <c r="E83" s="359">
        <v>46155.0</v>
      </c>
      <c r="F83" s="397" t="s">
        <v>1513</v>
      </c>
      <c r="G83" s="212" t="s">
        <v>1065</v>
      </c>
      <c r="H83" s="212">
        <v>69.0</v>
      </c>
      <c r="I83" s="313" t="s">
        <v>1514</v>
      </c>
      <c r="J83" s="339">
        <v>46168.0</v>
      </c>
      <c r="L83" s="11" t="b">
        <v>1</v>
      </c>
      <c r="M83" s="39"/>
    </row>
    <row r="84">
      <c r="A84" s="39" t="s">
        <v>416</v>
      </c>
      <c r="B84" s="9" t="s">
        <v>1211</v>
      </c>
      <c r="C84" s="14"/>
      <c r="D84" s="94" t="s">
        <v>375</v>
      </c>
      <c r="E84" s="414">
        <v>46162.0</v>
      </c>
      <c r="F84" s="397" t="s">
        <v>1518</v>
      </c>
      <c r="G84" s="212" t="s">
        <v>1065</v>
      </c>
      <c r="H84" s="212">
        <v>70.0</v>
      </c>
      <c r="I84" s="313" t="s">
        <v>1519</v>
      </c>
      <c r="J84" s="339">
        <v>46198.0</v>
      </c>
      <c r="L84" s="11" t="b">
        <v>1</v>
      </c>
      <c r="M84" s="39"/>
    </row>
    <row r="85">
      <c r="A85" s="39" t="s">
        <v>424</v>
      </c>
      <c r="B85" s="9" t="s">
        <v>1211</v>
      </c>
      <c r="C85" s="14"/>
      <c r="D85" s="64" t="s">
        <v>372</v>
      </c>
      <c r="E85" s="359">
        <v>46169.0</v>
      </c>
      <c r="F85" s="397" t="s">
        <v>1522</v>
      </c>
      <c r="G85" s="212" t="s">
        <v>1065</v>
      </c>
      <c r="H85" s="212">
        <v>71.0</v>
      </c>
      <c r="I85" s="313" t="s">
        <v>1523</v>
      </c>
      <c r="J85" s="339">
        <v>46170.0</v>
      </c>
      <c r="L85" s="11" t="b">
        <v>1</v>
      </c>
      <c r="M85" s="39"/>
    </row>
    <row r="86">
      <c r="A86" s="39" t="s">
        <v>410</v>
      </c>
      <c r="B86" s="9" t="s">
        <v>1154</v>
      </c>
      <c r="C86" s="14"/>
      <c r="D86" s="64" t="s">
        <v>380</v>
      </c>
      <c r="E86" s="359">
        <v>46178.0</v>
      </c>
      <c r="F86" s="212" t="s">
        <v>1530</v>
      </c>
      <c r="G86" s="212" t="s">
        <v>1065</v>
      </c>
      <c r="H86" s="212">
        <v>72.0</v>
      </c>
      <c r="I86" s="313" t="s">
        <v>1532</v>
      </c>
      <c r="J86" s="339">
        <v>46247.0</v>
      </c>
      <c r="L86" s="11" t="b">
        <v>1</v>
      </c>
      <c r="M86" s="39"/>
    </row>
    <row r="87">
      <c r="A87" s="39" t="s">
        <v>400</v>
      </c>
      <c r="B87" s="9" t="s">
        <v>1160</v>
      </c>
      <c r="C87" s="14"/>
      <c r="D87" s="14"/>
      <c r="I87" s="356"/>
      <c r="L87" s="14"/>
      <c r="M87" s="39"/>
    </row>
    <row r="88">
      <c r="A88" s="39" t="s">
        <v>456</v>
      </c>
      <c r="B88" s="9" t="s">
        <v>1211</v>
      </c>
      <c r="C88" s="14"/>
      <c r="D88" s="14"/>
      <c r="I88" s="356"/>
      <c r="L88" s="14"/>
      <c r="M88" s="39"/>
    </row>
    <row r="89">
      <c r="A89" s="39" t="s">
        <v>384</v>
      </c>
      <c r="B89" s="9" t="s">
        <v>1211</v>
      </c>
      <c r="C89" s="14"/>
      <c r="D89" s="14"/>
      <c r="I89" s="356"/>
      <c r="L89" s="14"/>
      <c r="M89" s="39"/>
    </row>
    <row r="90">
      <c r="A90" s="39" t="s">
        <v>402</v>
      </c>
      <c r="B90" s="9" t="s">
        <v>1211</v>
      </c>
      <c r="C90" s="39"/>
      <c r="D90" s="14"/>
      <c r="I90" s="356"/>
      <c r="L90" s="14"/>
      <c r="M90" s="39"/>
    </row>
    <row r="91">
      <c r="A91" s="39" t="s">
        <v>348</v>
      </c>
      <c r="B91" s="9" t="s">
        <v>1154</v>
      </c>
      <c r="C91" s="9"/>
      <c r="D91" s="14"/>
      <c r="I91" s="356"/>
      <c r="L91" s="14"/>
      <c r="M91" s="39"/>
    </row>
    <row r="92">
      <c r="A92" s="39" t="s">
        <v>482</v>
      </c>
      <c r="B92" s="9" t="s">
        <v>1211</v>
      </c>
      <c r="C92" s="39"/>
      <c r="D92" s="14"/>
      <c r="I92" s="356"/>
      <c r="L92" s="14"/>
      <c r="M92" s="39"/>
    </row>
    <row r="93">
      <c r="A93" s="39" t="s">
        <v>446</v>
      </c>
      <c r="B93" s="9" t="s">
        <v>1211</v>
      </c>
      <c r="C93" s="39"/>
      <c r="D93" s="14"/>
      <c r="I93" s="356"/>
      <c r="L93" s="14"/>
      <c r="M93" s="39"/>
    </row>
    <row r="94">
      <c r="A94" s="39" t="s">
        <v>454</v>
      </c>
      <c r="B94" s="9" t="s">
        <v>1160</v>
      </c>
      <c r="C94" s="39"/>
      <c r="D94" s="14"/>
      <c r="I94" s="356"/>
      <c r="L94" s="14"/>
      <c r="M94" s="39"/>
    </row>
    <row r="95">
      <c r="A95" s="39" t="s">
        <v>428</v>
      </c>
      <c r="B95" s="9" t="s">
        <v>1211</v>
      </c>
      <c r="C95" s="9"/>
      <c r="D95" s="14"/>
      <c r="I95" s="356"/>
      <c r="L95" s="14"/>
      <c r="M95" s="39"/>
    </row>
    <row r="96">
      <c r="A96" s="39" t="s">
        <v>467</v>
      </c>
      <c r="B96" s="9" t="s">
        <v>1211</v>
      </c>
      <c r="C96" s="39"/>
      <c r="D96" s="14"/>
      <c r="I96" s="356"/>
      <c r="L96" s="14"/>
      <c r="M96" s="39"/>
    </row>
    <row r="97">
      <c r="A97" s="39" t="s">
        <v>434</v>
      </c>
      <c r="B97" s="9" t="s">
        <v>1154</v>
      </c>
      <c r="C97" s="39"/>
      <c r="D97" s="14"/>
      <c r="I97" s="356"/>
      <c r="L97" s="14"/>
      <c r="M97" s="39"/>
    </row>
    <row r="98">
      <c r="A98" s="39" t="s">
        <v>431</v>
      </c>
      <c r="B98" s="9" t="s">
        <v>1154</v>
      </c>
      <c r="C98" s="39"/>
      <c r="D98" s="14"/>
      <c r="I98" s="356"/>
      <c r="L98" s="14"/>
      <c r="M98" s="39"/>
    </row>
    <row r="99">
      <c r="A99" s="420" t="s">
        <v>600</v>
      </c>
      <c r="B99" s="9" t="s">
        <v>1577</v>
      </c>
      <c r="C99" s="423" t="s">
        <v>1580</v>
      </c>
      <c r="D99" s="14"/>
      <c r="I99" s="356"/>
      <c r="L99" s="14"/>
      <c r="M99" s="39"/>
    </row>
    <row r="100">
      <c r="A100" s="39" t="s">
        <v>443</v>
      </c>
      <c r="B100" s="9" t="s">
        <v>1154</v>
      </c>
      <c r="C100" s="39"/>
      <c r="D100" s="14"/>
      <c r="I100" s="356"/>
      <c r="L100" s="14"/>
      <c r="M100" s="39"/>
    </row>
    <row r="101">
      <c r="A101" s="39" t="s">
        <v>512</v>
      </c>
      <c r="B101" s="9" t="s">
        <v>1160</v>
      </c>
      <c r="C101" s="39"/>
      <c r="D101" s="14"/>
      <c r="I101" s="356"/>
      <c r="L101" s="14"/>
      <c r="M101" s="39"/>
    </row>
    <row r="102">
      <c r="A102" s="39" t="s">
        <v>496</v>
      </c>
      <c r="B102" s="9" t="s">
        <v>1154</v>
      </c>
      <c r="C102" s="39"/>
      <c r="D102" s="14"/>
      <c r="I102" s="356"/>
      <c r="L102" s="14"/>
      <c r="M102" s="39"/>
    </row>
    <row r="103">
      <c r="A103" s="420" t="s">
        <v>503</v>
      </c>
      <c r="B103" s="9" t="s">
        <v>1577</v>
      </c>
      <c r="C103" s="423" t="s">
        <v>1580</v>
      </c>
      <c r="D103" s="14"/>
      <c r="I103" s="356"/>
      <c r="L103" s="14"/>
      <c r="M103" s="39"/>
    </row>
    <row r="104">
      <c r="A104" s="39" t="s">
        <v>438</v>
      </c>
      <c r="B104" s="9" t="s">
        <v>1154</v>
      </c>
      <c r="C104" s="39"/>
      <c r="D104" s="14"/>
      <c r="I104" s="356"/>
      <c r="L104" s="14"/>
      <c r="M104" s="39"/>
    </row>
    <row r="105">
      <c r="A105" s="39" t="s">
        <v>407</v>
      </c>
      <c r="B105" s="9" t="s">
        <v>1154</v>
      </c>
      <c r="C105" s="39"/>
      <c r="D105" s="14"/>
      <c r="I105" s="356"/>
      <c r="L105" s="14"/>
      <c r="M105" s="39"/>
    </row>
    <row r="106">
      <c r="A106" s="39" t="s">
        <v>493</v>
      </c>
      <c r="B106" s="9" t="s">
        <v>1160</v>
      </c>
      <c r="C106" s="39"/>
      <c r="D106" s="14"/>
      <c r="I106" s="356"/>
      <c r="L106" s="14"/>
      <c r="M106" s="39"/>
    </row>
    <row r="107">
      <c r="A107" s="420" t="s">
        <v>549</v>
      </c>
      <c r="B107" s="9" t="s">
        <v>1577</v>
      </c>
      <c r="C107" s="423" t="s">
        <v>1580</v>
      </c>
      <c r="D107" s="14"/>
      <c r="I107" s="356"/>
      <c r="L107" s="14"/>
      <c r="M107" s="39"/>
    </row>
    <row r="108">
      <c r="A108" s="39" t="s">
        <v>538</v>
      </c>
      <c r="B108" s="9" t="s">
        <v>1211</v>
      </c>
      <c r="C108" s="39"/>
      <c r="D108" s="14"/>
      <c r="I108" s="356"/>
      <c r="L108" s="14"/>
      <c r="M108" s="39"/>
    </row>
    <row r="109">
      <c r="A109" s="39" t="s">
        <v>507</v>
      </c>
      <c r="B109" s="9" t="s">
        <v>1211</v>
      </c>
      <c r="C109" s="39"/>
      <c r="D109" s="14"/>
      <c r="I109" s="356"/>
      <c r="L109" s="14"/>
      <c r="M109" s="39"/>
    </row>
    <row r="110">
      <c r="A110" s="39" t="s">
        <v>544</v>
      </c>
      <c r="B110" s="9" t="s">
        <v>1211</v>
      </c>
      <c r="C110" s="9"/>
      <c r="D110" s="14"/>
      <c r="I110" s="356"/>
      <c r="L110" s="14"/>
      <c r="M110" s="39"/>
    </row>
    <row r="111">
      <c r="A111" s="39" t="s">
        <v>517</v>
      </c>
      <c r="B111" s="9" t="s">
        <v>1211</v>
      </c>
      <c r="C111" s="39"/>
      <c r="D111" s="14"/>
      <c r="I111" s="356"/>
      <c r="L111" s="14"/>
      <c r="M111" s="39"/>
    </row>
    <row r="112">
      <c r="A112" s="39" t="s">
        <v>505</v>
      </c>
      <c r="B112" s="9" t="s">
        <v>1211</v>
      </c>
      <c r="C112" s="9"/>
      <c r="D112" s="14"/>
      <c r="I112" s="356"/>
      <c r="L112" s="14"/>
      <c r="M112" s="39"/>
    </row>
    <row r="113">
      <c r="A113" s="39" t="s">
        <v>502</v>
      </c>
      <c r="B113" s="9" t="s">
        <v>1160</v>
      </c>
      <c r="C113" s="9"/>
      <c r="D113" s="14"/>
      <c r="I113" s="356"/>
      <c r="L113" s="14"/>
      <c r="M113" s="39"/>
    </row>
    <row r="114">
      <c r="A114" s="39" t="s">
        <v>485</v>
      </c>
      <c r="B114" s="9" t="s">
        <v>1154</v>
      </c>
      <c r="C114" s="39"/>
      <c r="I114" s="356"/>
      <c r="L114" s="14"/>
      <c r="M114" s="39"/>
    </row>
    <row r="115">
      <c r="A115" s="39" t="s">
        <v>533</v>
      </c>
      <c r="B115" s="9" t="s">
        <v>1211</v>
      </c>
      <c r="C115" s="39"/>
      <c r="I115" s="356"/>
      <c r="L115" s="14"/>
      <c r="M115" s="39"/>
    </row>
    <row r="116">
      <c r="A116" s="39" t="s">
        <v>530</v>
      </c>
      <c r="B116" s="9" t="s">
        <v>1211</v>
      </c>
      <c r="C116" s="9" t="s">
        <v>24</v>
      </c>
      <c r="I116" s="356"/>
      <c r="L116" s="14"/>
      <c r="M116" s="39"/>
    </row>
    <row r="117">
      <c r="A117" s="39" t="s">
        <v>474</v>
      </c>
      <c r="B117" s="9" t="s">
        <v>1211</v>
      </c>
      <c r="C117" s="9"/>
      <c r="I117" s="356"/>
      <c r="L117" s="14"/>
      <c r="M117" s="39"/>
    </row>
    <row r="118">
      <c r="A118" s="420" t="s">
        <v>539</v>
      </c>
      <c r="B118" s="9" t="s">
        <v>1577</v>
      </c>
      <c r="C118" s="423" t="s">
        <v>1580</v>
      </c>
      <c r="I118" s="356"/>
      <c r="L118" s="14"/>
      <c r="M118" s="39"/>
    </row>
    <row r="119">
      <c r="A119" s="39" t="s">
        <v>509</v>
      </c>
      <c r="B119" s="9" t="s">
        <v>1211</v>
      </c>
      <c r="C119" s="39"/>
      <c r="I119" s="356"/>
      <c r="L119" s="14"/>
      <c r="M119" s="39"/>
    </row>
    <row r="120">
      <c r="A120" s="420" t="s">
        <v>594</v>
      </c>
      <c r="B120" s="9" t="s">
        <v>1577</v>
      </c>
      <c r="C120" s="423" t="s">
        <v>1580</v>
      </c>
      <c r="I120" s="356"/>
      <c r="L120" s="14"/>
      <c r="M120" s="39"/>
    </row>
    <row r="121">
      <c r="A121" s="420" t="s">
        <v>604</v>
      </c>
      <c r="B121" s="9" t="s">
        <v>1577</v>
      </c>
      <c r="C121" s="423" t="s">
        <v>1580</v>
      </c>
      <c r="I121" s="356"/>
      <c r="L121" s="14"/>
      <c r="M121" s="39"/>
    </row>
    <row r="122">
      <c r="A122" s="39" t="s">
        <v>540</v>
      </c>
      <c r="B122" s="9" t="s">
        <v>1211</v>
      </c>
      <c r="C122" s="39"/>
      <c r="I122" s="356"/>
      <c r="L122" s="14"/>
      <c r="M122" s="39"/>
    </row>
    <row r="123">
      <c r="A123" s="39" t="s">
        <v>528</v>
      </c>
      <c r="B123" s="9" t="s">
        <v>1211</v>
      </c>
      <c r="C123" s="39"/>
      <c r="I123" s="356"/>
      <c r="L123" s="14"/>
      <c r="M123" s="39"/>
    </row>
    <row r="124">
      <c r="A124" s="39" t="s">
        <v>518</v>
      </c>
      <c r="B124" s="9" t="s">
        <v>1211</v>
      </c>
      <c r="C124" s="39"/>
      <c r="I124" s="356"/>
      <c r="L124" s="14"/>
      <c r="M124" s="39"/>
    </row>
    <row r="125">
      <c r="A125" s="420" t="s">
        <v>606</v>
      </c>
      <c r="B125" s="9" t="s">
        <v>1577</v>
      </c>
      <c r="C125" s="423" t="s">
        <v>1580</v>
      </c>
      <c r="I125" s="356"/>
      <c r="L125" s="14"/>
      <c r="M125" s="39"/>
    </row>
    <row r="126">
      <c r="A126" s="420" t="s">
        <v>591</v>
      </c>
      <c r="B126" s="9" t="s">
        <v>1577</v>
      </c>
      <c r="C126" s="423" t="s">
        <v>1580</v>
      </c>
      <c r="I126" s="356"/>
      <c r="L126" s="14"/>
      <c r="M126" s="439"/>
    </row>
    <row r="127">
      <c r="A127" s="39" t="s">
        <v>553</v>
      </c>
      <c r="B127" s="9" t="s">
        <v>1211</v>
      </c>
      <c r="C127" s="14"/>
      <c r="I127" s="356"/>
      <c r="L127" s="14"/>
      <c r="M127" s="439"/>
    </row>
    <row r="128">
      <c r="A128" s="39" t="s">
        <v>555</v>
      </c>
      <c r="B128" s="9" t="s">
        <v>1160</v>
      </c>
      <c r="C128" s="14"/>
      <c r="I128" s="356"/>
      <c r="L128" s="14"/>
      <c r="M128" s="439"/>
    </row>
    <row r="129">
      <c r="A129" s="39" t="s">
        <v>537</v>
      </c>
      <c r="B129" s="9" t="s">
        <v>1211</v>
      </c>
      <c r="C129" s="14"/>
      <c r="I129" s="356"/>
      <c r="L129" s="14"/>
      <c r="M129" s="439"/>
    </row>
    <row r="130">
      <c r="A130" s="39" t="s">
        <v>557</v>
      </c>
      <c r="B130" s="9" t="s">
        <v>1211</v>
      </c>
      <c r="C130" s="14"/>
      <c r="I130" s="356"/>
      <c r="L130" s="14"/>
      <c r="M130" s="439"/>
    </row>
    <row r="131">
      <c r="A131" s="39" t="s">
        <v>542</v>
      </c>
      <c r="B131" s="9" t="s">
        <v>1154</v>
      </c>
      <c r="C131" s="14"/>
      <c r="I131" s="356"/>
      <c r="L131" s="14"/>
      <c r="M131" s="439"/>
    </row>
    <row r="132">
      <c r="A132" s="39" t="s">
        <v>536</v>
      </c>
      <c r="B132" s="9" t="s">
        <v>1154</v>
      </c>
      <c r="C132" s="14"/>
      <c r="I132" s="356"/>
      <c r="L132" s="14"/>
      <c r="M132" s="439"/>
    </row>
    <row r="133">
      <c r="A133" s="39" t="s">
        <v>551</v>
      </c>
      <c r="B133" s="9" t="s">
        <v>1154</v>
      </c>
      <c r="C133" s="14"/>
      <c r="I133" s="356"/>
      <c r="L133" s="14"/>
      <c r="M133" s="439"/>
    </row>
    <row r="134">
      <c r="A134" s="39"/>
      <c r="B134" s="39"/>
      <c r="C134" s="14"/>
      <c r="I134" s="356"/>
      <c r="L134" s="14"/>
      <c r="M134" s="39"/>
    </row>
    <row r="135">
      <c r="A135" s="3"/>
      <c r="B135" s="39"/>
      <c r="I135" s="356"/>
      <c r="L135" s="14"/>
      <c r="M135" s="39"/>
    </row>
    <row r="136">
      <c r="A136" s="3"/>
      <c r="B136" s="3"/>
      <c r="I136" s="356"/>
      <c r="L136" s="14"/>
      <c r="M136" s="39"/>
    </row>
    <row r="137">
      <c r="A137" s="3"/>
      <c r="B137" s="3"/>
      <c r="I137" s="356"/>
      <c r="L137" s="14"/>
      <c r="M137" s="39"/>
    </row>
    <row r="138">
      <c r="A138" s="18"/>
      <c r="B138" s="69"/>
      <c r="I138" s="356"/>
      <c r="L138" s="14"/>
      <c r="M138" s="39"/>
    </row>
    <row r="139">
      <c r="A139" s="3"/>
      <c r="B139" s="3"/>
      <c r="I139" s="356"/>
      <c r="L139" s="14"/>
      <c r="M139" s="39"/>
    </row>
    <row r="140">
      <c r="A140" s="3"/>
      <c r="B140" s="3"/>
      <c r="I140" s="356"/>
      <c r="L140" s="14"/>
      <c r="M140" s="39"/>
    </row>
    <row r="141">
      <c r="A141" s="3"/>
      <c r="B141" s="3"/>
      <c r="I141" s="356"/>
      <c r="L141" s="14"/>
      <c r="M141" s="39"/>
    </row>
    <row r="142">
      <c r="A142" s="3"/>
      <c r="B142" s="3"/>
      <c r="I142" s="356"/>
      <c r="L142" s="14"/>
      <c r="M142" s="39"/>
    </row>
    <row r="143">
      <c r="A143" s="3"/>
      <c r="B143" s="3"/>
      <c r="I143" s="356"/>
      <c r="L143" s="14"/>
      <c r="M143" s="39"/>
    </row>
    <row r="144">
      <c r="A144" s="3"/>
      <c r="B144" s="3"/>
      <c r="I144" s="356"/>
      <c r="L144" s="14"/>
      <c r="M144" s="39"/>
    </row>
    <row r="145">
      <c r="A145" s="3"/>
      <c r="B145" s="3"/>
      <c r="I145" s="356"/>
      <c r="L145" s="14"/>
      <c r="M145" s="39"/>
    </row>
    <row r="146">
      <c r="A146" s="3"/>
      <c r="B146" s="3"/>
      <c r="I146" s="356"/>
      <c r="L146" s="14"/>
      <c r="M146" s="39"/>
    </row>
    <row r="147">
      <c r="A147" s="3"/>
      <c r="B147" s="3"/>
      <c r="I147" s="356"/>
      <c r="L147" s="14"/>
      <c r="M147" s="39"/>
    </row>
    <row r="148">
      <c r="A148" s="3"/>
      <c r="B148" s="3"/>
      <c r="I148" s="356"/>
      <c r="L148" s="14"/>
      <c r="M148" s="39"/>
    </row>
    <row r="149">
      <c r="A149" s="3"/>
      <c r="B149" s="3"/>
      <c r="I149" s="356"/>
      <c r="L149" s="14"/>
      <c r="M149" s="39"/>
    </row>
    <row r="150">
      <c r="A150" s="3"/>
      <c r="B150" s="3"/>
      <c r="I150" s="356"/>
      <c r="L150" s="14"/>
      <c r="M150" s="39"/>
    </row>
    <row r="151">
      <c r="A151" s="3"/>
      <c r="B151" s="3"/>
      <c r="I151" s="356"/>
      <c r="L151" s="14"/>
      <c r="M151" s="39"/>
    </row>
    <row r="152">
      <c r="A152" s="3"/>
      <c r="B152" s="3"/>
      <c r="I152" s="356"/>
      <c r="L152" s="14"/>
      <c r="M152" s="39"/>
    </row>
    <row r="153">
      <c r="A153" s="3"/>
      <c r="B153" s="3"/>
      <c r="I153" s="356"/>
      <c r="L153" s="14"/>
      <c r="M153" s="39"/>
    </row>
    <row r="154">
      <c r="A154" s="3"/>
      <c r="B154" s="3"/>
      <c r="I154" s="356"/>
      <c r="L154" s="14"/>
      <c r="M154" s="39"/>
    </row>
    <row r="155">
      <c r="A155" s="3"/>
      <c r="B155" s="3"/>
      <c r="I155" s="356"/>
      <c r="L155" s="14"/>
      <c r="M155" s="39"/>
    </row>
    <row r="156">
      <c r="A156" s="3"/>
      <c r="B156" s="3"/>
      <c r="I156" s="356"/>
      <c r="L156" s="14"/>
      <c r="M156" s="39"/>
    </row>
    <row r="157">
      <c r="A157" s="3"/>
      <c r="B157" s="3"/>
      <c r="I157" s="356"/>
      <c r="L157" s="14"/>
      <c r="M157" s="39"/>
    </row>
    <row r="158">
      <c r="A158" s="3"/>
      <c r="B158" s="3"/>
      <c r="I158" s="356"/>
      <c r="L158" s="14"/>
      <c r="M158" s="39"/>
    </row>
    <row r="159">
      <c r="A159" s="3"/>
      <c r="B159" s="3"/>
      <c r="I159" s="356"/>
      <c r="L159" s="14"/>
      <c r="M159" s="39"/>
    </row>
    <row r="160">
      <c r="A160" s="3"/>
      <c r="B160" s="3"/>
      <c r="I160" s="356"/>
      <c r="L160" s="14"/>
      <c r="M160" s="39"/>
    </row>
    <row r="161">
      <c r="A161" s="3"/>
      <c r="B161" s="3"/>
      <c r="I161" s="356"/>
      <c r="L161" s="14"/>
      <c r="M161" s="39"/>
    </row>
    <row r="162">
      <c r="A162" s="3"/>
      <c r="B162" s="3"/>
      <c r="I162" s="356"/>
      <c r="L162" s="14"/>
      <c r="M162" s="39"/>
    </row>
    <row r="163">
      <c r="A163" s="3"/>
      <c r="B163" s="3"/>
      <c r="I163" s="356"/>
      <c r="L163" s="14"/>
      <c r="M163" s="39"/>
    </row>
    <row r="164">
      <c r="A164" s="3"/>
      <c r="B164" s="3"/>
      <c r="I164" s="356"/>
      <c r="L164" s="14"/>
      <c r="M164" s="39"/>
    </row>
    <row r="165">
      <c r="A165" s="3"/>
      <c r="B165" s="3"/>
      <c r="I165" s="356"/>
      <c r="L165" s="14"/>
      <c r="M165" s="39"/>
    </row>
    <row r="166">
      <c r="A166" s="3"/>
      <c r="B166" s="3"/>
      <c r="I166" s="356"/>
      <c r="L166" s="14"/>
      <c r="M166" s="39"/>
    </row>
    <row r="167">
      <c r="A167" s="3"/>
      <c r="B167" s="3"/>
      <c r="I167" s="356"/>
      <c r="L167" s="14"/>
      <c r="M167" s="39"/>
    </row>
    <row r="168">
      <c r="A168" s="3"/>
      <c r="B168" s="3"/>
      <c r="I168" s="356"/>
      <c r="L168" s="14"/>
      <c r="M168" s="39"/>
    </row>
    <row r="169">
      <c r="A169" s="3"/>
      <c r="B169" s="3"/>
      <c r="I169" s="356"/>
      <c r="L169" s="14"/>
      <c r="M169" s="39"/>
    </row>
    <row r="170">
      <c r="A170" s="3"/>
      <c r="B170" s="3"/>
      <c r="I170" s="356"/>
      <c r="L170" s="14"/>
      <c r="M170" s="39"/>
    </row>
    <row r="171">
      <c r="A171" s="3"/>
      <c r="B171" s="3"/>
      <c r="I171" s="356"/>
      <c r="L171" s="14"/>
      <c r="M171" s="39"/>
    </row>
    <row r="172">
      <c r="A172" s="3"/>
      <c r="B172" s="3"/>
      <c r="I172" s="356"/>
      <c r="L172" s="14"/>
      <c r="M172" s="39"/>
    </row>
    <row r="173">
      <c r="A173" s="3"/>
      <c r="B173" s="3"/>
      <c r="I173" s="356"/>
      <c r="L173" s="14"/>
      <c r="M173" s="39"/>
    </row>
    <row r="174">
      <c r="A174" s="3"/>
      <c r="B174" s="3"/>
      <c r="I174" s="356"/>
      <c r="L174" s="14"/>
      <c r="M174" s="39"/>
    </row>
    <row r="175">
      <c r="A175" s="3"/>
      <c r="B175" s="3"/>
      <c r="I175" s="356"/>
      <c r="L175" s="14"/>
      <c r="M175" s="39"/>
    </row>
    <row r="176">
      <c r="A176" s="3"/>
      <c r="B176" s="3"/>
      <c r="I176" s="356"/>
      <c r="L176" s="14"/>
      <c r="M176" s="39"/>
    </row>
    <row r="177">
      <c r="A177" s="3"/>
      <c r="B177" s="3"/>
      <c r="I177" s="356"/>
      <c r="L177" s="14"/>
      <c r="M177" s="39"/>
    </row>
    <row r="178">
      <c r="A178" s="3"/>
      <c r="B178" s="3"/>
      <c r="I178" s="356"/>
      <c r="L178" s="14"/>
      <c r="M178" s="39"/>
    </row>
    <row r="179">
      <c r="A179" s="3"/>
      <c r="B179" s="3"/>
      <c r="I179" s="356"/>
      <c r="L179" s="14"/>
      <c r="M179" s="39"/>
    </row>
    <row r="180">
      <c r="A180" s="3"/>
      <c r="B180" s="3"/>
      <c r="I180" s="356"/>
      <c r="L180" s="14"/>
      <c r="M180" s="39"/>
    </row>
    <row r="181">
      <c r="A181" s="3"/>
      <c r="B181" s="3"/>
      <c r="I181" s="356"/>
      <c r="L181" s="14"/>
      <c r="M181" s="39"/>
    </row>
    <row r="182">
      <c r="A182" s="3"/>
      <c r="B182" s="3"/>
      <c r="I182" s="356"/>
      <c r="L182" s="14"/>
      <c r="M182" s="39"/>
    </row>
    <row r="183">
      <c r="A183" s="3"/>
      <c r="B183" s="3"/>
      <c r="I183" s="356"/>
      <c r="L183" s="14"/>
      <c r="M183" s="39"/>
    </row>
    <row r="184">
      <c r="A184" s="3"/>
      <c r="B184" s="3"/>
      <c r="I184" s="356"/>
      <c r="L184" s="14"/>
      <c r="M184" s="39"/>
    </row>
    <row r="185">
      <c r="A185" s="3"/>
      <c r="B185" s="3"/>
      <c r="I185" s="356"/>
      <c r="L185" s="14"/>
      <c r="M185" s="39"/>
    </row>
    <row r="186">
      <c r="A186" s="3"/>
      <c r="B186" s="3"/>
      <c r="I186" s="356"/>
      <c r="L186" s="14"/>
      <c r="M186" s="39"/>
    </row>
    <row r="187">
      <c r="A187" s="3"/>
      <c r="B187" s="3"/>
      <c r="I187" s="356"/>
      <c r="L187" s="14"/>
      <c r="M187" s="39"/>
    </row>
    <row r="188">
      <c r="A188" s="3"/>
      <c r="B188" s="3"/>
      <c r="I188" s="356"/>
      <c r="L188" s="14"/>
      <c r="M188" s="39"/>
    </row>
    <row r="189">
      <c r="A189" s="3"/>
      <c r="B189" s="3"/>
      <c r="I189" s="356"/>
      <c r="L189" s="14"/>
      <c r="M189" s="39"/>
    </row>
    <row r="190">
      <c r="A190" s="3"/>
      <c r="B190" s="3"/>
      <c r="I190" s="356"/>
      <c r="L190" s="14"/>
      <c r="M190" s="39"/>
    </row>
    <row r="191">
      <c r="A191" s="3"/>
      <c r="B191" s="3"/>
      <c r="I191" s="356"/>
      <c r="L191" s="14"/>
      <c r="M191" s="39"/>
    </row>
    <row r="192">
      <c r="A192" s="3"/>
      <c r="B192" s="3"/>
      <c r="I192" s="356"/>
      <c r="L192" s="14"/>
      <c r="M192" s="39"/>
    </row>
    <row r="193">
      <c r="A193" s="3"/>
      <c r="B193" s="3"/>
      <c r="I193" s="356"/>
      <c r="L193" s="14"/>
      <c r="M193" s="39"/>
    </row>
    <row r="194">
      <c r="A194" s="3"/>
      <c r="B194" s="3"/>
      <c r="I194" s="356"/>
      <c r="L194" s="14"/>
      <c r="M194" s="39"/>
    </row>
    <row r="195">
      <c r="A195" s="3"/>
      <c r="B195" s="3"/>
      <c r="I195" s="356"/>
      <c r="L195" s="14"/>
      <c r="M195" s="39"/>
    </row>
    <row r="196">
      <c r="A196" s="3"/>
      <c r="B196" s="3"/>
      <c r="I196" s="356"/>
      <c r="L196" s="14"/>
      <c r="M196" s="39"/>
    </row>
    <row r="197">
      <c r="A197" s="3"/>
      <c r="B197" s="3"/>
      <c r="I197" s="356"/>
      <c r="L197" s="14"/>
      <c r="M197" s="39"/>
    </row>
    <row r="198">
      <c r="A198" s="3"/>
      <c r="B198" s="3"/>
      <c r="I198" s="356"/>
      <c r="L198" s="14"/>
      <c r="M198" s="39"/>
    </row>
    <row r="199">
      <c r="A199" s="3"/>
      <c r="B199" s="3"/>
      <c r="I199" s="356"/>
      <c r="L199" s="14"/>
      <c r="M199" s="39"/>
    </row>
    <row r="200">
      <c r="A200" s="3"/>
      <c r="B200" s="3"/>
      <c r="I200" s="356"/>
      <c r="L200" s="14"/>
      <c r="M200" s="39"/>
    </row>
    <row r="201">
      <c r="A201" s="3"/>
      <c r="B201" s="3"/>
      <c r="I201" s="356"/>
      <c r="L201" s="14"/>
      <c r="M201" s="39"/>
    </row>
    <row r="202">
      <c r="A202" s="3"/>
      <c r="B202" s="3"/>
      <c r="I202" s="356"/>
      <c r="L202" s="14"/>
      <c r="M202" s="39"/>
    </row>
    <row r="203">
      <c r="A203" s="3"/>
      <c r="B203" s="3"/>
      <c r="I203" s="356"/>
      <c r="L203" s="14"/>
      <c r="M203" s="39"/>
    </row>
    <row r="204">
      <c r="A204" s="3"/>
      <c r="B204" s="3"/>
      <c r="I204" s="356"/>
      <c r="L204" s="14"/>
      <c r="M204" s="39"/>
    </row>
    <row r="205">
      <c r="A205" s="3"/>
      <c r="B205" s="3"/>
      <c r="I205" s="356"/>
      <c r="L205" s="14"/>
      <c r="M205" s="39"/>
    </row>
    <row r="206">
      <c r="A206" s="3"/>
      <c r="B206" s="3"/>
      <c r="I206" s="356"/>
      <c r="L206" s="14"/>
      <c r="M206" s="39"/>
    </row>
    <row r="207">
      <c r="A207" s="3"/>
      <c r="B207" s="3"/>
      <c r="I207" s="356"/>
      <c r="L207" s="14"/>
      <c r="M207" s="39"/>
    </row>
    <row r="208">
      <c r="A208" s="3"/>
      <c r="B208" s="3"/>
      <c r="I208" s="356"/>
      <c r="L208" s="14"/>
      <c r="M208" s="39"/>
    </row>
    <row r="209">
      <c r="A209" s="3"/>
      <c r="B209" s="3"/>
      <c r="I209" s="356"/>
      <c r="L209" s="14"/>
      <c r="M209" s="39"/>
    </row>
    <row r="210">
      <c r="A210" s="3"/>
      <c r="B210" s="3"/>
      <c r="I210" s="356"/>
      <c r="L210" s="14"/>
      <c r="M210" s="39"/>
    </row>
    <row r="211">
      <c r="A211" s="3"/>
      <c r="B211" s="3"/>
      <c r="I211" s="356"/>
      <c r="L211" s="14"/>
      <c r="M211" s="39"/>
    </row>
    <row r="212">
      <c r="A212" s="3"/>
      <c r="B212" s="3"/>
      <c r="I212" s="356"/>
      <c r="L212" s="14"/>
      <c r="M212" s="39"/>
    </row>
    <row r="213">
      <c r="A213" s="3"/>
      <c r="B213" s="3"/>
      <c r="I213" s="356"/>
      <c r="L213" s="14"/>
      <c r="M213" s="39"/>
    </row>
    <row r="214">
      <c r="A214" s="3"/>
      <c r="B214" s="3"/>
      <c r="I214" s="356"/>
      <c r="L214" s="14"/>
      <c r="M214" s="39"/>
    </row>
    <row r="215">
      <c r="A215" s="3"/>
      <c r="B215" s="3"/>
      <c r="I215" s="356"/>
      <c r="L215" s="14"/>
      <c r="M215" s="39"/>
    </row>
    <row r="216">
      <c r="A216" s="3"/>
      <c r="B216" s="3"/>
      <c r="I216" s="356"/>
      <c r="L216" s="14"/>
      <c r="M216" s="39"/>
    </row>
    <row r="217">
      <c r="A217" s="3"/>
      <c r="B217" s="3"/>
      <c r="I217" s="356"/>
      <c r="L217" s="14"/>
      <c r="M217" s="39"/>
    </row>
    <row r="218">
      <c r="A218" s="3"/>
      <c r="B218" s="3"/>
      <c r="I218" s="356"/>
      <c r="L218" s="14"/>
      <c r="M218" s="39"/>
    </row>
    <row r="219">
      <c r="A219" s="3"/>
      <c r="B219" s="3"/>
      <c r="I219" s="356"/>
      <c r="L219" s="14"/>
      <c r="M219" s="39"/>
    </row>
    <row r="220">
      <c r="A220" s="3"/>
      <c r="B220" s="3"/>
      <c r="I220" s="356"/>
      <c r="L220" s="14"/>
      <c r="M220" s="39"/>
    </row>
    <row r="221">
      <c r="A221" s="3"/>
      <c r="B221" s="3"/>
      <c r="I221" s="356"/>
      <c r="L221" s="14"/>
      <c r="M221" s="39"/>
    </row>
    <row r="222">
      <c r="A222" s="3"/>
      <c r="B222" s="3"/>
      <c r="I222" s="356"/>
      <c r="L222" s="14"/>
      <c r="M222" s="39"/>
    </row>
    <row r="223">
      <c r="A223" s="3"/>
      <c r="B223" s="3"/>
      <c r="I223" s="356"/>
      <c r="L223" s="14"/>
      <c r="M223" s="39"/>
    </row>
    <row r="224">
      <c r="A224" s="3"/>
      <c r="B224" s="3"/>
      <c r="I224" s="356"/>
      <c r="L224" s="14"/>
      <c r="M224" s="39"/>
    </row>
    <row r="225">
      <c r="A225" s="3"/>
      <c r="B225" s="3"/>
      <c r="I225" s="356"/>
      <c r="L225" s="14"/>
      <c r="M225" s="39"/>
    </row>
    <row r="226">
      <c r="A226" s="3"/>
      <c r="B226" s="3"/>
      <c r="I226" s="356"/>
      <c r="L226" s="14"/>
      <c r="M226" s="39"/>
    </row>
    <row r="227">
      <c r="A227" s="3"/>
      <c r="B227" s="3"/>
      <c r="I227" s="356"/>
      <c r="L227" s="14"/>
      <c r="M227" s="39"/>
    </row>
    <row r="228">
      <c r="A228" s="3"/>
      <c r="B228" s="3"/>
      <c r="I228" s="356"/>
      <c r="L228" s="14"/>
      <c r="M228" s="39"/>
    </row>
    <row r="229">
      <c r="A229" s="3"/>
      <c r="B229" s="3"/>
      <c r="I229" s="356"/>
      <c r="L229" s="14"/>
      <c r="M229" s="39"/>
    </row>
    <row r="230">
      <c r="A230" s="3"/>
      <c r="B230" s="3"/>
      <c r="I230" s="356"/>
      <c r="L230" s="14"/>
      <c r="M230" s="39"/>
    </row>
    <row r="231">
      <c r="A231" s="3"/>
      <c r="B231" s="3"/>
      <c r="I231" s="356"/>
      <c r="L231" s="14"/>
      <c r="M231" s="39"/>
    </row>
    <row r="232">
      <c r="A232" s="3"/>
      <c r="B232" s="3"/>
      <c r="I232" s="356"/>
      <c r="L232" s="14"/>
      <c r="M232" s="39"/>
    </row>
    <row r="233">
      <c r="A233" s="3"/>
      <c r="B233" s="3"/>
      <c r="I233" s="356"/>
      <c r="L233" s="14"/>
      <c r="M233" s="39"/>
    </row>
    <row r="234">
      <c r="A234" s="3"/>
      <c r="B234" s="3"/>
      <c r="I234" s="356"/>
      <c r="L234" s="14"/>
      <c r="M234" s="39"/>
    </row>
    <row r="235">
      <c r="A235" s="3"/>
      <c r="B235" s="3"/>
      <c r="I235" s="356"/>
      <c r="L235" s="14"/>
      <c r="M235" s="39"/>
    </row>
    <row r="236">
      <c r="A236" s="3"/>
      <c r="B236" s="3"/>
      <c r="I236" s="356"/>
      <c r="L236" s="14"/>
      <c r="M236" s="39"/>
    </row>
    <row r="237">
      <c r="A237" s="3"/>
      <c r="B237" s="3"/>
      <c r="I237" s="356"/>
      <c r="L237" s="14"/>
      <c r="M237" s="39"/>
    </row>
    <row r="238">
      <c r="A238" s="3"/>
      <c r="B238" s="3"/>
      <c r="I238" s="356"/>
      <c r="L238" s="14"/>
      <c r="M238" s="39"/>
    </row>
    <row r="239">
      <c r="A239" s="3"/>
      <c r="B239" s="3"/>
      <c r="I239" s="356"/>
      <c r="L239" s="14"/>
      <c r="M239" s="39"/>
    </row>
    <row r="240">
      <c r="A240" s="3"/>
      <c r="B240" s="3"/>
      <c r="I240" s="356"/>
      <c r="L240" s="14"/>
      <c r="M240" s="39"/>
    </row>
    <row r="241">
      <c r="A241" s="3"/>
      <c r="B241" s="3"/>
      <c r="I241" s="356"/>
      <c r="L241" s="14"/>
      <c r="M241" s="39"/>
    </row>
    <row r="242">
      <c r="A242" s="3"/>
      <c r="B242" s="3"/>
      <c r="I242" s="356"/>
      <c r="L242" s="14"/>
      <c r="M242" s="39"/>
    </row>
    <row r="243">
      <c r="A243" s="3"/>
      <c r="B243" s="3"/>
      <c r="I243" s="356"/>
      <c r="L243" s="14"/>
      <c r="M243" s="39"/>
    </row>
    <row r="244">
      <c r="A244" s="3"/>
      <c r="B244" s="3"/>
      <c r="I244" s="356"/>
      <c r="L244" s="14"/>
      <c r="M244" s="39"/>
    </row>
    <row r="245">
      <c r="A245" s="3"/>
      <c r="B245" s="3"/>
      <c r="I245" s="356"/>
      <c r="L245" s="14"/>
      <c r="M245" s="39"/>
    </row>
    <row r="246">
      <c r="A246" s="3"/>
      <c r="B246" s="3"/>
      <c r="I246" s="356"/>
      <c r="L246" s="14"/>
      <c r="M246" s="39"/>
    </row>
    <row r="247">
      <c r="A247" s="3"/>
      <c r="B247" s="3"/>
      <c r="I247" s="356"/>
      <c r="L247" s="14"/>
      <c r="M247" s="39"/>
    </row>
    <row r="248">
      <c r="A248" s="3"/>
      <c r="B248" s="3"/>
      <c r="I248" s="356"/>
      <c r="L248" s="14"/>
      <c r="M248" s="14"/>
    </row>
    <row r="249">
      <c r="A249" s="3"/>
      <c r="B249" s="3"/>
      <c r="I249" s="356"/>
      <c r="L249" s="14"/>
      <c r="M249" s="14"/>
    </row>
    <row r="250">
      <c r="A250" s="3"/>
      <c r="B250" s="3"/>
      <c r="I250" s="356"/>
      <c r="L250" s="14"/>
      <c r="M250" s="14"/>
    </row>
    <row r="251">
      <c r="A251" s="3"/>
      <c r="B251" s="3"/>
      <c r="I251" s="356"/>
      <c r="L251" s="14"/>
      <c r="M251" s="14"/>
    </row>
    <row r="252">
      <c r="A252" s="3"/>
      <c r="B252" s="3"/>
      <c r="I252" s="356"/>
      <c r="L252" s="14"/>
      <c r="M252" s="14"/>
    </row>
    <row r="253">
      <c r="A253" s="3"/>
      <c r="B253" s="3"/>
      <c r="I253" s="356"/>
      <c r="L253" s="14"/>
      <c r="M253" s="14"/>
    </row>
    <row r="254">
      <c r="A254" s="3"/>
      <c r="B254" s="3"/>
      <c r="I254" s="356"/>
      <c r="L254" s="14"/>
      <c r="M254" s="14"/>
    </row>
    <row r="255">
      <c r="A255" s="3"/>
      <c r="B255" s="3"/>
      <c r="I255" s="356"/>
      <c r="L255" s="14"/>
      <c r="M255" s="14"/>
    </row>
    <row r="256">
      <c r="A256" s="3"/>
      <c r="B256" s="3"/>
      <c r="I256" s="356"/>
      <c r="L256" s="14"/>
      <c r="M256" s="14"/>
    </row>
    <row r="257">
      <c r="A257" s="3"/>
      <c r="B257" s="3"/>
      <c r="I257" s="356"/>
      <c r="L257" s="14"/>
      <c r="M257" s="14"/>
    </row>
    <row r="258">
      <c r="A258" s="3"/>
      <c r="B258" s="3"/>
      <c r="I258" s="356"/>
      <c r="L258" s="14"/>
      <c r="M258" s="14"/>
    </row>
    <row r="259">
      <c r="A259" s="3"/>
      <c r="B259" s="3"/>
      <c r="I259" s="356"/>
      <c r="L259" s="14"/>
      <c r="M259" s="14"/>
    </row>
    <row r="260">
      <c r="A260" s="3"/>
      <c r="B260" s="3"/>
      <c r="I260" s="356"/>
      <c r="L260" s="14"/>
      <c r="M260" s="14"/>
    </row>
    <row r="261">
      <c r="A261" s="3"/>
      <c r="B261" s="3"/>
      <c r="I261" s="356"/>
      <c r="L261" s="14"/>
      <c r="M261" s="14"/>
    </row>
    <row r="262">
      <c r="A262" s="3"/>
      <c r="B262" s="3"/>
      <c r="I262" s="356"/>
      <c r="L262" s="14"/>
      <c r="M262" s="14"/>
    </row>
    <row r="263">
      <c r="A263" s="3"/>
      <c r="B263" s="3"/>
      <c r="I263" s="356"/>
      <c r="L263" s="14"/>
      <c r="M263" s="14"/>
    </row>
    <row r="264">
      <c r="A264" s="3"/>
      <c r="B264" s="3"/>
      <c r="I264" s="356"/>
      <c r="L264" s="14"/>
      <c r="M264" s="14"/>
    </row>
    <row r="265">
      <c r="A265" s="3"/>
      <c r="B265" s="3"/>
      <c r="I265" s="356"/>
      <c r="L265" s="14"/>
      <c r="M265" s="14"/>
    </row>
    <row r="266">
      <c r="A266" s="3"/>
      <c r="B266" s="3"/>
      <c r="I266" s="356"/>
      <c r="L266" s="14"/>
      <c r="M266" s="14"/>
    </row>
    <row r="267">
      <c r="A267" s="3"/>
      <c r="B267" s="3"/>
      <c r="I267" s="356"/>
      <c r="L267" s="14"/>
      <c r="M267" s="14"/>
    </row>
    <row r="268">
      <c r="A268" s="3"/>
      <c r="B268" s="3"/>
      <c r="I268" s="356"/>
      <c r="L268" s="14"/>
      <c r="M268" s="14"/>
    </row>
    <row r="269">
      <c r="A269" s="3"/>
      <c r="B269" s="3"/>
      <c r="I269" s="356"/>
      <c r="L269" s="14"/>
      <c r="M269" s="14"/>
    </row>
    <row r="270">
      <c r="A270" s="3"/>
      <c r="B270" s="3"/>
      <c r="I270" s="356"/>
      <c r="L270" s="14"/>
      <c r="M270" s="14"/>
    </row>
    <row r="271">
      <c r="A271" s="3"/>
      <c r="B271" s="3"/>
      <c r="I271" s="356"/>
      <c r="L271" s="14"/>
      <c r="M271" s="14"/>
    </row>
    <row r="272">
      <c r="A272" s="3"/>
      <c r="B272" s="3"/>
      <c r="I272" s="356"/>
      <c r="L272" s="14"/>
      <c r="M272" s="14"/>
    </row>
    <row r="273">
      <c r="A273" s="3"/>
      <c r="B273" s="3"/>
      <c r="I273" s="356"/>
      <c r="L273" s="14"/>
      <c r="M273" s="14"/>
    </row>
    <row r="274">
      <c r="A274" s="3"/>
      <c r="B274" s="3"/>
      <c r="I274" s="356"/>
      <c r="L274" s="14"/>
      <c r="M274" s="14"/>
    </row>
    <row r="275">
      <c r="A275" s="3"/>
      <c r="B275" s="3"/>
      <c r="I275" s="356"/>
      <c r="L275" s="14"/>
      <c r="M275" s="14"/>
    </row>
    <row r="276">
      <c r="A276" s="3"/>
      <c r="B276" s="3"/>
      <c r="I276" s="356"/>
      <c r="L276" s="14"/>
      <c r="M276" s="14"/>
    </row>
    <row r="277">
      <c r="A277" s="3"/>
      <c r="B277" s="3"/>
      <c r="I277" s="356"/>
      <c r="L277" s="14"/>
      <c r="M277" s="14"/>
    </row>
    <row r="278">
      <c r="A278" s="3"/>
      <c r="B278" s="3"/>
      <c r="I278" s="356"/>
      <c r="L278" s="14"/>
      <c r="M278" s="14"/>
    </row>
    <row r="279">
      <c r="A279" s="3"/>
      <c r="B279" s="3"/>
      <c r="I279" s="356"/>
      <c r="L279" s="14"/>
      <c r="M279" s="14"/>
    </row>
    <row r="280">
      <c r="A280" s="3"/>
      <c r="B280" s="3"/>
      <c r="I280" s="356"/>
      <c r="L280" s="14"/>
      <c r="M280" s="14"/>
    </row>
    <row r="281">
      <c r="A281" s="3"/>
      <c r="B281" s="3"/>
      <c r="I281" s="356"/>
      <c r="L281" s="14"/>
      <c r="M281" s="14"/>
    </row>
    <row r="282">
      <c r="A282" s="3"/>
      <c r="B282" s="3"/>
      <c r="I282" s="356"/>
      <c r="L282" s="14"/>
      <c r="M282" s="14"/>
    </row>
    <row r="283">
      <c r="A283" s="3"/>
      <c r="B283" s="3"/>
      <c r="I283" s="356"/>
      <c r="L283" s="14"/>
      <c r="M283" s="14"/>
    </row>
    <row r="284">
      <c r="A284" s="3"/>
      <c r="B284" s="3"/>
      <c r="I284" s="356"/>
      <c r="L284" s="14"/>
      <c r="M284" s="14"/>
    </row>
    <row r="285">
      <c r="A285" s="3"/>
      <c r="B285" s="3"/>
      <c r="I285" s="356"/>
      <c r="L285" s="14"/>
      <c r="M285" s="14"/>
    </row>
    <row r="286">
      <c r="A286" s="3"/>
      <c r="B286" s="3"/>
      <c r="I286" s="356"/>
      <c r="L286" s="14"/>
      <c r="M286" s="14"/>
    </row>
    <row r="287">
      <c r="A287" s="3"/>
      <c r="B287" s="3"/>
      <c r="I287" s="356"/>
      <c r="L287" s="14"/>
      <c r="M287" s="14"/>
    </row>
    <row r="288">
      <c r="A288" s="3"/>
      <c r="B288" s="3"/>
      <c r="I288" s="356"/>
      <c r="L288" s="14"/>
      <c r="M288" s="14"/>
    </row>
    <row r="289">
      <c r="A289" s="3"/>
      <c r="B289" s="3"/>
      <c r="I289" s="356"/>
      <c r="L289" s="14"/>
      <c r="M289" s="14"/>
    </row>
    <row r="290">
      <c r="A290" s="3"/>
      <c r="B290" s="3"/>
      <c r="I290" s="356"/>
      <c r="L290" s="14"/>
      <c r="M290" s="14"/>
    </row>
    <row r="291">
      <c r="A291" s="3"/>
      <c r="B291" s="3"/>
      <c r="I291" s="356"/>
      <c r="L291" s="14"/>
      <c r="M291" s="14"/>
    </row>
    <row r="292">
      <c r="A292" s="3"/>
      <c r="B292" s="3"/>
      <c r="I292" s="356"/>
      <c r="L292" s="14"/>
      <c r="M292" s="14"/>
    </row>
    <row r="293">
      <c r="A293" s="3"/>
      <c r="B293" s="3"/>
      <c r="I293" s="356"/>
      <c r="L293" s="14"/>
      <c r="M293" s="14"/>
    </row>
    <row r="294">
      <c r="A294" s="3"/>
      <c r="B294" s="3"/>
      <c r="I294" s="356"/>
      <c r="L294" s="14"/>
      <c r="M294" s="14"/>
    </row>
    <row r="295">
      <c r="A295" s="3"/>
      <c r="B295" s="3"/>
      <c r="I295" s="356"/>
      <c r="L295" s="14"/>
      <c r="M295" s="14"/>
    </row>
    <row r="296">
      <c r="A296" s="3"/>
      <c r="B296" s="3"/>
      <c r="I296" s="356"/>
      <c r="L296" s="14"/>
      <c r="M296" s="14"/>
    </row>
    <row r="297">
      <c r="A297" s="3"/>
      <c r="B297" s="3"/>
      <c r="I297" s="356"/>
      <c r="L297" s="14"/>
      <c r="M297" s="14"/>
    </row>
    <row r="298">
      <c r="A298" s="3"/>
      <c r="B298" s="3"/>
      <c r="I298" s="356"/>
      <c r="L298" s="14"/>
      <c r="M298" s="14"/>
    </row>
    <row r="299">
      <c r="A299" s="3"/>
      <c r="B299" s="3"/>
      <c r="I299" s="356"/>
      <c r="L299" s="14"/>
      <c r="M299" s="14"/>
    </row>
    <row r="300">
      <c r="A300" s="3"/>
      <c r="B300" s="3"/>
      <c r="I300" s="356"/>
      <c r="L300" s="14"/>
      <c r="M300" s="14"/>
    </row>
    <row r="301">
      <c r="A301" s="3"/>
      <c r="B301" s="3"/>
      <c r="I301" s="356"/>
      <c r="L301" s="14"/>
      <c r="M301" s="14"/>
    </row>
    <row r="302">
      <c r="A302" s="3"/>
      <c r="B302" s="3"/>
      <c r="I302" s="356"/>
      <c r="L302" s="14"/>
      <c r="M302" s="14"/>
    </row>
    <row r="303">
      <c r="A303" s="3"/>
      <c r="B303" s="3"/>
      <c r="I303" s="356"/>
      <c r="L303" s="14"/>
      <c r="M303" s="14"/>
    </row>
    <row r="304">
      <c r="A304" s="3"/>
      <c r="B304" s="3"/>
      <c r="I304" s="356"/>
      <c r="L304" s="14"/>
      <c r="M304" s="14"/>
    </row>
    <row r="305">
      <c r="A305" s="3"/>
      <c r="B305" s="3"/>
      <c r="I305" s="356"/>
      <c r="L305" s="14"/>
      <c r="M305" s="14"/>
    </row>
    <row r="306">
      <c r="A306" s="3"/>
      <c r="B306" s="3"/>
      <c r="I306" s="356"/>
      <c r="L306" s="14"/>
      <c r="M306" s="14"/>
    </row>
    <row r="307">
      <c r="A307" s="3"/>
      <c r="B307" s="3"/>
      <c r="I307" s="356"/>
      <c r="L307" s="14"/>
      <c r="M307" s="14"/>
    </row>
    <row r="308">
      <c r="A308" s="3"/>
      <c r="B308" s="3"/>
      <c r="I308" s="356"/>
      <c r="L308" s="14"/>
      <c r="M308" s="14"/>
    </row>
    <row r="309">
      <c r="A309" s="3"/>
      <c r="B309" s="3"/>
      <c r="I309" s="356"/>
      <c r="L309" s="14"/>
      <c r="M309" s="14"/>
    </row>
    <row r="310">
      <c r="A310" s="3"/>
      <c r="B310" s="3"/>
      <c r="I310" s="356"/>
      <c r="L310" s="14"/>
      <c r="M310" s="14"/>
    </row>
    <row r="311">
      <c r="A311" s="3"/>
      <c r="B311" s="3"/>
      <c r="I311" s="356"/>
      <c r="L311" s="14"/>
      <c r="M311" s="14"/>
    </row>
    <row r="312">
      <c r="A312" s="3"/>
      <c r="B312" s="3"/>
      <c r="I312" s="356"/>
      <c r="L312" s="14"/>
      <c r="M312" s="14"/>
    </row>
    <row r="313">
      <c r="A313" s="3"/>
      <c r="B313" s="3"/>
      <c r="I313" s="356"/>
      <c r="L313" s="14"/>
      <c r="M313" s="14"/>
    </row>
    <row r="314">
      <c r="A314" s="3"/>
      <c r="B314" s="3"/>
      <c r="I314" s="356"/>
      <c r="L314" s="14"/>
      <c r="M314" s="14"/>
    </row>
    <row r="315">
      <c r="A315" s="3"/>
      <c r="B315" s="3"/>
      <c r="I315" s="356"/>
      <c r="L315" s="14"/>
      <c r="M315" s="14"/>
    </row>
    <row r="316">
      <c r="A316" s="3"/>
      <c r="B316" s="3"/>
      <c r="I316" s="356"/>
      <c r="L316" s="14"/>
      <c r="M316" s="14"/>
    </row>
    <row r="317">
      <c r="A317" s="3"/>
      <c r="B317" s="3"/>
      <c r="I317" s="356"/>
      <c r="L317" s="14"/>
      <c r="M317" s="14"/>
    </row>
    <row r="318">
      <c r="A318" s="3"/>
      <c r="B318" s="3"/>
      <c r="I318" s="356"/>
      <c r="L318" s="14"/>
      <c r="M318" s="14"/>
    </row>
    <row r="319">
      <c r="A319" s="3"/>
      <c r="B319" s="3"/>
      <c r="I319" s="356"/>
      <c r="L319" s="14"/>
      <c r="M319" s="14"/>
    </row>
    <row r="320">
      <c r="A320" s="3"/>
      <c r="B320" s="3"/>
      <c r="I320" s="356"/>
      <c r="L320" s="14"/>
      <c r="M320" s="14"/>
    </row>
    <row r="321">
      <c r="A321" s="3"/>
      <c r="B321" s="3"/>
      <c r="I321" s="356"/>
      <c r="L321" s="14"/>
      <c r="M321" s="14"/>
    </row>
    <row r="322">
      <c r="A322" s="3"/>
      <c r="B322" s="3"/>
      <c r="I322" s="356"/>
      <c r="L322" s="14"/>
      <c r="M322" s="14"/>
    </row>
    <row r="323">
      <c r="A323" s="3"/>
      <c r="B323" s="3"/>
      <c r="I323" s="356"/>
      <c r="L323" s="14"/>
      <c r="M323" s="14"/>
    </row>
    <row r="324">
      <c r="A324" s="3"/>
      <c r="B324" s="3"/>
      <c r="I324" s="356"/>
      <c r="L324" s="14"/>
      <c r="M324" s="14"/>
    </row>
    <row r="325">
      <c r="A325" s="3"/>
      <c r="B325" s="3"/>
      <c r="I325" s="356"/>
      <c r="L325" s="14"/>
      <c r="M325" s="14"/>
    </row>
    <row r="326">
      <c r="A326" s="3"/>
      <c r="B326" s="3"/>
      <c r="I326" s="356"/>
      <c r="L326" s="14"/>
      <c r="M326" s="14"/>
    </row>
    <row r="327">
      <c r="A327" s="3"/>
      <c r="B327" s="3"/>
      <c r="I327" s="356"/>
      <c r="L327" s="14"/>
      <c r="M327" s="14"/>
    </row>
    <row r="328">
      <c r="A328" s="3"/>
      <c r="B328" s="3"/>
      <c r="I328" s="356"/>
      <c r="L328" s="14"/>
      <c r="M328" s="14"/>
    </row>
    <row r="329">
      <c r="A329" s="3"/>
      <c r="B329" s="3"/>
      <c r="I329" s="356"/>
      <c r="L329" s="14"/>
      <c r="M329" s="14"/>
    </row>
    <row r="330">
      <c r="A330" s="3"/>
      <c r="B330" s="3"/>
      <c r="I330" s="356"/>
      <c r="L330" s="14"/>
      <c r="M330" s="14"/>
    </row>
    <row r="331">
      <c r="A331" s="3"/>
      <c r="B331" s="3"/>
      <c r="I331" s="356"/>
      <c r="L331" s="14"/>
      <c r="M331" s="14"/>
    </row>
    <row r="332">
      <c r="A332" s="3"/>
      <c r="B332" s="3"/>
      <c r="I332" s="356"/>
      <c r="L332" s="14"/>
      <c r="M332" s="14"/>
    </row>
    <row r="333">
      <c r="A333" s="3"/>
      <c r="B333" s="3"/>
      <c r="I333" s="356"/>
      <c r="L333" s="14"/>
      <c r="M333" s="14"/>
    </row>
    <row r="334">
      <c r="A334" s="3"/>
      <c r="B334" s="3"/>
      <c r="I334" s="356"/>
      <c r="L334" s="14"/>
      <c r="M334" s="14"/>
    </row>
    <row r="335">
      <c r="A335" s="3"/>
      <c r="B335" s="3"/>
      <c r="I335" s="356"/>
      <c r="L335" s="14"/>
      <c r="M335" s="14"/>
    </row>
    <row r="336">
      <c r="A336" s="3"/>
      <c r="B336" s="3"/>
      <c r="I336" s="356"/>
      <c r="L336" s="14"/>
      <c r="M336" s="14"/>
    </row>
    <row r="337">
      <c r="A337" s="3"/>
      <c r="B337" s="3"/>
      <c r="I337" s="356"/>
      <c r="L337" s="14"/>
      <c r="M337" s="14"/>
    </row>
    <row r="338">
      <c r="A338" s="3"/>
      <c r="B338" s="3"/>
      <c r="I338" s="356"/>
      <c r="L338" s="14"/>
      <c r="M338" s="14"/>
    </row>
    <row r="339">
      <c r="A339" s="3"/>
      <c r="B339" s="3"/>
      <c r="I339" s="356"/>
      <c r="L339" s="14"/>
      <c r="M339" s="14"/>
    </row>
    <row r="340">
      <c r="A340" s="3"/>
      <c r="B340" s="3"/>
      <c r="I340" s="356"/>
      <c r="L340" s="14"/>
      <c r="M340" s="14"/>
    </row>
    <row r="341">
      <c r="A341" s="3"/>
      <c r="B341" s="3"/>
      <c r="I341" s="356"/>
      <c r="L341" s="14"/>
      <c r="M341" s="14"/>
    </row>
    <row r="342">
      <c r="A342" s="3"/>
      <c r="B342" s="3"/>
      <c r="I342" s="356"/>
      <c r="L342" s="14"/>
      <c r="M342" s="14"/>
    </row>
    <row r="343">
      <c r="A343" s="3"/>
      <c r="B343" s="3"/>
      <c r="I343" s="356"/>
      <c r="L343" s="14"/>
      <c r="M343" s="14"/>
    </row>
    <row r="344">
      <c r="A344" s="3"/>
      <c r="B344" s="3"/>
      <c r="I344" s="356"/>
      <c r="L344" s="14"/>
      <c r="M344" s="14"/>
    </row>
    <row r="345">
      <c r="A345" s="3"/>
      <c r="B345" s="3"/>
      <c r="I345" s="356"/>
      <c r="L345" s="14"/>
      <c r="M345" s="14"/>
    </row>
    <row r="346">
      <c r="A346" s="3"/>
      <c r="B346" s="3"/>
      <c r="I346" s="356"/>
      <c r="L346" s="14"/>
      <c r="M346" s="14"/>
    </row>
    <row r="347">
      <c r="A347" s="3"/>
      <c r="B347" s="3"/>
      <c r="I347" s="356"/>
      <c r="L347" s="14"/>
      <c r="M347" s="14"/>
    </row>
    <row r="348">
      <c r="A348" s="3"/>
      <c r="B348" s="3"/>
      <c r="I348" s="356"/>
      <c r="L348" s="14"/>
      <c r="M348" s="14"/>
    </row>
    <row r="349">
      <c r="A349" s="3"/>
      <c r="B349" s="3"/>
      <c r="I349" s="356"/>
      <c r="L349" s="14"/>
      <c r="M349" s="14"/>
    </row>
    <row r="350">
      <c r="A350" s="3"/>
      <c r="B350" s="3"/>
      <c r="I350" s="356"/>
      <c r="L350" s="14"/>
      <c r="M350" s="14"/>
    </row>
    <row r="351">
      <c r="A351" s="3"/>
      <c r="B351" s="3"/>
      <c r="I351" s="356"/>
      <c r="L351" s="14"/>
      <c r="M351" s="14"/>
    </row>
    <row r="352">
      <c r="A352" s="3"/>
      <c r="B352" s="3"/>
      <c r="I352" s="356"/>
      <c r="L352" s="14"/>
      <c r="M352" s="14"/>
    </row>
    <row r="353">
      <c r="A353" s="3"/>
      <c r="B353" s="3"/>
      <c r="I353" s="356"/>
      <c r="L353" s="14"/>
      <c r="M353" s="14"/>
    </row>
    <row r="354">
      <c r="A354" s="3"/>
      <c r="B354" s="3"/>
      <c r="I354" s="356"/>
      <c r="L354" s="14"/>
      <c r="M354" s="14"/>
    </row>
    <row r="355">
      <c r="A355" s="3"/>
      <c r="B355" s="3"/>
      <c r="I355" s="356"/>
      <c r="L355" s="14"/>
      <c r="M355" s="14"/>
    </row>
    <row r="356">
      <c r="A356" s="3"/>
      <c r="B356" s="3"/>
      <c r="I356" s="356"/>
      <c r="L356" s="14"/>
      <c r="M356" s="14"/>
    </row>
    <row r="357">
      <c r="A357" s="3"/>
      <c r="B357" s="3"/>
      <c r="I357" s="356"/>
      <c r="L357" s="14"/>
      <c r="M357" s="14"/>
    </row>
    <row r="358">
      <c r="A358" s="3"/>
      <c r="B358" s="3"/>
      <c r="I358" s="356"/>
      <c r="L358" s="14"/>
      <c r="M358" s="14"/>
    </row>
    <row r="359">
      <c r="A359" s="3"/>
      <c r="B359" s="3"/>
      <c r="I359" s="356"/>
      <c r="L359" s="14"/>
      <c r="M359" s="14"/>
    </row>
    <row r="360">
      <c r="A360" s="3"/>
      <c r="B360" s="3"/>
      <c r="I360" s="356"/>
      <c r="L360" s="14"/>
      <c r="M360" s="14"/>
    </row>
    <row r="361">
      <c r="A361" s="3"/>
      <c r="B361" s="3"/>
      <c r="I361" s="356"/>
      <c r="L361" s="14"/>
      <c r="M361" s="14"/>
    </row>
    <row r="362">
      <c r="A362" s="3"/>
      <c r="B362" s="3"/>
      <c r="I362" s="356"/>
      <c r="L362" s="14"/>
      <c r="M362" s="14"/>
    </row>
    <row r="363">
      <c r="A363" s="3"/>
      <c r="B363" s="3"/>
      <c r="I363" s="356"/>
      <c r="L363" s="14"/>
      <c r="M363" s="14"/>
    </row>
    <row r="364">
      <c r="A364" s="3"/>
      <c r="B364" s="3"/>
      <c r="I364" s="356"/>
      <c r="L364" s="14"/>
      <c r="M364" s="14"/>
    </row>
    <row r="365">
      <c r="A365" s="3"/>
      <c r="B365" s="3"/>
      <c r="I365" s="356"/>
      <c r="L365" s="14"/>
      <c r="M365" s="14"/>
    </row>
    <row r="366">
      <c r="A366" s="3"/>
      <c r="B366" s="3"/>
      <c r="I366" s="356"/>
      <c r="L366" s="14"/>
      <c r="M366" s="14"/>
    </row>
    <row r="367">
      <c r="A367" s="3"/>
      <c r="B367" s="3"/>
      <c r="I367" s="356"/>
      <c r="L367" s="14"/>
      <c r="M367" s="14"/>
    </row>
    <row r="368">
      <c r="A368" s="3"/>
      <c r="B368" s="3"/>
      <c r="I368" s="356"/>
      <c r="L368" s="14"/>
      <c r="M368" s="14"/>
    </row>
    <row r="369">
      <c r="A369" s="3"/>
      <c r="B369" s="3"/>
      <c r="I369" s="356"/>
      <c r="L369" s="14"/>
      <c r="M369" s="14"/>
    </row>
    <row r="370">
      <c r="A370" s="3"/>
      <c r="B370" s="3"/>
      <c r="I370" s="356"/>
      <c r="L370" s="14"/>
      <c r="M370" s="14"/>
    </row>
    <row r="371">
      <c r="A371" s="3"/>
      <c r="B371" s="3"/>
      <c r="I371" s="356"/>
      <c r="L371" s="14"/>
      <c r="M371" s="14"/>
    </row>
    <row r="372">
      <c r="A372" s="3"/>
      <c r="B372" s="3"/>
      <c r="I372" s="356"/>
      <c r="L372" s="14"/>
      <c r="M372" s="14"/>
    </row>
    <row r="373">
      <c r="A373" s="3"/>
      <c r="B373" s="3"/>
      <c r="I373" s="356"/>
      <c r="L373" s="14"/>
      <c r="M373" s="14"/>
    </row>
    <row r="374">
      <c r="A374" s="3"/>
      <c r="B374" s="3"/>
      <c r="I374" s="356"/>
      <c r="L374" s="14"/>
      <c r="M374" s="14"/>
    </row>
    <row r="375">
      <c r="A375" s="3"/>
      <c r="B375" s="3"/>
      <c r="I375" s="356"/>
      <c r="L375" s="14"/>
      <c r="M375" s="14"/>
    </row>
    <row r="376">
      <c r="A376" s="3"/>
      <c r="B376" s="3"/>
      <c r="I376" s="356"/>
      <c r="L376" s="14"/>
      <c r="M376" s="14"/>
    </row>
    <row r="377">
      <c r="A377" s="3"/>
      <c r="B377" s="3"/>
      <c r="I377" s="356"/>
      <c r="L377" s="14"/>
      <c r="M377" s="14"/>
    </row>
    <row r="378">
      <c r="A378" s="3"/>
      <c r="B378" s="3"/>
      <c r="I378" s="356"/>
      <c r="L378" s="14"/>
      <c r="M378" s="14"/>
    </row>
    <row r="379">
      <c r="A379" s="3"/>
      <c r="B379" s="3"/>
      <c r="I379" s="356"/>
      <c r="L379" s="14"/>
      <c r="M379" s="14"/>
    </row>
    <row r="380">
      <c r="A380" s="3"/>
      <c r="B380" s="3"/>
      <c r="I380" s="356"/>
      <c r="L380" s="14"/>
      <c r="M380" s="14"/>
    </row>
    <row r="381">
      <c r="A381" s="3"/>
      <c r="B381" s="3"/>
      <c r="I381" s="356"/>
      <c r="L381" s="14"/>
      <c r="M381" s="14"/>
    </row>
    <row r="382">
      <c r="A382" s="3"/>
      <c r="B382" s="3"/>
      <c r="I382" s="356"/>
      <c r="L382" s="14"/>
      <c r="M382" s="14"/>
    </row>
    <row r="383">
      <c r="A383" s="3"/>
      <c r="B383" s="3"/>
      <c r="I383" s="356"/>
      <c r="L383" s="14"/>
      <c r="M383" s="14"/>
    </row>
    <row r="384">
      <c r="A384" s="3"/>
      <c r="B384" s="3"/>
      <c r="I384" s="356"/>
      <c r="L384" s="14"/>
      <c r="M384" s="14"/>
    </row>
    <row r="385">
      <c r="A385" s="3"/>
      <c r="B385" s="3"/>
      <c r="I385" s="356"/>
      <c r="L385" s="14"/>
      <c r="M385" s="14"/>
    </row>
    <row r="386">
      <c r="A386" s="3"/>
      <c r="B386" s="3"/>
      <c r="I386" s="356"/>
      <c r="L386" s="14"/>
      <c r="M386" s="14"/>
    </row>
    <row r="387">
      <c r="A387" s="3"/>
      <c r="B387" s="3"/>
      <c r="I387" s="356"/>
      <c r="L387" s="14"/>
      <c r="M387" s="14"/>
    </row>
    <row r="388">
      <c r="A388" s="3"/>
      <c r="B388" s="3"/>
      <c r="I388" s="356"/>
      <c r="L388" s="14"/>
      <c r="M388" s="14"/>
    </row>
    <row r="389">
      <c r="A389" s="3"/>
      <c r="B389" s="3"/>
      <c r="I389" s="356"/>
      <c r="L389" s="14"/>
      <c r="M389" s="14"/>
    </row>
    <row r="390">
      <c r="A390" s="3"/>
      <c r="B390" s="3"/>
      <c r="I390" s="356"/>
      <c r="L390" s="14"/>
      <c r="M390" s="14"/>
    </row>
    <row r="391">
      <c r="A391" s="3"/>
      <c r="B391" s="3"/>
      <c r="I391" s="356"/>
      <c r="L391" s="14"/>
      <c r="M391" s="14"/>
    </row>
    <row r="392">
      <c r="A392" s="3"/>
      <c r="B392" s="3"/>
      <c r="I392" s="356"/>
      <c r="L392" s="14"/>
      <c r="M392" s="14"/>
    </row>
    <row r="393">
      <c r="A393" s="3"/>
      <c r="B393" s="3"/>
      <c r="I393" s="356"/>
      <c r="L393" s="14"/>
      <c r="M393" s="14"/>
    </row>
    <row r="394">
      <c r="A394" s="3"/>
      <c r="B394" s="3"/>
      <c r="I394" s="356"/>
      <c r="L394" s="14"/>
      <c r="M394" s="14"/>
    </row>
    <row r="395">
      <c r="A395" s="3"/>
      <c r="B395" s="3"/>
      <c r="I395" s="356"/>
      <c r="L395" s="14"/>
      <c r="M395" s="14"/>
    </row>
    <row r="396">
      <c r="A396" s="3"/>
      <c r="B396" s="3"/>
      <c r="I396" s="356"/>
      <c r="L396" s="14"/>
      <c r="M396" s="14"/>
    </row>
    <row r="397">
      <c r="A397" s="3"/>
      <c r="B397" s="3"/>
      <c r="I397" s="356"/>
      <c r="L397" s="14"/>
      <c r="M397" s="14"/>
    </row>
    <row r="398">
      <c r="A398" s="3"/>
      <c r="B398" s="3"/>
      <c r="I398" s="356"/>
      <c r="L398" s="14"/>
      <c r="M398" s="14"/>
    </row>
    <row r="399">
      <c r="A399" s="3"/>
      <c r="B399" s="3"/>
      <c r="I399" s="356"/>
      <c r="L399" s="14"/>
      <c r="M399" s="14"/>
    </row>
    <row r="400">
      <c r="A400" s="3"/>
      <c r="B400" s="3"/>
      <c r="I400" s="356"/>
      <c r="L400" s="14"/>
      <c r="M400" s="14"/>
    </row>
    <row r="401">
      <c r="A401" s="3"/>
      <c r="B401" s="3"/>
      <c r="I401" s="356"/>
      <c r="L401" s="14"/>
      <c r="M401" s="14"/>
    </row>
    <row r="402">
      <c r="A402" s="3"/>
      <c r="B402" s="3"/>
      <c r="I402" s="356"/>
      <c r="L402" s="14"/>
      <c r="M402" s="14"/>
    </row>
    <row r="403">
      <c r="A403" s="3"/>
      <c r="B403" s="3"/>
      <c r="I403" s="356"/>
      <c r="L403" s="14"/>
      <c r="M403" s="14"/>
    </row>
    <row r="404">
      <c r="A404" s="3"/>
      <c r="B404" s="3"/>
      <c r="I404" s="356"/>
      <c r="L404" s="14"/>
      <c r="M404" s="14"/>
    </row>
    <row r="405">
      <c r="A405" s="3"/>
      <c r="B405" s="3"/>
      <c r="I405" s="356"/>
      <c r="L405" s="14"/>
      <c r="M405" s="14"/>
    </row>
    <row r="406">
      <c r="A406" s="3"/>
      <c r="B406" s="3"/>
      <c r="I406" s="356"/>
      <c r="L406" s="14"/>
      <c r="M406" s="14"/>
    </row>
    <row r="407">
      <c r="A407" s="3"/>
      <c r="B407" s="3"/>
      <c r="I407" s="356"/>
      <c r="L407" s="14"/>
      <c r="M407" s="14"/>
    </row>
    <row r="408">
      <c r="A408" s="3"/>
      <c r="B408" s="3"/>
      <c r="I408" s="356"/>
      <c r="L408" s="14"/>
      <c r="M408" s="14"/>
    </row>
    <row r="409">
      <c r="A409" s="3"/>
      <c r="B409" s="3"/>
      <c r="I409" s="356"/>
      <c r="L409" s="14"/>
      <c r="M409" s="14"/>
    </row>
    <row r="410">
      <c r="A410" s="3"/>
      <c r="B410" s="3"/>
      <c r="I410" s="356"/>
      <c r="L410" s="14"/>
      <c r="M410" s="14"/>
    </row>
    <row r="411">
      <c r="A411" s="3"/>
      <c r="B411" s="3"/>
      <c r="I411" s="356"/>
      <c r="L411" s="14"/>
      <c r="M411" s="14"/>
    </row>
    <row r="412">
      <c r="A412" s="3"/>
      <c r="B412" s="3"/>
      <c r="I412" s="356"/>
      <c r="L412" s="14"/>
      <c r="M412" s="14"/>
    </row>
    <row r="413">
      <c r="A413" s="3"/>
      <c r="B413" s="3"/>
      <c r="I413" s="356"/>
      <c r="L413" s="14"/>
      <c r="M413" s="14"/>
    </row>
    <row r="414">
      <c r="A414" s="3"/>
      <c r="B414" s="3"/>
      <c r="I414" s="356"/>
      <c r="L414" s="14"/>
      <c r="M414" s="14"/>
    </row>
    <row r="415">
      <c r="A415" s="3"/>
      <c r="B415" s="3"/>
      <c r="I415" s="356"/>
      <c r="L415" s="14"/>
      <c r="M415" s="14"/>
    </row>
    <row r="416">
      <c r="A416" s="3"/>
      <c r="B416" s="3"/>
      <c r="I416" s="356"/>
      <c r="L416" s="14"/>
      <c r="M416" s="14"/>
    </row>
    <row r="417">
      <c r="A417" s="3"/>
      <c r="B417" s="3"/>
      <c r="I417" s="356"/>
      <c r="L417" s="14"/>
      <c r="M417" s="14"/>
    </row>
    <row r="418">
      <c r="A418" s="3"/>
      <c r="B418" s="3"/>
      <c r="I418" s="356"/>
      <c r="L418" s="14"/>
      <c r="M418" s="14"/>
    </row>
    <row r="419">
      <c r="A419" s="3"/>
      <c r="B419" s="3"/>
      <c r="I419" s="356"/>
      <c r="L419" s="14"/>
      <c r="M419" s="14"/>
    </row>
    <row r="420">
      <c r="A420" s="3"/>
      <c r="B420" s="3"/>
      <c r="I420" s="356"/>
      <c r="L420" s="14"/>
      <c r="M420" s="14"/>
    </row>
    <row r="421">
      <c r="A421" s="3"/>
      <c r="B421" s="3"/>
      <c r="I421" s="356"/>
      <c r="L421" s="14"/>
      <c r="M421" s="14"/>
    </row>
    <row r="422">
      <c r="A422" s="3"/>
      <c r="B422" s="3"/>
      <c r="I422" s="356"/>
      <c r="L422" s="14"/>
      <c r="M422" s="14"/>
    </row>
    <row r="423">
      <c r="A423" s="3"/>
      <c r="B423" s="3"/>
      <c r="I423" s="356"/>
      <c r="L423" s="14"/>
      <c r="M423" s="14"/>
    </row>
    <row r="424">
      <c r="A424" s="3"/>
      <c r="B424" s="3"/>
      <c r="I424" s="356"/>
      <c r="L424" s="14"/>
      <c r="M424" s="14"/>
    </row>
    <row r="425">
      <c r="A425" s="3"/>
      <c r="B425" s="3"/>
      <c r="I425" s="356"/>
      <c r="L425" s="14"/>
      <c r="M425" s="14"/>
    </row>
    <row r="426">
      <c r="A426" s="3"/>
      <c r="B426" s="3"/>
      <c r="I426" s="356"/>
      <c r="L426" s="14"/>
      <c r="M426" s="14"/>
    </row>
    <row r="427">
      <c r="A427" s="3"/>
      <c r="B427" s="3"/>
      <c r="I427" s="356"/>
      <c r="L427" s="14"/>
      <c r="M427" s="14"/>
    </row>
    <row r="428">
      <c r="A428" s="3"/>
      <c r="B428" s="3"/>
      <c r="I428" s="356"/>
      <c r="L428" s="14"/>
      <c r="M428" s="14"/>
    </row>
    <row r="429">
      <c r="A429" s="3"/>
      <c r="B429" s="3"/>
      <c r="I429" s="356"/>
      <c r="L429" s="14"/>
      <c r="M429" s="14"/>
    </row>
    <row r="430">
      <c r="A430" s="3"/>
      <c r="B430" s="3"/>
      <c r="I430" s="356"/>
      <c r="L430" s="14"/>
      <c r="M430" s="14"/>
    </row>
    <row r="431">
      <c r="A431" s="3"/>
      <c r="B431" s="3"/>
      <c r="I431" s="356"/>
      <c r="L431" s="14"/>
      <c r="M431" s="14"/>
    </row>
    <row r="432">
      <c r="A432" s="3"/>
      <c r="B432" s="3"/>
      <c r="I432" s="356"/>
      <c r="L432" s="14"/>
      <c r="M432" s="14"/>
    </row>
    <row r="433">
      <c r="A433" s="3"/>
      <c r="B433" s="3"/>
      <c r="I433" s="356"/>
      <c r="L433" s="14"/>
      <c r="M433" s="14"/>
    </row>
    <row r="434">
      <c r="A434" s="3"/>
      <c r="B434" s="3"/>
      <c r="I434" s="356"/>
      <c r="L434" s="14"/>
      <c r="M434" s="14"/>
    </row>
    <row r="435">
      <c r="A435" s="3"/>
      <c r="B435" s="3"/>
      <c r="I435" s="356"/>
      <c r="L435" s="14"/>
      <c r="M435" s="14"/>
    </row>
    <row r="436">
      <c r="A436" s="3"/>
      <c r="B436" s="3"/>
      <c r="I436" s="356"/>
      <c r="L436" s="14"/>
      <c r="M436" s="14"/>
    </row>
    <row r="437">
      <c r="A437" s="3"/>
      <c r="B437" s="3"/>
      <c r="I437" s="356"/>
      <c r="L437" s="14"/>
      <c r="M437" s="14"/>
    </row>
    <row r="438">
      <c r="A438" s="3"/>
      <c r="B438" s="3"/>
      <c r="I438" s="356"/>
      <c r="L438" s="14"/>
      <c r="M438" s="14"/>
    </row>
    <row r="439">
      <c r="A439" s="3"/>
      <c r="B439" s="3"/>
      <c r="I439" s="356"/>
      <c r="L439" s="14"/>
      <c r="M439" s="14"/>
    </row>
    <row r="440">
      <c r="A440" s="3"/>
      <c r="B440" s="3"/>
      <c r="I440" s="356"/>
      <c r="L440" s="14"/>
      <c r="M440" s="14"/>
    </row>
    <row r="441">
      <c r="A441" s="3"/>
      <c r="B441" s="3"/>
      <c r="I441" s="356"/>
      <c r="L441" s="14"/>
      <c r="M441" s="14"/>
    </row>
    <row r="442">
      <c r="A442" s="3"/>
      <c r="B442" s="3"/>
      <c r="I442" s="356"/>
      <c r="L442" s="14"/>
      <c r="M442" s="14"/>
    </row>
    <row r="443">
      <c r="A443" s="3"/>
      <c r="B443" s="3"/>
      <c r="I443" s="356"/>
      <c r="L443" s="14"/>
      <c r="M443" s="14"/>
    </row>
    <row r="444">
      <c r="A444" s="3"/>
      <c r="B444" s="3"/>
      <c r="I444" s="356"/>
      <c r="L444" s="14"/>
      <c r="M444" s="14"/>
    </row>
    <row r="445">
      <c r="A445" s="3"/>
      <c r="B445" s="3"/>
      <c r="I445" s="356"/>
      <c r="L445" s="14"/>
      <c r="M445" s="14"/>
    </row>
    <row r="446">
      <c r="A446" s="3"/>
      <c r="B446" s="3"/>
      <c r="I446" s="356"/>
      <c r="L446" s="14"/>
      <c r="M446" s="14"/>
    </row>
    <row r="447">
      <c r="A447" s="3"/>
      <c r="B447" s="3"/>
      <c r="I447" s="356"/>
      <c r="L447" s="14"/>
      <c r="M447" s="14"/>
    </row>
    <row r="448">
      <c r="A448" s="3"/>
      <c r="B448" s="3"/>
      <c r="I448" s="356"/>
      <c r="L448" s="14"/>
      <c r="M448" s="14"/>
    </row>
    <row r="449">
      <c r="A449" s="3"/>
      <c r="B449" s="3"/>
      <c r="I449" s="356"/>
      <c r="L449" s="14"/>
      <c r="M449" s="14"/>
    </row>
    <row r="450">
      <c r="A450" s="3"/>
      <c r="B450" s="3"/>
      <c r="I450" s="356"/>
      <c r="L450" s="14"/>
      <c r="M450" s="14"/>
    </row>
    <row r="451">
      <c r="A451" s="3"/>
      <c r="B451" s="3"/>
      <c r="I451" s="356"/>
      <c r="L451" s="14"/>
      <c r="M451" s="14"/>
    </row>
    <row r="452">
      <c r="A452" s="3"/>
      <c r="B452" s="3"/>
      <c r="I452" s="356"/>
      <c r="L452" s="14"/>
      <c r="M452" s="14"/>
    </row>
    <row r="453">
      <c r="A453" s="3"/>
      <c r="B453" s="3"/>
      <c r="I453" s="356"/>
      <c r="L453" s="14"/>
      <c r="M453" s="14"/>
    </row>
    <row r="454">
      <c r="A454" s="3"/>
      <c r="B454" s="3"/>
      <c r="I454" s="356"/>
      <c r="L454" s="14"/>
      <c r="M454" s="14"/>
    </row>
    <row r="455">
      <c r="A455" s="3"/>
      <c r="B455" s="3"/>
      <c r="I455" s="356"/>
      <c r="L455" s="14"/>
      <c r="M455" s="14"/>
    </row>
    <row r="456">
      <c r="A456" s="3"/>
      <c r="B456" s="3"/>
      <c r="I456" s="356"/>
      <c r="L456" s="14"/>
      <c r="M456" s="14"/>
    </row>
    <row r="457">
      <c r="A457" s="3"/>
      <c r="B457" s="3"/>
      <c r="I457" s="356"/>
      <c r="L457" s="14"/>
      <c r="M457" s="14"/>
    </row>
    <row r="458">
      <c r="A458" s="3"/>
      <c r="B458" s="3"/>
      <c r="I458" s="356"/>
      <c r="L458" s="14"/>
      <c r="M458" s="14"/>
    </row>
    <row r="459">
      <c r="A459" s="3"/>
      <c r="B459" s="3"/>
      <c r="I459" s="356"/>
      <c r="L459" s="14"/>
      <c r="M459" s="14"/>
    </row>
    <row r="460">
      <c r="A460" s="3"/>
      <c r="B460" s="3"/>
      <c r="I460" s="356"/>
      <c r="L460" s="14"/>
      <c r="M460" s="14"/>
    </row>
    <row r="461">
      <c r="A461" s="3"/>
      <c r="B461" s="3"/>
      <c r="I461" s="356"/>
      <c r="L461" s="14"/>
      <c r="M461" s="14"/>
    </row>
    <row r="462">
      <c r="A462" s="3"/>
      <c r="B462" s="3"/>
      <c r="I462" s="356"/>
      <c r="L462" s="14"/>
      <c r="M462" s="14"/>
    </row>
    <row r="463">
      <c r="A463" s="3"/>
      <c r="B463" s="3"/>
      <c r="I463" s="356"/>
      <c r="L463" s="14"/>
      <c r="M463" s="14"/>
    </row>
    <row r="464">
      <c r="A464" s="3"/>
      <c r="B464" s="3"/>
      <c r="I464" s="356"/>
      <c r="L464" s="14"/>
      <c r="M464" s="14"/>
    </row>
    <row r="465">
      <c r="A465" s="3"/>
      <c r="B465" s="3"/>
      <c r="I465" s="356"/>
      <c r="L465" s="14"/>
      <c r="M465" s="14"/>
    </row>
    <row r="466">
      <c r="A466" s="3"/>
      <c r="B466" s="3"/>
      <c r="I466" s="356"/>
      <c r="L466" s="14"/>
      <c r="M466" s="14"/>
    </row>
    <row r="467">
      <c r="A467" s="3"/>
      <c r="B467" s="3"/>
      <c r="I467" s="356"/>
      <c r="L467" s="14"/>
      <c r="M467" s="14"/>
    </row>
    <row r="468">
      <c r="A468" s="3"/>
      <c r="B468" s="3"/>
      <c r="I468" s="356"/>
      <c r="L468" s="14"/>
      <c r="M468" s="14"/>
    </row>
    <row r="469">
      <c r="A469" s="3"/>
      <c r="B469" s="3"/>
      <c r="I469" s="356"/>
      <c r="L469" s="14"/>
      <c r="M469" s="14"/>
    </row>
    <row r="470">
      <c r="A470" s="3"/>
      <c r="B470" s="3"/>
      <c r="I470" s="356"/>
      <c r="L470" s="14"/>
      <c r="M470" s="14"/>
    </row>
    <row r="471">
      <c r="A471" s="3"/>
      <c r="B471" s="3"/>
      <c r="I471" s="356"/>
      <c r="L471" s="14"/>
      <c r="M471" s="14"/>
    </row>
    <row r="472">
      <c r="A472" s="3"/>
      <c r="B472" s="3"/>
      <c r="I472" s="356"/>
      <c r="L472" s="14"/>
      <c r="M472" s="14"/>
    </row>
    <row r="473">
      <c r="A473" s="3"/>
      <c r="B473" s="3"/>
      <c r="I473" s="356"/>
      <c r="L473" s="14"/>
      <c r="M473" s="14"/>
    </row>
    <row r="474">
      <c r="A474" s="3"/>
      <c r="B474" s="3"/>
      <c r="I474" s="356"/>
      <c r="L474" s="14"/>
      <c r="M474" s="14"/>
    </row>
    <row r="475">
      <c r="A475" s="3"/>
      <c r="B475" s="3"/>
      <c r="I475" s="356"/>
      <c r="L475" s="14"/>
      <c r="M475" s="14"/>
    </row>
    <row r="476">
      <c r="A476" s="3"/>
      <c r="B476" s="3"/>
      <c r="I476" s="356"/>
      <c r="L476" s="14"/>
      <c r="M476" s="14"/>
    </row>
    <row r="477">
      <c r="A477" s="3"/>
      <c r="B477" s="3"/>
      <c r="I477" s="356"/>
      <c r="L477" s="14"/>
      <c r="M477" s="14"/>
    </row>
    <row r="478">
      <c r="A478" s="3"/>
      <c r="B478" s="3"/>
      <c r="I478" s="356"/>
      <c r="L478" s="14"/>
      <c r="M478" s="14"/>
    </row>
    <row r="479">
      <c r="A479" s="3"/>
      <c r="B479" s="3"/>
      <c r="I479" s="356"/>
      <c r="L479" s="14"/>
      <c r="M479" s="14"/>
    </row>
    <row r="480">
      <c r="A480" s="3"/>
      <c r="B480" s="3"/>
      <c r="I480" s="356"/>
      <c r="L480" s="14"/>
      <c r="M480" s="14"/>
    </row>
    <row r="481">
      <c r="A481" s="3"/>
      <c r="B481" s="3"/>
      <c r="I481" s="356"/>
      <c r="L481" s="14"/>
      <c r="M481" s="14"/>
    </row>
    <row r="482">
      <c r="A482" s="3"/>
      <c r="B482" s="3"/>
      <c r="I482" s="356"/>
      <c r="L482" s="14"/>
      <c r="M482" s="14"/>
    </row>
    <row r="483">
      <c r="A483" s="3"/>
      <c r="B483" s="3"/>
      <c r="I483" s="356"/>
      <c r="L483" s="14"/>
      <c r="M483" s="14"/>
    </row>
    <row r="484">
      <c r="A484" s="3"/>
      <c r="B484" s="3"/>
      <c r="I484" s="356"/>
      <c r="L484" s="14"/>
      <c r="M484" s="14"/>
    </row>
    <row r="485">
      <c r="A485" s="3"/>
      <c r="B485" s="3"/>
      <c r="I485" s="356"/>
      <c r="L485" s="14"/>
      <c r="M485" s="14"/>
    </row>
    <row r="486">
      <c r="A486" s="3"/>
      <c r="B486" s="3"/>
      <c r="I486" s="356"/>
      <c r="L486" s="14"/>
      <c r="M486" s="14"/>
    </row>
    <row r="487">
      <c r="A487" s="3"/>
      <c r="B487" s="3"/>
      <c r="I487" s="356"/>
      <c r="L487" s="14"/>
      <c r="M487" s="14"/>
    </row>
    <row r="488">
      <c r="A488" s="3"/>
      <c r="B488" s="3"/>
      <c r="I488" s="356"/>
      <c r="L488" s="14"/>
      <c r="M488" s="14"/>
    </row>
    <row r="489">
      <c r="A489" s="3"/>
      <c r="B489" s="3"/>
      <c r="I489" s="356"/>
      <c r="L489" s="14"/>
      <c r="M489" s="14"/>
    </row>
    <row r="490">
      <c r="A490" s="3"/>
      <c r="B490" s="3"/>
      <c r="I490" s="356"/>
      <c r="L490" s="14"/>
      <c r="M490" s="14"/>
    </row>
    <row r="491">
      <c r="A491" s="3"/>
      <c r="B491" s="3"/>
      <c r="I491" s="356"/>
      <c r="L491" s="14"/>
      <c r="M491" s="14"/>
    </row>
    <row r="492">
      <c r="A492" s="3"/>
      <c r="B492" s="3"/>
      <c r="I492" s="356"/>
      <c r="L492" s="14"/>
      <c r="M492" s="14"/>
    </row>
    <row r="493">
      <c r="A493" s="3"/>
      <c r="B493" s="3"/>
      <c r="I493" s="356"/>
      <c r="L493" s="14"/>
      <c r="M493" s="14"/>
    </row>
    <row r="494">
      <c r="A494" s="3"/>
      <c r="B494" s="3"/>
      <c r="I494" s="356"/>
      <c r="L494" s="14"/>
      <c r="M494" s="14"/>
    </row>
    <row r="495">
      <c r="A495" s="3"/>
      <c r="B495" s="3"/>
      <c r="I495" s="356"/>
      <c r="L495" s="14"/>
      <c r="M495" s="14"/>
    </row>
    <row r="496">
      <c r="A496" s="3"/>
      <c r="B496" s="3"/>
      <c r="I496" s="356"/>
      <c r="L496" s="14"/>
      <c r="M496" s="14"/>
    </row>
    <row r="497">
      <c r="A497" s="3"/>
      <c r="B497" s="3"/>
      <c r="I497" s="356"/>
      <c r="L497" s="14"/>
      <c r="M497" s="14"/>
    </row>
    <row r="498">
      <c r="A498" s="3"/>
      <c r="B498" s="3"/>
      <c r="I498" s="356"/>
      <c r="L498" s="14"/>
      <c r="M498" s="14"/>
    </row>
    <row r="499">
      <c r="A499" s="3"/>
      <c r="B499" s="3"/>
      <c r="I499" s="356"/>
      <c r="L499" s="14"/>
      <c r="M499" s="14"/>
    </row>
    <row r="500">
      <c r="A500" s="3"/>
      <c r="B500" s="3"/>
      <c r="I500" s="356"/>
      <c r="L500" s="14"/>
      <c r="M500" s="14"/>
    </row>
    <row r="501">
      <c r="A501" s="3"/>
      <c r="B501" s="3"/>
      <c r="I501" s="356"/>
      <c r="L501" s="14"/>
      <c r="M501" s="14"/>
    </row>
    <row r="502">
      <c r="A502" s="3"/>
      <c r="B502" s="3"/>
      <c r="I502" s="356"/>
      <c r="L502" s="14"/>
      <c r="M502" s="14"/>
    </row>
    <row r="503">
      <c r="A503" s="3"/>
      <c r="B503" s="3"/>
      <c r="I503" s="356"/>
      <c r="L503" s="14"/>
      <c r="M503" s="14"/>
    </row>
    <row r="504">
      <c r="A504" s="3"/>
      <c r="B504" s="3"/>
      <c r="I504" s="356"/>
      <c r="L504" s="14"/>
      <c r="M504" s="14"/>
    </row>
    <row r="505">
      <c r="A505" s="3"/>
      <c r="B505" s="3"/>
      <c r="I505" s="356"/>
      <c r="L505" s="14"/>
      <c r="M505" s="14"/>
    </row>
    <row r="506">
      <c r="A506" s="3"/>
      <c r="B506" s="3"/>
      <c r="I506" s="356"/>
      <c r="L506" s="14"/>
      <c r="M506" s="14"/>
    </row>
    <row r="507">
      <c r="A507" s="3"/>
      <c r="B507" s="3"/>
      <c r="I507" s="356"/>
      <c r="L507" s="14"/>
      <c r="M507" s="14"/>
    </row>
    <row r="508">
      <c r="A508" s="3"/>
      <c r="B508" s="3"/>
      <c r="I508" s="356"/>
      <c r="L508" s="14"/>
      <c r="M508" s="14"/>
    </row>
    <row r="509">
      <c r="A509" s="3"/>
      <c r="B509" s="3"/>
      <c r="I509" s="356"/>
      <c r="L509" s="14"/>
      <c r="M509" s="14"/>
    </row>
    <row r="510">
      <c r="A510" s="3"/>
      <c r="B510" s="3"/>
      <c r="I510" s="356"/>
      <c r="L510" s="14"/>
      <c r="M510" s="14"/>
    </row>
    <row r="511">
      <c r="A511" s="3"/>
      <c r="B511" s="3"/>
      <c r="I511" s="356"/>
      <c r="L511" s="14"/>
      <c r="M511" s="14"/>
    </row>
    <row r="512">
      <c r="A512" s="3"/>
      <c r="B512" s="3"/>
      <c r="I512" s="356"/>
      <c r="L512" s="14"/>
      <c r="M512" s="14"/>
    </row>
    <row r="513">
      <c r="A513" s="3"/>
      <c r="B513" s="3"/>
      <c r="I513" s="356"/>
      <c r="L513" s="14"/>
      <c r="M513" s="14"/>
    </row>
    <row r="514">
      <c r="A514" s="3"/>
      <c r="B514" s="3"/>
      <c r="I514" s="356"/>
      <c r="L514" s="14"/>
      <c r="M514" s="14"/>
    </row>
    <row r="515">
      <c r="A515" s="3"/>
      <c r="B515" s="3"/>
      <c r="I515" s="356"/>
      <c r="L515" s="14"/>
      <c r="M515" s="14"/>
    </row>
    <row r="516">
      <c r="A516" s="3"/>
      <c r="B516" s="3"/>
      <c r="I516" s="356"/>
      <c r="L516" s="14"/>
      <c r="M516" s="14"/>
    </row>
    <row r="517">
      <c r="A517" s="3"/>
      <c r="B517" s="3"/>
      <c r="I517" s="356"/>
      <c r="L517" s="14"/>
      <c r="M517" s="14"/>
    </row>
    <row r="518">
      <c r="A518" s="3"/>
      <c r="B518" s="3"/>
      <c r="I518" s="356"/>
      <c r="L518" s="14"/>
      <c r="M518" s="14"/>
    </row>
    <row r="519">
      <c r="A519" s="3"/>
      <c r="B519" s="3"/>
      <c r="I519" s="356"/>
      <c r="L519" s="14"/>
      <c r="M519" s="14"/>
    </row>
    <row r="520">
      <c r="A520" s="3"/>
      <c r="B520" s="3"/>
      <c r="I520" s="356"/>
      <c r="L520" s="14"/>
      <c r="M520" s="14"/>
    </row>
    <row r="521">
      <c r="A521" s="3"/>
      <c r="B521" s="3"/>
      <c r="I521" s="356"/>
      <c r="L521" s="14"/>
      <c r="M521" s="14"/>
    </row>
    <row r="522">
      <c r="A522" s="3"/>
      <c r="B522" s="3"/>
      <c r="I522" s="356"/>
      <c r="L522" s="14"/>
      <c r="M522" s="14"/>
    </row>
    <row r="523">
      <c r="A523" s="3"/>
      <c r="B523" s="3"/>
      <c r="I523" s="356"/>
      <c r="L523" s="14"/>
      <c r="M523" s="14"/>
    </row>
    <row r="524">
      <c r="A524" s="3"/>
      <c r="B524" s="3"/>
      <c r="I524" s="356"/>
      <c r="L524" s="14"/>
      <c r="M524" s="14"/>
    </row>
    <row r="525">
      <c r="A525" s="3"/>
      <c r="B525" s="3"/>
      <c r="I525" s="356"/>
      <c r="L525" s="14"/>
      <c r="M525" s="14"/>
    </row>
    <row r="526">
      <c r="A526" s="3"/>
      <c r="B526" s="3"/>
      <c r="I526" s="356"/>
      <c r="L526" s="14"/>
      <c r="M526" s="14"/>
    </row>
    <row r="527">
      <c r="A527" s="3"/>
      <c r="B527" s="3"/>
      <c r="I527" s="356"/>
      <c r="L527" s="14"/>
      <c r="M527" s="14"/>
    </row>
    <row r="528">
      <c r="A528" s="3"/>
      <c r="B528" s="3"/>
      <c r="I528" s="356"/>
      <c r="L528" s="14"/>
      <c r="M528" s="14"/>
    </row>
    <row r="529">
      <c r="A529" s="3"/>
      <c r="B529" s="3"/>
      <c r="I529" s="356"/>
      <c r="L529" s="14"/>
      <c r="M529" s="14"/>
    </row>
    <row r="530">
      <c r="A530" s="3"/>
      <c r="B530" s="3"/>
      <c r="I530" s="356"/>
      <c r="L530" s="14"/>
      <c r="M530" s="14"/>
    </row>
    <row r="531">
      <c r="A531" s="3"/>
      <c r="B531" s="3"/>
      <c r="I531" s="356"/>
      <c r="L531" s="14"/>
      <c r="M531" s="14"/>
    </row>
    <row r="532">
      <c r="A532" s="3"/>
      <c r="B532" s="3"/>
      <c r="I532" s="356"/>
      <c r="L532" s="14"/>
      <c r="M532" s="14"/>
    </row>
    <row r="533">
      <c r="A533" s="3"/>
      <c r="B533" s="3"/>
      <c r="I533" s="356"/>
      <c r="L533" s="14"/>
      <c r="M533" s="14"/>
    </row>
    <row r="534">
      <c r="A534" s="3"/>
      <c r="B534" s="3"/>
      <c r="I534" s="356"/>
      <c r="L534" s="14"/>
      <c r="M534" s="14"/>
    </row>
    <row r="535">
      <c r="A535" s="3"/>
      <c r="B535" s="3"/>
      <c r="I535" s="356"/>
      <c r="L535" s="14"/>
      <c r="M535" s="14"/>
    </row>
    <row r="536">
      <c r="A536" s="3"/>
      <c r="B536" s="3"/>
      <c r="I536" s="356"/>
      <c r="L536" s="14"/>
      <c r="M536" s="14"/>
    </row>
    <row r="537">
      <c r="A537" s="3"/>
      <c r="B537" s="3"/>
      <c r="I537" s="356"/>
      <c r="L537" s="14"/>
      <c r="M537" s="14"/>
    </row>
    <row r="538">
      <c r="A538" s="3"/>
      <c r="B538" s="3"/>
      <c r="I538" s="356"/>
      <c r="L538" s="14"/>
      <c r="M538" s="14"/>
    </row>
    <row r="539">
      <c r="A539" s="3"/>
      <c r="B539" s="3"/>
      <c r="I539" s="356"/>
      <c r="L539" s="14"/>
      <c r="M539" s="14"/>
    </row>
    <row r="540">
      <c r="A540" s="3"/>
      <c r="B540" s="3"/>
      <c r="I540" s="356"/>
      <c r="L540" s="14"/>
      <c r="M540" s="14"/>
    </row>
    <row r="541">
      <c r="A541" s="3"/>
      <c r="B541" s="3"/>
      <c r="I541" s="356"/>
      <c r="L541" s="14"/>
      <c r="M541" s="14"/>
    </row>
    <row r="542">
      <c r="A542" s="3"/>
      <c r="B542" s="3"/>
      <c r="I542" s="356"/>
      <c r="L542" s="14"/>
      <c r="M542" s="14"/>
    </row>
    <row r="543">
      <c r="A543" s="3"/>
      <c r="B543" s="3"/>
      <c r="I543" s="356"/>
      <c r="L543" s="14"/>
      <c r="M543" s="14"/>
    </row>
    <row r="544">
      <c r="A544" s="3"/>
      <c r="B544" s="3"/>
      <c r="I544" s="356"/>
      <c r="L544" s="14"/>
      <c r="M544" s="14"/>
    </row>
    <row r="545">
      <c r="A545" s="3"/>
      <c r="B545" s="3"/>
      <c r="I545" s="356"/>
      <c r="L545" s="14"/>
      <c r="M545" s="14"/>
    </row>
    <row r="546">
      <c r="A546" s="3"/>
      <c r="B546" s="3"/>
      <c r="I546" s="356"/>
      <c r="L546" s="14"/>
      <c r="M546" s="14"/>
    </row>
    <row r="547">
      <c r="A547" s="3"/>
      <c r="B547" s="3"/>
      <c r="I547" s="356"/>
      <c r="L547" s="14"/>
      <c r="M547" s="14"/>
    </row>
    <row r="548">
      <c r="A548" s="3"/>
      <c r="B548" s="3"/>
      <c r="I548" s="356"/>
      <c r="L548" s="14"/>
      <c r="M548" s="14"/>
    </row>
    <row r="549">
      <c r="A549" s="3"/>
      <c r="B549" s="3"/>
      <c r="I549" s="356"/>
      <c r="L549" s="14"/>
      <c r="M549" s="14"/>
    </row>
    <row r="550">
      <c r="A550" s="3"/>
      <c r="B550" s="3"/>
      <c r="I550" s="356"/>
      <c r="L550" s="14"/>
      <c r="M550" s="14"/>
    </row>
    <row r="551">
      <c r="A551" s="3"/>
      <c r="B551" s="3"/>
      <c r="I551" s="356"/>
      <c r="L551" s="14"/>
      <c r="M551" s="14"/>
    </row>
    <row r="552">
      <c r="A552" s="3"/>
      <c r="B552" s="3"/>
      <c r="I552" s="356"/>
      <c r="L552" s="14"/>
      <c r="M552" s="14"/>
    </row>
    <row r="553">
      <c r="A553" s="3"/>
      <c r="B553" s="3"/>
      <c r="I553" s="356"/>
      <c r="L553" s="14"/>
      <c r="M553" s="14"/>
    </row>
    <row r="554">
      <c r="A554" s="3"/>
      <c r="B554" s="3"/>
      <c r="I554" s="356"/>
      <c r="L554" s="14"/>
      <c r="M554" s="14"/>
    </row>
    <row r="555">
      <c r="A555" s="3"/>
      <c r="B555" s="3"/>
      <c r="I555" s="356"/>
      <c r="L555" s="14"/>
      <c r="M555" s="14"/>
    </row>
    <row r="556">
      <c r="A556" s="3"/>
      <c r="B556" s="3"/>
      <c r="I556" s="356"/>
      <c r="L556" s="14"/>
      <c r="M556" s="14"/>
    </row>
    <row r="557">
      <c r="A557" s="3"/>
      <c r="B557" s="3"/>
      <c r="I557" s="356"/>
      <c r="L557" s="14"/>
      <c r="M557" s="14"/>
    </row>
    <row r="558">
      <c r="A558" s="3"/>
      <c r="B558" s="3"/>
      <c r="I558" s="356"/>
      <c r="L558" s="14"/>
      <c r="M558" s="14"/>
    </row>
    <row r="559">
      <c r="A559" s="3"/>
      <c r="B559" s="3"/>
      <c r="I559" s="356"/>
      <c r="L559" s="14"/>
      <c r="M559" s="14"/>
    </row>
    <row r="560">
      <c r="A560" s="3"/>
      <c r="B560" s="3"/>
      <c r="I560" s="356"/>
      <c r="L560" s="14"/>
      <c r="M560" s="14"/>
    </row>
    <row r="561">
      <c r="A561" s="3"/>
      <c r="B561" s="3"/>
      <c r="I561" s="356"/>
      <c r="L561" s="14"/>
      <c r="M561" s="14"/>
    </row>
    <row r="562">
      <c r="A562" s="3"/>
      <c r="B562" s="3"/>
      <c r="I562" s="356"/>
      <c r="L562" s="14"/>
      <c r="M562" s="14"/>
    </row>
    <row r="563">
      <c r="A563" s="3"/>
      <c r="B563" s="3"/>
      <c r="I563" s="356"/>
      <c r="L563" s="14"/>
      <c r="M563" s="14"/>
    </row>
    <row r="564">
      <c r="A564" s="3"/>
      <c r="B564" s="3"/>
      <c r="I564" s="356"/>
      <c r="L564" s="14"/>
      <c r="M564" s="14"/>
    </row>
    <row r="565">
      <c r="A565" s="3"/>
      <c r="B565" s="3"/>
      <c r="I565" s="356"/>
      <c r="L565" s="14"/>
      <c r="M565" s="14"/>
    </row>
    <row r="566">
      <c r="A566" s="3"/>
      <c r="B566" s="3"/>
      <c r="I566" s="356"/>
      <c r="L566" s="14"/>
      <c r="M566" s="14"/>
    </row>
    <row r="567">
      <c r="A567" s="3"/>
      <c r="B567" s="3"/>
      <c r="I567" s="356"/>
      <c r="L567" s="14"/>
      <c r="M567" s="14"/>
    </row>
    <row r="568">
      <c r="A568" s="3"/>
      <c r="B568" s="3"/>
      <c r="I568" s="356"/>
      <c r="L568" s="14"/>
      <c r="M568" s="14"/>
    </row>
    <row r="569">
      <c r="A569" s="3"/>
      <c r="B569" s="3"/>
      <c r="I569" s="356"/>
      <c r="L569" s="14"/>
      <c r="M569" s="14"/>
    </row>
    <row r="570">
      <c r="A570" s="3"/>
      <c r="B570" s="3"/>
      <c r="I570" s="356"/>
      <c r="L570" s="14"/>
      <c r="M570" s="14"/>
    </row>
    <row r="571">
      <c r="A571" s="3"/>
      <c r="B571" s="3"/>
      <c r="I571" s="356"/>
      <c r="L571" s="14"/>
      <c r="M571" s="14"/>
    </row>
    <row r="572">
      <c r="A572" s="3"/>
      <c r="B572" s="3"/>
      <c r="I572" s="356"/>
      <c r="L572" s="14"/>
      <c r="M572" s="14"/>
    </row>
    <row r="573">
      <c r="A573" s="3"/>
      <c r="B573" s="3"/>
      <c r="I573" s="356"/>
      <c r="L573" s="14"/>
      <c r="M573" s="14"/>
    </row>
    <row r="574">
      <c r="A574" s="3"/>
      <c r="B574" s="3"/>
      <c r="I574" s="356"/>
      <c r="L574" s="14"/>
      <c r="M574" s="14"/>
    </row>
    <row r="575">
      <c r="A575" s="3"/>
      <c r="B575" s="3"/>
      <c r="I575" s="356"/>
      <c r="L575" s="14"/>
      <c r="M575" s="14"/>
    </row>
    <row r="576">
      <c r="A576" s="3"/>
      <c r="B576" s="3"/>
      <c r="I576" s="356"/>
      <c r="L576" s="14"/>
      <c r="M576" s="14"/>
    </row>
    <row r="577">
      <c r="A577" s="3"/>
      <c r="B577" s="3"/>
      <c r="I577" s="356"/>
      <c r="L577" s="14"/>
      <c r="M577" s="14"/>
    </row>
    <row r="578">
      <c r="A578" s="3"/>
      <c r="B578" s="3"/>
      <c r="I578" s="356"/>
      <c r="L578" s="14"/>
      <c r="M578" s="14"/>
    </row>
    <row r="579">
      <c r="A579" s="3"/>
      <c r="B579" s="3"/>
      <c r="I579" s="356"/>
      <c r="L579" s="14"/>
      <c r="M579" s="14"/>
    </row>
    <row r="580">
      <c r="A580" s="3"/>
      <c r="B580" s="3"/>
      <c r="I580" s="356"/>
      <c r="L580" s="14"/>
      <c r="M580" s="14"/>
    </row>
    <row r="581">
      <c r="A581" s="3"/>
      <c r="B581" s="3"/>
      <c r="I581" s="356"/>
      <c r="L581" s="14"/>
      <c r="M581" s="14"/>
    </row>
    <row r="582">
      <c r="A582" s="3"/>
      <c r="B582" s="3"/>
      <c r="I582" s="356"/>
      <c r="L582" s="14"/>
      <c r="M582" s="14"/>
    </row>
    <row r="583">
      <c r="A583" s="3"/>
      <c r="B583" s="3"/>
      <c r="I583" s="356"/>
      <c r="L583" s="14"/>
      <c r="M583" s="14"/>
    </row>
    <row r="584">
      <c r="A584" s="3"/>
      <c r="B584" s="3"/>
      <c r="I584" s="356"/>
      <c r="L584" s="14"/>
      <c r="M584" s="14"/>
    </row>
    <row r="585">
      <c r="A585" s="3"/>
      <c r="B585" s="3"/>
      <c r="I585" s="356"/>
      <c r="L585" s="14"/>
      <c r="M585" s="14"/>
    </row>
    <row r="586">
      <c r="A586" s="3"/>
      <c r="B586" s="3"/>
      <c r="I586" s="356"/>
      <c r="L586" s="14"/>
      <c r="M586" s="14"/>
    </row>
    <row r="587">
      <c r="A587" s="3"/>
      <c r="B587" s="3"/>
      <c r="I587" s="356"/>
      <c r="L587" s="14"/>
      <c r="M587" s="14"/>
    </row>
    <row r="588">
      <c r="A588" s="3"/>
      <c r="B588" s="3"/>
      <c r="I588" s="356"/>
      <c r="L588" s="14"/>
      <c r="M588" s="14"/>
    </row>
    <row r="589">
      <c r="A589" s="3"/>
      <c r="B589" s="3"/>
      <c r="I589" s="356"/>
      <c r="L589" s="14"/>
      <c r="M589" s="14"/>
    </row>
    <row r="590">
      <c r="A590" s="3"/>
      <c r="B590" s="3"/>
      <c r="I590" s="356"/>
      <c r="L590" s="14"/>
      <c r="M590" s="14"/>
    </row>
    <row r="591">
      <c r="A591" s="3"/>
      <c r="B591" s="3"/>
      <c r="I591" s="356"/>
      <c r="L591" s="14"/>
      <c r="M591" s="14"/>
    </row>
    <row r="592">
      <c r="A592" s="3"/>
      <c r="B592" s="3"/>
      <c r="I592" s="356"/>
      <c r="L592" s="14"/>
      <c r="M592" s="14"/>
    </row>
    <row r="593">
      <c r="A593" s="3"/>
      <c r="B593" s="3"/>
      <c r="I593" s="356"/>
      <c r="L593" s="14"/>
      <c r="M593" s="14"/>
    </row>
    <row r="594">
      <c r="A594" s="3"/>
      <c r="B594" s="3"/>
      <c r="I594" s="356"/>
      <c r="L594" s="14"/>
      <c r="M594" s="14"/>
    </row>
    <row r="595">
      <c r="A595" s="3"/>
      <c r="B595" s="3"/>
      <c r="I595" s="356"/>
      <c r="L595" s="14"/>
      <c r="M595" s="14"/>
    </row>
    <row r="596">
      <c r="A596" s="3"/>
      <c r="B596" s="3"/>
      <c r="I596" s="356"/>
      <c r="L596" s="14"/>
      <c r="M596" s="14"/>
    </row>
    <row r="597">
      <c r="A597" s="3"/>
      <c r="B597" s="3"/>
      <c r="I597" s="356"/>
      <c r="L597" s="14"/>
      <c r="M597" s="14"/>
    </row>
    <row r="598">
      <c r="A598" s="3"/>
      <c r="B598" s="3"/>
      <c r="I598" s="356"/>
      <c r="L598" s="14"/>
      <c r="M598" s="14"/>
    </row>
    <row r="599">
      <c r="A599" s="3"/>
      <c r="B599" s="3"/>
      <c r="I599" s="356"/>
      <c r="L599" s="14"/>
      <c r="M599" s="14"/>
    </row>
    <row r="600">
      <c r="A600" s="3"/>
      <c r="B600" s="3"/>
      <c r="I600" s="356"/>
      <c r="L600" s="14"/>
      <c r="M600" s="14"/>
    </row>
    <row r="601">
      <c r="A601" s="3"/>
      <c r="B601" s="3"/>
      <c r="I601" s="356"/>
      <c r="L601" s="14"/>
      <c r="M601" s="14"/>
    </row>
    <row r="602">
      <c r="A602" s="3"/>
      <c r="B602" s="3"/>
      <c r="I602" s="356"/>
      <c r="L602" s="14"/>
      <c r="M602" s="14"/>
    </row>
    <row r="603">
      <c r="A603" s="3"/>
      <c r="B603" s="3"/>
      <c r="I603" s="356"/>
      <c r="L603" s="14"/>
      <c r="M603" s="14"/>
    </row>
    <row r="604">
      <c r="A604" s="3"/>
      <c r="B604" s="3"/>
      <c r="I604" s="356"/>
      <c r="L604" s="14"/>
      <c r="M604" s="14"/>
    </row>
    <row r="605">
      <c r="A605" s="3"/>
      <c r="B605" s="3"/>
      <c r="I605" s="356"/>
      <c r="L605" s="14"/>
      <c r="M605" s="14"/>
    </row>
    <row r="606">
      <c r="A606" s="3"/>
      <c r="B606" s="3"/>
      <c r="I606" s="356"/>
      <c r="L606" s="14"/>
      <c r="M606" s="14"/>
    </row>
    <row r="607">
      <c r="A607" s="3"/>
      <c r="B607" s="3"/>
      <c r="I607" s="356"/>
      <c r="L607" s="14"/>
      <c r="M607" s="14"/>
    </row>
    <row r="608">
      <c r="A608" s="3"/>
      <c r="B608" s="3"/>
      <c r="I608" s="356"/>
      <c r="L608" s="14"/>
      <c r="M608" s="14"/>
    </row>
    <row r="609">
      <c r="A609" s="3"/>
      <c r="B609" s="3"/>
      <c r="I609" s="356"/>
      <c r="L609" s="14"/>
      <c r="M609" s="14"/>
    </row>
    <row r="610">
      <c r="A610" s="3"/>
      <c r="B610" s="3"/>
      <c r="I610" s="356"/>
      <c r="L610" s="14"/>
      <c r="M610" s="14"/>
    </row>
    <row r="611">
      <c r="A611" s="3"/>
      <c r="B611" s="3"/>
      <c r="I611" s="356"/>
      <c r="L611" s="14"/>
      <c r="M611" s="14"/>
    </row>
    <row r="612">
      <c r="A612" s="3"/>
      <c r="B612" s="3"/>
      <c r="I612" s="356"/>
      <c r="L612" s="14"/>
      <c r="M612" s="14"/>
    </row>
    <row r="613">
      <c r="A613" s="3"/>
      <c r="B613" s="3"/>
      <c r="I613" s="356"/>
      <c r="L613" s="14"/>
      <c r="M613" s="14"/>
    </row>
    <row r="614">
      <c r="A614" s="3"/>
      <c r="B614" s="3"/>
      <c r="I614" s="356"/>
      <c r="L614" s="14"/>
      <c r="M614" s="14"/>
    </row>
    <row r="615">
      <c r="A615" s="3"/>
      <c r="B615" s="3"/>
      <c r="I615" s="356"/>
      <c r="L615" s="14"/>
      <c r="M615" s="14"/>
    </row>
    <row r="616">
      <c r="A616" s="3"/>
      <c r="B616" s="3"/>
      <c r="I616" s="356"/>
      <c r="L616" s="14"/>
      <c r="M616" s="14"/>
    </row>
    <row r="617">
      <c r="A617" s="3"/>
      <c r="B617" s="3"/>
      <c r="I617" s="356"/>
      <c r="L617" s="14"/>
      <c r="M617" s="14"/>
    </row>
    <row r="618">
      <c r="A618" s="3"/>
      <c r="B618" s="3"/>
      <c r="I618" s="356"/>
      <c r="L618" s="14"/>
      <c r="M618" s="14"/>
    </row>
    <row r="619">
      <c r="A619" s="3"/>
      <c r="B619" s="3"/>
      <c r="I619" s="356"/>
      <c r="L619" s="14"/>
      <c r="M619" s="14"/>
    </row>
    <row r="620">
      <c r="A620" s="3"/>
      <c r="B620" s="3"/>
      <c r="I620" s="356"/>
      <c r="L620" s="14"/>
      <c r="M620" s="14"/>
    </row>
    <row r="621">
      <c r="A621" s="3"/>
      <c r="B621" s="3"/>
      <c r="I621" s="356"/>
      <c r="L621" s="14"/>
      <c r="M621" s="14"/>
    </row>
    <row r="622">
      <c r="A622" s="3"/>
      <c r="B622" s="3"/>
      <c r="I622" s="356"/>
      <c r="L622" s="14"/>
      <c r="M622" s="14"/>
    </row>
    <row r="623">
      <c r="A623" s="3"/>
      <c r="B623" s="3"/>
      <c r="I623" s="356"/>
      <c r="L623" s="14"/>
      <c r="M623" s="14"/>
    </row>
    <row r="624">
      <c r="A624" s="3"/>
      <c r="B624" s="3"/>
      <c r="I624" s="356"/>
      <c r="L624" s="14"/>
      <c r="M624" s="14"/>
    </row>
    <row r="625">
      <c r="A625" s="3"/>
      <c r="B625" s="3"/>
      <c r="I625" s="356"/>
      <c r="L625" s="14"/>
      <c r="M625" s="14"/>
    </row>
    <row r="626">
      <c r="A626" s="3"/>
      <c r="B626" s="3"/>
      <c r="I626" s="356"/>
      <c r="L626" s="14"/>
      <c r="M626" s="14"/>
    </row>
    <row r="627">
      <c r="A627" s="3"/>
      <c r="B627" s="3"/>
      <c r="I627" s="356"/>
      <c r="L627" s="14"/>
      <c r="M627" s="14"/>
    </row>
    <row r="628">
      <c r="A628" s="3"/>
      <c r="B628" s="3"/>
      <c r="I628" s="356"/>
      <c r="L628" s="14"/>
      <c r="M628" s="14"/>
    </row>
    <row r="629">
      <c r="A629" s="3"/>
      <c r="B629" s="3"/>
      <c r="I629" s="356"/>
      <c r="L629" s="14"/>
      <c r="M629" s="14"/>
    </row>
    <row r="630">
      <c r="A630" s="3"/>
      <c r="B630" s="3"/>
      <c r="I630" s="356"/>
      <c r="L630" s="14"/>
      <c r="M630" s="14"/>
    </row>
    <row r="631">
      <c r="A631" s="3"/>
      <c r="B631" s="3"/>
      <c r="I631" s="356"/>
      <c r="L631" s="14"/>
      <c r="M631" s="14"/>
    </row>
    <row r="632">
      <c r="A632" s="3"/>
      <c r="B632" s="3"/>
      <c r="I632" s="356"/>
      <c r="L632" s="14"/>
      <c r="M632" s="14"/>
    </row>
    <row r="633">
      <c r="A633" s="3"/>
      <c r="B633" s="3"/>
      <c r="I633" s="356"/>
      <c r="L633" s="14"/>
      <c r="M633" s="14"/>
    </row>
    <row r="634">
      <c r="A634" s="3"/>
      <c r="B634" s="3"/>
      <c r="I634" s="356"/>
      <c r="L634" s="14"/>
      <c r="M634" s="14"/>
    </row>
    <row r="635">
      <c r="A635" s="3"/>
      <c r="B635" s="3"/>
      <c r="I635" s="356"/>
      <c r="L635" s="14"/>
      <c r="M635" s="14"/>
    </row>
    <row r="636">
      <c r="A636" s="3"/>
      <c r="B636" s="3"/>
      <c r="I636" s="356"/>
      <c r="L636" s="14"/>
      <c r="M636" s="14"/>
    </row>
    <row r="637">
      <c r="A637" s="3"/>
      <c r="B637" s="3"/>
      <c r="I637" s="356"/>
      <c r="L637" s="14"/>
      <c r="M637" s="14"/>
    </row>
    <row r="638">
      <c r="A638" s="3"/>
      <c r="B638" s="3"/>
      <c r="I638" s="356"/>
      <c r="L638" s="14"/>
      <c r="M638" s="14"/>
    </row>
    <row r="639">
      <c r="A639" s="3"/>
      <c r="B639" s="3"/>
      <c r="I639" s="356"/>
      <c r="L639" s="14"/>
      <c r="M639" s="14"/>
    </row>
    <row r="640">
      <c r="A640" s="3"/>
      <c r="B640" s="3"/>
      <c r="I640" s="356"/>
      <c r="L640" s="14"/>
      <c r="M640" s="14"/>
    </row>
    <row r="641">
      <c r="A641" s="3"/>
      <c r="B641" s="3"/>
      <c r="I641" s="356"/>
      <c r="L641" s="14"/>
      <c r="M641" s="14"/>
    </row>
    <row r="642">
      <c r="A642" s="3"/>
      <c r="B642" s="3"/>
      <c r="I642" s="356"/>
      <c r="L642" s="14"/>
      <c r="M642" s="14"/>
    </row>
    <row r="643">
      <c r="A643" s="3"/>
      <c r="B643" s="3"/>
      <c r="I643" s="356"/>
      <c r="L643" s="14"/>
      <c r="M643" s="14"/>
    </row>
    <row r="644">
      <c r="A644" s="3"/>
      <c r="B644" s="3"/>
      <c r="I644" s="356"/>
      <c r="L644" s="14"/>
      <c r="M644" s="14"/>
    </row>
    <row r="645">
      <c r="A645" s="3"/>
      <c r="B645" s="3"/>
      <c r="I645" s="356"/>
      <c r="L645" s="14"/>
      <c r="M645" s="14"/>
    </row>
    <row r="646">
      <c r="A646" s="3"/>
      <c r="B646" s="3"/>
      <c r="I646" s="356"/>
      <c r="L646" s="14"/>
      <c r="M646" s="14"/>
    </row>
    <row r="647">
      <c r="A647" s="3"/>
      <c r="B647" s="3"/>
      <c r="I647" s="356"/>
      <c r="L647" s="14"/>
      <c r="M647" s="14"/>
    </row>
    <row r="648">
      <c r="A648" s="3"/>
      <c r="B648" s="3"/>
      <c r="I648" s="356"/>
      <c r="L648" s="14"/>
      <c r="M648" s="14"/>
    </row>
    <row r="649">
      <c r="A649" s="3"/>
      <c r="B649" s="3"/>
      <c r="I649" s="356"/>
      <c r="L649" s="14"/>
      <c r="M649" s="14"/>
    </row>
    <row r="650">
      <c r="A650" s="3"/>
      <c r="B650" s="3"/>
      <c r="I650" s="356"/>
      <c r="L650" s="14"/>
      <c r="M650" s="14"/>
    </row>
    <row r="651">
      <c r="A651" s="3"/>
      <c r="B651" s="3"/>
      <c r="I651" s="356"/>
      <c r="L651" s="14"/>
      <c r="M651" s="14"/>
    </row>
    <row r="652">
      <c r="A652" s="3"/>
      <c r="B652" s="3"/>
      <c r="I652" s="356"/>
      <c r="L652" s="14"/>
      <c r="M652" s="14"/>
    </row>
    <row r="653">
      <c r="A653" s="3"/>
      <c r="B653" s="3"/>
      <c r="I653" s="356"/>
      <c r="L653" s="14"/>
      <c r="M653" s="14"/>
    </row>
    <row r="654">
      <c r="A654" s="3"/>
      <c r="B654" s="3"/>
      <c r="I654" s="356"/>
      <c r="L654" s="14"/>
      <c r="M654" s="14"/>
    </row>
    <row r="655">
      <c r="A655" s="3"/>
      <c r="B655" s="3"/>
      <c r="I655" s="356"/>
      <c r="L655" s="14"/>
      <c r="M655" s="14"/>
    </row>
    <row r="656">
      <c r="A656" s="3"/>
      <c r="B656" s="3"/>
      <c r="I656" s="356"/>
      <c r="L656" s="14"/>
      <c r="M656" s="14"/>
    </row>
    <row r="657">
      <c r="A657" s="3"/>
      <c r="B657" s="3"/>
      <c r="I657" s="356"/>
      <c r="L657" s="14"/>
      <c r="M657" s="14"/>
    </row>
    <row r="658">
      <c r="A658" s="3"/>
      <c r="B658" s="3"/>
      <c r="I658" s="356"/>
      <c r="L658" s="14"/>
      <c r="M658" s="14"/>
    </row>
    <row r="659">
      <c r="A659" s="3"/>
      <c r="B659" s="3"/>
      <c r="I659" s="356"/>
      <c r="L659" s="14"/>
      <c r="M659" s="14"/>
    </row>
    <row r="660">
      <c r="A660" s="3"/>
      <c r="B660" s="3"/>
      <c r="I660" s="356"/>
      <c r="L660" s="14"/>
      <c r="M660" s="14"/>
    </row>
    <row r="661">
      <c r="A661" s="3"/>
      <c r="B661" s="3"/>
      <c r="I661" s="356"/>
      <c r="L661" s="14"/>
      <c r="M661" s="14"/>
    </row>
    <row r="662">
      <c r="A662" s="3"/>
      <c r="B662" s="3"/>
      <c r="I662" s="356"/>
      <c r="L662" s="14"/>
      <c r="M662" s="14"/>
    </row>
    <row r="663">
      <c r="A663" s="3"/>
      <c r="B663" s="3"/>
      <c r="I663" s="356"/>
      <c r="L663" s="14"/>
      <c r="M663" s="14"/>
    </row>
    <row r="664">
      <c r="A664" s="3"/>
      <c r="B664" s="3"/>
      <c r="I664" s="356"/>
      <c r="L664" s="14"/>
      <c r="M664" s="14"/>
    </row>
    <row r="665">
      <c r="A665" s="3"/>
      <c r="B665" s="3"/>
      <c r="I665" s="356"/>
      <c r="L665" s="14"/>
      <c r="M665" s="14"/>
    </row>
    <row r="666">
      <c r="A666" s="3"/>
      <c r="B666" s="3"/>
      <c r="I666" s="356"/>
      <c r="L666" s="14"/>
      <c r="M666" s="14"/>
    </row>
    <row r="667">
      <c r="A667" s="3"/>
      <c r="B667" s="3"/>
      <c r="I667" s="356"/>
      <c r="L667" s="14"/>
      <c r="M667" s="14"/>
    </row>
    <row r="668">
      <c r="A668" s="3"/>
      <c r="B668" s="3"/>
      <c r="I668" s="356"/>
      <c r="L668" s="14"/>
      <c r="M668" s="14"/>
    </row>
    <row r="669">
      <c r="A669" s="3"/>
      <c r="B669" s="3"/>
      <c r="I669" s="356"/>
      <c r="L669" s="14"/>
      <c r="M669" s="14"/>
    </row>
    <row r="670">
      <c r="A670" s="3"/>
      <c r="B670" s="3"/>
      <c r="I670" s="356"/>
      <c r="L670" s="14"/>
      <c r="M670" s="14"/>
    </row>
    <row r="671">
      <c r="A671" s="3"/>
      <c r="B671" s="3"/>
      <c r="I671" s="356"/>
      <c r="L671" s="14"/>
      <c r="M671" s="14"/>
    </row>
    <row r="672">
      <c r="A672" s="3"/>
      <c r="B672" s="3"/>
      <c r="I672" s="356"/>
      <c r="L672" s="14"/>
      <c r="M672" s="14"/>
    </row>
    <row r="673">
      <c r="A673" s="3"/>
      <c r="B673" s="3"/>
      <c r="I673" s="356"/>
      <c r="L673" s="14"/>
      <c r="M673" s="14"/>
    </row>
    <row r="674">
      <c r="A674" s="3"/>
      <c r="B674" s="3"/>
      <c r="I674" s="356"/>
      <c r="L674" s="14"/>
      <c r="M674" s="14"/>
    </row>
    <row r="675">
      <c r="A675" s="3"/>
      <c r="B675" s="3"/>
      <c r="I675" s="356"/>
      <c r="L675" s="14"/>
      <c r="M675" s="14"/>
    </row>
    <row r="676">
      <c r="A676" s="3"/>
      <c r="B676" s="3"/>
      <c r="I676" s="356"/>
      <c r="L676" s="14"/>
      <c r="M676" s="14"/>
    </row>
    <row r="677">
      <c r="A677" s="3"/>
      <c r="B677" s="3"/>
      <c r="I677" s="356"/>
      <c r="L677" s="14"/>
      <c r="M677" s="14"/>
    </row>
    <row r="678">
      <c r="A678" s="3"/>
      <c r="B678" s="3"/>
      <c r="I678" s="356"/>
      <c r="L678" s="14"/>
      <c r="M678" s="14"/>
    </row>
    <row r="679">
      <c r="A679" s="3"/>
      <c r="B679" s="3"/>
      <c r="I679" s="356"/>
      <c r="L679" s="14"/>
      <c r="M679" s="14"/>
    </row>
    <row r="680">
      <c r="A680" s="3"/>
      <c r="B680" s="3"/>
      <c r="I680" s="356"/>
      <c r="L680" s="14"/>
      <c r="M680" s="14"/>
    </row>
    <row r="681">
      <c r="A681" s="3"/>
      <c r="B681" s="3"/>
      <c r="I681" s="356"/>
      <c r="L681" s="14"/>
      <c r="M681" s="14"/>
    </row>
    <row r="682">
      <c r="A682" s="3"/>
      <c r="B682" s="3"/>
      <c r="I682" s="356"/>
      <c r="L682" s="14"/>
      <c r="M682" s="14"/>
    </row>
    <row r="683">
      <c r="A683" s="3"/>
      <c r="B683" s="3"/>
      <c r="I683" s="356"/>
      <c r="L683" s="14"/>
      <c r="M683" s="14"/>
    </row>
    <row r="684">
      <c r="A684" s="3"/>
      <c r="B684" s="3"/>
      <c r="I684" s="356"/>
      <c r="L684" s="14"/>
      <c r="M684" s="14"/>
    </row>
    <row r="685">
      <c r="A685" s="3"/>
      <c r="B685" s="3"/>
      <c r="I685" s="356"/>
      <c r="L685" s="14"/>
      <c r="M685" s="14"/>
    </row>
    <row r="686">
      <c r="A686" s="3"/>
      <c r="B686" s="3"/>
      <c r="I686" s="356"/>
      <c r="L686" s="14"/>
      <c r="M686" s="14"/>
    </row>
    <row r="687">
      <c r="A687" s="3"/>
      <c r="B687" s="3"/>
      <c r="I687" s="356"/>
      <c r="L687" s="14"/>
      <c r="M687" s="14"/>
    </row>
    <row r="688">
      <c r="A688" s="3"/>
      <c r="B688" s="3"/>
      <c r="I688" s="356"/>
      <c r="L688" s="14"/>
      <c r="M688" s="14"/>
    </row>
    <row r="689">
      <c r="A689" s="3"/>
      <c r="B689" s="3"/>
      <c r="I689" s="356"/>
      <c r="L689" s="14"/>
      <c r="M689" s="14"/>
    </row>
    <row r="690">
      <c r="A690" s="3"/>
      <c r="B690" s="3"/>
      <c r="I690" s="356"/>
      <c r="L690" s="14"/>
      <c r="M690" s="14"/>
    </row>
    <row r="691">
      <c r="A691" s="3"/>
      <c r="B691" s="3"/>
      <c r="I691" s="356"/>
      <c r="L691" s="14"/>
      <c r="M691" s="14"/>
    </row>
    <row r="692">
      <c r="A692" s="3"/>
      <c r="B692" s="3"/>
      <c r="I692" s="356"/>
      <c r="L692" s="14"/>
      <c r="M692" s="14"/>
    </row>
    <row r="693">
      <c r="A693" s="3"/>
      <c r="B693" s="3"/>
      <c r="I693" s="356"/>
      <c r="L693" s="14"/>
      <c r="M693" s="14"/>
    </row>
    <row r="694">
      <c r="A694" s="3"/>
      <c r="B694" s="3"/>
      <c r="I694" s="356"/>
      <c r="L694" s="14"/>
      <c r="M694" s="14"/>
    </row>
    <row r="695">
      <c r="A695" s="3"/>
      <c r="B695" s="3"/>
      <c r="I695" s="356"/>
      <c r="L695" s="14"/>
      <c r="M695" s="14"/>
    </row>
    <row r="696">
      <c r="A696" s="3"/>
      <c r="B696" s="3"/>
      <c r="I696" s="356"/>
      <c r="L696" s="14"/>
      <c r="M696" s="14"/>
    </row>
    <row r="697">
      <c r="A697" s="3"/>
      <c r="B697" s="3"/>
      <c r="I697" s="356"/>
      <c r="L697" s="14"/>
      <c r="M697" s="14"/>
    </row>
    <row r="698">
      <c r="A698" s="3"/>
      <c r="B698" s="3"/>
      <c r="I698" s="356"/>
      <c r="L698" s="14"/>
      <c r="M698" s="14"/>
    </row>
    <row r="699">
      <c r="A699" s="3"/>
      <c r="B699" s="3"/>
      <c r="I699" s="356"/>
      <c r="L699" s="14"/>
      <c r="M699" s="14"/>
    </row>
    <row r="700">
      <c r="A700" s="3"/>
      <c r="B700" s="3"/>
      <c r="I700" s="356"/>
      <c r="L700" s="14"/>
      <c r="M700" s="14"/>
    </row>
    <row r="701">
      <c r="A701" s="3"/>
      <c r="B701" s="3"/>
      <c r="I701" s="356"/>
      <c r="L701" s="14"/>
      <c r="M701" s="14"/>
    </row>
    <row r="702">
      <c r="A702" s="3"/>
      <c r="B702" s="3"/>
      <c r="I702" s="356"/>
      <c r="L702" s="14"/>
      <c r="M702" s="14"/>
    </row>
    <row r="703">
      <c r="A703" s="3"/>
      <c r="B703" s="3"/>
      <c r="I703" s="356"/>
      <c r="L703" s="14"/>
      <c r="M703" s="14"/>
    </row>
    <row r="704">
      <c r="A704" s="3"/>
      <c r="B704" s="3"/>
      <c r="I704" s="356"/>
      <c r="L704" s="14"/>
      <c r="M704" s="14"/>
    </row>
    <row r="705">
      <c r="A705" s="3"/>
      <c r="B705" s="3"/>
      <c r="I705" s="356"/>
      <c r="L705" s="14"/>
      <c r="M705" s="14"/>
    </row>
    <row r="706">
      <c r="A706" s="3"/>
      <c r="B706" s="3"/>
      <c r="I706" s="356"/>
      <c r="L706" s="14"/>
      <c r="M706" s="14"/>
    </row>
    <row r="707">
      <c r="A707" s="3"/>
      <c r="B707" s="3"/>
      <c r="I707" s="356"/>
      <c r="L707" s="14"/>
      <c r="M707" s="14"/>
    </row>
    <row r="708">
      <c r="A708" s="3"/>
      <c r="B708" s="3"/>
      <c r="I708" s="356"/>
      <c r="L708" s="14"/>
      <c r="M708" s="14"/>
    </row>
    <row r="709">
      <c r="A709" s="3"/>
      <c r="B709" s="3"/>
      <c r="I709" s="356"/>
      <c r="L709" s="14"/>
      <c r="M709" s="14"/>
    </row>
    <row r="710">
      <c r="A710" s="3"/>
      <c r="B710" s="3"/>
      <c r="I710" s="356"/>
      <c r="L710" s="14"/>
      <c r="M710" s="14"/>
    </row>
    <row r="711">
      <c r="A711" s="3"/>
      <c r="B711" s="3"/>
      <c r="I711" s="356"/>
      <c r="L711" s="14"/>
      <c r="M711" s="14"/>
    </row>
    <row r="712">
      <c r="A712" s="3"/>
      <c r="B712" s="3"/>
      <c r="I712" s="356"/>
      <c r="L712" s="14"/>
      <c r="M712" s="14"/>
    </row>
    <row r="713">
      <c r="A713" s="3"/>
      <c r="B713" s="3"/>
      <c r="I713" s="356"/>
      <c r="L713" s="14"/>
      <c r="M713" s="14"/>
    </row>
    <row r="714">
      <c r="A714" s="3"/>
      <c r="B714" s="3"/>
      <c r="I714" s="356"/>
      <c r="L714" s="14"/>
      <c r="M714" s="14"/>
    </row>
    <row r="715">
      <c r="A715" s="3"/>
      <c r="B715" s="3"/>
      <c r="I715" s="356"/>
      <c r="L715" s="14"/>
      <c r="M715" s="14"/>
    </row>
    <row r="716">
      <c r="A716" s="3"/>
      <c r="B716" s="3"/>
      <c r="I716" s="356"/>
      <c r="L716" s="14"/>
      <c r="M716" s="14"/>
    </row>
    <row r="717">
      <c r="A717" s="3"/>
      <c r="B717" s="3"/>
      <c r="I717" s="356"/>
      <c r="L717" s="14"/>
      <c r="M717" s="14"/>
    </row>
    <row r="718">
      <c r="A718" s="3"/>
      <c r="B718" s="3"/>
      <c r="I718" s="356"/>
      <c r="L718" s="14"/>
      <c r="M718" s="14"/>
    </row>
    <row r="719">
      <c r="A719" s="3"/>
      <c r="B719" s="3"/>
      <c r="I719" s="356"/>
      <c r="L719" s="14"/>
      <c r="M719" s="14"/>
    </row>
    <row r="720">
      <c r="A720" s="3"/>
      <c r="B720" s="3"/>
      <c r="I720" s="356"/>
      <c r="L720" s="14"/>
      <c r="M720" s="14"/>
    </row>
    <row r="721">
      <c r="A721" s="3"/>
      <c r="B721" s="3"/>
      <c r="I721" s="356"/>
      <c r="L721" s="14"/>
      <c r="M721" s="14"/>
    </row>
    <row r="722">
      <c r="A722" s="3"/>
      <c r="B722" s="3"/>
      <c r="I722" s="356"/>
      <c r="L722" s="14"/>
      <c r="M722" s="14"/>
    </row>
    <row r="723">
      <c r="A723" s="3"/>
      <c r="B723" s="3"/>
      <c r="I723" s="356"/>
      <c r="L723" s="14"/>
      <c r="M723" s="14"/>
    </row>
    <row r="724">
      <c r="A724" s="3"/>
      <c r="B724" s="3"/>
      <c r="I724" s="356"/>
      <c r="L724" s="14"/>
      <c r="M724" s="14"/>
    </row>
    <row r="725">
      <c r="A725" s="3"/>
      <c r="B725" s="3"/>
      <c r="I725" s="356"/>
      <c r="L725" s="14"/>
      <c r="M725" s="14"/>
    </row>
    <row r="726">
      <c r="A726" s="3"/>
      <c r="B726" s="3"/>
      <c r="I726" s="356"/>
      <c r="L726" s="14"/>
      <c r="M726" s="14"/>
    </row>
    <row r="727">
      <c r="A727" s="3"/>
      <c r="B727" s="3"/>
      <c r="I727" s="356"/>
      <c r="L727" s="14"/>
      <c r="M727" s="14"/>
    </row>
    <row r="728">
      <c r="A728" s="3"/>
      <c r="B728" s="3"/>
      <c r="I728" s="356"/>
      <c r="L728" s="14"/>
      <c r="M728" s="14"/>
    </row>
    <row r="729">
      <c r="A729" s="3"/>
      <c r="B729" s="3"/>
      <c r="I729" s="356"/>
      <c r="L729" s="14"/>
      <c r="M729" s="14"/>
    </row>
    <row r="730">
      <c r="A730" s="3"/>
      <c r="B730" s="3"/>
      <c r="I730" s="356"/>
      <c r="L730" s="14"/>
      <c r="M730" s="14"/>
    </row>
    <row r="731">
      <c r="A731" s="3"/>
      <c r="B731" s="3"/>
      <c r="I731" s="356"/>
      <c r="L731" s="14"/>
      <c r="M731" s="14"/>
    </row>
    <row r="732">
      <c r="A732" s="3"/>
      <c r="B732" s="3"/>
      <c r="I732" s="356"/>
      <c r="L732" s="14"/>
      <c r="M732" s="14"/>
    </row>
    <row r="733">
      <c r="A733" s="3"/>
      <c r="B733" s="3"/>
      <c r="I733" s="356"/>
      <c r="L733" s="14"/>
      <c r="M733" s="14"/>
    </row>
    <row r="734">
      <c r="A734" s="3"/>
      <c r="B734" s="3"/>
      <c r="I734" s="356"/>
      <c r="L734" s="14"/>
      <c r="M734" s="14"/>
    </row>
    <row r="735">
      <c r="A735" s="3"/>
      <c r="B735" s="3"/>
      <c r="I735" s="356"/>
      <c r="L735" s="14"/>
      <c r="M735" s="14"/>
    </row>
    <row r="736">
      <c r="A736" s="3"/>
      <c r="B736" s="3"/>
      <c r="I736" s="356"/>
      <c r="L736" s="14"/>
      <c r="M736" s="14"/>
    </row>
    <row r="737">
      <c r="A737" s="3"/>
      <c r="B737" s="3"/>
      <c r="I737" s="356"/>
      <c r="L737" s="14"/>
      <c r="M737" s="14"/>
    </row>
    <row r="738">
      <c r="A738" s="3"/>
      <c r="B738" s="3"/>
      <c r="I738" s="356"/>
      <c r="L738" s="14"/>
      <c r="M738" s="14"/>
    </row>
    <row r="739">
      <c r="A739" s="3"/>
      <c r="B739" s="3"/>
      <c r="I739" s="356"/>
      <c r="L739" s="14"/>
      <c r="M739" s="14"/>
    </row>
    <row r="740">
      <c r="A740" s="3"/>
      <c r="B740" s="3"/>
      <c r="I740" s="356"/>
      <c r="L740" s="14"/>
      <c r="M740" s="14"/>
    </row>
    <row r="741">
      <c r="A741" s="3"/>
      <c r="B741" s="3"/>
      <c r="I741" s="356"/>
      <c r="L741" s="14"/>
      <c r="M741" s="14"/>
    </row>
    <row r="742">
      <c r="A742" s="3"/>
      <c r="B742" s="3"/>
      <c r="I742" s="356"/>
      <c r="L742" s="14"/>
      <c r="M742" s="14"/>
    </row>
    <row r="743">
      <c r="A743" s="3"/>
      <c r="B743" s="3"/>
      <c r="I743" s="356"/>
      <c r="L743" s="14"/>
      <c r="M743" s="14"/>
    </row>
    <row r="744">
      <c r="A744" s="3"/>
      <c r="B744" s="3"/>
      <c r="I744" s="356"/>
      <c r="L744" s="14"/>
      <c r="M744" s="14"/>
    </row>
    <row r="745">
      <c r="A745" s="3"/>
      <c r="B745" s="3"/>
      <c r="I745" s="356"/>
      <c r="L745" s="14"/>
      <c r="M745" s="14"/>
    </row>
    <row r="746">
      <c r="A746" s="3"/>
      <c r="B746" s="3"/>
      <c r="I746" s="356"/>
      <c r="L746" s="14"/>
      <c r="M746" s="14"/>
    </row>
    <row r="747">
      <c r="A747" s="3"/>
      <c r="B747" s="3"/>
      <c r="I747" s="356"/>
      <c r="L747" s="14"/>
      <c r="M747" s="14"/>
    </row>
    <row r="748">
      <c r="A748" s="3"/>
      <c r="B748" s="3"/>
      <c r="I748" s="356"/>
      <c r="L748" s="14"/>
      <c r="M748" s="14"/>
    </row>
    <row r="749">
      <c r="A749" s="3"/>
      <c r="B749" s="3"/>
      <c r="I749" s="356"/>
      <c r="L749" s="14"/>
      <c r="M749" s="14"/>
    </row>
    <row r="750">
      <c r="A750" s="3"/>
      <c r="B750" s="3"/>
      <c r="I750" s="356"/>
      <c r="L750" s="14"/>
      <c r="M750" s="14"/>
    </row>
    <row r="751">
      <c r="A751" s="3"/>
      <c r="B751" s="3"/>
      <c r="I751" s="356"/>
      <c r="L751" s="14"/>
      <c r="M751" s="14"/>
    </row>
    <row r="752">
      <c r="A752" s="3"/>
      <c r="B752" s="3"/>
      <c r="I752" s="356"/>
      <c r="L752" s="14"/>
      <c r="M752" s="14"/>
    </row>
    <row r="753">
      <c r="A753" s="3"/>
      <c r="B753" s="3"/>
      <c r="I753" s="356"/>
      <c r="L753" s="14"/>
      <c r="M753" s="14"/>
    </row>
    <row r="754">
      <c r="A754" s="3"/>
      <c r="B754" s="3"/>
      <c r="I754" s="356"/>
      <c r="L754" s="14"/>
      <c r="M754" s="14"/>
    </row>
    <row r="755">
      <c r="A755" s="3"/>
      <c r="B755" s="3"/>
      <c r="I755" s="356"/>
      <c r="L755" s="14"/>
      <c r="M755" s="14"/>
    </row>
    <row r="756">
      <c r="A756" s="3"/>
      <c r="B756" s="3"/>
      <c r="I756" s="356"/>
      <c r="L756" s="14"/>
      <c r="M756" s="14"/>
    </row>
    <row r="757">
      <c r="A757" s="3"/>
      <c r="B757" s="3"/>
      <c r="I757" s="356"/>
      <c r="L757" s="14"/>
      <c r="M757" s="14"/>
    </row>
    <row r="758">
      <c r="A758" s="3"/>
      <c r="B758" s="3"/>
      <c r="I758" s="356"/>
      <c r="L758" s="14"/>
      <c r="M758" s="14"/>
    </row>
    <row r="759">
      <c r="A759" s="3"/>
      <c r="B759" s="3"/>
      <c r="I759" s="356"/>
      <c r="L759" s="14"/>
      <c r="M759" s="14"/>
    </row>
    <row r="760">
      <c r="A760" s="3"/>
      <c r="B760" s="3"/>
      <c r="I760" s="356"/>
      <c r="L760" s="14"/>
      <c r="M760" s="14"/>
    </row>
    <row r="761">
      <c r="A761" s="3"/>
      <c r="B761" s="3"/>
      <c r="I761" s="356"/>
      <c r="L761" s="14"/>
      <c r="M761" s="14"/>
    </row>
    <row r="762">
      <c r="A762" s="3"/>
      <c r="B762" s="3"/>
      <c r="I762" s="356"/>
      <c r="L762" s="14"/>
      <c r="M762" s="14"/>
    </row>
    <row r="763">
      <c r="A763" s="3"/>
      <c r="B763" s="3"/>
      <c r="I763" s="356"/>
      <c r="L763" s="14"/>
      <c r="M763" s="14"/>
    </row>
    <row r="764">
      <c r="A764" s="3"/>
      <c r="B764" s="3"/>
      <c r="I764" s="356"/>
      <c r="L764" s="14"/>
      <c r="M764" s="14"/>
    </row>
    <row r="765">
      <c r="A765" s="3"/>
      <c r="B765" s="3"/>
      <c r="I765" s="356"/>
      <c r="L765" s="14"/>
      <c r="M765" s="14"/>
    </row>
    <row r="766">
      <c r="A766" s="3"/>
      <c r="B766" s="3"/>
      <c r="I766" s="356"/>
      <c r="L766" s="14"/>
      <c r="M766" s="14"/>
    </row>
    <row r="767">
      <c r="A767" s="3"/>
      <c r="B767" s="3"/>
      <c r="I767" s="356"/>
      <c r="L767" s="14"/>
      <c r="M767" s="14"/>
    </row>
    <row r="768">
      <c r="A768" s="3"/>
      <c r="B768" s="3"/>
      <c r="I768" s="356"/>
      <c r="L768" s="14"/>
      <c r="M768" s="14"/>
    </row>
    <row r="769">
      <c r="A769" s="3"/>
      <c r="B769" s="3"/>
      <c r="I769" s="356"/>
      <c r="L769" s="14"/>
      <c r="M769" s="14"/>
    </row>
    <row r="770">
      <c r="A770" s="3"/>
      <c r="B770" s="3"/>
      <c r="I770" s="356"/>
      <c r="L770" s="14"/>
      <c r="M770" s="14"/>
    </row>
    <row r="771">
      <c r="A771" s="3"/>
      <c r="B771" s="3"/>
      <c r="I771" s="356"/>
      <c r="L771" s="14"/>
      <c r="M771" s="14"/>
    </row>
    <row r="772">
      <c r="A772" s="3"/>
      <c r="B772" s="3"/>
      <c r="I772" s="356"/>
      <c r="L772" s="14"/>
      <c r="M772" s="14"/>
    </row>
    <row r="773">
      <c r="A773" s="3"/>
      <c r="B773" s="3"/>
      <c r="I773" s="356"/>
      <c r="L773" s="14"/>
      <c r="M773" s="14"/>
    </row>
    <row r="774">
      <c r="A774" s="3"/>
      <c r="B774" s="3"/>
      <c r="I774" s="356"/>
      <c r="L774" s="14"/>
      <c r="M774" s="14"/>
    </row>
    <row r="775">
      <c r="A775" s="3"/>
      <c r="B775" s="3"/>
      <c r="I775" s="356"/>
      <c r="L775" s="14"/>
      <c r="M775" s="14"/>
    </row>
    <row r="776">
      <c r="A776" s="3"/>
      <c r="B776" s="3"/>
      <c r="I776" s="356"/>
      <c r="L776" s="14"/>
      <c r="M776" s="14"/>
    </row>
    <row r="777">
      <c r="A777" s="3"/>
      <c r="B777" s="3"/>
      <c r="I777" s="356"/>
      <c r="L777" s="14"/>
      <c r="M777" s="14"/>
    </row>
    <row r="778">
      <c r="A778" s="3"/>
      <c r="B778" s="3"/>
      <c r="I778" s="356"/>
      <c r="L778" s="14"/>
      <c r="M778" s="14"/>
    </row>
    <row r="779">
      <c r="A779" s="3"/>
      <c r="B779" s="3"/>
      <c r="I779" s="356"/>
      <c r="L779" s="14"/>
      <c r="M779" s="14"/>
    </row>
    <row r="780">
      <c r="A780" s="3"/>
      <c r="B780" s="3"/>
      <c r="I780" s="356"/>
      <c r="L780" s="14"/>
      <c r="M780" s="14"/>
    </row>
    <row r="781">
      <c r="A781" s="3"/>
      <c r="B781" s="3"/>
      <c r="I781" s="356"/>
      <c r="L781" s="14"/>
      <c r="M781" s="14"/>
    </row>
    <row r="782">
      <c r="A782" s="3"/>
      <c r="B782" s="3"/>
      <c r="I782" s="356"/>
      <c r="L782" s="14"/>
      <c r="M782" s="14"/>
    </row>
    <row r="783">
      <c r="A783" s="3"/>
      <c r="B783" s="3"/>
      <c r="I783" s="356"/>
      <c r="L783" s="14"/>
      <c r="M783" s="14"/>
    </row>
    <row r="784">
      <c r="A784" s="3"/>
      <c r="B784" s="3"/>
      <c r="I784" s="356"/>
      <c r="L784" s="14"/>
      <c r="M784" s="14"/>
    </row>
    <row r="785">
      <c r="A785" s="3"/>
      <c r="B785" s="3"/>
      <c r="I785" s="356"/>
      <c r="L785" s="14"/>
      <c r="M785" s="14"/>
    </row>
    <row r="786">
      <c r="A786" s="3"/>
      <c r="B786" s="3"/>
      <c r="I786" s="356"/>
      <c r="L786" s="14"/>
      <c r="M786" s="14"/>
    </row>
    <row r="787">
      <c r="A787" s="3"/>
      <c r="B787" s="3"/>
      <c r="I787" s="356"/>
      <c r="L787" s="14"/>
      <c r="M787" s="14"/>
    </row>
    <row r="788">
      <c r="A788" s="3"/>
      <c r="B788" s="3"/>
      <c r="I788" s="356"/>
      <c r="L788" s="14"/>
      <c r="M788" s="14"/>
    </row>
    <row r="789">
      <c r="A789" s="3"/>
      <c r="B789" s="3"/>
      <c r="I789" s="356"/>
      <c r="L789" s="14"/>
      <c r="M789" s="14"/>
    </row>
    <row r="790">
      <c r="A790" s="3"/>
      <c r="B790" s="3"/>
      <c r="I790" s="356"/>
      <c r="L790" s="14"/>
      <c r="M790" s="14"/>
    </row>
    <row r="791">
      <c r="A791" s="3"/>
      <c r="B791" s="3"/>
      <c r="I791" s="356"/>
      <c r="L791" s="14"/>
      <c r="M791" s="14"/>
    </row>
    <row r="792">
      <c r="A792" s="3"/>
      <c r="B792" s="3"/>
      <c r="I792" s="356"/>
      <c r="L792" s="14"/>
      <c r="M792" s="14"/>
    </row>
    <row r="793">
      <c r="A793" s="3"/>
      <c r="B793" s="3"/>
      <c r="I793" s="356"/>
      <c r="L793" s="14"/>
      <c r="M793" s="14"/>
    </row>
    <row r="794">
      <c r="A794" s="3"/>
      <c r="B794" s="3"/>
      <c r="I794" s="356"/>
      <c r="L794" s="14"/>
      <c r="M794" s="14"/>
    </row>
    <row r="795">
      <c r="A795" s="3"/>
      <c r="B795" s="3"/>
      <c r="I795" s="356"/>
      <c r="L795" s="14"/>
      <c r="M795" s="14"/>
    </row>
    <row r="796">
      <c r="A796" s="3"/>
      <c r="B796" s="3"/>
      <c r="I796" s="356"/>
      <c r="L796" s="14"/>
      <c r="M796" s="14"/>
    </row>
    <row r="797">
      <c r="A797" s="3"/>
      <c r="B797" s="3"/>
      <c r="I797" s="356"/>
      <c r="L797" s="14"/>
      <c r="M797" s="14"/>
    </row>
    <row r="798">
      <c r="A798" s="3"/>
      <c r="B798" s="3"/>
      <c r="I798" s="356"/>
      <c r="L798" s="14"/>
      <c r="M798" s="14"/>
    </row>
    <row r="799">
      <c r="A799" s="3"/>
      <c r="B799" s="3"/>
      <c r="I799" s="356"/>
      <c r="L799" s="14"/>
      <c r="M799" s="14"/>
    </row>
    <row r="800">
      <c r="A800" s="3"/>
      <c r="B800" s="3"/>
      <c r="I800" s="356"/>
      <c r="L800" s="14"/>
      <c r="M800" s="14"/>
    </row>
    <row r="801">
      <c r="A801" s="3"/>
      <c r="B801" s="3"/>
      <c r="I801" s="356"/>
      <c r="L801" s="14"/>
      <c r="M801" s="14"/>
    </row>
    <row r="802">
      <c r="A802" s="3"/>
      <c r="B802" s="3"/>
      <c r="I802" s="356"/>
      <c r="L802" s="14"/>
      <c r="M802" s="14"/>
    </row>
    <row r="803">
      <c r="A803" s="3"/>
      <c r="B803" s="3"/>
      <c r="I803" s="356"/>
      <c r="L803" s="14"/>
      <c r="M803" s="14"/>
    </row>
    <row r="804">
      <c r="A804" s="3"/>
      <c r="B804" s="3"/>
      <c r="I804" s="356"/>
      <c r="L804" s="14"/>
      <c r="M804" s="14"/>
    </row>
    <row r="805">
      <c r="A805" s="3"/>
      <c r="B805" s="3"/>
      <c r="I805" s="356"/>
      <c r="L805" s="14"/>
      <c r="M805" s="14"/>
    </row>
    <row r="806">
      <c r="A806" s="3"/>
      <c r="B806" s="3"/>
      <c r="I806" s="356"/>
      <c r="L806" s="14"/>
      <c r="M806" s="14"/>
    </row>
    <row r="807">
      <c r="A807" s="3"/>
      <c r="B807" s="3"/>
      <c r="I807" s="356"/>
      <c r="L807" s="14"/>
      <c r="M807" s="14"/>
    </row>
    <row r="808">
      <c r="A808" s="3"/>
      <c r="B808" s="3"/>
      <c r="I808" s="356"/>
      <c r="L808" s="14"/>
      <c r="M808" s="14"/>
    </row>
    <row r="809">
      <c r="A809" s="3"/>
      <c r="B809" s="3"/>
      <c r="I809" s="356"/>
      <c r="L809" s="14"/>
      <c r="M809" s="14"/>
    </row>
    <row r="810">
      <c r="A810" s="3"/>
      <c r="B810" s="3"/>
      <c r="I810" s="356"/>
      <c r="L810" s="14"/>
      <c r="M810" s="14"/>
    </row>
    <row r="811">
      <c r="A811" s="3"/>
      <c r="B811" s="3"/>
      <c r="I811" s="356"/>
      <c r="L811" s="14"/>
      <c r="M811" s="14"/>
    </row>
    <row r="812">
      <c r="A812" s="3"/>
      <c r="B812" s="3"/>
      <c r="I812" s="356"/>
      <c r="L812" s="14"/>
      <c r="M812" s="14"/>
    </row>
    <row r="813">
      <c r="A813" s="3"/>
      <c r="B813" s="3"/>
      <c r="I813" s="356"/>
      <c r="L813" s="14"/>
      <c r="M813" s="14"/>
    </row>
    <row r="814">
      <c r="A814" s="3"/>
      <c r="B814" s="3"/>
      <c r="I814" s="356"/>
      <c r="L814" s="14"/>
      <c r="M814" s="14"/>
    </row>
    <row r="815">
      <c r="A815" s="3"/>
      <c r="B815" s="3"/>
      <c r="I815" s="356"/>
      <c r="L815" s="14"/>
      <c r="M815" s="14"/>
    </row>
    <row r="816">
      <c r="A816" s="3"/>
      <c r="B816" s="3"/>
      <c r="I816" s="356"/>
      <c r="L816" s="14"/>
      <c r="M816" s="14"/>
    </row>
    <row r="817">
      <c r="A817" s="3"/>
      <c r="B817" s="3"/>
      <c r="I817" s="356"/>
      <c r="L817" s="14"/>
      <c r="M817" s="14"/>
    </row>
    <row r="818">
      <c r="A818" s="3"/>
      <c r="B818" s="3"/>
      <c r="I818" s="356"/>
      <c r="L818" s="14"/>
      <c r="M818" s="14"/>
    </row>
    <row r="819">
      <c r="A819" s="3"/>
      <c r="B819" s="3"/>
      <c r="I819" s="356"/>
      <c r="L819" s="14"/>
      <c r="M819" s="14"/>
    </row>
    <row r="820">
      <c r="A820" s="3"/>
      <c r="B820" s="3"/>
      <c r="I820" s="356"/>
      <c r="L820" s="14"/>
      <c r="M820" s="14"/>
    </row>
    <row r="821">
      <c r="A821" s="3"/>
      <c r="B821" s="3"/>
      <c r="I821" s="356"/>
      <c r="L821" s="14"/>
      <c r="M821" s="14"/>
    </row>
    <row r="822">
      <c r="A822" s="3"/>
      <c r="B822" s="3"/>
      <c r="I822" s="356"/>
      <c r="L822" s="14"/>
      <c r="M822" s="14"/>
    </row>
    <row r="823">
      <c r="A823" s="3"/>
      <c r="B823" s="3"/>
      <c r="I823" s="356"/>
      <c r="L823" s="14"/>
      <c r="M823" s="14"/>
    </row>
    <row r="824">
      <c r="A824" s="3"/>
      <c r="B824" s="3"/>
      <c r="I824" s="356"/>
      <c r="L824" s="14"/>
      <c r="M824" s="14"/>
    </row>
    <row r="825">
      <c r="A825" s="3"/>
      <c r="B825" s="3"/>
      <c r="I825" s="356"/>
      <c r="L825" s="14"/>
      <c r="M825" s="14"/>
    </row>
    <row r="826">
      <c r="A826" s="3"/>
      <c r="B826" s="3"/>
      <c r="I826" s="356"/>
      <c r="L826" s="14"/>
      <c r="M826" s="14"/>
    </row>
    <row r="827">
      <c r="A827" s="3"/>
      <c r="B827" s="3"/>
      <c r="I827" s="356"/>
      <c r="L827" s="14"/>
      <c r="M827" s="14"/>
    </row>
    <row r="828">
      <c r="A828" s="3"/>
      <c r="B828" s="3"/>
      <c r="I828" s="356"/>
      <c r="L828" s="14"/>
      <c r="M828" s="14"/>
    </row>
    <row r="829">
      <c r="A829" s="3"/>
      <c r="B829" s="3"/>
      <c r="I829" s="356"/>
      <c r="L829" s="14"/>
      <c r="M829" s="14"/>
    </row>
    <row r="830">
      <c r="A830" s="3"/>
      <c r="B830" s="3"/>
      <c r="I830" s="356"/>
      <c r="L830" s="14"/>
      <c r="M830" s="14"/>
    </row>
    <row r="831">
      <c r="A831" s="3"/>
      <c r="B831" s="3"/>
      <c r="I831" s="356"/>
      <c r="L831" s="14"/>
      <c r="M831" s="14"/>
    </row>
    <row r="832">
      <c r="A832" s="3"/>
      <c r="B832" s="3"/>
      <c r="I832" s="356"/>
      <c r="L832" s="14"/>
      <c r="M832" s="14"/>
    </row>
    <row r="833">
      <c r="A833" s="3"/>
      <c r="B833" s="3"/>
      <c r="I833" s="356"/>
      <c r="L833" s="14"/>
      <c r="M833" s="14"/>
    </row>
    <row r="834">
      <c r="A834" s="3"/>
      <c r="B834" s="3"/>
      <c r="I834" s="356"/>
      <c r="L834" s="14"/>
      <c r="M834" s="14"/>
    </row>
    <row r="835">
      <c r="A835" s="3"/>
      <c r="B835" s="3"/>
      <c r="I835" s="356"/>
      <c r="L835" s="14"/>
      <c r="M835" s="14"/>
    </row>
    <row r="836">
      <c r="A836" s="3"/>
      <c r="B836" s="3"/>
      <c r="I836" s="356"/>
      <c r="L836" s="14"/>
      <c r="M836" s="14"/>
    </row>
    <row r="837">
      <c r="A837" s="3"/>
      <c r="B837" s="3"/>
      <c r="I837" s="356"/>
      <c r="L837" s="14"/>
      <c r="M837" s="14"/>
    </row>
    <row r="838">
      <c r="A838" s="3"/>
      <c r="B838" s="3"/>
      <c r="I838" s="356"/>
      <c r="L838" s="14"/>
      <c r="M838" s="14"/>
    </row>
    <row r="839">
      <c r="A839" s="3"/>
      <c r="B839" s="3"/>
      <c r="I839" s="356"/>
      <c r="L839" s="14"/>
      <c r="M839" s="14"/>
    </row>
    <row r="840">
      <c r="A840" s="3"/>
      <c r="B840" s="3"/>
      <c r="I840" s="356"/>
      <c r="L840" s="14"/>
      <c r="M840" s="14"/>
    </row>
    <row r="841">
      <c r="A841" s="3"/>
      <c r="B841" s="3"/>
      <c r="I841" s="356"/>
      <c r="L841" s="14"/>
      <c r="M841" s="14"/>
    </row>
    <row r="842">
      <c r="A842" s="3"/>
      <c r="B842" s="3"/>
      <c r="I842" s="356"/>
      <c r="L842" s="14"/>
      <c r="M842" s="14"/>
    </row>
    <row r="843">
      <c r="A843" s="3"/>
      <c r="B843" s="3"/>
      <c r="I843" s="356"/>
      <c r="L843" s="14"/>
      <c r="M843" s="14"/>
    </row>
    <row r="844">
      <c r="A844" s="3"/>
      <c r="B844" s="3"/>
      <c r="I844" s="356"/>
      <c r="L844" s="14"/>
      <c r="M844" s="14"/>
    </row>
    <row r="845">
      <c r="A845" s="3"/>
      <c r="B845" s="3"/>
      <c r="I845" s="356"/>
      <c r="L845" s="14"/>
      <c r="M845" s="14"/>
    </row>
    <row r="846">
      <c r="A846" s="3"/>
      <c r="B846" s="3"/>
      <c r="I846" s="356"/>
      <c r="L846" s="14"/>
      <c r="M846" s="14"/>
    </row>
    <row r="847">
      <c r="A847" s="3"/>
      <c r="B847" s="3"/>
      <c r="I847" s="356"/>
      <c r="L847" s="14"/>
      <c r="M847" s="14"/>
    </row>
    <row r="848">
      <c r="A848" s="3"/>
      <c r="B848" s="3"/>
      <c r="I848" s="356"/>
      <c r="L848" s="14"/>
      <c r="M848" s="14"/>
    </row>
    <row r="849">
      <c r="A849" s="3"/>
      <c r="B849" s="3"/>
      <c r="I849" s="356"/>
      <c r="L849" s="14"/>
      <c r="M849" s="14"/>
    </row>
    <row r="850">
      <c r="A850" s="3"/>
      <c r="B850" s="3"/>
      <c r="I850" s="356"/>
      <c r="L850" s="14"/>
      <c r="M850" s="14"/>
    </row>
    <row r="851">
      <c r="A851" s="3"/>
      <c r="B851" s="3"/>
      <c r="I851" s="356"/>
      <c r="L851" s="14"/>
      <c r="M851" s="14"/>
    </row>
    <row r="852">
      <c r="A852" s="3"/>
      <c r="B852" s="3"/>
      <c r="I852" s="356"/>
      <c r="L852" s="14"/>
      <c r="M852" s="14"/>
    </row>
    <row r="853">
      <c r="A853" s="3"/>
      <c r="B853" s="3"/>
      <c r="I853" s="356"/>
      <c r="L853" s="14"/>
      <c r="M853" s="14"/>
    </row>
    <row r="854">
      <c r="A854" s="3"/>
      <c r="B854" s="3"/>
      <c r="I854" s="356"/>
      <c r="L854" s="14"/>
      <c r="M854" s="14"/>
    </row>
    <row r="855">
      <c r="A855" s="3"/>
      <c r="B855" s="3"/>
      <c r="I855" s="356"/>
      <c r="L855" s="14"/>
      <c r="M855" s="14"/>
    </row>
    <row r="856">
      <c r="A856" s="3"/>
      <c r="B856" s="3"/>
      <c r="I856" s="356"/>
      <c r="L856" s="14"/>
      <c r="M856" s="14"/>
    </row>
    <row r="857">
      <c r="A857" s="3"/>
      <c r="B857" s="3"/>
      <c r="I857" s="356"/>
      <c r="L857" s="14"/>
      <c r="M857" s="14"/>
    </row>
    <row r="858">
      <c r="A858" s="3"/>
      <c r="B858" s="3"/>
      <c r="I858" s="356"/>
      <c r="L858" s="14"/>
      <c r="M858" s="14"/>
    </row>
    <row r="859">
      <c r="A859" s="3"/>
      <c r="B859" s="3"/>
      <c r="I859" s="356"/>
      <c r="L859" s="14"/>
      <c r="M859" s="14"/>
    </row>
    <row r="860">
      <c r="A860" s="3"/>
      <c r="B860" s="3"/>
      <c r="I860" s="356"/>
      <c r="L860" s="14"/>
      <c r="M860" s="14"/>
    </row>
    <row r="861">
      <c r="A861" s="3"/>
      <c r="B861" s="3"/>
      <c r="I861" s="356"/>
      <c r="L861" s="14"/>
      <c r="M861" s="14"/>
    </row>
    <row r="862">
      <c r="A862" s="3"/>
      <c r="B862" s="3"/>
      <c r="I862" s="356"/>
      <c r="L862" s="14"/>
      <c r="M862" s="14"/>
    </row>
    <row r="863">
      <c r="A863" s="3"/>
      <c r="B863" s="3"/>
      <c r="I863" s="356"/>
      <c r="L863" s="14"/>
      <c r="M863" s="14"/>
    </row>
    <row r="864">
      <c r="A864" s="3"/>
      <c r="B864" s="3"/>
      <c r="I864" s="356"/>
      <c r="L864" s="14"/>
      <c r="M864" s="14"/>
    </row>
    <row r="865">
      <c r="A865" s="3"/>
      <c r="B865" s="3"/>
      <c r="I865" s="356"/>
      <c r="L865" s="14"/>
      <c r="M865" s="14"/>
    </row>
    <row r="866">
      <c r="A866" s="3"/>
      <c r="B866" s="3"/>
      <c r="I866" s="356"/>
      <c r="L866" s="14"/>
      <c r="M866" s="14"/>
    </row>
    <row r="867">
      <c r="A867" s="3"/>
      <c r="B867" s="3"/>
      <c r="I867" s="356"/>
      <c r="L867" s="14"/>
      <c r="M867" s="14"/>
    </row>
    <row r="868">
      <c r="A868" s="3"/>
      <c r="B868" s="3"/>
      <c r="I868" s="356"/>
      <c r="L868" s="14"/>
      <c r="M868" s="14"/>
    </row>
    <row r="869">
      <c r="A869" s="3"/>
      <c r="B869" s="3"/>
      <c r="I869" s="356"/>
      <c r="L869" s="14"/>
      <c r="M869" s="14"/>
    </row>
    <row r="870">
      <c r="A870" s="3"/>
      <c r="B870" s="3"/>
      <c r="I870" s="356"/>
      <c r="L870" s="14"/>
      <c r="M870" s="14"/>
    </row>
    <row r="871">
      <c r="A871" s="3"/>
      <c r="B871" s="3"/>
      <c r="I871" s="356"/>
      <c r="L871" s="14"/>
      <c r="M871" s="14"/>
    </row>
    <row r="872">
      <c r="A872" s="3"/>
      <c r="B872" s="3"/>
      <c r="I872" s="356"/>
      <c r="L872" s="14"/>
      <c r="M872" s="14"/>
    </row>
    <row r="873">
      <c r="A873" s="3"/>
      <c r="B873" s="3"/>
      <c r="I873" s="356"/>
      <c r="L873" s="14"/>
      <c r="M873" s="14"/>
    </row>
    <row r="874">
      <c r="A874" s="3"/>
      <c r="B874" s="3"/>
      <c r="I874" s="356"/>
      <c r="L874" s="14"/>
      <c r="M874" s="14"/>
    </row>
    <row r="875">
      <c r="A875" s="3"/>
      <c r="B875" s="3"/>
      <c r="I875" s="356"/>
      <c r="L875" s="14"/>
      <c r="M875" s="14"/>
    </row>
    <row r="876">
      <c r="A876" s="3"/>
      <c r="B876" s="3"/>
      <c r="I876" s="356"/>
      <c r="L876" s="14"/>
      <c r="M876" s="14"/>
    </row>
    <row r="877">
      <c r="A877" s="3"/>
      <c r="B877" s="3"/>
      <c r="I877" s="356"/>
      <c r="L877" s="14"/>
      <c r="M877" s="14"/>
    </row>
    <row r="878">
      <c r="A878" s="3"/>
      <c r="B878" s="3"/>
      <c r="I878" s="356"/>
      <c r="L878" s="14"/>
      <c r="M878" s="14"/>
    </row>
    <row r="879">
      <c r="A879" s="3"/>
      <c r="B879" s="3"/>
      <c r="I879" s="356"/>
      <c r="L879" s="14"/>
      <c r="M879" s="14"/>
    </row>
    <row r="880">
      <c r="A880" s="3"/>
      <c r="B880" s="3"/>
      <c r="I880" s="356"/>
      <c r="L880" s="14"/>
      <c r="M880" s="14"/>
    </row>
    <row r="881">
      <c r="A881" s="3"/>
      <c r="B881" s="3"/>
      <c r="I881" s="356"/>
      <c r="L881" s="14"/>
      <c r="M881" s="14"/>
    </row>
    <row r="882">
      <c r="A882" s="3"/>
      <c r="B882" s="3"/>
      <c r="I882" s="356"/>
      <c r="L882" s="14"/>
      <c r="M882" s="14"/>
    </row>
    <row r="883">
      <c r="A883" s="3"/>
      <c r="B883" s="3"/>
      <c r="I883" s="356"/>
      <c r="L883" s="14"/>
      <c r="M883" s="14"/>
    </row>
    <row r="884">
      <c r="A884" s="3"/>
      <c r="B884" s="3"/>
      <c r="I884" s="356"/>
      <c r="L884" s="14"/>
      <c r="M884" s="14"/>
    </row>
    <row r="885">
      <c r="A885" s="3"/>
      <c r="B885" s="3"/>
      <c r="I885" s="356"/>
      <c r="L885" s="14"/>
      <c r="M885" s="14"/>
    </row>
    <row r="886">
      <c r="A886" s="3"/>
      <c r="B886" s="3"/>
      <c r="I886" s="356"/>
      <c r="L886" s="14"/>
      <c r="M886" s="14"/>
    </row>
    <row r="887">
      <c r="A887" s="3"/>
      <c r="B887" s="3"/>
      <c r="I887" s="356"/>
      <c r="L887" s="14"/>
      <c r="M887" s="14"/>
    </row>
    <row r="888">
      <c r="A888" s="3"/>
      <c r="B888" s="3"/>
      <c r="I888" s="356"/>
      <c r="L888" s="14"/>
      <c r="M888" s="14"/>
    </row>
    <row r="889">
      <c r="A889" s="3"/>
      <c r="B889" s="3"/>
      <c r="I889" s="356"/>
      <c r="L889" s="14"/>
      <c r="M889" s="14"/>
    </row>
    <row r="890">
      <c r="A890" s="3"/>
      <c r="B890" s="3"/>
      <c r="I890" s="356"/>
      <c r="L890" s="14"/>
      <c r="M890" s="14"/>
    </row>
    <row r="891">
      <c r="A891" s="3"/>
      <c r="B891" s="3"/>
      <c r="I891" s="356"/>
      <c r="L891" s="14"/>
      <c r="M891" s="14"/>
    </row>
    <row r="892">
      <c r="A892" s="3"/>
      <c r="B892" s="3"/>
      <c r="I892" s="356"/>
      <c r="L892" s="14"/>
      <c r="M892" s="14"/>
    </row>
    <row r="893">
      <c r="A893" s="3"/>
      <c r="B893" s="3"/>
      <c r="I893" s="356"/>
      <c r="L893" s="14"/>
      <c r="M893" s="14"/>
    </row>
    <row r="894">
      <c r="A894" s="3"/>
      <c r="B894" s="3"/>
      <c r="I894" s="356"/>
      <c r="L894" s="14"/>
      <c r="M894" s="14"/>
    </row>
    <row r="895">
      <c r="A895" s="3"/>
      <c r="B895" s="3"/>
      <c r="I895" s="356"/>
      <c r="L895" s="14"/>
      <c r="M895" s="14"/>
    </row>
    <row r="896">
      <c r="A896" s="3"/>
      <c r="B896" s="3"/>
      <c r="I896" s="356"/>
      <c r="L896" s="14"/>
      <c r="M896" s="14"/>
    </row>
    <row r="897">
      <c r="A897" s="3"/>
      <c r="B897" s="3"/>
      <c r="I897" s="356"/>
      <c r="L897" s="14"/>
      <c r="M897" s="14"/>
    </row>
    <row r="898">
      <c r="A898" s="3"/>
      <c r="B898" s="3"/>
      <c r="I898" s="356"/>
      <c r="L898" s="14"/>
      <c r="M898" s="14"/>
    </row>
    <row r="899">
      <c r="A899" s="3"/>
      <c r="B899" s="3"/>
      <c r="I899" s="356"/>
    </row>
    <row r="900">
      <c r="I900" s="356"/>
    </row>
  </sheetData>
  <mergeCells count="1">
    <mergeCell ref="J31:K31"/>
  </mergeCells>
  <dataValidations>
    <dataValidation type="list" allowBlank="1" showErrorMessage="1" sqref="B3:B133">
      <formula1>"Pending,Declined,Complete,Failed to Complete,Not offered,Dropout"</formula1>
    </dataValidation>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Col="2"/>
  <cols>
    <col customWidth="1" min="1" max="1" width="15.13"/>
    <col customWidth="1" min="2" max="2" width="22.38"/>
    <col customWidth="1" min="4" max="4" width="28.5"/>
    <col customWidth="1" min="5" max="5" width="18.38"/>
    <col customWidth="1" min="7" max="7" width="33.0"/>
    <col customWidth="1" min="8" max="8" width="12.75"/>
  </cols>
  <sheetData>
    <row r="1">
      <c r="A1" s="18"/>
      <c r="B1" s="18" t="s">
        <v>1437</v>
      </c>
      <c r="C1" s="18" t="s">
        <v>1439</v>
      </c>
      <c r="D1" s="398" t="s">
        <v>1441</v>
      </c>
      <c r="E1" s="18" t="s">
        <v>1447</v>
      </c>
      <c r="F1" s="400" t="s">
        <v>1450</v>
      </c>
      <c r="G1" s="3">
        <f>COUNTIF(C3:C199,TRUE)</f>
        <v>132</v>
      </c>
      <c r="L1" s="404" t="s">
        <v>1478</v>
      </c>
    </row>
    <row r="2">
      <c r="D2" s="405"/>
      <c r="E2" s="3"/>
      <c r="F2" s="406" t="s">
        <v>1482</v>
      </c>
      <c r="G2" s="3">
        <f>COUNTIF(C1:C199,false)</f>
        <v>27</v>
      </c>
    </row>
    <row r="3">
      <c r="A3" s="408" t="s">
        <v>272</v>
      </c>
      <c r="B3" s="408" t="s">
        <v>1497</v>
      </c>
      <c r="C3" s="358"/>
      <c r="D3" s="409" t="s">
        <v>1501</v>
      </c>
      <c r="E3" s="3"/>
      <c r="H3" s="410"/>
      <c r="I3" s="16" t="s">
        <v>1505</v>
      </c>
    </row>
    <row r="4">
      <c r="A4" s="411" t="s">
        <v>231</v>
      </c>
      <c r="B4" s="411" t="s">
        <v>1509</v>
      </c>
      <c r="C4" s="410" t="b">
        <v>0</v>
      </c>
      <c r="D4" s="409" t="s">
        <v>1512</v>
      </c>
      <c r="E4" s="3"/>
      <c r="H4" s="253"/>
      <c r="I4" s="16" t="s">
        <v>1439</v>
      </c>
    </row>
    <row r="5">
      <c r="A5" s="203" t="s">
        <v>254</v>
      </c>
      <c r="B5" s="203" t="s">
        <v>1515</v>
      </c>
      <c r="C5" s="212" t="b">
        <v>1</v>
      </c>
      <c r="D5" s="409" t="s">
        <v>1516</v>
      </c>
      <c r="E5" s="132" t="s">
        <v>1517</v>
      </c>
      <c r="H5" s="415"/>
      <c r="I5" s="16" t="s">
        <v>1520</v>
      </c>
    </row>
    <row r="6">
      <c r="A6" s="411" t="s">
        <v>279</v>
      </c>
      <c r="B6" s="411" t="s">
        <v>1515</v>
      </c>
      <c r="C6" s="406" t="b">
        <v>0</v>
      </c>
      <c r="D6" s="409" t="s">
        <v>1525</v>
      </c>
      <c r="E6" s="3"/>
    </row>
    <row r="7">
      <c r="A7" s="203" t="s">
        <v>209</v>
      </c>
      <c r="B7" s="203" t="s">
        <v>1515</v>
      </c>
      <c r="C7" s="212" t="b">
        <v>1</v>
      </c>
      <c r="D7" s="409" t="s">
        <v>1529</v>
      </c>
      <c r="E7" s="132" t="s">
        <v>1531</v>
      </c>
      <c r="I7" s="70"/>
      <c r="J7" s="70"/>
      <c r="K7" s="72"/>
      <c r="L7" s="416"/>
    </row>
    <row r="8">
      <c r="A8" s="408" t="s">
        <v>314</v>
      </c>
      <c r="B8" s="408" t="s">
        <v>1515</v>
      </c>
      <c r="C8" s="286"/>
      <c r="D8" s="409" t="s">
        <v>1529</v>
      </c>
      <c r="E8" s="132" t="s">
        <v>1533</v>
      </c>
      <c r="H8" s="16" t="s">
        <v>1534</v>
      </c>
      <c r="I8" s="9"/>
      <c r="J8" s="14"/>
      <c r="K8" s="39"/>
      <c r="L8" s="11"/>
    </row>
    <row r="9">
      <c r="A9" s="408" t="s">
        <v>274</v>
      </c>
      <c r="B9" s="408" t="s">
        <v>1515</v>
      </c>
      <c r="C9" s="286"/>
      <c r="D9" s="405"/>
      <c r="E9" s="132" t="s">
        <v>1536</v>
      </c>
      <c r="H9" s="16" t="s">
        <v>1537</v>
      </c>
      <c r="I9" s="9" t="s">
        <v>1538</v>
      </c>
      <c r="J9" s="11" t="s">
        <v>1539</v>
      </c>
      <c r="K9" s="39"/>
      <c r="L9" s="11"/>
    </row>
    <row r="10">
      <c r="A10" s="411" t="s">
        <v>217</v>
      </c>
      <c r="B10" s="411" t="s">
        <v>1515</v>
      </c>
      <c r="C10" s="410" t="b">
        <v>0</v>
      </c>
      <c r="D10" s="409" t="s">
        <v>1540</v>
      </c>
      <c r="E10" s="3"/>
      <c r="H10" s="16" t="s">
        <v>1541</v>
      </c>
      <c r="I10" s="417" t="s">
        <v>1542</v>
      </c>
      <c r="J10" s="11" t="s">
        <v>1544</v>
      </c>
      <c r="K10" s="14"/>
      <c r="L10" s="11"/>
    </row>
    <row r="11">
      <c r="A11" s="203" t="s">
        <v>263</v>
      </c>
      <c r="B11" s="203" t="s">
        <v>1515</v>
      </c>
      <c r="C11" s="212" t="b">
        <v>1</v>
      </c>
      <c r="D11" s="409" t="s">
        <v>1547</v>
      </c>
      <c r="E11" s="132" t="s">
        <v>1548</v>
      </c>
      <c r="I11" s="417"/>
      <c r="J11" s="11"/>
      <c r="K11" s="418"/>
      <c r="L11" s="11"/>
    </row>
    <row r="12">
      <c r="A12" s="203" t="s">
        <v>255</v>
      </c>
      <c r="B12" s="203" t="s">
        <v>1549</v>
      </c>
      <c r="C12" s="212" t="b">
        <v>1</v>
      </c>
      <c r="D12" s="409" t="s">
        <v>1550</v>
      </c>
      <c r="E12" s="132" t="s">
        <v>1551</v>
      </c>
      <c r="I12" s="417"/>
      <c r="J12" s="14"/>
      <c r="K12" s="418"/>
      <c r="L12" s="14"/>
    </row>
    <row r="13">
      <c r="A13" s="411" t="s">
        <v>287</v>
      </c>
      <c r="B13" s="411" t="s">
        <v>1515</v>
      </c>
      <c r="C13" s="406" t="b">
        <v>0</v>
      </c>
      <c r="D13" s="409" t="s">
        <v>1555</v>
      </c>
      <c r="E13" s="3"/>
      <c r="I13" s="419"/>
      <c r="J13" s="17"/>
      <c r="K13" s="418"/>
      <c r="L13" s="17"/>
      <c r="M13" s="16"/>
    </row>
    <row r="14">
      <c r="A14" s="203" t="s">
        <v>244</v>
      </c>
      <c r="B14" s="203" t="s">
        <v>1515</v>
      </c>
      <c r="C14" s="212" t="b">
        <v>1</v>
      </c>
      <c r="D14" s="405"/>
      <c r="E14" s="132" t="s">
        <v>1563</v>
      </c>
      <c r="G14" s="429" t="s">
        <v>1567</v>
      </c>
      <c r="I14" s="9"/>
      <c r="J14" s="11"/>
      <c r="K14" s="418"/>
      <c r="L14" s="14"/>
    </row>
    <row r="15">
      <c r="A15" s="203" t="s">
        <v>256</v>
      </c>
      <c r="B15" s="203" t="s">
        <v>1515</v>
      </c>
      <c r="C15" s="212" t="b">
        <v>1</v>
      </c>
      <c r="D15" s="409" t="s">
        <v>1547</v>
      </c>
      <c r="E15" s="132" t="s">
        <v>1591</v>
      </c>
      <c r="I15" s="9"/>
      <c r="J15" s="9"/>
      <c r="K15" s="132"/>
      <c r="L15" s="132"/>
      <c r="M15" s="16"/>
    </row>
    <row r="16">
      <c r="A16" s="408" t="s">
        <v>353</v>
      </c>
      <c r="B16" s="408" t="s">
        <v>1515</v>
      </c>
      <c r="C16" s="358"/>
      <c r="D16" s="409" t="s">
        <v>1595</v>
      </c>
      <c r="E16" s="3"/>
      <c r="G16" s="404"/>
      <c r="I16" s="14"/>
      <c r="J16" s="11"/>
    </row>
    <row r="17">
      <c r="A17" s="203" t="s">
        <v>260</v>
      </c>
      <c r="B17" s="203" t="s">
        <v>1515</v>
      </c>
      <c r="C17" s="212" t="b">
        <v>1</v>
      </c>
      <c r="D17" s="409" t="s">
        <v>1599</v>
      </c>
      <c r="E17" s="132" t="s">
        <v>1600</v>
      </c>
      <c r="G17" s="404"/>
      <c r="I17" s="11"/>
      <c r="J17" s="11"/>
    </row>
    <row r="18">
      <c r="A18" s="203" t="s">
        <v>311</v>
      </c>
      <c r="B18" s="203" t="s">
        <v>1515</v>
      </c>
      <c r="C18" s="212" t="b">
        <v>1</v>
      </c>
      <c r="D18" s="409" t="s">
        <v>1529</v>
      </c>
      <c r="E18" s="132" t="s">
        <v>1603</v>
      </c>
      <c r="G18" s="404"/>
      <c r="I18" s="11"/>
      <c r="J18" s="11"/>
      <c r="K18" s="14"/>
    </row>
    <row r="19">
      <c r="A19" s="408" t="s">
        <v>286</v>
      </c>
      <c r="B19" s="408" t="s">
        <v>1515</v>
      </c>
      <c r="C19" s="358"/>
      <c r="D19" s="409" t="s">
        <v>1605</v>
      </c>
      <c r="E19" s="3"/>
      <c r="G19" s="430"/>
      <c r="I19" s="127"/>
      <c r="K19" s="72"/>
      <c r="L19" s="242"/>
    </row>
    <row r="20">
      <c r="A20" s="433" t="s">
        <v>307</v>
      </c>
      <c r="B20" s="411" t="s">
        <v>1515</v>
      </c>
      <c r="C20" s="410" t="b">
        <v>0</v>
      </c>
      <c r="D20" s="409" t="s">
        <v>1611</v>
      </c>
      <c r="E20" s="132"/>
      <c r="G20" s="404"/>
      <c r="I20" s="9"/>
      <c r="J20" s="14"/>
      <c r="K20" s="39"/>
    </row>
    <row r="21">
      <c r="A21" s="203" t="s">
        <v>296</v>
      </c>
      <c r="B21" s="203" t="s">
        <v>1515</v>
      </c>
      <c r="C21" s="212" t="b">
        <v>1</v>
      </c>
      <c r="D21" s="409" t="s">
        <v>1614</v>
      </c>
      <c r="E21" s="132" t="s">
        <v>1616</v>
      </c>
      <c r="I21" s="435"/>
      <c r="J21" s="14"/>
      <c r="K21" s="39"/>
    </row>
    <row r="22">
      <c r="A22" s="203" t="s">
        <v>336</v>
      </c>
      <c r="B22" s="203" t="s">
        <v>1515</v>
      </c>
      <c r="C22" s="212" t="b">
        <v>1</v>
      </c>
      <c r="D22" s="409" t="s">
        <v>1617</v>
      </c>
      <c r="E22" s="132" t="s">
        <v>1618</v>
      </c>
      <c r="I22" s="435"/>
      <c r="J22" s="14"/>
      <c r="K22" s="39"/>
    </row>
    <row r="23">
      <c r="A23" s="203" t="s">
        <v>317</v>
      </c>
      <c r="B23" s="203" t="s">
        <v>1515</v>
      </c>
      <c r="C23" s="212" t="b">
        <v>1</v>
      </c>
      <c r="D23" s="409" t="s">
        <v>1529</v>
      </c>
      <c r="E23" s="132" t="s">
        <v>1621</v>
      </c>
      <c r="I23" s="70"/>
      <c r="J23" s="416"/>
      <c r="K23" s="72"/>
      <c r="L23" s="127"/>
    </row>
    <row r="24">
      <c r="A24" s="436" t="s">
        <v>597</v>
      </c>
      <c r="B24" s="408" t="s">
        <v>1515</v>
      </c>
      <c r="C24" s="358"/>
      <c r="D24" s="409" t="s">
        <v>1624</v>
      </c>
      <c r="E24" s="3"/>
      <c r="I24" s="435"/>
      <c r="J24" s="14"/>
      <c r="K24" s="39"/>
      <c r="L24" s="11"/>
    </row>
    <row r="25">
      <c r="A25" s="203" t="s">
        <v>301</v>
      </c>
      <c r="B25" s="203" t="s">
        <v>1515</v>
      </c>
      <c r="C25" s="212" t="b">
        <v>1</v>
      </c>
      <c r="D25" s="405"/>
      <c r="E25" s="132" t="s">
        <v>1626</v>
      </c>
      <c r="I25" s="435"/>
      <c r="J25" s="14"/>
      <c r="K25" s="39"/>
      <c r="L25" s="11"/>
    </row>
    <row r="26">
      <c r="A26" s="203" t="s">
        <v>315</v>
      </c>
      <c r="B26" s="203" t="s">
        <v>1515</v>
      </c>
      <c r="C26" s="212" t="b">
        <v>1</v>
      </c>
      <c r="D26" s="409" t="s">
        <v>1630</v>
      </c>
      <c r="E26" s="132" t="s">
        <v>1631</v>
      </c>
      <c r="I26" s="435"/>
      <c r="J26" s="14"/>
      <c r="K26" s="39"/>
      <c r="L26" s="11"/>
      <c r="O26" s="441"/>
    </row>
    <row r="27">
      <c r="A27" s="203" t="s">
        <v>394</v>
      </c>
      <c r="B27" s="203" t="s">
        <v>1515</v>
      </c>
      <c r="C27" s="212" t="b">
        <v>1</v>
      </c>
      <c r="D27" s="409" t="s">
        <v>1547</v>
      </c>
      <c r="E27" s="132" t="s">
        <v>1635</v>
      </c>
      <c r="I27" s="435"/>
      <c r="J27" s="11"/>
      <c r="K27" s="39"/>
      <c r="L27" s="11"/>
      <c r="O27" s="443"/>
    </row>
    <row r="28">
      <c r="A28" s="203" t="s">
        <v>340</v>
      </c>
      <c r="B28" s="203" t="s">
        <v>1515</v>
      </c>
      <c r="C28" s="212" t="b">
        <v>1</v>
      </c>
      <c r="D28" s="409" t="s">
        <v>1529</v>
      </c>
      <c r="E28" s="132" t="s">
        <v>1642</v>
      </c>
      <c r="I28" s="435"/>
      <c r="J28" s="14"/>
      <c r="K28" s="39"/>
      <c r="L28" s="11"/>
      <c r="O28" s="444"/>
    </row>
    <row r="29">
      <c r="A29" s="203" t="s">
        <v>378</v>
      </c>
      <c r="B29" s="203" t="s">
        <v>1515</v>
      </c>
      <c r="C29" s="212" t="b">
        <v>1</v>
      </c>
      <c r="D29" s="409" t="s">
        <v>1630</v>
      </c>
      <c r="E29" s="132" t="s">
        <v>1646</v>
      </c>
      <c r="I29" s="39"/>
      <c r="J29" s="14"/>
      <c r="K29" s="14"/>
      <c r="L29" s="11"/>
      <c r="O29" s="441"/>
    </row>
    <row r="30">
      <c r="A30" s="203" t="s">
        <v>368</v>
      </c>
      <c r="B30" s="200" t="s">
        <v>1648</v>
      </c>
      <c r="C30" s="212" t="b">
        <v>1</v>
      </c>
      <c r="D30" s="405"/>
      <c r="E30" s="132" t="s">
        <v>1650</v>
      </c>
      <c r="I30" s="9"/>
      <c r="J30" s="11"/>
      <c r="K30" s="88"/>
      <c r="L30" s="17"/>
      <c r="O30" s="443"/>
    </row>
    <row r="31">
      <c r="A31" s="408" t="s">
        <v>599</v>
      </c>
      <c r="B31" s="447" t="s">
        <v>1648</v>
      </c>
      <c r="C31" s="286"/>
      <c r="D31" s="405"/>
      <c r="E31" s="3"/>
      <c r="I31" s="132"/>
      <c r="K31" s="450"/>
      <c r="O31" s="444"/>
    </row>
    <row r="32">
      <c r="A32" s="203" t="s">
        <v>322</v>
      </c>
      <c r="B32" s="203" t="s">
        <v>1659</v>
      </c>
      <c r="C32" s="212" t="b">
        <v>1</v>
      </c>
      <c r="D32" s="409"/>
      <c r="E32" s="132" t="s">
        <v>1663</v>
      </c>
      <c r="K32" s="450"/>
      <c r="O32" s="444"/>
    </row>
    <row r="33">
      <c r="A33" s="203" t="s">
        <v>364</v>
      </c>
      <c r="B33" s="203" t="s">
        <v>1659</v>
      </c>
      <c r="C33" s="212" t="b">
        <v>1</v>
      </c>
      <c r="D33" s="409" t="s">
        <v>1665</v>
      </c>
      <c r="E33" s="132" t="s">
        <v>1667</v>
      </c>
      <c r="I33" s="452"/>
      <c r="K33" s="450"/>
    </row>
    <row r="34">
      <c r="A34" s="203" t="s">
        <v>335</v>
      </c>
      <c r="B34" s="203" t="s">
        <v>1659</v>
      </c>
      <c r="C34" s="212" t="b">
        <v>1</v>
      </c>
      <c r="D34" s="409" t="s">
        <v>1672</v>
      </c>
      <c r="E34" s="132" t="s">
        <v>1674</v>
      </c>
      <c r="I34" s="132"/>
      <c r="K34" s="450"/>
    </row>
    <row r="35">
      <c r="A35" s="203" t="s">
        <v>341</v>
      </c>
      <c r="B35" s="203" t="s">
        <v>1659</v>
      </c>
      <c r="C35" s="212" t="b">
        <v>1</v>
      </c>
      <c r="D35" s="409" t="s">
        <v>1677</v>
      </c>
      <c r="E35" s="132" t="s">
        <v>1679</v>
      </c>
      <c r="I35" s="132"/>
      <c r="K35" s="450"/>
    </row>
    <row r="36">
      <c r="A36" s="453" t="s">
        <v>375</v>
      </c>
      <c r="B36" s="203" t="s">
        <v>1659</v>
      </c>
      <c r="C36" s="212" t="b">
        <v>1</v>
      </c>
      <c r="D36" s="409" t="s">
        <v>1683</v>
      </c>
      <c r="E36" s="132" t="s">
        <v>1684</v>
      </c>
      <c r="I36" s="9"/>
      <c r="K36" s="454"/>
    </row>
    <row r="37">
      <c r="A37" s="455" t="s">
        <v>362</v>
      </c>
      <c r="B37" s="203" t="s">
        <v>1659</v>
      </c>
      <c r="C37" s="212" t="b">
        <v>1</v>
      </c>
      <c r="D37" s="409" t="s">
        <v>1690</v>
      </c>
      <c r="E37" s="132" t="s">
        <v>1691</v>
      </c>
      <c r="I37" s="132"/>
      <c r="K37" s="454"/>
    </row>
    <row r="38">
      <c r="A38" s="203" t="s">
        <v>382</v>
      </c>
      <c r="B38" s="203" t="s">
        <v>1659</v>
      </c>
      <c r="C38" s="212" t="b">
        <v>1</v>
      </c>
      <c r="D38" s="409" t="s">
        <v>1693</v>
      </c>
      <c r="E38" s="132" t="s">
        <v>1694</v>
      </c>
      <c r="I38" s="9"/>
      <c r="K38" s="454"/>
    </row>
    <row r="39">
      <c r="A39" s="203" t="s">
        <v>391</v>
      </c>
      <c r="B39" s="203" t="s">
        <v>1659</v>
      </c>
      <c r="C39" s="212" t="b">
        <v>1</v>
      </c>
      <c r="D39" s="409" t="s">
        <v>1695</v>
      </c>
      <c r="E39" s="132" t="s">
        <v>1696</v>
      </c>
      <c r="I39" s="132"/>
      <c r="K39" s="454"/>
    </row>
    <row r="40">
      <c r="A40" s="203" t="s">
        <v>372</v>
      </c>
      <c r="B40" s="203" t="s">
        <v>1659</v>
      </c>
      <c r="C40" s="212" t="b">
        <v>1</v>
      </c>
      <c r="D40" s="409" t="s">
        <v>1693</v>
      </c>
      <c r="E40" s="132" t="s">
        <v>1698</v>
      </c>
      <c r="I40" s="132"/>
      <c r="K40" s="454"/>
    </row>
    <row r="41">
      <c r="A41" s="203" t="s">
        <v>327</v>
      </c>
      <c r="B41" s="203" t="s">
        <v>1659</v>
      </c>
      <c r="C41" s="212" t="b">
        <v>1</v>
      </c>
      <c r="D41" s="409" t="s">
        <v>1701</v>
      </c>
      <c r="E41" s="132" t="s">
        <v>1702</v>
      </c>
      <c r="I41" s="132"/>
      <c r="K41" s="454"/>
    </row>
    <row r="42">
      <c r="A42" s="203" t="s">
        <v>345</v>
      </c>
      <c r="B42" s="203" t="s">
        <v>1659</v>
      </c>
      <c r="C42" s="212" t="b">
        <v>1</v>
      </c>
      <c r="D42" s="405"/>
      <c r="E42" s="132" t="s">
        <v>1704</v>
      </c>
      <c r="I42" s="132"/>
    </row>
    <row r="43">
      <c r="A43" s="203" t="s">
        <v>415</v>
      </c>
      <c r="B43" s="203" t="s">
        <v>1659</v>
      </c>
      <c r="C43" s="212" t="b">
        <v>1</v>
      </c>
      <c r="D43" s="409" t="s">
        <v>1693</v>
      </c>
      <c r="E43" s="132" t="s">
        <v>1707</v>
      </c>
      <c r="I43" s="132"/>
    </row>
    <row r="44">
      <c r="A44" s="203" t="s">
        <v>337</v>
      </c>
      <c r="B44" s="203" t="s">
        <v>1659</v>
      </c>
      <c r="C44" s="212" t="b">
        <v>1</v>
      </c>
      <c r="D44" s="409" t="s">
        <v>1693</v>
      </c>
      <c r="E44" s="132" t="s">
        <v>1709</v>
      </c>
      <c r="I44" s="132"/>
    </row>
    <row r="45">
      <c r="A45" s="203" t="s">
        <v>380</v>
      </c>
      <c r="B45" s="203" t="s">
        <v>1659</v>
      </c>
      <c r="C45" s="212" t="b">
        <v>1</v>
      </c>
      <c r="D45" s="405"/>
      <c r="E45" s="132" t="s">
        <v>1713</v>
      </c>
      <c r="I45" s="132"/>
    </row>
    <row r="46">
      <c r="A46" s="408" t="s">
        <v>385</v>
      </c>
      <c r="B46" s="408" t="s">
        <v>1659</v>
      </c>
      <c r="C46" s="286"/>
      <c r="D46" s="405"/>
      <c r="E46" s="132" t="s">
        <v>1716</v>
      </c>
      <c r="I46" s="132"/>
    </row>
    <row r="47">
      <c r="A47" s="203" t="s">
        <v>484</v>
      </c>
      <c r="B47" s="203" t="s">
        <v>1659</v>
      </c>
      <c r="C47" s="212"/>
      <c r="D47" s="409" t="s">
        <v>1693</v>
      </c>
      <c r="E47" s="132" t="s">
        <v>1718</v>
      </c>
      <c r="I47" s="132"/>
    </row>
    <row r="48">
      <c r="A48" s="203" t="s">
        <v>384</v>
      </c>
      <c r="B48" s="203" t="s">
        <v>1659</v>
      </c>
      <c r="C48" s="212" t="b">
        <v>1</v>
      </c>
      <c r="D48" s="405"/>
      <c r="E48" s="132" t="s">
        <v>1722</v>
      </c>
      <c r="I48" s="132"/>
    </row>
    <row r="49">
      <c r="A49" s="203" t="s">
        <v>448</v>
      </c>
      <c r="B49" s="212" t="s">
        <v>1723</v>
      </c>
      <c r="C49" s="212" t="b">
        <v>1</v>
      </c>
      <c r="D49" s="409" t="s">
        <v>1693</v>
      </c>
      <c r="E49" s="132" t="s">
        <v>1724</v>
      </c>
      <c r="I49" s="132"/>
    </row>
    <row r="50">
      <c r="A50" s="203" t="s">
        <v>424</v>
      </c>
      <c r="B50" s="203" t="s">
        <v>1659</v>
      </c>
      <c r="C50" s="212" t="b">
        <v>1</v>
      </c>
      <c r="D50" s="409" t="s">
        <v>1693</v>
      </c>
      <c r="E50" s="132" t="s">
        <v>1725</v>
      </c>
      <c r="I50" s="132"/>
    </row>
    <row r="51">
      <c r="A51" s="203" t="s">
        <v>533</v>
      </c>
      <c r="B51" s="203" t="s">
        <v>1549</v>
      </c>
      <c r="C51" s="212" t="b">
        <v>1</v>
      </c>
      <c r="D51" s="466" t="s">
        <v>1729</v>
      </c>
      <c r="E51" s="132" t="s">
        <v>1730</v>
      </c>
      <c r="I51" s="132"/>
    </row>
    <row r="52">
      <c r="A52" s="203" t="s">
        <v>540</v>
      </c>
      <c r="B52" s="203" t="s">
        <v>1549</v>
      </c>
      <c r="C52" s="212" t="b">
        <v>1</v>
      </c>
      <c r="D52" s="409" t="s">
        <v>1735</v>
      </c>
      <c r="E52" s="132" t="s">
        <v>1736</v>
      </c>
      <c r="I52" s="132"/>
    </row>
    <row r="53">
      <c r="A53" s="411" t="s">
        <v>553</v>
      </c>
      <c r="B53" s="411" t="s">
        <v>1549</v>
      </c>
      <c r="C53" s="410" t="b">
        <v>0</v>
      </c>
      <c r="D53" s="409" t="s">
        <v>1738</v>
      </c>
      <c r="E53" s="3"/>
      <c r="I53" s="132"/>
    </row>
    <row r="54">
      <c r="A54" s="203" t="s">
        <v>518</v>
      </c>
      <c r="B54" s="203" t="s">
        <v>1549</v>
      </c>
      <c r="C54" s="212" t="b">
        <v>1</v>
      </c>
      <c r="D54" s="405"/>
      <c r="E54" s="132" t="s">
        <v>1742</v>
      </c>
      <c r="I54" s="132"/>
    </row>
    <row r="55">
      <c r="A55" s="408" t="s">
        <v>594</v>
      </c>
      <c r="B55" s="408" t="s">
        <v>1549</v>
      </c>
      <c r="C55" s="286"/>
      <c r="D55" s="405"/>
      <c r="E55" s="132" t="s">
        <v>1744</v>
      </c>
      <c r="I55" s="132"/>
    </row>
    <row r="56">
      <c r="A56" s="203" t="s">
        <v>537</v>
      </c>
      <c r="B56" s="203" t="s">
        <v>1549</v>
      </c>
      <c r="C56" s="212" t="b">
        <v>1</v>
      </c>
      <c r="D56" s="409" t="s">
        <v>1746</v>
      </c>
      <c r="E56" s="132" t="s">
        <v>1747</v>
      </c>
      <c r="I56" s="132"/>
    </row>
    <row r="57">
      <c r="A57" s="203" t="s">
        <v>536</v>
      </c>
      <c r="B57" s="203" t="s">
        <v>1549</v>
      </c>
      <c r="C57" s="212" t="b">
        <v>1</v>
      </c>
      <c r="D57" s="409" t="s">
        <v>1748</v>
      </c>
      <c r="E57" s="132" t="s">
        <v>1749</v>
      </c>
      <c r="I57" s="132"/>
    </row>
    <row r="58">
      <c r="A58" s="408" t="s">
        <v>606</v>
      </c>
      <c r="B58" s="408" t="s">
        <v>1549</v>
      </c>
      <c r="C58" s="358"/>
      <c r="D58" s="409" t="s">
        <v>1746</v>
      </c>
      <c r="E58" s="3"/>
      <c r="I58" s="132"/>
    </row>
    <row r="59">
      <c r="A59" s="467" t="s">
        <v>365</v>
      </c>
      <c r="B59" s="467" t="s">
        <v>1754</v>
      </c>
      <c r="C59" s="415" t="b">
        <v>0</v>
      </c>
      <c r="D59" s="409" t="s">
        <v>1756</v>
      </c>
      <c r="E59" s="3"/>
      <c r="I59" s="132"/>
    </row>
    <row r="60">
      <c r="A60" s="203" t="s">
        <v>348</v>
      </c>
      <c r="B60" s="203" t="s">
        <v>1754</v>
      </c>
      <c r="C60" s="212" t="b">
        <v>1</v>
      </c>
      <c r="D60" s="409" t="s">
        <v>1746</v>
      </c>
      <c r="E60" s="132" t="s">
        <v>1759</v>
      </c>
      <c r="I60" s="132"/>
    </row>
    <row r="61">
      <c r="A61" s="408" t="s">
        <v>446</v>
      </c>
      <c r="B61" s="408" t="s">
        <v>1754</v>
      </c>
      <c r="C61" s="358"/>
      <c r="D61" s="409" t="s">
        <v>1760</v>
      </c>
      <c r="E61" s="3"/>
      <c r="I61" s="132"/>
    </row>
    <row r="62">
      <c r="A62" s="203" t="s">
        <v>454</v>
      </c>
      <c r="B62" s="203" t="s">
        <v>1754</v>
      </c>
      <c r="C62" s="212" t="b">
        <v>1</v>
      </c>
      <c r="D62" s="409" t="s">
        <v>1746</v>
      </c>
      <c r="E62" s="132" t="s">
        <v>1762</v>
      </c>
      <c r="I62" s="132"/>
    </row>
    <row r="63">
      <c r="A63" s="203" t="s">
        <v>402</v>
      </c>
      <c r="B63" s="203" t="s">
        <v>1754</v>
      </c>
      <c r="C63" s="212" t="b">
        <v>1</v>
      </c>
      <c r="D63" s="409" t="s">
        <v>1746</v>
      </c>
      <c r="E63" s="132" t="s">
        <v>1766</v>
      </c>
      <c r="I63" s="132"/>
    </row>
    <row r="64">
      <c r="A64" s="203" t="s">
        <v>462</v>
      </c>
      <c r="B64" s="203" t="s">
        <v>1754</v>
      </c>
      <c r="C64" s="212" t="b">
        <v>1</v>
      </c>
      <c r="D64" s="405"/>
      <c r="E64" s="132" t="s">
        <v>1770</v>
      </c>
      <c r="I64" s="132"/>
    </row>
    <row r="65">
      <c r="A65" s="203" t="s">
        <v>437</v>
      </c>
      <c r="B65" s="203" t="s">
        <v>1754</v>
      </c>
      <c r="C65" s="212" t="b">
        <v>1</v>
      </c>
      <c r="D65" s="405"/>
      <c r="E65" s="132" t="s">
        <v>1771</v>
      </c>
      <c r="I65" s="39"/>
    </row>
    <row r="66">
      <c r="A66" s="408" t="s">
        <v>467</v>
      </c>
      <c r="B66" s="408" t="s">
        <v>1754</v>
      </c>
      <c r="C66" s="358"/>
      <c r="D66" s="409" t="s">
        <v>1746</v>
      </c>
      <c r="E66" s="3"/>
      <c r="G66" s="132"/>
      <c r="I66" s="132"/>
    </row>
    <row r="67">
      <c r="A67" s="203" t="s">
        <v>416</v>
      </c>
      <c r="B67" s="203" t="s">
        <v>1754</v>
      </c>
      <c r="C67" s="212" t="b">
        <v>1</v>
      </c>
      <c r="D67" s="409" t="s">
        <v>1776</v>
      </c>
      <c r="E67" s="132" t="s">
        <v>1777</v>
      </c>
      <c r="G67" s="132"/>
      <c r="I67" s="132"/>
    </row>
    <row r="68">
      <c r="A68" s="203" t="s">
        <v>475</v>
      </c>
      <c r="B68" s="203" t="s">
        <v>1754</v>
      </c>
      <c r="C68" s="212" t="b">
        <v>1</v>
      </c>
      <c r="D68" s="409" t="s">
        <v>1782</v>
      </c>
      <c r="E68" s="132" t="s">
        <v>1784</v>
      </c>
      <c r="G68" s="132"/>
      <c r="I68" s="132"/>
    </row>
    <row r="69">
      <c r="A69" s="408" t="s">
        <v>456</v>
      </c>
      <c r="B69" s="408" t="s">
        <v>1754</v>
      </c>
      <c r="C69" s="358"/>
      <c r="D69" s="409" t="s">
        <v>1785</v>
      </c>
      <c r="E69" s="3"/>
      <c r="G69" s="132"/>
      <c r="I69" s="132"/>
    </row>
    <row r="70">
      <c r="A70" s="411" t="s">
        <v>482</v>
      </c>
      <c r="B70" s="411" t="s">
        <v>1754</v>
      </c>
      <c r="C70" s="410" t="b">
        <v>0</v>
      </c>
      <c r="D70" s="409" t="s">
        <v>1791</v>
      </c>
      <c r="E70" s="3"/>
      <c r="G70" s="132"/>
      <c r="I70" s="132"/>
    </row>
    <row r="71">
      <c r="A71" s="364" t="s">
        <v>428</v>
      </c>
      <c r="B71" s="364" t="s">
        <v>1754</v>
      </c>
      <c r="C71" s="390" t="b">
        <v>0</v>
      </c>
      <c r="D71" s="409" t="s">
        <v>1797</v>
      </c>
      <c r="E71" s="3"/>
      <c r="G71" s="132"/>
      <c r="I71" s="39"/>
    </row>
    <row r="72">
      <c r="A72" s="203" t="s">
        <v>434</v>
      </c>
      <c r="B72" s="203" t="s">
        <v>1754</v>
      </c>
      <c r="C72" s="212" t="b">
        <v>1</v>
      </c>
      <c r="D72" s="409" t="s">
        <v>1746</v>
      </c>
      <c r="E72" s="132" t="s">
        <v>1802</v>
      </c>
      <c r="G72" s="132"/>
      <c r="I72" s="132"/>
    </row>
    <row r="73">
      <c r="A73" s="408" t="s">
        <v>489</v>
      </c>
      <c r="B73" s="408" t="s">
        <v>1754</v>
      </c>
      <c r="C73" s="358"/>
      <c r="D73" s="409" t="s">
        <v>1746</v>
      </c>
      <c r="E73" s="3"/>
      <c r="G73" s="132"/>
      <c r="I73" s="132"/>
    </row>
    <row r="74">
      <c r="A74" s="203" t="s">
        <v>431</v>
      </c>
      <c r="B74" s="203" t="s">
        <v>1754</v>
      </c>
      <c r="C74" s="212" t="b">
        <v>1</v>
      </c>
      <c r="D74" s="409" t="s">
        <v>1746</v>
      </c>
      <c r="E74" s="132" t="s">
        <v>1803</v>
      </c>
      <c r="I74" s="132"/>
    </row>
    <row r="75">
      <c r="A75" s="203" t="s">
        <v>400</v>
      </c>
      <c r="B75" s="203" t="s">
        <v>1754</v>
      </c>
      <c r="C75" s="212" t="b">
        <v>1</v>
      </c>
      <c r="D75" s="409" t="s">
        <v>1807</v>
      </c>
      <c r="E75" s="132" t="s">
        <v>1808</v>
      </c>
      <c r="G75" s="132"/>
      <c r="I75" s="132"/>
    </row>
    <row r="76">
      <c r="A76" s="408" t="s">
        <v>600</v>
      </c>
      <c r="B76" s="408" t="s">
        <v>1754</v>
      </c>
      <c r="C76" s="358"/>
      <c r="D76" s="409" t="s">
        <v>1746</v>
      </c>
      <c r="E76" s="3"/>
      <c r="G76" s="132"/>
      <c r="I76" s="132"/>
    </row>
    <row r="77">
      <c r="A77" s="408" t="s">
        <v>512</v>
      </c>
      <c r="B77" s="408" t="s">
        <v>1754</v>
      </c>
      <c r="C77" s="358"/>
      <c r="D77" s="409" t="s">
        <v>1785</v>
      </c>
      <c r="E77" s="3"/>
      <c r="G77" s="132"/>
      <c r="I77" s="132"/>
    </row>
    <row r="78">
      <c r="A78" s="203" t="s">
        <v>493</v>
      </c>
      <c r="B78" s="203" t="s">
        <v>1754</v>
      </c>
      <c r="C78" s="212" t="b">
        <v>1</v>
      </c>
      <c r="D78" s="409" t="s">
        <v>1813</v>
      </c>
      <c r="E78" s="132" t="s">
        <v>1814</v>
      </c>
      <c r="G78" s="132"/>
      <c r="I78" s="132"/>
    </row>
    <row r="79">
      <c r="A79" s="408" t="s">
        <v>443</v>
      </c>
      <c r="B79" s="408" t="s">
        <v>1754</v>
      </c>
      <c r="C79" s="358"/>
      <c r="D79" s="409" t="s">
        <v>1785</v>
      </c>
      <c r="E79" s="3"/>
      <c r="G79" s="132"/>
      <c r="I79" s="132"/>
    </row>
    <row r="80">
      <c r="A80" s="203" t="s">
        <v>410</v>
      </c>
      <c r="B80" s="203" t="s">
        <v>1754</v>
      </c>
      <c r="C80" s="212" t="b">
        <v>1</v>
      </c>
      <c r="D80" s="405"/>
      <c r="E80" s="132" t="s">
        <v>1820</v>
      </c>
      <c r="G80" s="132"/>
      <c r="I80" s="132"/>
    </row>
    <row r="81">
      <c r="A81" s="203" t="s">
        <v>407</v>
      </c>
      <c r="B81" s="203" t="s">
        <v>1754</v>
      </c>
      <c r="C81" s="212" t="b">
        <v>1</v>
      </c>
      <c r="D81" s="409" t="s">
        <v>1822</v>
      </c>
      <c r="E81" s="3"/>
      <c r="G81" s="132"/>
      <c r="I81" s="132"/>
    </row>
    <row r="82">
      <c r="A82" s="203" t="s">
        <v>438</v>
      </c>
      <c r="B82" s="203" t="s">
        <v>1754</v>
      </c>
      <c r="C82" s="212" t="b">
        <v>1</v>
      </c>
      <c r="D82" s="409" t="s">
        <v>1824</v>
      </c>
      <c r="E82" s="132" t="s">
        <v>1825</v>
      </c>
      <c r="G82" s="132"/>
      <c r="I82" s="132"/>
    </row>
    <row r="83">
      <c r="A83" s="203" t="s">
        <v>496</v>
      </c>
      <c r="B83" s="203" t="s">
        <v>1828</v>
      </c>
      <c r="C83" s="212" t="b">
        <v>1</v>
      </c>
      <c r="D83" s="405"/>
      <c r="E83" s="132" t="s">
        <v>1830</v>
      </c>
      <c r="G83" s="132"/>
      <c r="I83" s="132"/>
    </row>
    <row r="84">
      <c r="A84" s="203" t="s">
        <v>474</v>
      </c>
      <c r="B84" s="203" t="s">
        <v>1828</v>
      </c>
      <c r="C84" s="212" t="b">
        <v>1</v>
      </c>
      <c r="D84" s="409" t="s">
        <v>1834</v>
      </c>
      <c r="E84" s="132" t="s">
        <v>1835</v>
      </c>
      <c r="G84" s="132"/>
    </row>
    <row r="85">
      <c r="A85" s="203" t="s">
        <v>485</v>
      </c>
      <c r="B85" s="203" t="s">
        <v>1828</v>
      </c>
      <c r="C85" s="212" t="b">
        <v>1</v>
      </c>
      <c r="D85" s="409" t="s">
        <v>1837</v>
      </c>
      <c r="E85" s="132" t="s">
        <v>1839</v>
      </c>
      <c r="G85" s="132"/>
      <c r="I85" s="132"/>
    </row>
    <row r="86">
      <c r="A86" s="203" t="s">
        <v>507</v>
      </c>
      <c r="B86" s="203" t="s">
        <v>1828</v>
      </c>
      <c r="C86" s="212" t="b">
        <v>1</v>
      </c>
      <c r="D86" s="409" t="s">
        <v>1842</v>
      </c>
      <c r="E86" s="132" t="s">
        <v>1843</v>
      </c>
      <c r="G86" s="132"/>
      <c r="I86" s="132"/>
    </row>
    <row r="87">
      <c r="A87" s="203" t="s">
        <v>517</v>
      </c>
      <c r="B87" s="203" t="s">
        <v>1828</v>
      </c>
      <c r="C87" s="212" t="b">
        <v>1</v>
      </c>
      <c r="D87" s="405"/>
      <c r="E87" s="132" t="s">
        <v>1846</v>
      </c>
      <c r="G87" s="132"/>
      <c r="I87" s="132"/>
    </row>
    <row r="88">
      <c r="A88" s="408" t="s">
        <v>544</v>
      </c>
      <c r="B88" s="408" t="s">
        <v>1828</v>
      </c>
      <c r="C88" s="286"/>
      <c r="D88" s="409" t="s">
        <v>1834</v>
      </c>
      <c r="E88" s="132" t="s">
        <v>1848</v>
      </c>
      <c r="G88" s="132"/>
      <c r="I88" s="132"/>
    </row>
    <row r="89">
      <c r="A89" s="408" t="s">
        <v>539</v>
      </c>
      <c r="B89" s="408" t="s">
        <v>1828</v>
      </c>
      <c r="C89" s="358"/>
      <c r="D89" s="409" t="s">
        <v>1834</v>
      </c>
      <c r="E89" s="3"/>
      <c r="G89" s="132"/>
      <c r="I89" s="132"/>
    </row>
    <row r="90">
      <c r="A90" s="203" t="s">
        <v>520</v>
      </c>
      <c r="B90" s="203" t="s">
        <v>1828</v>
      </c>
      <c r="C90" s="212" t="b">
        <v>1</v>
      </c>
      <c r="D90" s="405"/>
      <c r="E90" s="132" t="s">
        <v>1850</v>
      </c>
      <c r="G90" s="132"/>
      <c r="I90" s="132"/>
    </row>
    <row r="91">
      <c r="A91" s="411" t="s">
        <v>505</v>
      </c>
      <c r="B91" s="411" t="s">
        <v>1828</v>
      </c>
      <c r="C91" s="410" t="b">
        <v>0</v>
      </c>
      <c r="D91" s="409" t="s">
        <v>1852</v>
      </c>
      <c r="E91" s="3"/>
      <c r="G91" s="132"/>
      <c r="I91" s="132"/>
    </row>
    <row r="92">
      <c r="A92" s="203" t="s">
        <v>538</v>
      </c>
      <c r="B92" s="203" t="s">
        <v>1828</v>
      </c>
      <c r="C92" s="212" t="b">
        <v>1</v>
      </c>
      <c r="D92" s="409" t="s">
        <v>1856</v>
      </c>
      <c r="E92" s="132" t="s">
        <v>1857</v>
      </c>
      <c r="G92" s="132"/>
      <c r="I92" s="132"/>
    </row>
    <row r="93">
      <c r="A93" s="203" t="s">
        <v>502</v>
      </c>
      <c r="B93" s="203" t="s">
        <v>1828</v>
      </c>
      <c r="C93" s="212" t="b">
        <v>1</v>
      </c>
      <c r="D93" s="409" t="s">
        <v>1858</v>
      </c>
      <c r="E93" s="132" t="s">
        <v>1859</v>
      </c>
      <c r="G93" s="242"/>
      <c r="H93" s="242"/>
      <c r="I93" s="18"/>
    </row>
    <row r="94">
      <c r="A94" s="203" t="s">
        <v>509</v>
      </c>
      <c r="B94" s="203" t="s">
        <v>1828</v>
      </c>
      <c r="C94" s="212" t="b">
        <v>1</v>
      </c>
      <c r="D94" s="409" t="s">
        <v>1861</v>
      </c>
      <c r="E94" s="39" t="s">
        <v>1862</v>
      </c>
      <c r="G94" s="132"/>
      <c r="H94" s="14"/>
      <c r="I94" s="435"/>
    </row>
    <row r="95">
      <c r="A95" s="408" t="s">
        <v>604</v>
      </c>
      <c r="B95" s="408" t="s">
        <v>1828</v>
      </c>
      <c r="C95" s="358"/>
      <c r="D95" s="409" t="s">
        <v>1863</v>
      </c>
      <c r="E95" s="3"/>
      <c r="G95" s="132"/>
      <c r="H95" s="14"/>
      <c r="I95" s="435"/>
    </row>
    <row r="96">
      <c r="A96" s="203" t="s">
        <v>528</v>
      </c>
      <c r="B96" s="203" t="s">
        <v>1828</v>
      </c>
      <c r="C96" s="212" t="b">
        <v>1</v>
      </c>
      <c r="D96" s="409" t="s">
        <v>1866</v>
      </c>
      <c r="E96" s="132" t="s">
        <v>1867</v>
      </c>
      <c r="G96" s="132"/>
      <c r="H96" s="14"/>
      <c r="I96" s="435"/>
    </row>
    <row r="97">
      <c r="A97" s="411" t="s">
        <v>530</v>
      </c>
      <c r="B97" s="411" t="s">
        <v>1828</v>
      </c>
      <c r="C97" s="410" t="b">
        <v>0</v>
      </c>
      <c r="D97" s="409" t="s">
        <v>1870</v>
      </c>
      <c r="E97" s="3"/>
      <c r="G97" s="132"/>
      <c r="H97" s="14"/>
      <c r="I97" s="435"/>
    </row>
    <row r="98">
      <c r="A98" s="203" t="s">
        <v>278</v>
      </c>
      <c r="B98" s="200" t="s">
        <v>1873</v>
      </c>
      <c r="C98" s="212" t="b">
        <v>1</v>
      </c>
      <c r="D98" s="405"/>
      <c r="E98" s="132" t="s">
        <v>1875</v>
      </c>
      <c r="G98" s="132"/>
      <c r="I98" s="132"/>
    </row>
    <row r="99">
      <c r="A99" s="203" t="s">
        <v>236</v>
      </c>
      <c r="B99" s="200" t="s">
        <v>1873</v>
      </c>
      <c r="C99" s="212" t="b">
        <v>1</v>
      </c>
      <c r="D99" s="405"/>
      <c r="E99" s="132" t="s">
        <v>1876</v>
      </c>
      <c r="G99" s="132"/>
      <c r="I99" s="132"/>
    </row>
    <row r="100">
      <c r="A100" s="411" t="s">
        <v>46</v>
      </c>
      <c r="B100" s="411" t="s">
        <v>1879</v>
      </c>
      <c r="C100" s="406" t="b">
        <v>0</v>
      </c>
      <c r="D100" s="409" t="s">
        <v>1880</v>
      </c>
      <c r="E100" s="3"/>
      <c r="G100" s="132"/>
    </row>
    <row r="101">
      <c r="A101" s="408" t="s">
        <v>49</v>
      </c>
      <c r="B101" s="408" t="s">
        <v>1879</v>
      </c>
      <c r="C101" s="358"/>
      <c r="D101" s="409" t="s">
        <v>1882</v>
      </c>
      <c r="E101" s="3"/>
      <c r="G101" s="132"/>
    </row>
    <row r="102">
      <c r="A102" s="203" t="s">
        <v>62</v>
      </c>
      <c r="B102" s="203" t="s">
        <v>1879</v>
      </c>
      <c r="C102" s="212" t="b">
        <v>1</v>
      </c>
      <c r="D102" s="409" t="s">
        <v>1885</v>
      </c>
      <c r="E102" s="132" t="s">
        <v>1886</v>
      </c>
      <c r="G102" s="132"/>
    </row>
    <row r="103">
      <c r="A103" s="408" t="s">
        <v>25</v>
      </c>
      <c r="B103" s="408" t="s">
        <v>1879</v>
      </c>
      <c r="C103" s="286"/>
      <c r="D103" s="409" t="s">
        <v>1888</v>
      </c>
      <c r="E103" s="3"/>
      <c r="G103" s="132"/>
    </row>
    <row r="104">
      <c r="A104" s="408" t="s">
        <v>69</v>
      </c>
      <c r="B104" s="408" t="s">
        <v>1879</v>
      </c>
      <c r="C104" s="286"/>
      <c r="D104" s="409" t="s">
        <v>1890</v>
      </c>
      <c r="E104" s="3"/>
      <c r="G104" s="132"/>
    </row>
    <row r="105">
      <c r="A105" s="408" t="s">
        <v>82</v>
      </c>
      <c r="B105" s="408" t="s">
        <v>1879</v>
      </c>
      <c r="C105" s="286"/>
      <c r="D105" s="409" t="s">
        <v>1890</v>
      </c>
      <c r="E105" s="3"/>
      <c r="G105" s="132"/>
    </row>
    <row r="106">
      <c r="A106" s="203" t="s">
        <v>228</v>
      </c>
      <c r="B106" s="203" t="s">
        <v>1879</v>
      </c>
      <c r="C106" s="212" t="b">
        <v>1</v>
      </c>
      <c r="D106" s="409" t="s">
        <v>1894</v>
      </c>
      <c r="E106" s="132" t="s">
        <v>1895</v>
      </c>
      <c r="G106" s="132"/>
    </row>
    <row r="107">
      <c r="A107" s="411" t="s">
        <v>176</v>
      </c>
      <c r="B107" s="411" t="s">
        <v>1879</v>
      </c>
      <c r="C107" s="406" t="b">
        <v>0</v>
      </c>
      <c r="D107" s="409" t="s">
        <v>1899</v>
      </c>
      <c r="E107" s="3"/>
      <c r="G107" s="132"/>
    </row>
    <row r="108">
      <c r="A108" s="203" t="s">
        <v>195</v>
      </c>
      <c r="B108" s="203" t="s">
        <v>1879</v>
      </c>
      <c r="C108" s="212" t="b">
        <v>1</v>
      </c>
      <c r="D108" s="409" t="s">
        <v>1901</v>
      </c>
      <c r="E108" s="132" t="s">
        <v>1902</v>
      </c>
      <c r="G108" s="132"/>
    </row>
    <row r="109">
      <c r="A109" s="408" t="s">
        <v>169</v>
      </c>
      <c r="B109" s="408" t="s">
        <v>1879</v>
      </c>
      <c r="C109" s="286"/>
      <c r="D109" s="409" t="s">
        <v>1890</v>
      </c>
      <c r="E109" s="3"/>
      <c r="G109" s="132"/>
    </row>
    <row r="110">
      <c r="A110" s="203" t="s">
        <v>188</v>
      </c>
      <c r="B110" s="203" t="s">
        <v>1879</v>
      </c>
      <c r="C110" s="212" t="b">
        <v>1</v>
      </c>
      <c r="D110" s="409" t="s">
        <v>1890</v>
      </c>
      <c r="E110" s="132" t="s">
        <v>1907</v>
      </c>
      <c r="G110" s="132"/>
    </row>
    <row r="111">
      <c r="A111" s="411" t="s">
        <v>196</v>
      </c>
      <c r="B111" s="411" t="s">
        <v>1879</v>
      </c>
      <c r="C111" s="410" t="b">
        <v>0</v>
      </c>
      <c r="D111" s="409" t="s">
        <v>1908</v>
      </c>
      <c r="E111" s="3"/>
      <c r="G111" s="132"/>
    </row>
    <row r="112">
      <c r="A112" s="411" t="s">
        <v>215</v>
      </c>
      <c r="B112" s="411" t="s">
        <v>1879</v>
      </c>
      <c r="C112" s="406" t="b">
        <v>0</v>
      </c>
      <c r="D112" s="409" t="s">
        <v>1912</v>
      </c>
      <c r="E112" s="3"/>
      <c r="G112" s="132"/>
    </row>
    <row r="113">
      <c r="A113" s="203" t="s">
        <v>184</v>
      </c>
      <c r="B113" s="203" t="s">
        <v>1879</v>
      </c>
      <c r="C113" s="212" t="b">
        <v>1</v>
      </c>
      <c r="D113" s="405"/>
      <c r="E113" s="132" t="s">
        <v>1916</v>
      </c>
      <c r="G113" s="132"/>
    </row>
    <row r="114">
      <c r="A114" s="203" t="s">
        <v>128</v>
      </c>
      <c r="B114" s="203" t="s">
        <v>1879</v>
      </c>
      <c r="C114" s="212" t="b">
        <v>1</v>
      </c>
      <c r="D114" s="409" t="s">
        <v>1918</v>
      </c>
      <c r="E114" s="132" t="s">
        <v>1919</v>
      </c>
      <c r="G114" s="132"/>
    </row>
    <row r="115">
      <c r="A115" s="203" t="s">
        <v>190</v>
      </c>
      <c r="B115" s="203" t="s">
        <v>1879</v>
      </c>
      <c r="C115" s="212" t="b">
        <v>1</v>
      </c>
      <c r="D115" s="405"/>
      <c r="E115" s="132" t="s">
        <v>1923</v>
      </c>
      <c r="G115" s="132"/>
    </row>
    <row r="116">
      <c r="A116" s="203" t="s">
        <v>51</v>
      </c>
      <c r="B116" s="203" t="s">
        <v>1925</v>
      </c>
      <c r="C116" s="212" t="b">
        <v>1</v>
      </c>
      <c r="D116" s="405"/>
      <c r="E116" s="132" t="s">
        <v>1926</v>
      </c>
      <c r="G116" s="132"/>
    </row>
    <row r="117">
      <c r="A117" s="481" t="s">
        <v>93</v>
      </c>
      <c r="B117" s="481" t="s">
        <v>1925</v>
      </c>
      <c r="C117" s="482" t="b">
        <v>1</v>
      </c>
      <c r="D117" s="409" t="s">
        <v>1934</v>
      </c>
      <c r="E117" s="132" t="s">
        <v>1759</v>
      </c>
      <c r="G117" s="132"/>
    </row>
    <row r="118">
      <c r="A118" s="411" t="s">
        <v>126</v>
      </c>
      <c r="B118" s="411" t="s">
        <v>1925</v>
      </c>
      <c r="C118" s="410" t="b">
        <v>0</v>
      </c>
      <c r="D118" s="409" t="s">
        <v>1936</v>
      </c>
      <c r="E118" s="3"/>
      <c r="G118" s="132"/>
    </row>
    <row r="119">
      <c r="A119" s="203" t="s">
        <v>74</v>
      </c>
      <c r="B119" s="203" t="s">
        <v>1925</v>
      </c>
      <c r="C119" s="212" t="b">
        <v>1</v>
      </c>
      <c r="D119" s="405"/>
      <c r="E119" s="132" t="s">
        <v>1938</v>
      </c>
      <c r="G119" s="132"/>
    </row>
    <row r="120">
      <c r="A120" s="203" t="s">
        <v>85</v>
      </c>
      <c r="B120" s="203" t="s">
        <v>1925</v>
      </c>
      <c r="C120" s="212" t="b">
        <v>1</v>
      </c>
      <c r="D120" s="409" t="s">
        <v>1941</v>
      </c>
      <c r="E120" s="132" t="s">
        <v>1942</v>
      </c>
      <c r="G120" s="132"/>
    </row>
    <row r="121">
      <c r="A121" s="203" t="s">
        <v>81</v>
      </c>
      <c r="B121" s="203" t="s">
        <v>1925</v>
      </c>
      <c r="C121" s="212" t="b">
        <v>1</v>
      </c>
      <c r="D121" s="405"/>
      <c r="E121" s="132" t="s">
        <v>1944</v>
      </c>
      <c r="G121" s="132"/>
    </row>
    <row r="122">
      <c r="A122" s="203" t="s">
        <v>84</v>
      </c>
      <c r="B122" s="203" t="s">
        <v>1925</v>
      </c>
      <c r="C122" s="212" t="b">
        <v>1</v>
      </c>
      <c r="D122" s="409" t="s">
        <v>1946</v>
      </c>
      <c r="E122" s="132" t="s">
        <v>1947</v>
      </c>
    </row>
    <row r="123">
      <c r="A123" s="411" t="s">
        <v>116</v>
      </c>
      <c r="B123" s="411" t="s">
        <v>1925</v>
      </c>
      <c r="C123" s="406" t="b">
        <v>0</v>
      </c>
      <c r="D123" s="409" t="s">
        <v>1950</v>
      </c>
      <c r="E123" s="3"/>
    </row>
    <row r="124">
      <c r="A124" s="203" t="s">
        <v>277</v>
      </c>
      <c r="B124" s="203" t="s">
        <v>1953</v>
      </c>
      <c r="C124" s="212" t="b">
        <v>1</v>
      </c>
      <c r="D124" s="409" t="s">
        <v>1956</v>
      </c>
      <c r="E124" s="132" t="s">
        <v>1957</v>
      </c>
    </row>
    <row r="125">
      <c r="A125" s="203" t="s">
        <v>283</v>
      </c>
      <c r="B125" s="203" t="s">
        <v>1958</v>
      </c>
      <c r="C125" s="212" t="b">
        <v>1</v>
      </c>
      <c r="D125" s="409" t="s">
        <v>1956</v>
      </c>
      <c r="E125" s="132" t="s">
        <v>1957</v>
      </c>
    </row>
    <row r="126">
      <c r="A126" s="203" t="s">
        <v>57</v>
      </c>
      <c r="B126" s="212" t="s">
        <v>1961</v>
      </c>
      <c r="C126" s="212" t="b">
        <v>1</v>
      </c>
      <c r="D126" s="405"/>
      <c r="E126" s="132" t="s">
        <v>1965</v>
      </c>
    </row>
    <row r="127">
      <c r="A127" s="203" t="s">
        <v>34</v>
      </c>
      <c r="B127" s="212" t="s">
        <v>1961</v>
      </c>
      <c r="C127" s="212" t="b">
        <v>1</v>
      </c>
      <c r="D127" s="409" t="s">
        <v>1956</v>
      </c>
      <c r="E127" s="132" t="s">
        <v>1957</v>
      </c>
    </row>
    <row r="128">
      <c r="A128" s="203" t="s">
        <v>10</v>
      </c>
      <c r="B128" s="212" t="s">
        <v>1961</v>
      </c>
      <c r="C128" s="212" t="b">
        <v>1</v>
      </c>
      <c r="D128" s="409" t="s">
        <v>1956</v>
      </c>
      <c r="E128" s="132" t="s">
        <v>1957</v>
      </c>
    </row>
    <row r="129">
      <c r="A129" s="203" t="s">
        <v>448</v>
      </c>
      <c r="B129" s="212" t="s">
        <v>1723</v>
      </c>
      <c r="C129" s="212" t="b">
        <v>1</v>
      </c>
      <c r="D129" s="405"/>
      <c r="E129" s="132" t="s">
        <v>1724</v>
      </c>
    </row>
    <row r="130">
      <c r="A130" s="203" t="s">
        <v>542</v>
      </c>
      <c r="B130" s="203" t="s">
        <v>1973</v>
      </c>
      <c r="C130" s="212" t="b">
        <v>1</v>
      </c>
      <c r="D130" s="409" t="s">
        <v>1975</v>
      </c>
      <c r="E130" s="132" t="s">
        <v>1976</v>
      </c>
    </row>
    <row r="131">
      <c r="A131" s="203" t="s">
        <v>551</v>
      </c>
      <c r="B131" s="203" t="s">
        <v>1978</v>
      </c>
      <c r="C131" s="212" t="b">
        <v>1</v>
      </c>
      <c r="D131" s="409" t="s">
        <v>1979</v>
      </c>
      <c r="E131" s="132" t="s">
        <v>1981</v>
      </c>
    </row>
    <row r="132">
      <c r="A132" s="203" t="s">
        <v>555</v>
      </c>
      <c r="B132" s="203" t="s">
        <v>1973</v>
      </c>
      <c r="C132" s="212" t="b">
        <v>1</v>
      </c>
      <c r="D132" s="409" t="s">
        <v>1984</v>
      </c>
      <c r="E132" s="132" t="s">
        <v>1986</v>
      </c>
      <c r="H132" s="132"/>
    </row>
    <row r="133">
      <c r="A133" s="411" t="s">
        <v>557</v>
      </c>
      <c r="B133" s="411" t="s">
        <v>1973</v>
      </c>
      <c r="C133" s="406" t="b">
        <v>0</v>
      </c>
      <c r="D133" s="409" t="s">
        <v>1989</v>
      </c>
      <c r="E133" s="3"/>
      <c r="H133" s="132"/>
    </row>
    <row r="134">
      <c r="A134" s="203" t="s">
        <v>207</v>
      </c>
      <c r="B134" s="203" t="s">
        <v>1973</v>
      </c>
      <c r="C134" s="212" t="b">
        <v>1</v>
      </c>
      <c r="D134" s="405"/>
      <c r="E134" s="132" t="s">
        <v>1992</v>
      </c>
      <c r="H134" s="132"/>
    </row>
    <row r="135">
      <c r="A135" s="408" t="s">
        <v>259</v>
      </c>
      <c r="B135" s="408" t="s">
        <v>1973</v>
      </c>
      <c r="C135" s="286"/>
      <c r="D135" s="409" t="s">
        <v>1996</v>
      </c>
      <c r="E135" s="132" t="s">
        <v>1997</v>
      </c>
      <c r="H135" s="132"/>
    </row>
    <row r="136">
      <c r="A136" s="203" t="s">
        <v>186</v>
      </c>
      <c r="B136" s="203" t="s">
        <v>1973</v>
      </c>
      <c r="C136" s="212" t="b">
        <v>1</v>
      </c>
      <c r="D136" s="409" t="s">
        <v>1999</v>
      </c>
      <c r="E136" s="132" t="s">
        <v>2000</v>
      </c>
      <c r="F136" s="16"/>
      <c r="H136" s="132"/>
    </row>
    <row r="137">
      <c r="A137" s="203" t="s">
        <v>227</v>
      </c>
      <c r="B137" s="203" t="s">
        <v>1973</v>
      </c>
      <c r="C137" s="212" t="b">
        <v>1</v>
      </c>
      <c r="D137" s="405"/>
      <c r="E137" s="132" t="s">
        <v>2003</v>
      </c>
      <c r="H137" s="132"/>
    </row>
    <row r="138">
      <c r="A138" s="203" t="s">
        <v>229</v>
      </c>
      <c r="B138" s="203" t="s">
        <v>2005</v>
      </c>
      <c r="C138" s="212" t="b">
        <v>1</v>
      </c>
      <c r="D138" s="409" t="s">
        <v>2007</v>
      </c>
      <c r="E138" s="132" t="s">
        <v>2008</v>
      </c>
      <c r="H138" s="132"/>
    </row>
    <row r="139">
      <c r="A139" s="203" t="s">
        <v>138</v>
      </c>
      <c r="B139" s="203" t="s">
        <v>1973</v>
      </c>
      <c r="C139" s="212" t="b">
        <v>1</v>
      </c>
      <c r="D139" s="409" t="s">
        <v>2011</v>
      </c>
      <c r="E139" s="3"/>
      <c r="H139" s="132"/>
    </row>
    <row r="140">
      <c r="A140" s="203" t="s">
        <v>151</v>
      </c>
      <c r="B140" s="203" t="s">
        <v>1973</v>
      </c>
      <c r="C140" s="212" t="b">
        <v>1</v>
      </c>
      <c r="D140" s="409" t="s">
        <v>1979</v>
      </c>
      <c r="E140" s="132" t="s">
        <v>2016</v>
      </c>
      <c r="H140" s="132"/>
    </row>
    <row r="141">
      <c r="A141" s="203" t="s">
        <v>188</v>
      </c>
      <c r="B141" s="203" t="s">
        <v>2018</v>
      </c>
      <c r="C141" s="212" t="b">
        <v>1</v>
      </c>
      <c r="D141" s="405"/>
      <c r="E141" s="132" t="s">
        <v>1907</v>
      </c>
      <c r="H141" s="132"/>
    </row>
    <row r="142">
      <c r="A142" s="203" t="s">
        <v>59</v>
      </c>
      <c r="B142" s="203" t="s">
        <v>2019</v>
      </c>
      <c r="C142" s="212" t="b">
        <v>1</v>
      </c>
      <c r="D142" s="409" t="s">
        <v>2023</v>
      </c>
      <c r="E142" s="132" t="s">
        <v>2024</v>
      </c>
      <c r="H142" s="132"/>
    </row>
    <row r="143">
      <c r="A143" s="408" t="s">
        <v>73</v>
      </c>
      <c r="B143" s="408" t="s">
        <v>2019</v>
      </c>
      <c r="C143" s="286"/>
      <c r="D143" s="409" t="s">
        <v>2025</v>
      </c>
      <c r="E143" s="3"/>
      <c r="H143" s="132"/>
    </row>
    <row r="144">
      <c r="A144" s="203" t="s">
        <v>55</v>
      </c>
      <c r="B144" s="203" t="s">
        <v>2019</v>
      </c>
      <c r="C144" s="212" t="b">
        <v>1</v>
      </c>
      <c r="D144" s="409" t="s">
        <v>2027</v>
      </c>
      <c r="E144" s="132" t="s">
        <v>2028</v>
      </c>
      <c r="H144" s="132"/>
    </row>
    <row r="145">
      <c r="A145" s="203" t="s">
        <v>41</v>
      </c>
      <c r="B145" s="203" t="s">
        <v>2019</v>
      </c>
      <c r="C145" s="212" t="b">
        <v>1</v>
      </c>
      <c r="D145" s="409" t="s">
        <v>2030</v>
      </c>
      <c r="E145" s="132" t="s">
        <v>2031</v>
      </c>
      <c r="H145" s="132"/>
    </row>
    <row r="146">
      <c r="A146" s="203" t="s">
        <v>38</v>
      </c>
      <c r="B146" s="203" t="s">
        <v>2019</v>
      </c>
      <c r="C146" s="212" t="b">
        <v>1</v>
      </c>
      <c r="D146" s="409" t="s">
        <v>2032</v>
      </c>
      <c r="E146" s="132" t="s">
        <v>2033</v>
      </c>
      <c r="H146" s="132"/>
    </row>
    <row r="147">
      <c r="A147" s="408" t="s">
        <v>71</v>
      </c>
      <c r="B147" s="408" t="s">
        <v>2019</v>
      </c>
      <c r="C147" s="358"/>
      <c r="D147" s="409" t="s">
        <v>2035</v>
      </c>
      <c r="E147" s="3"/>
      <c r="H147" s="132"/>
    </row>
    <row r="148">
      <c r="A148" s="203" t="s">
        <v>75</v>
      </c>
      <c r="B148" s="203" t="s">
        <v>2019</v>
      </c>
      <c r="C148" s="212" t="b">
        <v>1</v>
      </c>
      <c r="D148" s="409" t="s">
        <v>2038</v>
      </c>
      <c r="E148" s="132" t="s">
        <v>2039</v>
      </c>
      <c r="H148" s="132"/>
    </row>
    <row r="149">
      <c r="A149" s="408" t="s">
        <v>66</v>
      </c>
      <c r="B149" s="408" t="s">
        <v>2019</v>
      </c>
      <c r="C149" s="358"/>
      <c r="D149" s="409" t="s">
        <v>2040</v>
      </c>
      <c r="E149" s="3"/>
      <c r="H149" s="132"/>
    </row>
    <row r="150">
      <c r="A150" s="408" t="s">
        <v>88</v>
      </c>
      <c r="B150" s="408" t="s">
        <v>2019</v>
      </c>
      <c r="C150" s="286"/>
      <c r="D150" s="405"/>
      <c r="E150" s="132" t="s">
        <v>2042</v>
      </c>
      <c r="H150" s="132"/>
    </row>
    <row r="151">
      <c r="A151" s="203" t="s">
        <v>70</v>
      </c>
      <c r="B151" s="203" t="s">
        <v>2019</v>
      </c>
      <c r="C151" s="212" t="b">
        <v>1</v>
      </c>
      <c r="D151" s="409" t="s">
        <v>2044</v>
      </c>
      <c r="E151" s="132" t="s">
        <v>2045</v>
      </c>
    </row>
    <row r="152">
      <c r="A152" s="203" t="s">
        <v>78</v>
      </c>
      <c r="B152" s="203" t="s">
        <v>2019</v>
      </c>
      <c r="C152" s="212" t="b">
        <v>1</v>
      </c>
      <c r="D152" s="409" t="s">
        <v>2046</v>
      </c>
      <c r="E152" s="132" t="s">
        <v>2047</v>
      </c>
    </row>
    <row r="153">
      <c r="A153" s="408" t="s">
        <v>91</v>
      </c>
      <c r="B153" s="408" t="s">
        <v>2019</v>
      </c>
      <c r="C153" s="286"/>
      <c r="D153" s="409"/>
      <c r="E153" s="132" t="s">
        <v>2049</v>
      </c>
    </row>
    <row r="154">
      <c r="A154" s="203" t="s">
        <v>32</v>
      </c>
      <c r="B154" s="203" t="s">
        <v>2019</v>
      </c>
      <c r="C154" s="212" t="b">
        <v>1</v>
      </c>
      <c r="D154" s="409" t="s">
        <v>2051</v>
      </c>
      <c r="E154" s="132" t="s">
        <v>2052</v>
      </c>
    </row>
    <row r="155">
      <c r="A155" s="203" t="s">
        <v>89</v>
      </c>
      <c r="B155" s="203" t="s">
        <v>2019</v>
      </c>
      <c r="C155" s="212" t="b">
        <v>1</v>
      </c>
      <c r="D155" s="405"/>
      <c r="E155" s="132" t="s">
        <v>2053</v>
      </c>
    </row>
    <row r="156">
      <c r="A156" s="203" t="s">
        <v>90</v>
      </c>
      <c r="B156" s="203" t="s">
        <v>2019</v>
      </c>
      <c r="C156" s="212" t="b">
        <v>1</v>
      </c>
      <c r="D156" s="405"/>
      <c r="E156" s="132" t="s">
        <v>2056</v>
      </c>
    </row>
    <row r="157">
      <c r="A157" s="203" t="s">
        <v>120</v>
      </c>
      <c r="B157" s="203" t="s">
        <v>2019</v>
      </c>
      <c r="C157" s="212" t="b">
        <v>1</v>
      </c>
      <c r="D157" s="409" t="s">
        <v>2057</v>
      </c>
      <c r="E157" s="132" t="s">
        <v>2058</v>
      </c>
    </row>
    <row r="158">
      <c r="A158" s="203" t="s">
        <v>87</v>
      </c>
      <c r="B158" s="203" t="s">
        <v>2019</v>
      </c>
      <c r="C158" s="212" t="b">
        <v>1</v>
      </c>
      <c r="D158" s="409" t="s">
        <v>2061</v>
      </c>
      <c r="E158" s="132" t="s">
        <v>2062</v>
      </c>
    </row>
    <row r="159">
      <c r="A159" s="203" t="s">
        <v>193</v>
      </c>
      <c r="B159" s="203" t="s">
        <v>2019</v>
      </c>
      <c r="C159" s="212" t="b">
        <v>1</v>
      </c>
      <c r="D159" s="409" t="s">
        <v>2063</v>
      </c>
      <c r="E159" s="132" t="s">
        <v>2064</v>
      </c>
    </row>
    <row r="160">
      <c r="A160" s="203" t="s">
        <v>96</v>
      </c>
      <c r="B160" s="203" t="s">
        <v>2019</v>
      </c>
      <c r="C160" s="212" t="b">
        <v>1</v>
      </c>
      <c r="D160" s="409" t="s">
        <v>2065</v>
      </c>
      <c r="E160" s="132" t="s">
        <v>2067</v>
      </c>
    </row>
    <row r="161">
      <c r="A161" s="203" t="s">
        <v>117</v>
      </c>
      <c r="B161" s="203" t="s">
        <v>2019</v>
      </c>
      <c r="C161" s="212" t="b">
        <v>1</v>
      </c>
      <c r="D161" s="409" t="s">
        <v>2061</v>
      </c>
      <c r="E161" s="132" t="s">
        <v>2068</v>
      </c>
    </row>
    <row r="162">
      <c r="A162" s="203" t="s">
        <v>27</v>
      </c>
      <c r="B162" s="203" t="s">
        <v>2070</v>
      </c>
      <c r="C162" s="212" t="b">
        <v>1</v>
      </c>
      <c r="D162" s="409" t="s">
        <v>2071</v>
      </c>
      <c r="E162" s="132" t="s">
        <v>2072</v>
      </c>
    </row>
    <row r="163">
      <c r="A163" s="203" t="s">
        <v>22</v>
      </c>
      <c r="B163" s="203" t="s">
        <v>2070</v>
      </c>
      <c r="C163" s="212" t="b">
        <v>1</v>
      </c>
      <c r="D163" s="409" t="s">
        <v>2074</v>
      </c>
      <c r="E163" s="132" t="s">
        <v>2075</v>
      </c>
    </row>
    <row r="164">
      <c r="A164" s="411" t="s">
        <v>43</v>
      </c>
      <c r="B164" s="411" t="s">
        <v>2070</v>
      </c>
      <c r="C164" s="406" t="b">
        <v>0</v>
      </c>
      <c r="D164" s="409" t="s">
        <v>2082</v>
      </c>
      <c r="E164" s="3"/>
    </row>
    <row r="165">
      <c r="A165" s="408" t="s">
        <v>33</v>
      </c>
      <c r="B165" s="408" t="s">
        <v>2070</v>
      </c>
      <c r="C165" s="286"/>
      <c r="D165" s="409" t="s">
        <v>2084</v>
      </c>
      <c r="E165" s="3"/>
    </row>
    <row r="166">
      <c r="A166" s="203" t="s">
        <v>58</v>
      </c>
      <c r="B166" s="203" t="s">
        <v>2070</v>
      </c>
      <c r="C166" s="212" t="b">
        <v>1</v>
      </c>
      <c r="D166" s="409" t="s">
        <v>2086</v>
      </c>
      <c r="E166" s="132" t="s">
        <v>2087</v>
      </c>
    </row>
    <row r="167">
      <c r="A167" s="203" t="s">
        <v>65</v>
      </c>
      <c r="B167" s="203" t="s">
        <v>2088</v>
      </c>
      <c r="C167" s="212" t="b">
        <v>1</v>
      </c>
      <c r="D167" s="409"/>
      <c r="E167" s="132" t="s">
        <v>2089</v>
      </c>
    </row>
    <row r="168">
      <c r="A168" s="203" t="s">
        <v>67</v>
      </c>
      <c r="B168" s="203" t="s">
        <v>2091</v>
      </c>
      <c r="C168" s="212" t="b">
        <v>1</v>
      </c>
      <c r="D168" s="409" t="s">
        <v>2092</v>
      </c>
      <c r="E168" s="132" t="s">
        <v>2093</v>
      </c>
    </row>
    <row r="169">
      <c r="A169" s="203" t="s">
        <v>50</v>
      </c>
      <c r="B169" s="203" t="s">
        <v>2070</v>
      </c>
      <c r="C169" s="212" t="b">
        <v>1</v>
      </c>
      <c r="D169" s="409" t="s">
        <v>2096</v>
      </c>
      <c r="E169" s="132" t="s">
        <v>2097</v>
      </c>
    </row>
    <row r="170">
      <c r="A170" s="203" t="s">
        <v>53</v>
      </c>
      <c r="B170" s="203" t="s">
        <v>2070</v>
      </c>
      <c r="C170" s="212" t="b">
        <v>1</v>
      </c>
      <c r="D170" s="409" t="s">
        <v>2098</v>
      </c>
      <c r="E170" s="132" t="s">
        <v>2099</v>
      </c>
    </row>
    <row r="171">
      <c r="A171" s="203" t="s">
        <v>127</v>
      </c>
      <c r="B171" s="203" t="s">
        <v>2070</v>
      </c>
      <c r="C171" s="212" t="b">
        <v>1</v>
      </c>
      <c r="D171" s="409" t="s">
        <v>2101</v>
      </c>
      <c r="E171" s="132" t="s">
        <v>2102</v>
      </c>
    </row>
    <row r="172">
      <c r="A172" s="411" t="s">
        <v>133</v>
      </c>
      <c r="B172" s="411" t="s">
        <v>2070</v>
      </c>
      <c r="C172" s="406" t="b">
        <v>0</v>
      </c>
      <c r="D172" s="409" t="s">
        <v>2104</v>
      </c>
      <c r="E172" s="3"/>
    </row>
    <row r="173">
      <c r="A173" s="203" t="s">
        <v>135</v>
      </c>
      <c r="B173" s="203" t="s">
        <v>2070</v>
      </c>
      <c r="C173" s="212" t="b">
        <v>1</v>
      </c>
      <c r="D173" s="409" t="s">
        <v>2101</v>
      </c>
      <c r="E173" s="132" t="s">
        <v>2108</v>
      </c>
    </row>
    <row r="174">
      <c r="A174" s="106" t="s">
        <v>145</v>
      </c>
      <c r="B174" s="408" t="s">
        <v>2070</v>
      </c>
      <c r="C174" s="487"/>
      <c r="D174" s="409" t="s">
        <v>2112</v>
      </c>
      <c r="E174" s="3"/>
    </row>
    <row r="175">
      <c r="A175" s="89" t="s">
        <v>147</v>
      </c>
      <c r="B175" s="203" t="s">
        <v>2070</v>
      </c>
      <c r="C175" s="488" t="b">
        <v>1</v>
      </c>
      <c r="D175" s="409" t="s">
        <v>2114</v>
      </c>
      <c r="E175" s="132" t="s">
        <v>2115</v>
      </c>
    </row>
    <row r="176">
      <c r="A176" s="89" t="s">
        <v>153</v>
      </c>
      <c r="B176" s="203" t="s">
        <v>2118</v>
      </c>
      <c r="C176" s="488" t="b">
        <v>1</v>
      </c>
      <c r="D176" s="405"/>
      <c r="E176" s="132" t="s">
        <v>2119</v>
      </c>
    </row>
    <row r="177">
      <c r="A177" s="89" t="s">
        <v>122</v>
      </c>
      <c r="B177" s="203" t="s">
        <v>2070</v>
      </c>
      <c r="C177" s="488" t="b">
        <v>1</v>
      </c>
      <c r="D177" s="409" t="s">
        <v>2098</v>
      </c>
      <c r="E177" s="132" t="s">
        <v>2122</v>
      </c>
    </row>
    <row r="178">
      <c r="A178" s="89" t="s">
        <v>157</v>
      </c>
      <c r="B178" s="203" t="s">
        <v>2070</v>
      </c>
      <c r="C178" s="488" t="b">
        <v>1</v>
      </c>
      <c r="D178" s="409" t="s">
        <v>2098</v>
      </c>
      <c r="E178" s="132" t="s">
        <v>2124</v>
      </c>
    </row>
    <row r="179">
      <c r="A179" s="89" t="s">
        <v>162</v>
      </c>
      <c r="B179" s="203" t="s">
        <v>2070</v>
      </c>
      <c r="C179" s="488" t="b">
        <v>1</v>
      </c>
      <c r="D179" s="405"/>
      <c r="E179" s="132" t="s">
        <v>2125</v>
      </c>
    </row>
    <row r="180">
      <c r="A180" s="89" t="s">
        <v>164</v>
      </c>
      <c r="B180" s="203" t="s">
        <v>2070</v>
      </c>
      <c r="C180" s="488" t="b">
        <v>1</v>
      </c>
      <c r="D180" s="409" t="s">
        <v>2098</v>
      </c>
      <c r="E180" s="132" t="s">
        <v>2128</v>
      </c>
    </row>
    <row r="181">
      <c r="A181" s="89" t="s">
        <v>168</v>
      </c>
      <c r="B181" s="203" t="s">
        <v>2070</v>
      </c>
      <c r="C181" s="488" t="b">
        <v>1</v>
      </c>
      <c r="D181" s="409" t="s">
        <v>2084</v>
      </c>
      <c r="E181" s="132" t="s">
        <v>2129</v>
      </c>
    </row>
    <row r="182">
      <c r="A182" s="76" t="s">
        <v>148</v>
      </c>
      <c r="B182" s="411" t="s">
        <v>2070</v>
      </c>
      <c r="C182" s="489" t="b">
        <v>0</v>
      </c>
      <c r="D182" s="409" t="s">
        <v>2135</v>
      </c>
      <c r="E182" s="3"/>
    </row>
    <row r="183">
      <c r="A183" s="76" t="s">
        <v>152</v>
      </c>
      <c r="B183" s="411" t="s">
        <v>2070</v>
      </c>
      <c r="C183" s="489" t="b">
        <v>0</v>
      </c>
      <c r="D183" s="409" t="s">
        <v>2137</v>
      </c>
      <c r="E183" s="3"/>
    </row>
    <row r="184">
      <c r="A184" s="106" t="s">
        <v>154</v>
      </c>
      <c r="B184" s="408" t="s">
        <v>2118</v>
      </c>
      <c r="C184" s="490"/>
      <c r="D184" s="409" t="s">
        <v>2140</v>
      </c>
      <c r="E184" s="3"/>
    </row>
    <row r="185">
      <c r="A185" s="76" t="s">
        <v>183</v>
      </c>
      <c r="B185" s="411" t="s">
        <v>2070</v>
      </c>
      <c r="C185" s="489" t="b">
        <v>0</v>
      </c>
      <c r="D185" s="409" t="s">
        <v>2142</v>
      </c>
      <c r="E185" s="132"/>
    </row>
    <row r="186">
      <c r="A186" s="492" t="s">
        <v>125</v>
      </c>
      <c r="B186" s="467" t="s">
        <v>2070</v>
      </c>
      <c r="C186" s="493" t="b">
        <v>0</v>
      </c>
      <c r="D186" s="409" t="s">
        <v>2147</v>
      </c>
      <c r="E186" s="3"/>
    </row>
    <row r="187">
      <c r="A187" s="89" t="s">
        <v>192</v>
      </c>
      <c r="B187" s="203" t="s">
        <v>2070</v>
      </c>
      <c r="C187" s="488" t="b">
        <v>1</v>
      </c>
      <c r="D187" s="409" t="s">
        <v>2150</v>
      </c>
      <c r="E187" s="132" t="s">
        <v>2151</v>
      </c>
    </row>
    <row r="188">
      <c r="A188" s="106" t="s">
        <v>211</v>
      </c>
      <c r="B188" s="408" t="s">
        <v>2070</v>
      </c>
      <c r="C188" s="490"/>
      <c r="D188" s="409" t="s">
        <v>2152</v>
      </c>
      <c r="E188" s="3"/>
    </row>
    <row r="189">
      <c r="A189" s="89" t="s">
        <v>216</v>
      </c>
      <c r="B189" s="203" t="s">
        <v>2070</v>
      </c>
      <c r="C189" s="488" t="b">
        <v>1</v>
      </c>
      <c r="D189" s="409" t="s">
        <v>2154</v>
      </c>
      <c r="E189" s="132" t="s">
        <v>2155</v>
      </c>
    </row>
    <row r="190">
      <c r="A190" s="89" t="s">
        <v>86</v>
      </c>
      <c r="B190" s="203" t="s">
        <v>2070</v>
      </c>
      <c r="C190" s="488" t="b">
        <v>1</v>
      </c>
      <c r="D190" s="409" t="s">
        <v>2098</v>
      </c>
      <c r="E190" s="132" t="s">
        <v>2158</v>
      </c>
    </row>
    <row r="191">
      <c r="A191" s="89" t="s">
        <v>180</v>
      </c>
      <c r="B191" s="203" t="s">
        <v>2070</v>
      </c>
      <c r="C191" s="488" t="b">
        <v>1</v>
      </c>
      <c r="D191" s="409" t="s">
        <v>2101</v>
      </c>
      <c r="E191" s="132" t="s">
        <v>2159</v>
      </c>
    </row>
    <row r="192">
      <c r="A192" s="106" t="s">
        <v>262</v>
      </c>
      <c r="B192" s="408" t="s">
        <v>2070</v>
      </c>
      <c r="C192" s="490"/>
      <c r="D192" s="409" t="s">
        <v>2162</v>
      </c>
      <c r="E192" s="3"/>
    </row>
    <row r="193">
      <c r="A193" s="76" t="s">
        <v>178</v>
      </c>
      <c r="B193" s="411" t="s">
        <v>2070</v>
      </c>
      <c r="C193" s="489" t="b">
        <v>0</v>
      </c>
      <c r="D193" s="409" t="s">
        <v>2164</v>
      </c>
      <c r="E193" s="3"/>
    </row>
    <row r="194">
      <c r="A194" s="76" t="s">
        <v>243</v>
      </c>
      <c r="B194" s="411" t="s">
        <v>2070</v>
      </c>
      <c r="C194" s="489" t="b">
        <v>0</v>
      </c>
      <c r="D194" s="409" t="s">
        <v>2167</v>
      </c>
      <c r="E194" s="3"/>
    </row>
    <row r="195">
      <c r="A195" s="106" t="s">
        <v>319</v>
      </c>
      <c r="B195" s="408" t="s">
        <v>2168</v>
      </c>
      <c r="C195" s="490"/>
      <c r="D195" s="405"/>
      <c r="E195" s="3"/>
    </row>
    <row r="196">
      <c r="A196" s="89" t="s">
        <v>304</v>
      </c>
      <c r="B196" s="203" t="s">
        <v>2070</v>
      </c>
      <c r="C196" s="488" t="b">
        <v>1</v>
      </c>
      <c r="D196" s="409" t="s">
        <v>2169</v>
      </c>
      <c r="E196" s="9" t="s">
        <v>2171</v>
      </c>
    </row>
    <row r="197">
      <c r="A197" s="89" t="s">
        <v>358</v>
      </c>
      <c r="B197" s="203" t="s">
        <v>2070</v>
      </c>
      <c r="C197" s="488" t="b">
        <v>1</v>
      </c>
      <c r="D197" s="409" t="s">
        <v>2172</v>
      </c>
      <c r="E197" s="132" t="s">
        <v>2174</v>
      </c>
    </row>
    <row r="198">
      <c r="A198" s="492" t="s">
        <v>406</v>
      </c>
      <c r="B198" s="467" t="s">
        <v>2176</v>
      </c>
      <c r="C198" s="493" t="b">
        <v>0</v>
      </c>
      <c r="D198" s="409" t="s">
        <v>2177</v>
      </c>
      <c r="E198" s="3"/>
    </row>
    <row r="199">
      <c r="A199" s="89" t="s">
        <v>114</v>
      </c>
      <c r="B199" s="64" t="s">
        <v>2179</v>
      </c>
      <c r="C199" s="488" t="b">
        <v>1</v>
      </c>
      <c r="D199" s="409" t="s">
        <v>2181</v>
      </c>
      <c r="E199" s="132" t="s">
        <v>2182</v>
      </c>
    </row>
    <row r="200">
      <c r="A200" s="132"/>
      <c r="B200" s="9"/>
      <c r="C200" s="494"/>
      <c r="D200" s="405"/>
      <c r="E200" s="3"/>
    </row>
    <row r="201">
      <c r="A201" s="16"/>
      <c r="B201" s="14"/>
      <c r="D201" s="409"/>
      <c r="E201" s="3"/>
    </row>
    <row r="202">
      <c r="A202" s="16"/>
      <c r="B202" s="14"/>
      <c r="D202" s="405"/>
      <c r="E202" s="3"/>
    </row>
    <row r="203">
      <c r="A203" s="16"/>
      <c r="B203" s="14"/>
      <c r="D203" s="405"/>
      <c r="E203" s="3"/>
    </row>
    <row r="204">
      <c r="A204" s="16"/>
      <c r="B204" s="14"/>
      <c r="D204" s="405"/>
      <c r="E204" s="3"/>
    </row>
    <row r="205">
      <c r="B205" s="14"/>
      <c r="D205" s="405"/>
      <c r="E205" s="3"/>
    </row>
    <row r="206">
      <c r="B206" s="14"/>
      <c r="D206" s="405"/>
      <c r="E206" s="3"/>
    </row>
    <row r="207">
      <c r="B207" s="14"/>
      <c r="D207" s="405"/>
      <c r="E207" s="3"/>
    </row>
    <row r="208">
      <c r="B208" s="14"/>
      <c r="D208" s="405"/>
      <c r="E208" s="3"/>
    </row>
    <row r="209">
      <c r="B209" s="14"/>
      <c r="D209" s="405"/>
      <c r="E209" s="3"/>
    </row>
    <row r="210">
      <c r="B210" s="14"/>
      <c r="D210" s="405"/>
      <c r="E210" s="3"/>
    </row>
    <row r="211">
      <c r="D211" s="405"/>
      <c r="E211" s="3"/>
    </row>
    <row r="212">
      <c r="D212" s="405"/>
      <c r="E212" s="3"/>
    </row>
    <row r="213">
      <c r="D213" s="405"/>
      <c r="E213" s="3"/>
    </row>
    <row r="214">
      <c r="D214" s="405"/>
      <c r="E214" s="3"/>
    </row>
    <row r="215">
      <c r="D215" s="405"/>
      <c r="E215" s="3"/>
    </row>
    <row r="216">
      <c r="D216" s="405"/>
      <c r="E216" s="3"/>
    </row>
    <row r="217">
      <c r="D217" s="405"/>
      <c r="E217" s="3"/>
    </row>
    <row r="218">
      <c r="D218" s="405"/>
      <c r="E218" s="3"/>
    </row>
    <row r="219">
      <c r="D219" s="405"/>
      <c r="E219" s="3"/>
    </row>
    <row r="220">
      <c r="D220" s="405"/>
      <c r="E220" s="3"/>
    </row>
    <row r="221">
      <c r="D221" s="405"/>
      <c r="E221" s="3"/>
    </row>
    <row r="222">
      <c r="D222" s="405"/>
      <c r="E222" s="3"/>
    </row>
    <row r="223">
      <c r="D223" s="405"/>
      <c r="E223" s="3"/>
    </row>
    <row r="224">
      <c r="D224" s="405"/>
      <c r="E224" s="3"/>
    </row>
    <row r="225">
      <c r="D225" s="405"/>
      <c r="E225" s="3"/>
    </row>
    <row r="226">
      <c r="D226" s="405"/>
      <c r="E226" s="3"/>
    </row>
    <row r="227">
      <c r="D227" s="405"/>
      <c r="E227" s="3"/>
    </row>
    <row r="228">
      <c r="D228" s="405"/>
      <c r="E228" s="3"/>
    </row>
    <row r="229">
      <c r="D229" s="405"/>
      <c r="E229" s="3"/>
    </row>
    <row r="230">
      <c r="D230" s="405"/>
      <c r="E230" s="3"/>
    </row>
    <row r="231">
      <c r="D231" s="405"/>
      <c r="E231" s="3"/>
    </row>
    <row r="232">
      <c r="D232" s="405"/>
      <c r="E232" s="3"/>
    </row>
    <row r="233">
      <c r="D233" s="405"/>
      <c r="E233" s="3"/>
    </row>
    <row r="234">
      <c r="D234" s="405"/>
      <c r="E234" s="3"/>
    </row>
    <row r="235">
      <c r="D235" s="405"/>
      <c r="E235" s="3"/>
    </row>
    <row r="236">
      <c r="D236" s="405"/>
      <c r="E236" s="3"/>
    </row>
    <row r="237">
      <c r="D237" s="405"/>
      <c r="E237" s="3"/>
    </row>
    <row r="238">
      <c r="D238" s="405"/>
      <c r="E238" s="3"/>
    </row>
    <row r="239">
      <c r="D239" s="405"/>
      <c r="E239" s="3"/>
    </row>
    <row r="240">
      <c r="D240" s="405"/>
      <c r="E240" s="3"/>
    </row>
    <row r="241">
      <c r="D241" s="405"/>
      <c r="E241" s="3"/>
    </row>
    <row r="242">
      <c r="D242" s="405"/>
      <c r="E242" s="3"/>
    </row>
    <row r="243">
      <c r="D243" s="405"/>
      <c r="E243" s="3"/>
    </row>
    <row r="244">
      <c r="D244" s="405"/>
      <c r="E244" s="3"/>
    </row>
    <row r="245">
      <c r="D245" s="405"/>
      <c r="E245" s="3"/>
    </row>
    <row r="246">
      <c r="D246" s="405"/>
      <c r="E246" s="3"/>
    </row>
    <row r="247">
      <c r="D247" s="405"/>
      <c r="E247" s="3"/>
    </row>
    <row r="248">
      <c r="D248" s="405"/>
      <c r="E248" s="3"/>
    </row>
    <row r="249">
      <c r="D249" s="405"/>
      <c r="E249" s="3"/>
    </row>
    <row r="250">
      <c r="D250" s="405"/>
      <c r="E250" s="3"/>
    </row>
    <row r="251">
      <c r="D251" s="405"/>
      <c r="E251" s="3"/>
    </row>
    <row r="252">
      <c r="D252" s="405"/>
      <c r="E252" s="3"/>
    </row>
    <row r="253">
      <c r="D253" s="405"/>
      <c r="E253" s="3"/>
    </row>
    <row r="254">
      <c r="D254" s="405"/>
      <c r="E254" s="3"/>
    </row>
    <row r="255">
      <c r="D255" s="405"/>
      <c r="E255" s="3"/>
    </row>
    <row r="256">
      <c r="D256" s="405"/>
      <c r="E256" s="3"/>
    </row>
    <row r="257">
      <c r="D257" s="405"/>
      <c r="E257" s="3"/>
    </row>
    <row r="258">
      <c r="D258" s="405"/>
      <c r="E258" s="3"/>
    </row>
    <row r="259">
      <c r="D259" s="405"/>
      <c r="E259" s="3"/>
    </row>
    <row r="260">
      <c r="D260" s="405"/>
      <c r="E260" s="3"/>
    </row>
    <row r="261">
      <c r="D261" s="405"/>
      <c r="E261" s="3"/>
    </row>
    <row r="262">
      <c r="D262" s="405"/>
      <c r="E262" s="3"/>
    </row>
    <row r="263">
      <c r="D263" s="405"/>
      <c r="E263" s="3"/>
    </row>
    <row r="264">
      <c r="D264" s="405"/>
      <c r="E264" s="3"/>
    </row>
    <row r="265">
      <c r="D265" s="405"/>
      <c r="E265" s="3"/>
    </row>
    <row r="266">
      <c r="D266" s="405"/>
      <c r="E266" s="3"/>
    </row>
    <row r="267">
      <c r="D267" s="405"/>
      <c r="E267" s="3"/>
    </row>
    <row r="268">
      <c r="D268" s="405"/>
      <c r="E268" s="3"/>
    </row>
    <row r="269">
      <c r="D269" s="405"/>
      <c r="E269" s="3"/>
    </row>
    <row r="270">
      <c r="D270" s="405"/>
      <c r="E270" s="3"/>
    </row>
    <row r="271">
      <c r="D271" s="405"/>
      <c r="E271" s="3"/>
    </row>
    <row r="272">
      <c r="D272" s="405"/>
      <c r="E272" s="3"/>
    </row>
    <row r="273">
      <c r="D273" s="405"/>
      <c r="E273" s="3"/>
    </row>
    <row r="274">
      <c r="D274" s="405"/>
      <c r="E274" s="3"/>
    </row>
    <row r="275">
      <c r="D275" s="405"/>
      <c r="E275" s="3"/>
    </row>
    <row r="276">
      <c r="D276" s="405"/>
      <c r="E276" s="3"/>
    </row>
    <row r="277">
      <c r="D277" s="405"/>
      <c r="E277" s="3"/>
    </row>
    <row r="278">
      <c r="D278" s="405"/>
      <c r="E278" s="3"/>
    </row>
    <row r="279">
      <c r="D279" s="405"/>
      <c r="E279" s="3"/>
    </row>
    <row r="280">
      <c r="D280" s="405"/>
      <c r="E280" s="3"/>
    </row>
    <row r="281">
      <c r="D281" s="405"/>
      <c r="E281" s="3"/>
    </row>
    <row r="282">
      <c r="D282" s="405"/>
      <c r="E282" s="3"/>
    </row>
    <row r="283">
      <c r="D283" s="405"/>
      <c r="E283" s="3"/>
    </row>
    <row r="284">
      <c r="D284" s="405"/>
      <c r="E284" s="3"/>
    </row>
    <row r="285">
      <c r="D285" s="405"/>
      <c r="E285" s="3"/>
    </row>
    <row r="286">
      <c r="D286" s="405"/>
      <c r="E286" s="3"/>
    </row>
    <row r="287">
      <c r="D287" s="405"/>
      <c r="E287" s="3"/>
    </row>
    <row r="288">
      <c r="D288" s="405"/>
      <c r="E288" s="3"/>
    </row>
    <row r="289">
      <c r="D289" s="405"/>
      <c r="E289" s="3"/>
    </row>
    <row r="290">
      <c r="D290" s="405"/>
      <c r="E290" s="3"/>
    </row>
    <row r="291">
      <c r="D291" s="405"/>
      <c r="E291" s="3"/>
    </row>
    <row r="292">
      <c r="D292" s="405"/>
      <c r="E292" s="3"/>
    </row>
    <row r="293">
      <c r="D293" s="405"/>
      <c r="E293" s="3"/>
    </row>
    <row r="294">
      <c r="D294" s="405"/>
      <c r="E294" s="3"/>
    </row>
    <row r="295">
      <c r="D295" s="405"/>
      <c r="E295" s="3"/>
    </row>
    <row r="296">
      <c r="D296" s="405"/>
      <c r="E296" s="3"/>
    </row>
    <row r="297">
      <c r="D297" s="405"/>
      <c r="E297" s="3"/>
    </row>
    <row r="298">
      <c r="D298" s="405"/>
      <c r="E298" s="3"/>
    </row>
    <row r="299">
      <c r="D299" s="405"/>
      <c r="E299" s="3"/>
    </row>
    <row r="300">
      <c r="D300" s="405"/>
      <c r="E300" s="3"/>
    </row>
    <row r="301">
      <c r="D301" s="405"/>
      <c r="E301" s="3"/>
    </row>
    <row r="302">
      <c r="D302" s="405"/>
      <c r="E302" s="3"/>
    </row>
    <row r="303">
      <c r="D303" s="405"/>
      <c r="E303" s="3"/>
    </row>
    <row r="304">
      <c r="D304" s="405"/>
      <c r="E304" s="3"/>
    </row>
    <row r="305">
      <c r="D305" s="405"/>
      <c r="E305" s="3"/>
    </row>
    <row r="306">
      <c r="D306" s="405"/>
      <c r="E306" s="3"/>
    </row>
    <row r="307">
      <c r="D307" s="405"/>
      <c r="E307" s="3"/>
    </row>
    <row r="308">
      <c r="D308" s="405"/>
      <c r="E308" s="3"/>
    </row>
    <row r="309">
      <c r="D309" s="405"/>
      <c r="E309" s="3"/>
    </row>
    <row r="310">
      <c r="D310" s="405"/>
      <c r="E310" s="3"/>
    </row>
    <row r="311">
      <c r="D311" s="405"/>
      <c r="E311" s="3"/>
    </row>
    <row r="312">
      <c r="D312" s="405"/>
      <c r="E312" s="3"/>
    </row>
    <row r="313">
      <c r="D313" s="405"/>
      <c r="E313" s="3"/>
    </row>
    <row r="314">
      <c r="D314" s="405"/>
      <c r="E314" s="3"/>
    </row>
    <row r="315">
      <c r="D315" s="405"/>
      <c r="E315" s="3"/>
    </row>
    <row r="316">
      <c r="D316" s="405"/>
      <c r="E316" s="3"/>
    </row>
    <row r="317">
      <c r="D317" s="405"/>
      <c r="E317" s="3"/>
    </row>
    <row r="318">
      <c r="D318" s="405"/>
      <c r="E318" s="3"/>
    </row>
    <row r="319">
      <c r="D319" s="405"/>
      <c r="E319" s="3"/>
    </row>
    <row r="320">
      <c r="D320" s="405"/>
      <c r="E320" s="3"/>
    </row>
    <row r="321">
      <c r="D321" s="405"/>
      <c r="E321" s="3"/>
    </row>
    <row r="322">
      <c r="D322" s="405"/>
      <c r="E322" s="3"/>
    </row>
    <row r="323">
      <c r="D323" s="405"/>
      <c r="E323" s="3"/>
    </row>
    <row r="324">
      <c r="D324" s="405"/>
      <c r="E324" s="3"/>
    </row>
    <row r="325">
      <c r="D325" s="405"/>
      <c r="E325" s="3"/>
    </row>
    <row r="326">
      <c r="D326" s="405"/>
      <c r="E326" s="3"/>
    </row>
    <row r="327">
      <c r="D327" s="405"/>
      <c r="E327" s="3"/>
    </row>
    <row r="328">
      <c r="D328" s="405"/>
      <c r="E328" s="3"/>
    </row>
    <row r="329">
      <c r="D329" s="405"/>
      <c r="E329" s="3"/>
    </row>
    <row r="330">
      <c r="D330" s="405"/>
      <c r="E330" s="3"/>
    </row>
    <row r="331">
      <c r="D331" s="405"/>
      <c r="E331" s="3"/>
    </row>
    <row r="332">
      <c r="D332" s="405"/>
      <c r="E332" s="3"/>
    </row>
    <row r="333">
      <c r="D333" s="405"/>
      <c r="E333" s="3"/>
    </row>
    <row r="334">
      <c r="D334" s="405"/>
      <c r="E334" s="3"/>
    </row>
    <row r="335">
      <c r="D335" s="405"/>
      <c r="E335" s="3"/>
    </row>
    <row r="336">
      <c r="D336" s="405"/>
      <c r="E336" s="3"/>
    </row>
    <row r="337">
      <c r="D337" s="405"/>
      <c r="E337" s="3"/>
    </row>
    <row r="338">
      <c r="D338" s="405"/>
      <c r="E338" s="3"/>
    </row>
    <row r="339">
      <c r="D339" s="405"/>
      <c r="E339" s="3"/>
    </row>
    <row r="340">
      <c r="D340" s="405"/>
      <c r="E340" s="3"/>
    </row>
    <row r="341">
      <c r="D341" s="405"/>
      <c r="E341" s="3"/>
    </row>
    <row r="342">
      <c r="D342" s="405"/>
      <c r="E342" s="3"/>
    </row>
    <row r="343">
      <c r="D343" s="405"/>
      <c r="E343" s="3"/>
    </row>
    <row r="344">
      <c r="D344" s="405"/>
      <c r="E344" s="3"/>
    </row>
    <row r="345">
      <c r="D345" s="405"/>
      <c r="E345" s="3"/>
    </row>
    <row r="346">
      <c r="D346" s="405"/>
      <c r="E346" s="3"/>
    </row>
    <row r="347">
      <c r="D347" s="405"/>
      <c r="E347" s="3"/>
    </row>
    <row r="348">
      <c r="D348" s="405"/>
      <c r="E348" s="3"/>
    </row>
    <row r="349">
      <c r="D349" s="405"/>
      <c r="E349" s="3"/>
    </row>
    <row r="350">
      <c r="D350" s="405"/>
      <c r="E350" s="3"/>
    </row>
    <row r="351">
      <c r="D351" s="405"/>
      <c r="E351" s="3"/>
    </row>
    <row r="352">
      <c r="D352" s="405"/>
      <c r="E352" s="3"/>
    </row>
    <row r="353">
      <c r="D353" s="405"/>
      <c r="E353" s="3"/>
    </row>
    <row r="354">
      <c r="D354" s="405"/>
      <c r="E354" s="3"/>
    </row>
    <row r="355">
      <c r="D355" s="405"/>
      <c r="E355" s="3"/>
    </row>
    <row r="356">
      <c r="D356" s="405"/>
      <c r="E356" s="3"/>
    </row>
    <row r="357">
      <c r="D357" s="405"/>
      <c r="E357" s="3"/>
    </row>
    <row r="358">
      <c r="D358" s="405"/>
      <c r="E358" s="3"/>
    </row>
    <row r="359">
      <c r="D359" s="405"/>
      <c r="E359" s="3"/>
    </row>
    <row r="360">
      <c r="D360" s="405"/>
      <c r="E360" s="3"/>
    </row>
    <row r="361">
      <c r="D361" s="405"/>
      <c r="E361" s="3"/>
    </row>
    <row r="362">
      <c r="D362" s="405"/>
      <c r="E362" s="3"/>
    </row>
    <row r="363">
      <c r="D363" s="405"/>
      <c r="E363" s="3"/>
    </row>
    <row r="364">
      <c r="D364" s="405"/>
      <c r="E364" s="3"/>
    </row>
    <row r="365">
      <c r="D365" s="405"/>
      <c r="E365" s="3"/>
    </row>
    <row r="366">
      <c r="D366" s="405"/>
      <c r="E366" s="3"/>
    </row>
    <row r="367">
      <c r="D367" s="405"/>
      <c r="E367" s="3"/>
    </row>
    <row r="368">
      <c r="D368" s="405"/>
      <c r="E368" s="3"/>
    </row>
    <row r="369">
      <c r="D369" s="405"/>
      <c r="E369" s="3"/>
    </row>
    <row r="370">
      <c r="D370" s="405"/>
      <c r="E370" s="3"/>
    </row>
    <row r="371">
      <c r="D371" s="405"/>
      <c r="E371" s="3"/>
    </row>
    <row r="372">
      <c r="D372" s="405"/>
      <c r="E372" s="3"/>
    </row>
    <row r="373">
      <c r="D373" s="405"/>
      <c r="E373" s="3"/>
    </row>
    <row r="374">
      <c r="D374" s="405"/>
      <c r="E374" s="3"/>
    </row>
    <row r="375">
      <c r="D375" s="405"/>
      <c r="E375" s="3"/>
    </row>
    <row r="376">
      <c r="D376" s="405"/>
      <c r="E376" s="3"/>
    </row>
    <row r="377">
      <c r="D377" s="405"/>
      <c r="E377" s="3"/>
    </row>
    <row r="378">
      <c r="D378" s="405"/>
      <c r="E378" s="3"/>
    </row>
    <row r="379">
      <c r="D379" s="405"/>
      <c r="E379" s="3"/>
    </row>
    <row r="380">
      <c r="D380" s="405"/>
      <c r="E380" s="3"/>
    </row>
    <row r="381">
      <c r="D381" s="405"/>
      <c r="E381" s="3"/>
    </row>
    <row r="382">
      <c r="D382" s="405"/>
      <c r="E382" s="3"/>
    </row>
    <row r="383">
      <c r="D383" s="405"/>
      <c r="E383" s="3"/>
    </row>
    <row r="384">
      <c r="D384" s="405"/>
      <c r="E384" s="3"/>
    </row>
    <row r="385">
      <c r="D385" s="405"/>
      <c r="E385" s="3"/>
    </row>
    <row r="386">
      <c r="D386" s="405"/>
      <c r="E386" s="3"/>
    </row>
    <row r="387">
      <c r="D387" s="405"/>
      <c r="E387" s="3"/>
    </row>
    <row r="388">
      <c r="D388" s="405"/>
      <c r="E388" s="3"/>
    </row>
    <row r="389">
      <c r="D389" s="405"/>
      <c r="E389" s="3"/>
    </row>
    <row r="390">
      <c r="D390" s="405"/>
      <c r="E390" s="3"/>
    </row>
    <row r="391">
      <c r="D391" s="405"/>
      <c r="E391" s="3"/>
    </row>
    <row r="392">
      <c r="D392" s="405"/>
      <c r="E392" s="3"/>
    </row>
    <row r="393">
      <c r="D393" s="405"/>
      <c r="E393" s="3"/>
    </row>
    <row r="394">
      <c r="D394" s="405"/>
      <c r="E394" s="3"/>
    </row>
    <row r="395">
      <c r="D395" s="405"/>
      <c r="E395" s="3"/>
    </row>
    <row r="396">
      <c r="D396" s="405"/>
      <c r="E396" s="3"/>
    </row>
    <row r="397">
      <c r="D397" s="405"/>
      <c r="E397" s="3"/>
    </row>
    <row r="398">
      <c r="D398" s="405"/>
      <c r="E398" s="3"/>
    </row>
    <row r="399">
      <c r="D399" s="405"/>
      <c r="E399" s="3"/>
    </row>
    <row r="400">
      <c r="D400" s="405"/>
      <c r="E400" s="3"/>
    </row>
    <row r="401">
      <c r="D401" s="405"/>
      <c r="E401" s="3"/>
    </row>
    <row r="402">
      <c r="D402" s="405"/>
      <c r="E402" s="3"/>
    </row>
    <row r="403">
      <c r="D403" s="405"/>
      <c r="E403" s="3"/>
    </row>
    <row r="404">
      <c r="D404" s="405"/>
      <c r="E404" s="3"/>
    </row>
    <row r="405">
      <c r="D405" s="405"/>
      <c r="E405" s="3"/>
    </row>
    <row r="406">
      <c r="D406" s="405"/>
      <c r="E406" s="3"/>
    </row>
    <row r="407">
      <c r="D407" s="405"/>
      <c r="E407" s="3"/>
    </row>
    <row r="408">
      <c r="D408" s="405"/>
      <c r="E408" s="3"/>
    </row>
    <row r="409">
      <c r="D409" s="405"/>
      <c r="E409" s="3"/>
    </row>
    <row r="410">
      <c r="D410" s="405"/>
      <c r="E410" s="3"/>
    </row>
    <row r="411">
      <c r="D411" s="405"/>
      <c r="E411" s="3"/>
    </row>
    <row r="412">
      <c r="D412" s="405"/>
      <c r="E412" s="3"/>
    </row>
    <row r="413">
      <c r="D413" s="405"/>
      <c r="E413" s="3"/>
    </row>
    <row r="414">
      <c r="D414" s="405"/>
      <c r="E414" s="3"/>
    </row>
    <row r="415">
      <c r="D415" s="405"/>
      <c r="E415" s="3"/>
    </row>
    <row r="416">
      <c r="D416" s="405"/>
      <c r="E416" s="3"/>
    </row>
    <row r="417">
      <c r="D417" s="405"/>
      <c r="E417" s="3"/>
    </row>
    <row r="418">
      <c r="D418" s="405"/>
      <c r="E418" s="3"/>
    </row>
    <row r="419">
      <c r="D419" s="405"/>
      <c r="E419" s="3"/>
    </row>
    <row r="420">
      <c r="D420" s="405"/>
      <c r="E420" s="3"/>
    </row>
    <row r="421">
      <c r="D421" s="405"/>
      <c r="E421" s="3"/>
    </row>
    <row r="422">
      <c r="D422" s="405"/>
      <c r="E422" s="3"/>
    </row>
    <row r="423">
      <c r="D423" s="405"/>
      <c r="E423" s="3"/>
    </row>
    <row r="424">
      <c r="D424" s="405"/>
      <c r="E424" s="3"/>
    </row>
    <row r="425">
      <c r="D425" s="405"/>
      <c r="E425" s="3"/>
    </row>
    <row r="426">
      <c r="D426" s="405"/>
      <c r="E426" s="3"/>
    </row>
    <row r="427">
      <c r="D427" s="405"/>
      <c r="E427" s="3"/>
    </row>
    <row r="428">
      <c r="D428" s="405"/>
      <c r="E428" s="3"/>
    </row>
    <row r="429">
      <c r="D429" s="405"/>
      <c r="E429" s="3"/>
    </row>
    <row r="430">
      <c r="D430" s="405"/>
      <c r="E430" s="3"/>
    </row>
    <row r="431">
      <c r="D431" s="405"/>
      <c r="E431" s="3"/>
    </row>
    <row r="432">
      <c r="D432" s="405"/>
      <c r="E432" s="3"/>
    </row>
    <row r="433">
      <c r="D433" s="405"/>
      <c r="E433" s="3"/>
    </row>
    <row r="434">
      <c r="D434" s="405"/>
      <c r="E434" s="3"/>
    </row>
    <row r="435">
      <c r="D435" s="405"/>
      <c r="E435" s="3"/>
    </row>
    <row r="436">
      <c r="D436" s="405"/>
      <c r="E436" s="3"/>
    </row>
    <row r="437">
      <c r="D437" s="405"/>
      <c r="E437" s="3"/>
    </row>
    <row r="438">
      <c r="D438" s="405"/>
      <c r="E438" s="3"/>
    </row>
    <row r="439">
      <c r="D439" s="405"/>
      <c r="E439" s="3"/>
    </row>
    <row r="440">
      <c r="D440" s="405"/>
      <c r="E440" s="3"/>
    </row>
    <row r="441">
      <c r="D441" s="405"/>
      <c r="E441" s="3"/>
    </row>
    <row r="442">
      <c r="D442" s="405"/>
      <c r="E442" s="3"/>
    </row>
    <row r="443">
      <c r="D443" s="405"/>
      <c r="E443" s="3"/>
    </row>
    <row r="444">
      <c r="D444" s="405"/>
      <c r="E444" s="3"/>
    </row>
    <row r="445">
      <c r="D445" s="405"/>
      <c r="E445" s="3"/>
    </row>
    <row r="446">
      <c r="D446" s="405"/>
      <c r="E446" s="3"/>
    </row>
    <row r="447">
      <c r="D447" s="405"/>
      <c r="E447" s="3"/>
    </row>
    <row r="448">
      <c r="D448" s="405"/>
      <c r="E448" s="3"/>
    </row>
    <row r="449">
      <c r="D449" s="405"/>
      <c r="E449" s="3"/>
    </row>
    <row r="450">
      <c r="D450" s="405"/>
      <c r="E450" s="3"/>
    </row>
    <row r="451">
      <c r="D451" s="405"/>
      <c r="E451" s="3"/>
    </row>
    <row r="452">
      <c r="D452" s="405"/>
      <c r="E452" s="3"/>
    </row>
    <row r="453">
      <c r="D453" s="405"/>
      <c r="E453" s="3"/>
    </row>
    <row r="454">
      <c r="D454" s="405"/>
      <c r="E454" s="3"/>
    </row>
    <row r="455">
      <c r="D455" s="405"/>
      <c r="E455" s="3"/>
    </row>
    <row r="456">
      <c r="D456" s="405"/>
      <c r="E456" s="3"/>
    </row>
    <row r="457">
      <c r="D457" s="405"/>
      <c r="E457" s="3"/>
    </row>
    <row r="458">
      <c r="D458" s="405"/>
      <c r="E458" s="3"/>
    </row>
    <row r="459">
      <c r="D459" s="405"/>
      <c r="E459" s="3"/>
    </row>
    <row r="460">
      <c r="D460" s="405"/>
      <c r="E460" s="3"/>
    </row>
    <row r="461">
      <c r="D461" s="405"/>
      <c r="E461" s="3"/>
    </row>
    <row r="462">
      <c r="D462" s="405"/>
      <c r="E462" s="3"/>
    </row>
    <row r="463">
      <c r="D463" s="405"/>
      <c r="E463" s="3"/>
    </row>
    <row r="464">
      <c r="D464" s="405"/>
      <c r="E464" s="3"/>
    </row>
    <row r="465">
      <c r="D465" s="405"/>
      <c r="E465" s="3"/>
    </row>
    <row r="466">
      <c r="D466" s="405"/>
      <c r="E466" s="3"/>
    </row>
    <row r="467">
      <c r="D467" s="405"/>
      <c r="E467" s="3"/>
    </row>
    <row r="468">
      <c r="D468" s="405"/>
      <c r="E468" s="3"/>
    </row>
    <row r="469">
      <c r="D469" s="405"/>
      <c r="E469" s="3"/>
    </row>
    <row r="470">
      <c r="D470" s="405"/>
      <c r="E470" s="3"/>
    </row>
    <row r="471">
      <c r="D471" s="405"/>
      <c r="E471" s="3"/>
    </row>
    <row r="472">
      <c r="D472" s="405"/>
      <c r="E472" s="3"/>
    </row>
    <row r="473">
      <c r="D473" s="405"/>
      <c r="E473" s="3"/>
    </row>
    <row r="474">
      <c r="D474" s="405"/>
      <c r="E474" s="3"/>
    </row>
    <row r="475">
      <c r="D475" s="405"/>
      <c r="E475" s="3"/>
    </row>
    <row r="476">
      <c r="D476" s="405"/>
      <c r="E476" s="3"/>
    </row>
    <row r="477">
      <c r="D477" s="405"/>
      <c r="E477" s="3"/>
    </row>
    <row r="478">
      <c r="D478" s="405"/>
      <c r="E478" s="3"/>
    </row>
    <row r="479">
      <c r="D479" s="405"/>
      <c r="E479" s="3"/>
    </row>
    <row r="480">
      <c r="D480" s="405"/>
      <c r="E480" s="3"/>
    </row>
    <row r="481">
      <c r="D481" s="405"/>
      <c r="E481" s="3"/>
    </row>
    <row r="482">
      <c r="D482" s="405"/>
      <c r="E482" s="3"/>
    </row>
    <row r="483">
      <c r="D483" s="405"/>
      <c r="E483" s="3"/>
    </row>
    <row r="484">
      <c r="D484" s="405"/>
      <c r="E484" s="3"/>
    </row>
    <row r="485">
      <c r="D485" s="405"/>
      <c r="E485" s="3"/>
    </row>
    <row r="486">
      <c r="D486" s="405"/>
      <c r="E486" s="3"/>
    </row>
    <row r="487">
      <c r="D487" s="405"/>
      <c r="E487" s="3"/>
    </row>
    <row r="488">
      <c r="D488" s="405"/>
      <c r="E488" s="3"/>
    </row>
    <row r="489">
      <c r="D489" s="405"/>
      <c r="E489" s="3"/>
    </row>
    <row r="490">
      <c r="D490" s="405"/>
      <c r="E490" s="3"/>
    </row>
    <row r="491">
      <c r="D491" s="405"/>
      <c r="E491" s="3"/>
    </row>
    <row r="492">
      <c r="D492" s="405"/>
      <c r="E492" s="3"/>
    </row>
    <row r="493">
      <c r="D493" s="405"/>
      <c r="E493" s="3"/>
    </row>
    <row r="494">
      <c r="D494" s="405"/>
      <c r="E494" s="3"/>
    </row>
    <row r="495">
      <c r="D495" s="405"/>
      <c r="E495" s="3"/>
    </row>
    <row r="496">
      <c r="D496" s="405"/>
      <c r="E496" s="3"/>
    </row>
    <row r="497">
      <c r="D497" s="405"/>
      <c r="E497" s="3"/>
    </row>
    <row r="498">
      <c r="D498" s="405"/>
      <c r="E498" s="3"/>
    </row>
    <row r="499">
      <c r="D499" s="405"/>
      <c r="E499" s="3"/>
    </row>
    <row r="500">
      <c r="D500" s="405"/>
      <c r="E500" s="3"/>
    </row>
    <row r="501">
      <c r="D501" s="405"/>
      <c r="E501" s="3"/>
    </row>
    <row r="502">
      <c r="D502" s="405"/>
      <c r="E502" s="3"/>
    </row>
    <row r="503">
      <c r="D503" s="405"/>
      <c r="E503" s="3"/>
    </row>
    <row r="504">
      <c r="D504" s="405"/>
      <c r="E504" s="3"/>
    </row>
    <row r="505">
      <c r="D505" s="405"/>
      <c r="E505" s="3"/>
    </row>
    <row r="506">
      <c r="D506" s="405"/>
      <c r="E506" s="3"/>
    </row>
    <row r="507">
      <c r="D507" s="405"/>
      <c r="E507" s="3"/>
    </row>
    <row r="508">
      <c r="D508" s="405"/>
      <c r="E508" s="3"/>
    </row>
    <row r="509">
      <c r="D509" s="405"/>
      <c r="E509" s="3"/>
    </row>
    <row r="510">
      <c r="D510" s="405"/>
      <c r="E510" s="3"/>
    </row>
    <row r="511">
      <c r="D511" s="405"/>
      <c r="E511" s="3"/>
    </row>
    <row r="512">
      <c r="D512" s="405"/>
      <c r="E512" s="3"/>
    </row>
    <row r="513">
      <c r="D513" s="405"/>
      <c r="E513" s="3"/>
    </row>
    <row r="514">
      <c r="D514" s="405"/>
      <c r="E514" s="3"/>
    </row>
    <row r="515">
      <c r="D515" s="405"/>
      <c r="E515" s="3"/>
    </row>
    <row r="516">
      <c r="D516" s="405"/>
      <c r="E516" s="3"/>
    </row>
    <row r="517">
      <c r="D517" s="405"/>
      <c r="E517" s="3"/>
    </row>
    <row r="518">
      <c r="D518" s="405"/>
      <c r="E518" s="3"/>
    </row>
    <row r="519">
      <c r="D519" s="405"/>
      <c r="E519" s="3"/>
    </row>
    <row r="520">
      <c r="D520" s="405"/>
      <c r="E520" s="3"/>
    </row>
    <row r="521">
      <c r="D521" s="405"/>
      <c r="E521" s="3"/>
    </row>
    <row r="522">
      <c r="D522" s="405"/>
      <c r="E522" s="3"/>
    </row>
    <row r="523">
      <c r="D523" s="405"/>
      <c r="E523" s="3"/>
    </row>
    <row r="524">
      <c r="D524" s="405"/>
      <c r="E524" s="3"/>
    </row>
    <row r="525">
      <c r="D525" s="405"/>
      <c r="E525" s="3"/>
    </row>
    <row r="526">
      <c r="D526" s="405"/>
      <c r="E526" s="3"/>
    </row>
    <row r="527">
      <c r="D527" s="405"/>
      <c r="E527" s="3"/>
    </row>
    <row r="528">
      <c r="D528" s="405"/>
      <c r="E528" s="3"/>
    </row>
    <row r="529">
      <c r="D529" s="405"/>
      <c r="E529" s="3"/>
    </row>
    <row r="530">
      <c r="D530" s="405"/>
      <c r="E530" s="3"/>
    </row>
    <row r="531">
      <c r="D531" s="405"/>
      <c r="E531" s="3"/>
    </row>
    <row r="532">
      <c r="D532" s="405"/>
      <c r="E532" s="3"/>
    </row>
    <row r="533">
      <c r="D533" s="405"/>
      <c r="E533" s="3"/>
    </row>
    <row r="534">
      <c r="D534" s="405"/>
      <c r="E534" s="3"/>
    </row>
    <row r="535">
      <c r="D535" s="405"/>
      <c r="E535" s="3"/>
    </row>
    <row r="536">
      <c r="D536" s="405"/>
      <c r="E536" s="3"/>
    </row>
    <row r="537">
      <c r="D537" s="405"/>
      <c r="E537" s="3"/>
    </row>
    <row r="538">
      <c r="D538" s="405"/>
      <c r="E538" s="3"/>
    </row>
    <row r="539">
      <c r="D539" s="405"/>
      <c r="E539" s="3"/>
    </row>
    <row r="540">
      <c r="D540" s="405"/>
      <c r="E540" s="3"/>
    </row>
    <row r="541">
      <c r="D541" s="405"/>
      <c r="E541" s="3"/>
    </row>
    <row r="542">
      <c r="D542" s="405"/>
      <c r="E542" s="3"/>
    </row>
    <row r="543">
      <c r="D543" s="405"/>
      <c r="E543" s="3"/>
    </row>
    <row r="544">
      <c r="D544" s="405"/>
      <c r="E544" s="3"/>
    </row>
    <row r="545">
      <c r="D545" s="405"/>
      <c r="E545" s="3"/>
    </row>
    <row r="546">
      <c r="D546" s="405"/>
      <c r="E546" s="3"/>
    </row>
    <row r="547">
      <c r="D547" s="405"/>
      <c r="E547" s="3"/>
    </row>
    <row r="548">
      <c r="D548" s="405"/>
      <c r="E548" s="3"/>
    </row>
    <row r="549">
      <c r="D549" s="405"/>
      <c r="E549" s="3"/>
    </row>
    <row r="550">
      <c r="D550" s="405"/>
      <c r="E550" s="3"/>
    </row>
    <row r="551">
      <c r="D551" s="405"/>
      <c r="E551" s="3"/>
    </row>
    <row r="552">
      <c r="D552" s="405"/>
      <c r="E552" s="3"/>
    </row>
    <row r="553">
      <c r="D553" s="405"/>
      <c r="E553" s="3"/>
    </row>
    <row r="554">
      <c r="D554" s="405"/>
      <c r="E554" s="3"/>
    </row>
    <row r="555">
      <c r="D555" s="405"/>
      <c r="E555" s="3"/>
    </row>
    <row r="556">
      <c r="D556" s="405"/>
      <c r="E556" s="3"/>
    </row>
    <row r="557">
      <c r="D557" s="405"/>
      <c r="E557" s="3"/>
    </row>
    <row r="558">
      <c r="D558" s="405"/>
      <c r="E558" s="3"/>
    </row>
    <row r="559">
      <c r="D559" s="405"/>
      <c r="E559" s="3"/>
    </row>
    <row r="560">
      <c r="D560" s="405"/>
      <c r="E560" s="3"/>
    </row>
    <row r="561">
      <c r="D561" s="405"/>
      <c r="E561" s="3"/>
    </row>
    <row r="562">
      <c r="D562" s="405"/>
      <c r="E562" s="3"/>
    </row>
    <row r="563">
      <c r="D563" s="405"/>
      <c r="E563" s="3"/>
    </row>
    <row r="564">
      <c r="D564" s="405"/>
      <c r="E564" s="3"/>
    </row>
    <row r="565">
      <c r="D565" s="405"/>
      <c r="E565" s="3"/>
    </row>
    <row r="566">
      <c r="D566" s="405"/>
      <c r="E566" s="3"/>
    </row>
    <row r="567">
      <c r="D567" s="405"/>
      <c r="E567" s="3"/>
    </row>
    <row r="568">
      <c r="D568" s="405"/>
      <c r="E568" s="3"/>
    </row>
    <row r="569">
      <c r="D569" s="405"/>
      <c r="E569" s="3"/>
    </row>
    <row r="570">
      <c r="D570" s="405"/>
      <c r="E570" s="3"/>
    </row>
    <row r="571">
      <c r="D571" s="405"/>
      <c r="E571" s="3"/>
    </row>
    <row r="572">
      <c r="D572" s="405"/>
      <c r="E572" s="3"/>
    </row>
    <row r="573">
      <c r="D573" s="405"/>
      <c r="E573" s="3"/>
    </row>
    <row r="574">
      <c r="D574" s="405"/>
      <c r="E574" s="3"/>
    </row>
    <row r="575">
      <c r="D575" s="405"/>
      <c r="E575" s="3"/>
    </row>
    <row r="576">
      <c r="D576" s="405"/>
      <c r="E576" s="3"/>
    </row>
    <row r="577">
      <c r="D577" s="405"/>
      <c r="E577" s="3"/>
    </row>
    <row r="578">
      <c r="D578" s="405"/>
      <c r="E578" s="3"/>
    </row>
    <row r="579">
      <c r="D579" s="405"/>
      <c r="E579" s="3"/>
    </row>
    <row r="580">
      <c r="D580" s="405"/>
      <c r="E580" s="3"/>
    </row>
    <row r="581">
      <c r="D581" s="405"/>
      <c r="E581" s="3"/>
    </row>
    <row r="582">
      <c r="D582" s="405"/>
      <c r="E582" s="3"/>
    </row>
    <row r="583">
      <c r="D583" s="405"/>
      <c r="E583" s="3"/>
    </row>
    <row r="584">
      <c r="D584" s="405"/>
      <c r="E584" s="3"/>
    </row>
    <row r="585">
      <c r="D585" s="405"/>
      <c r="E585" s="3"/>
    </row>
    <row r="586">
      <c r="D586" s="405"/>
      <c r="E586" s="3"/>
    </row>
    <row r="587">
      <c r="D587" s="405"/>
      <c r="E587" s="3"/>
    </row>
    <row r="588">
      <c r="D588" s="405"/>
      <c r="E588" s="3"/>
    </row>
    <row r="589">
      <c r="D589" s="405"/>
      <c r="E589" s="3"/>
    </row>
    <row r="590">
      <c r="D590" s="405"/>
      <c r="E590" s="3"/>
    </row>
    <row r="591">
      <c r="D591" s="405"/>
      <c r="E591" s="3"/>
    </row>
    <row r="592">
      <c r="D592" s="405"/>
      <c r="E592" s="3"/>
    </row>
    <row r="593">
      <c r="D593" s="405"/>
      <c r="E593" s="3"/>
    </row>
    <row r="594">
      <c r="D594" s="405"/>
      <c r="E594" s="3"/>
    </row>
    <row r="595">
      <c r="D595" s="405"/>
      <c r="E595" s="3"/>
    </row>
    <row r="596">
      <c r="D596" s="405"/>
      <c r="E596" s="3"/>
    </row>
    <row r="597">
      <c r="D597" s="405"/>
      <c r="E597" s="3"/>
    </row>
    <row r="598">
      <c r="D598" s="405"/>
      <c r="E598" s="3"/>
    </row>
    <row r="599">
      <c r="D599" s="405"/>
      <c r="E599" s="3"/>
    </row>
    <row r="600">
      <c r="D600" s="405"/>
      <c r="E600" s="3"/>
    </row>
    <row r="601">
      <c r="D601" s="405"/>
      <c r="E601" s="3"/>
    </row>
    <row r="602">
      <c r="D602" s="405"/>
      <c r="E602" s="3"/>
    </row>
    <row r="603">
      <c r="D603" s="405"/>
      <c r="E603" s="3"/>
    </row>
    <row r="604">
      <c r="D604" s="405"/>
      <c r="E604" s="3"/>
    </row>
    <row r="605">
      <c r="D605" s="405"/>
      <c r="E605" s="3"/>
    </row>
    <row r="606">
      <c r="D606" s="405"/>
      <c r="E606" s="3"/>
    </row>
    <row r="607">
      <c r="D607" s="405"/>
      <c r="E607" s="3"/>
    </row>
    <row r="608">
      <c r="D608" s="405"/>
      <c r="E608" s="3"/>
    </row>
    <row r="609">
      <c r="D609" s="405"/>
      <c r="E609" s="3"/>
    </row>
    <row r="610">
      <c r="D610" s="405"/>
      <c r="E610" s="3"/>
    </row>
    <row r="611">
      <c r="D611" s="405"/>
      <c r="E611" s="3"/>
    </row>
    <row r="612">
      <c r="D612" s="405"/>
      <c r="E612" s="3"/>
    </row>
    <row r="613">
      <c r="D613" s="405"/>
      <c r="E613" s="3"/>
    </row>
    <row r="614">
      <c r="D614" s="405"/>
      <c r="E614" s="3"/>
    </row>
    <row r="615">
      <c r="D615" s="405"/>
      <c r="E615" s="3"/>
    </row>
    <row r="616">
      <c r="D616" s="405"/>
      <c r="E616" s="3"/>
    </row>
    <row r="617">
      <c r="D617" s="405"/>
      <c r="E617" s="3"/>
    </row>
    <row r="618">
      <c r="D618" s="405"/>
      <c r="E618" s="3"/>
    </row>
    <row r="619">
      <c r="D619" s="405"/>
      <c r="E619" s="3"/>
    </row>
    <row r="620">
      <c r="D620" s="405"/>
      <c r="E620" s="3"/>
    </row>
    <row r="621">
      <c r="D621" s="405"/>
      <c r="E621" s="3"/>
    </row>
    <row r="622">
      <c r="D622" s="405"/>
      <c r="E622" s="3"/>
    </row>
    <row r="623">
      <c r="D623" s="405"/>
      <c r="E623" s="3"/>
    </row>
    <row r="624">
      <c r="D624" s="405"/>
      <c r="E624" s="3"/>
    </row>
    <row r="625">
      <c r="D625" s="405"/>
      <c r="E625" s="3"/>
    </row>
    <row r="626">
      <c r="D626" s="405"/>
      <c r="E626" s="3"/>
    </row>
    <row r="627">
      <c r="D627" s="405"/>
      <c r="E627" s="3"/>
    </row>
    <row r="628">
      <c r="D628" s="405"/>
      <c r="E628" s="3"/>
    </row>
    <row r="629">
      <c r="D629" s="405"/>
      <c r="E629" s="3"/>
    </row>
    <row r="630">
      <c r="D630" s="405"/>
      <c r="E630" s="3"/>
    </row>
    <row r="631">
      <c r="D631" s="405"/>
      <c r="E631" s="3"/>
    </row>
    <row r="632">
      <c r="D632" s="405"/>
      <c r="E632" s="3"/>
    </row>
    <row r="633">
      <c r="D633" s="405"/>
      <c r="E633" s="3"/>
    </row>
    <row r="634">
      <c r="D634" s="405"/>
      <c r="E634" s="3"/>
    </row>
    <row r="635">
      <c r="D635" s="405"/>
      <c r="E635" s="3"/>
    </row>
    <row r="636">
      <c r="D636" s="405"/>
      <c r="E636" s="3"/>
    </row>
    <row r="637">
      <c r="D637" s="405"/>
      <c r="E637" s="3"/>
    </row>
    <row r="638">
      <c r="D638" s="405"/>
      <c r="E638" s="3"/>
    </row>
    <row r="639">
      <c r="D639" s="405"/>
      <c r="E639" s="3"/>
    </row>
    <row r="640">
      <c r="D640" s="405"/>
      <c r="E640" s="3"/>
    </row>
    <row r="641">
      <c r="D641" s="405"/>
      <c r="E641" s="3"/>
    </row>
    <row r="642">
      <c r="D642" s="405"/>
      <c r="E642" s="3"/>
    </row>
    <row r="643">
      <c r="D643" s="405"/>
      <c r="E643" s="3"/>
    </row>
    <row r="644">
      <c r="D644" s="405"/>
      <c r="E644" s="3"/>
    </row>
    <row r="645">
      <c r="D645" s="405"/>
      <c r="E645" s="3"/>
    </row>
    <row r="646">
      <c r="D646" s="405"/>
      <c r="E646" s="3"/>
    </row>
    <row r="647">
      <c r="D647" s="405"/>
      <c r="E647" s="3"/>
    </row>
    <row r="648">
      <c r="D648" s="405"/>
      <c r="E648" s="3"/>
    </row>
    <row r="649">
      <c r="D649" s="405"/>
      <c r="E649" s="3"/>
    </row>
    <row r="650">
      <c r="D650" s="405"/>
      <c r="E650" s="3"/>
    </row>
    <row r="651">
      <c r="D651" s="405"/>
      <c r="E651" s="3"/>
    </row>
    <row r="652">
      <c r="D652" s="405"/>
      <c r="E652" s="3"/>
    </row>
    <row r="653">
      <c r="D653" s="405"/>
      <c r="E653" s="3"/>
    </row>
    <row r="654">
      <c r="D654" s="405"/>
      <c r="E654" s="3"/>
    </row>
    <row r="655">
      <c r="D655" s="405"/>
      <c r="E655" s="3"/>
    </row>
    <row r="656">
      <c r="D656" s="405"/>
      <c r="E656" s="3"/>
    </row>
    <row r="657">
      <c r="D657" s="405"/>
      <c r="E657" s="3"/>
    </row>
    <row r="658">
      <c r="D658" s="405"/>
      <c r="E658" s="3"/>
    </row>
    <row r="659">
      <c r="D659" s="405"/>
      <c r="E659" s="3"/>
    </row>
    <row r="660">
      <c r="D660" s="405"/>
      <c r="E660" s="3"/>
    </row>
    <row r="661">
      <c r="D661" s="405"/>
      <c r="E661" s="3"/>
    </row>
    <row r="662">
      <c r="D662" s="405"/>
      <c r="E662" s="3"/>
    </row>
    <row r="663">
      <c r="D663" s="405"/>
      <c r="E663" s="3"/>
    </row>
    <row r="664">
      <c r="D664" s="405"/>
      <c r="E664" s="3"/>
    </row>
    <row r="665">
      <c r="D665" s="405"/>
      <c r="E665" s="3"/>
    </row>
    <row r="666">
      <c r="D666" s="405"/>
      <c r="E666" s="3"/>
    </row>
    <row r="667">
      <c r="D667" s="405"/>
      <c r="E667" s="3"/>
    </row>
    <row r="668">
      <c r="D668" s="405"/>
      <c r="E668" s="3"/>
    </row>
    <row r="669">
      <c r="D669" s="405"/>
      <c r="E669" s="3"/>
    </row>
    <row r="670">
      <c r="D670" s="405"/>
      <c r="E670" s="3"/>
    </row>
    <row r="671">
      <c r="D671" s="405"/>
      <c r="E671" s="3"/>
    </row>
    <row r="672">
      <c r="D672" s="405"/>
      <c r="E672" s="3"/>
    </row>
    <row r="673">
      <c r="D673" s="405"/>
      <c r="E673" s="3"/>
    </row>
    <row r="674">
      <c r="D674" s="405"/>
      <c r="E674" s="3"/>
    </row>
    <row r="675">
      <c r="D675" s="405"/>
      <c r="E675" s="3"/>
    </row>
    <row r="676">
      <c r="D676" s="405"/>
      <c r="E676" s="3"/>
    </row>
    <row r="677">
      <c r="D677" s="405"/>
      <c r="E677" s="3"/>
    </row>
    <row r="678">
      <c r="D678" s="405"/>
      <c r="E678" s="3"/>
    </row>
    <row r="679">
      <c r="D679" s="405"/>
      <c r="E679" s="3"/>
    </row>
    <row r="680">
      <c r="D680" s="405"/>
      <c r="E680" s="3"/>
    </row>
    <row r="681">
      <c r="D681" s="405"/>
      <c r="E681" s="3"/>
    </row>
    <row r="682">
      <c r="D682" s="405"/>
      <c r="E682" s="3"/>
    </row>
    <row r="683">
      <c r="D683" s="405"/>
      <c r="E683" s="3"/>
    </row>
    <row r="684">
      <c r="D684" s="405"/>
      <c r="E684" s="3"/>
    </row>
    <row r="685">
      <c r="D685" s="405"/>
      <c r="E685" s="3"/>
    </row>
    <row r="686">
      <c r="D686" s="405"/>
      <c r="E686" s="3"/>
    </row>
    <row r="687">
      <c r="D687" s="405"/>
      <c r="E687" s="3"/>
    </row>
    <row r="688">
      <c r="D688" s="405"/>
      <c r="E688" s="3"/>
    </row>
    <row r="689">
      <c r="D689" s="405"/>
      <c r="E689" s="3"/>
    </row>
    <row r="690">
      <c r="D690" s="405"/>
      <c r="E690" s="3"/>
    </row>
    <row r="691">
      <c r="D691" s="405"/>
      <c r="E691" s="3"/>
    </row>
    <row r="692">
      <c r="D692" s="405"/>
      <c r="E692" s="3"/>
    </row>
    <row r="693">
      <c r="D693" s="405"/>
      <c r="E693" s="3"/>
    </row>
    <row r="694">
      <c r="D694" s="405"/>
      <c r="E694" s="3"/>
    </row>
    <row r="695">
      <c r="D695" s="405"/>
      <c r="E695" s="3"/>
    </row>
    <row r="696">
      <c r="D696" s="405"/>
      <c r="E696" s="3"/>
    </row>
    <row r="697">
      <c r="D697" s="405"/>
      <c r="E697" s="3"/>
    </row>
    <row r="698">
      <c r="D698" s="405"/>
      <c r="E698" s="3"/>
    </row>
    <row r="699">
      <c r="D699" s="405"/>
      <c r="E699" s="3"/>
    </row>
    <row r="700">
      <c r="D700" s="405"/>
      <c r="E700" s="3"/>
    </row>
    <row r="701">
      <c r="D701" s="405"/>
      <c r="E701" s="3"/>
    </row>
    <row r="702">
      <c r="D702" s="405"/>
      <c r="E702" s="3"/>
    </row>
    <row r="703">
      <c r="D703" s="405"/>
      <c r="E703" s="3"/>
    </row>
    <row r="704">
      <c r="D704" s="405"/>
      <c r="E704" s="3"/>
    </row>
    <row r="705">
      <c r="D705" s="405"/>
      <c r="E705" s="3"/>
    </row>
    <row r="706">
      <c r="D706" s="405"/>
      <c r="E706" s="3"/>
    </row>
    <row r="707">
      <c r="D707" s="405"/>
      <c r="E707" s="3"/>
    </row>
    <row r="708">
      <c r="D708" s="405"/>
      <c r="E708" s="3"/>
    </row>
    <row r="709">
      <c r="D709" s="405"/>
      <c r="E709" s="3"/>
    </row>
    <row r="710">
      <c r="D710" s="405"/>
      <c r="E710" s="3"/>
    </row>
    <row r="711">
      <c r="D711" s="405"/>
      <c r="E711" s="3"/>
    </row>
    <row r="712">
      <c r="D712" s="405"/>
      <c r="E712" s="3"/>
    </row>
    <row r="713">
      <c r="D713" s="405"/>
      <c r="E713" s="3"/>
    </row>
    <row r="714">
      <c r="D714" s="405"/>
      <c r="E714" s="3"/>
    </row>
    <row r="715">
      <c r="D715" s="405"/>
      <c r="E715" s="3"/>
    </row>
    <row r="716">
      <c r="D716" s="405"/>
      <c r="E716" s="3"/>
    </row>
    <row r="717">
      <c r="D717" s="405"/>
      <c r="E717" s="3"/>
    </row>
    <row r="718">
      <c r="D718" s="405"/>
      <c r="E718" s="3"/>
    </row>
    <row r="719">
      <c r="D719" s="405"/>
      <c r="E719" s="3"/>
    </row>
    <row r="720">
      <c r="D720" s="405"/>
      <c r="E720" s="3"/>
    </row>
    <row r="721">
      <c r="D721" s="405"/>
      <c r="E721" s="3"/>
    </row>
    <row r="722">
      <c r="D722" s="405"/>
      <c r="E722" s="3"/>
    </row>
    <row r="723">
      <c r="D723" s="405"/>
      <c r="E723" s="3"/>
    </row>
    <row r="724">
      <c r="D724" s="405"/>
      <c r="E724" s="3"/>
    </row>
    <row r="725">
      <c r="D725" s="405"/>
      <c r="E725" s="3"/>
    </row>
    <row r="726">
      <c r="D726" s="405"/>
      <c r="E726" s="3"/>
    </row>
    <row r="727">
      <c r="D727" s="405"/>
      <c r="E727" s="3"/>
    </row>
    <row r="728">
      <c r="D728" s="405"/>
      <c r="E728" s="3"/>
    </row>
    <row r="729">
      <c r="D729" s="405"/>
      <c r="E729" s="3"/>
    </row>
    <row r="730">
      <c r="D730" s="405"/>
      <c r="E730" s="3"/>
    </row>
    <row r="731">
      <c r="D731" s="405"/>
      <c r="E731" s="3"/>
    </row>
    <row r="732">
      <c r="D732" s="405"/>
      <c r="E732" s="3"/>
    </row>
    <row r="733">
      <c r="D733" s="405"/>
      <c r="E733" s="3"/>
    </row>
    <row r="734">
      <c r="D734" s="405"/>
      <c r="E734" s="3"/>
    </row>
    <row r="735">
      <c r="D735" s="405"/>
      <c r="E735" s="3"/>
    </row>
    <row r="736">
      <c r="D736" s="405"/>
      <c r="E736" s="3"/>
    </row>
    <row r="737">
      <c r="D737" s="405"/>
      <c r="E737" s="3"/>
    </row>
    <row r="738">
      <c r="D738" s="405"/>
      <c r="E738" s="3"/>
    </row>
    <row r="739">
      <c r="D739" s="405"/>
      <c r="E739" s="3"/>
    </row>
    <row r="740">
      <c r="D740" s="405"/>
      <c r="E740" s="3"/>
    </row>
    <row r="741">
      <c r="D741" s="405"/>
      <c r="E741" s="3"/>
    </row>
    <row r="742">
      <c r="D742" s="405"/>
      <c r="E742" s="3"/>
    </row>
    <row r="743">
      <c r="D743" s="405"/>
      <c r="E743" s="3"/>
    </row>
    <row r="744">
      <c r="D744" s="405"/>
      <c r="E744" s="3"/>
    </row>
    <row r="745">
      <c r="D745" s="405"/>
      <c r="E745" s="3"/>
    </row>
    <row r="746">
      <c r="D746" s="405"/>
      <c r="E746" s="3"/>
    </row>
    <row r="747">
      <c r="D747" s="405"/>
      <c r="E747" s="3"/>
    </row>
    <row r="748">
      <c r="D748" s="405"/>
      <c r="E748" s="3"/>
    </row>
    <row r="749">
      <c r="D749" s="405"/>
      <c r="E749" s="3"/>
    </row>
    <row r="750">
      <c r="D750" s="405"/>
      <c r="E750" s="3"/>
    </row>
    <row r="751">
      <c r="D751" s="405"/>
      <c r="E751" s="3"/>
    </row>
    <row r="752">
      <c r="D752" s="405"/>
      <c r="E752" s="3"/>
    </row>
    <row r="753">
      <c r="D753" s="405"/>
      <c r="E753" s="3"/>
    </row>
    <row r="754">
      <c r="D754" s="405"/>
      <c r="E754" s="3"/>
    </row>
    <row r="755">
      <c r="D755" s="405"/>
      <c r="E755" s="3"/>
    </row>
    <row r="756">
      <c r="D756" s="405"/>
      <c r="E756" s="3"/>
    </row>
    <row r="757">
      <c r="D757" s="405"/>
      <c r="E757" s="3"/>
    </row>
    <row r="758">
      <c r="D758" s="405"/>
      <c r="E758" s="3"/>
    </row>
    <row r="759">
      <c r="D759" s="405"/>
      <c r="E759" s="3"/>
    </row>
    <row r="760">
      <c r="D760" s="405"/>
      <c r="E760" s="3"/>
    </row>
    <row r="761">
      <c r="D761" s="405"/>
      <c r="E761" s="3"/>
    </row>
    <row r="762">
      <c r="D762" s="405"/>
      <c r="E762" s="3"/>
    </row>
    <row r="763">
      <c r="D763" s="405"/>
      <c r="E763" s="3"/>
    </row>
    <row r="764">
      <c r="D764" s="405"/>
      <c r="E764" s="3"/>
    </row>
    <row r="765">
      <c r="D765" s="405"/>
      <c r="E765" s="3"/>
    </row>
    <row r="766">
      <c r="D766" s="405"/>
      <c r="E766" s="3"/>
    </row>
    <row r="767">
      <c r="D767" s="405"/>
      <c r="E767" s="3"/>
    </row>
    <row r="768">
      <c r="D768" s="405"/>
      <c r="E768" s="3"/>
    </row>
    <row r="769">
      <c r="D769" s="405"/>
      <c r="E769" s="3"/>
    </row>
    <row r="770">
      <c r="D770" s="405"/>
      <c r="E770" s="3"/>
    </row>
    <row r="771">
      <c r="D771" s="405"/>
      <c r="E771" s="3"/>
    </row>
    <row r="772">
      <c r="D772" s="405"/>
      <c r="E772" s="3"/>
    </row>
    <row r="773">
      <c r="D773" s="405"/>
      <c r="E773" s="3"/>
    </row>
    <row r="774">
      <c r="D774" s="405"/>
      <c r="E774" s="3"/>
    </row>
    <row r="775">
      <c r="D775" s="405"/>
      <c r="E775" s="3"/>
    </row>
    <row r="776">
      <c r="D776" s="405"/>
      <c r="E776" s="3"/>
    </row>
    <row r="777">
      <c r="D777" s="405"/>
      <c r="E777" s="3"/>
    </row>
    <row r="778">
      <c r="D778" s="405"/>
      <c r="E778" s="3"/>
    </row>
    <row r="779">
      <c r="D779" s="405"/>
      <c r="E779" s="3"/>
    </row>
    <row r="780">
      <c r="D780" s="405"/>
      <c r="E780" s="3"/>
    </row>
    <row r="781">
      <c r="D781" s="405"/>
      <c r="E781" s="3"/>
    </row>
    <row r="782">
      <c r="D782" s="405"/>
      <c r="E782" s="3"/>
    </row>
    <row r="783">
      <c r="D783" s="405"/>
      <c r="E783" s="3"/>
    </row>
    <row r="784">
      <c r="D784" s="405"/>
      <c r="E784" s="3"/>
    </row>
    <row r="785">
      <c r="D785" s="405"/>
      <c r="E785" s="3"/>
    </row>
    <row r="786">
      <c r="D786" s="405"/>
      <c r="E786" s="3"/>
    </row>
    <row r="787">
      <c r="D787" s="405"/>
      <c r="E787" s="3"/>
    </row>
    <row r="788">
      <c r="D788" s="405"/>
      <c r="E788" s="3"/>
    </row>
    <row r="789">
      <c r="D789" s="405"/>
      <c r="E789" s="3"/>
    </row>
    <row r="790">
      <c r="D790" s="405"/>
      <c r="E790" s="3"/>
    </row>
    <row r="791">
      <c r="D791" s="405"/>
      <c r="E791" s="3"/>
    </row>
    <row r="792">
      <c r="D792" s="405"/>
      <c r="E792" s="3"/>
    </row>
    <row r="793">
      <c r="D793" s="405"/>
      <c r="E793" s="3"/>
    </row>
    <row r="794">
      <c r="D794" s="405"/>
      <c r="E794" s="3"/>
    </row>
    <row r="795">
      <c r="D795" s="405"/>
      <c r="E795" s="3"/>
    </row>
    <row r="796">
      <c r="D796" s="405"/>
      <c r="E796" s="3"/>
    </row>
    <row r="797">
      <c r="D797" s="405"/>
      <c r="E797" s="3"/>
    </row>
    <row r="798">
      <c r="D798" s="405"/>
      <c r="E798" s="3"/>
    </row>
    <row r="799">
      <c r="D799" s="405"/>
      <c r="E799" s="3"/>
    </row>
    <row r="800">
      <c r="D800" s="405"/>
      <c r="E800" s="3"/>
    </row>
    <row r="801">
      <c r="D801" s="405"/>
      <c r="E801" s="3"/>
    </row>
    <row r="802">
      <c r="D802" s="405"/>
      <c r="E802" s="3"/>
    </row>
    <row r="803">
      <c r="D803" s="405"/>
      <c r="E803" s="3"/>
    </row>
    <row r="804">
      <c r="D804" s="405"/>
      <c r="E804" s="3"/>
    </row>
    <row r="805">
      <c r="D805" s="405"/>
      <c r="E805" s="3"/>
    </row>
    <row r="806">
      <c r="D806" s="405"/>
      <c r="E806" s="3"/>
    </row>
    <row r="807">
      <c r="D807" s="405"/>
      <c r="E807" s="3"/>
    </row>
    <row r="808">
      <c r="D808" s="405"/>
      <c r="E808" s="3"/>
    </row>
    <row r="809">
      <c r="D809" s="405"/>
      <c r="E809" s="3"/>
    </row>
    <row r="810">
      <c r="D810" s="405"/>
      <c r="E810" s="3"/>
    </row>
    <row r="811">
      <c r="D811" s="405"/>
      <c r="E811" s="3"/>
    </row>
    <row r="812">
      <c r="D812" s="405"/>
      <c r="E812" s="3"/>
    </row>
    <row r="813">
      <c r="D813" s="405"/>
      <c r="E813" s="3"/>
    </row>
    <row r="814">
      <c r="D814" s="405"/>
      <c r="E814" s="3"/>
    </row>
    <row r="815">
      <c r="D815" s="405"/>
      <c r="E815" s="3"/>
    </row>
    <row r="816">
      <c r="D816" s="405"/>
      <c r="E816" s="3"/>
    </row>
    <row r="817">
      <c r="D817" s="405"/>
      <c r="E817" s="3"/>
    </row>
    <row r="818">
      <c r="D818" s="405"/>
      <c r="E818" s="3"/>
    </row>
    <row r="819">
      <c r="D819" s="405"/>
      <c r="E819" s="3"/>
    </row>
    <row r="820">
      <c r="D820" s="405"/>
      <c r="E820" s="3"/>
    </row>
    <row r="821">
      <c r="D821" s="405"/>
      <c r="E821" s="3"/>
    </row>
    <row r="822">
      <c r="D822" s="405"/>
      <c r="E822" s="3"/>
    </row>
    <row r="823">
      <c r="D823" s="405"/>
      <c r="E823" s="3"/>
    </row>
    <row r="824">
      <c r="D824" s="405"/>
      <c r="E824" s="3"/>
    </row>
    <row r="825">
      <c r="D825" s="405"/>
      <c r="E825" s="3"/>
    </row>
    <row r="826">
      <c r="D826" s="405"/>
      <c r="E826" s="3"/>
    </row>
    <row r="827">
      <c r="D827" s="405"/>
      <c r="E827" s="3"/>
    </row>
    <row r="828">
      <c r="D828" s="405"/>
      <c r="E828" s="3"/>
    </row>
    <row r="829">
      <c r="D829" s="405"/>
      <c r="E829" s="3"/>
    </row>
    <row r="830">
      <c r="D830" s="405"/>
      <c r="E830" s="3"/>
    </row>
    <row r="831">
      <c r="D831" s="405"/>
      <c r="E831" s="3"/>
    </row>
    <row r="832">
      <c r="D832" s="405"/>
      <c r="E832" s="3"/>
    </row>
    <row r="833">
      <c r="D833" s="405"/>
      <c r="E833" s="3"/>
    </row>
    <row r="834">
      <c r="D834" s="405"/>
      <c r="E834" s="3"/>
    </row>
    <row r="835">
      <c r="D835" s="405"/>
      <c r="E835" s="3"/>
    </row>
    <row r="836">
      <c r="D836" s="405"/>
      <c r="E836" s="3"/>
    </row>
    <row r="837">
      <c r="D837" s="405"/>
      <c r="E837" s="3"/>
    </row>
    <row r="838">
      <c r="D838" s="405"/>
      <c r="E838" s="3"/>
    </row>
    <row r="839">
      <c r="D839" s="405"/>
      <c r="E839" s="3"/>
    </row>
    <row r="840">
      <c r="D840" s="405"/>
      <c r="E840" s="3"/>
    </row>
    <row r="841">
      <c r="D841" s="405"/>
      <c r="E841" s="3"/>
    </row>
    <row r="842">
      <c r="D842" s="405"/>
      <c r="E842" s="3"/>
    </row>
    <row r="843">
      <c r="D843" s="405"/>
      <c r="E843" s="3"/>
    </row>
    <row r="844">
      <c r="D844" s="405"/>
      <c r="E844" s="3"/>
    </row>
    <row r="845">
      <c r="D845" s="405"/>
      <c r="E845" s="3"/>
    </row>
    <row r="846">
      <c r="D846" s="405"/>
      <c r="E846" s="3"/>
    </row>
    <row r="847">
      <c r="D847" s="405"/>
      <c r="E847" s="3"/>
    </row>
    <row r="848">
      <c r="D848" s="405"/>
      <c r="E848" s="3"/>
    </row>
    <row r="849">
      <c r="D849" s="405"/>
      <c r="E849" s="3"/>
    </row>
    <row r="850">
      <c r="D850" s="405"/>
      <c r="E850" s="3"/>
    </row>
    <row r="851">
      <c r="D851" s="405"/>
      <c r="E851" s="3"/>
    </row>
    <row r="852">
      <c r="D852" s="405"/>
      <c r="E852" s="3"/>
    </row>
    <row r="853">
      <c r="D853" s="405"/>
      <c r="E853" s="3"/>
    </row>
    <row r="854">
      <c r="D854" s="405"/>
      <c r="E854" s="3"/>
    </row>
    <row r="855">
      <c r="D855" s="405"/>
      <c r="E855" s="3"/>
    </row>
    <row r="856">
      <c r="D856" s="405"/>
      <c r="E856" s="3"/>
    </row>
    <row r="857">
      <c r="D857" s="405"/>
      <c r="E857" s="3"/>
    </row>
    <row r="858">
      <c r="D858" s="405"/>
      <c r="E858" s="3"/>
    </row>
    <row r="859">
      <c r="D859" s="405"/>
      <c r="E859" s="3"/>
    </row>
    <row r="860">
      <c r="D860" s="405"/>
      <c r="E860" s="3"/>
    </row>
    <row r="861">
      <c r="D861" s="405"/>
      <c r="E861" s="3"/>
    </row>
    <row r="862">
      <c r="D862" s="405"/>
      <c r="E862" s="3"/>
    </row>
    <row r="863">
      <c r="D863" s="405"/>
      <c r="E863" s="3"/>
    </row>
    <row r="864">
      <c r="D864" s="405"/>
      <c r="E864" s="3"/>
    </row>
    <row r="865">
      <c r="D865" s="405"/>
      <c r="E865" s="3"/>
    </row>
    <row r="866">
      <c r="D866" s="405"/>
      <c r="E866" s="3"/>
    </row>
    <row r="867">
      <c r="D867" s="405"/>
      <c r="E867" s="3"/>
    </row>
    <row r="868">
      <c r="D868" s="405"/>
      <c r="E868" s="3"/>
    </row>
    <row r="869">
      <c r="D869" s="405"/>
      <c r="E869" s="3"/>
    </row>
    <row r="870">
      <c r="D870" s="405"/>
      <c r="E870" s="3"/>
    </row>
    <row r="871">
      <c r="D871" s="405"/>
      <c r="E871" s="3"/>
    </row>
    <row r="872">
      <c r="D872" s="405"/>
      <c r="E872" s="3"/>
    </row>
    <row r="873">
      <c r="D873" s="405"/>
      <c r="E873" s="3"/>
    </row>
    <row r="874">
      <c r="D874" s="405"/>
      <c r="E874" s="3"/>
    </row>
    <row r="875">
      <c r="D875" s="405"/>
      <c r="E875" s="3"/>
    </row>
    <row r="876">
      <c r="D876" s="405"/>
      <c r="E876" s="3"/>
    </row>
    <row r="877">
      <c r="D877" s="405"/>
      <c r="E877" s="3"/>
    </row>
    <row r="878">
      <c r="D878" s="405"/>
      <c r="E878" s="3"/>
    </row>
    <row r="879">
      <c r="D879" s="405"/>
      <c r="E879" s="3"/>
    </row>
    <row r="880">
      <c r="D880" s="405"/>
      <c r="E880" s="3"/>
    </row>
    <row r="881">
      <c r="D881" s="405"/>
      <c r="E881" s="3"/>
    </row>
    <row r="882">
      <c r="D882" s="405"/>
      <c r="E882" s="3"/>
    </row>
    <row r="883">
      <c r="D883" s="405"/>
      <c r="E883" s="3"/>
    </row>
    <row r="884">
      <c r="D884" s="405"/>
      <c r="E884" s="3"/>
    </row>
    <row r="885">
      <c r="D885" s="405"/>
      <c r="E885" s="3"/>
    </row>
    <row r="886">
      <c r="D886" s="405"/>
      <c r="E886" s="3"/>
    </row>
    <row r="887">
      <c r="D887" s="405"/>
      <c r="E887" s="3"/>
    </row>
    <row r="888">
      <c r="D888" s="405"/>
      <c r="E888" s="3"/>
    </row>
    <row r="889">
      <c r="D889" s="405"/>
      <c r="E889" s="3"/>
    </row>
    <row r="890">
      <c r="D890" s="405"/>
      <c r="E890" s="3"/>
    </row>
    <row r="891">
      <c r="D891" s="405"/>
      <c r="E891" s="3"/>
    </row>
    <row r="892">
      <c r="D892" s="405"/>
      <c r="E892" s="3"/>
    </row>
    <row r="893">
      <c r="D893" s="405"/>
      <c r="E893" s="3"/>
    </row>
    <row r="894">
      <c r="D894" s="405"/>
      <c r="E894" s="3"/>
    </row>
    <row r="895">
      <c r="D895" s="405"/>
      <c r="E895" s="3"/>
    </row>
    <row r="896">
      <c r="D896" s="405"/>
      <c r="E896" s="3"/>
    </row>
    <row r="897">
      <c r="D897" s="405"/>
      <c r="E897" s="3"/>
    </row>
    <row r="898">
      <c r="D898" s="405"/>
      <c r="E898" s="3"/>
    </row>
    <row r="899">
      <c r="D899" s="405"/>
      <c r="E899" s="3"/>
    </row>
    <row r="900">
      <c r="D900" s="405"/>
      <c r="E900" s="3"/>
    </row>
    <row r="901">
      <c r="D901" s="405"/>
      <c r="E901" s="3"/>
    </row>
    <row r="902">
      <c r="D902" s="405"/>
      <c r="E902" s="3"/>
    </row>
    <row r="903">
      <c r="D903" s="405"/>
      <c r="E903" s="3"/>
    </row>
    <row r="904">
      <c r="D904" s="405"/>
      <c r="E904" s="3"/>
    </row>
    <row r="905">
      <c r="D905" s="405"/>
      <c r="E905" s="3"/>
    </row>
    <row r="906">
      <c r="D906" s="405"/>
      <c r="E906" s="3"/>
    </row>
    <row r="907">
      <c r="D907" s="405"/>
      <c r="E907" s="3"/>
    </row>
    <row r="908">
      <c r="D908" s="405"/>
      <c r="E908" s="3"/>
    </row>
    <row r="909">
      <c r="D909" s="405"/>
      <c r="E909" s="3"/>
    </row>
    <row r="910">
      <c r="D910" s="405"/>
      <c r="E910" s="3"/>
    </row>
    <row r="911">
      <c r="D911" s="405"/>
      <c r="E911" s="3"/>
    </row>
    <row r="912">
      <c r="D912" s="405"/>
      <c r="E912" s="3"/>
    </row>
    <row r="913">
      <c r="D913" s="405"/>
      <c r="E913" s="3"/>
    </row>
    <row r="914">
      <c r="D914" s="405"/>
      <c r="E914" s="3"/>
    </row>
    <row r="915">
      <c r="D915" s="405"/>
      <c r="E915" s="3"/>
    </row>
    <row r="916">
      <c r="D916" s="405"/>
      <c r="E916" s="3"/>
    </row>
    <row r="917">
      <c r="D917" s="405"/>
      <c r="E917" s="3"/>
    </row>
    <row r="918">
      <c r="D918" s="405"/>
      <c r="E918" s="3"/>
    </row>
    <row r="919">
      <c r="D919" s="405"/>
      <c r="E919" s="3"/>
    </row>
    <row r="920">
      <c r="D920" s="405"/>
      <c r="E920" s="3"/>
    </row>
    <row r="921">
      <c r="D921" s="405"/>
      <c r="E921" s="3"/>
    </row>
    <row r="922">
      <c r="D922" s="405"/>
      <c r="E922" s="3"/>
    </row>
    <row r="923">
      <c r="D923" s="405"/>
      <c r="E923" s="3"/>
    </row>
    <row r="924">
      <c r="D924" s="405"/>
      <c r="E924" s="3"/>
    </row>
    <row r="925">
      <c r="D925" s="405"/>
      <c r="E925" s="3"/>
    </row>
    <row r="926">
      <c r="D926" s="405"/>
      <c r="E926" s="3"/>
    </row>
    <row r="927">
      <c r="D927" s="405"/>
      <c r="E927" s="3"/>
    </row>
    <row r="928">
      <c r="D928" s="405"/>
      <c r="E928" s="3"/>
    </row>
    <row r="929">
      <c r="D929" s="405"/>
      <c r="E929" s="3"/>
    </row>
    <row r="930">
      <c r="D930" s="405"/>
      <c r="E930" s="3"/>
    </row>
    <row r="931">
      <c r="D931" s="405"/>
      <c r="E931" s="3"/>
    </row>
    <row r="932">
      <c r="D932" s="405"/>
      <c r="E932" s="3"/>
    </row>
    <row r="933">
      <c r="D933" s="405"/>
      <c r="E933" s="3"/>
    </row>
    <row r="934">
      <c r="D934" s="405"/>
      <c r="E934" s="3"/>
    </row>
    <row r="935">
      <c r="D935" s="405"/>
      <c r="E935" s="3"/>
    </row>
    <row r="936">
      <c r="D936" s="405"/>
      <c r="E936" s="3"/>
    </row>
    <row r="937">
      <c r="D937" s="405"/>
      <c r="E937" s="3"/>
    </row>
    <row r="938">
      <c r="D938" s="405"/>
      <c r="E938" s="3"/>
    </row>
    <row r="939">
      <c r="D939" s="405"/>
      <c r="E939" s="3"/>
    </row>
    <row r="940">
      <c r="D940" s="405"/>
      <c r="E940" s="3"/>
    </row>
    <row r="941">
      <c r="D941" s="405"/>
      <c r="E941" s="3"/>
    </row>
    <row r="942">
      <c r="D942" s="405"/>
      <c r="E942" s="3"/>
    </row>
    <row r="943">
      <c r="D943" s="405"/>
      <c r="E943" s="3"/>
    </row>
    <row r="944">
      <c r="D944" s="405"/>
      <c r="E944" s="3"/>
    </row>
    <row r="945">
      <c r="D945" s="405"/>
      <c r="E945" s="3"/>
    </row>
    <row r="946">
      <c r="D946" s="405"/>
      <c r="E946" s="3"/>
    </row>
    <row r="947">
      <c r="D947" s="405"/>
      <c r="E947" s="3"/>
    </row>
    <row r="948">
      <c r="D948" s="405"/>
      <c r="E948" s="3"/>
    </row>
    <row r="949">
      <c r="D949" s="405"/>
      <c r="E949" s="3"/>
    </row>
    <row r="950">
      <c r="D950" s="405"/>
      <c r="E950" s="3"/>
    </row>
    <row r="951">
      <c r="D951" s="405"/>
      <c r="E951" s="3"/>
    </row>
    <row r="952">
      <c r="D952" s="405"/>
      <c r="E952" s="3"/>
    </row>
    <row r="953">
      <c r="D953" s="405"/>
      <c r="E953" s="3"/>
    </row>
    <row r="954">
      <c r="D954" s="405"/>
      <c r="E954" s="3"/>
    </row>
    <row r="955">
      <c r="D955" s="405"/>
      <c r="E955" s="3"/>
    </row>
    <row r="956">
      <c r="D956" s="405"/>
      <c r="E956" s="3"/>
    </row>
    <row r="957">
      <c r="D957" s="405"/>
      <c r="E957" s="3"/>
    </row>
    <row r="958">
      <c r="D958" s="405"/>
      <c r="E958" s="3"/>
    </row>
    <row r="959">
      <c r="D959" s="405"/>
      <c r="E959" s="3"/>
    </row>
    <row r="960">
      <c r="D960" s="405"/>
      <c r="E960" s="3"/>
    </row>
    <row r="961">
      <c r="D961" s="405"/>
      <c r="E961" s="3"/>
    </row>
    <row r="962">
      <c r="D962" s="405"/>
      <c r="E962" s="3"/>
    </row>
    <row r="963">
      <c r="D963" s="405"/>
      <c r="E963" s="3"/>
    </row>
    <row r="964">
      <c r="D964" s="405"/>
      <c r="E964" s="3"/>
    </row>
    <row r="965">
      <c r="D965" s="405"/>
      <c r="E965" s="3"/>
    </row>
    <row r="966">
      <c r="D966" s="405"/>
      <c r="E966" s="3"/>
    </row>
    <row r="967">
      <c r="D967" s="405"/>
      <c r="E967" s="3"/>
    </row>
    <row r="968">
      <c r="D968" s="405"/>
      <c r="E968" s="3"/>
    </row>
    <row r="969">
      <c r="D969" s="405"/>
      <c r="E969" s="3"/>
    </row>
    <row r="970">
      <c r="D970" s="405"/>
      <c r="E970" s="3"/>
    </row>
    <row r="971">
      <c r="D971" s="405"/>
      <c r="E971" s="3"/>
    </row>
    <row r="972">
      <c r="D972" s="405"/>
      <c r="E972" s="3"/>
    </row>
    <row r="973">
      <c r="D973" s="405"/>
      <c r="E973" s="3"/>
    </row>
    <row r="974">
      <c r="D974" s="405"/>
      <c r="E974" s="3"/>
    </row>
    <row r="975">
      <c r="D975" s="405"/>
      <c r="E975" s="3"/>
    </row>
    <row r="976">
      <c r="D976" s="405"/>
      <c r="E976" s="3"/>
    </row>
    <row r="977">
      <c r="D977" s="405"/>
      <c r="E977" s="3"/>
    </row>
    <row r="978">
      <c r="D978" s="405"/>
      <c r="E978" s="3"/>
    </row>
    <row r="979">
      <c r="D979" s="405"/>
      <c r="E979" s="3"/>
    </row>
    <row r="980">
      <c r="D980" s="405"/>
      <c r="E980" s="3"/>
    </row>
    <row r="981">
      <c r="D981" s="405"/>
      <c r="E981" s="3"/>
    </row>
    <row r="982">
      <c r="D982" s="405"/>
      <c r="E982" s="3"/>
    </row>
    <row r="983">
      <c r="D983" s="405"/>
      <c r="E983" s="3"/>
    </row>
    <row r="984">
      <c r="D984" s="405"/>
      <c r="E984" s="3"/>
    </row>
    <row r="985">
      <c r="D985" s="405"/>
      <c r="E985" s="3"/>
    </row>
    <row r="986">
      <c r="D986" s="405"/>
      <c r="E986" s="3"/>
    </row>
    <row r="987">
      <c r="D987" s="405"/>
      <c r="E987" s="3"/>
    </row>
    <row r="988">
      <c r="D988" s="405"/>
      <c r="E988" s="3"/>
    </row>
    <row r="989">
      <c r="D989" s="405"/>
      <c r="E989" s="3"/>
    </row>
    <row r="990">
      <c r="D990" s="405"/>
      <c r="E990" s="3"/>
    </row>
    <row r="991">
      <c r="D991" s="405"/>
      <c r="E991" s="3"/>
    </row>
    <row r="992">
      <c r="D992" s="405"/>
      <c r="E992" s="3"/>
    </row>
    <row r="993">
      <c r="D993" s="405"/>
      <c r="E993" s="3"/>
    </row>
    <row r="994">
      <c r="D994" s="405"/>
      <c r="E994" s="3"/>
    </row>
    <row r="995">
      <c r="D995" s="405"/>
      <c r="E995" s="3"/>
    </row>
    <row r="996">
      <c r="D996" s="405"/>
      <c r="E996" s="3"/>
    </row>
    <row r="997">
      <c r="D997" s="405"/>
      <c r="E997" s="3"/>
    </row>
    <row r="998">
      <c r="D998" s="405"/>
      <c r="E998" s="3"/>
    </row>
    <row r="999">
      <c r="D999" s="405"/>
      <c r="E999" s="3"/>
    </row>
    <row r="1000">
      <c r="D1000" s="405"/>
      <c r="E1000" s="3"/>
    </row>
  </sheetData>
  <hyperlinks>
    <hyperlink r:id="rId1" ref="G14"/>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2"/>
  <cols>
    <col customWidth="1" min="1" max="1" width="5.63"/>
    <col customWidth="1" min="6" max="6" width="27.0"/>
    <col customWidth="1" min="7" max="7" width="15.25"/>
    <col customWidth="1" min="8" max="8" width="24.0"/>
    <col customWidth="1" min="9" max="9" width="23.38"/>
    <col customWidth="1" min="10" max="10" width="18.5"/>
    <col customWidth="1" min="11" max="11" width="28.38"/>
    <col customWidth="1" min="12" max="12" width="21.0"/>
    <col customWidth="1" min="13" max="13" width="28.5"/>
    <col customWidth="1" min="14" max="14" width="23.25"/>
    <col customWidth="1" min="15" max="15" width="21.63"/>
    <col customWidth="1" min="16" max="16" width="23.0"/>
    <col customWidth="1" min="18" max="18" width="26.0"/>
    <col customWidth="1" min="19" max="19" width="30.75"/>
    <col customWidth="1" min="20" max="20" width="16.38"/>
  </cols>
  <sheetData>
    <row r="1">
      <c r="A1" s="18" t="s">
        <v>1546</v>
      </c>
      <c r="B1" s="18" t="s">
        <v>0</v>
      </c>
      <c r="C1" s="18" t="s">
        <v>1553</v>
      </c>
      <c r="D1" s="18" t="s">
        <v>1554</v>
      </c>
      <c r="E1" s="18" t="s">
        <v>1557</v>
      </c>
      <c r="F1" s="18" t="s">
        <v>1558</v>
      </c>
      <c r="G1" s="18" t="s">
        <v>103</v>
      </c>
      <c r="H1" s="18" t="s">
        <v>1559</v>
      </c>
      <c r="I1" s="18" t="s">
        <v>1560</v>
      </c>
      <c r="J1" s="18" t="s">
        <v>106</v>
      </c>
      <c r="K1" s="18" t="s">
        <v>1562</v>
      </c>
      <c r="L1" s="18" t="s">
        <v>102</v>
      </c>
      <c r="M1" s="18" t="s">
        <v>1565</v>
      </c>
      <c r="N1" s="18" t="s">
        <v>1568</v>
      </c>
      <c r="O1" s="18" t="s">
        <v>107</v>
      </c>
      <c r="P1" s="18" t="s">
        <v>111</v>
      </c>
      <c r="Q1" s="18" t="s">
        <v>1570</v>
      </c>
      <c r="R1" s="18" t="s">
        <v>1571</v>
      </c>
      <c r="S1" s="18" t="s">
        <v>1572</v>
      </c>
      <c r="T1" s="18" t="s">
        <v>19</v>
      </c>
    </row>
    <row r="2">
      <c r="A2" s="132"/>
      <c r="B2" s="124" t="s">
        <v>1225</v>
      </c>
      <c r="C2" s="421">
        <v>44970.0</v>
      </c>
      <c r="D2" s="124" t="s">
        <v>1578</v>
      </c>
      <c r="E2" s="422">
        <v>45012.0</v>
      </c>
      <c r="F2" s="424" t="s">
        <v>1581</v>
      </c>
      <c r="G2" s="422">
        <v>45012.0</v>
      </c>
      <c r="H2" s="424"/>
      <c r="I2" s="425"/>
      <c r="J2" s="425"/>
      <c r="K2" s="425"/>
      <c r="L2" s="318"/>
      <c r="M2" s="318"/>
      <c r="N2" s="318"/>
      <c r="O2" s="318"/>
      <c r="P2" s="318"/>
      <c r="Q2" s="318"/>
      <c r="R2" s="318"/>
      <c r="S2" s="318"/>
      <c r="T2" s="318"/>
    </row>
    <row r="3">
      <c r="A3" s="132"/>
      <c r="B3" s="408" t="s">
        <v>1278</v>
      </c>
      <c r="C3" s="422">
        <v>45001.0</v>
      </c>
      <c r="D3" s="124" t="s">
        <v>1578</v>
      </c>
      <c r="E3" s="124" t="s">
        <v>1584</v>
      </c>
      <c r="F3" s="427" t="s">
        <v>1585</v>
      </c>
      <c r="G3" s="428">
        <v>45009.0</v>
      </c>
      <c r="H3" s="427"/>
      <c r="I3" s="425"/>
      <c r="J3" s="425"/>
      <c r="K3" s="425"/>
      <c r="L3" s="425"/>
      <c r="M3" s="425"/>
      <c r="N3" s="425"/>
      <c r="O3" s="425"/>
      <c r="P3" s="425"/>
      <c r="Q3" s="425"/>
      <c r="R3" s="425"/>
      <c r="S3" s="425"/>
      <c r="T3" s="424"/>
    </row>
    <row r="4">
      <c r="A4" s="132"/>
      <c r="B4" s="124" t="s">
        <v>1587</v>
      </c>
      <c r="C4" s="422">
        <v>45002.0</v>
      </c>
      <c r="D4" s="124" t="s">
        <v>1578</v>
      </c>
      <c r="E4" s="428">
        <v>45020.0</v>
      </c>
      <c r="F4" s="424" t="s">
        <v>1589</v>
      </c>
      <c r="G4" s="428">
        <v>45020.0</v>
      </c>
      <c r="H4" s="424"/>
      <c r="I4" s="425"/>
      <c r="J4" s="425"/>
      <c r="K4" s="425"/>
      <c r="L4" s="425"/>
      <c r="M4" s="425"/>
      <c r="N4" s="425"/>
      <c r="O4" s="425"/>
      <c r="P4" s="425"/>
      <c r="Q4" s="425"/>
      <c r="R4" s="425"/>
      <c r="S4" s="425"/>
      <c r="T4" s="425"/>
    </row>
    <row r="5">
      <c r="A5" s="132"/>
      <c r="B5" s="124" t="s">
        <v>1048</v>
      </c>
      <c r="C5" s="422">
        <v>44932.0</v>
      </c>
      <c r="D5" s="124" t="s">
        <v>1578</v>
      </c>
      <c r="E5" s="124" t="s">
        <v>1592</v>
      </c>
      <c r="F5" s="427" t="s">
        <v>1593</v>
      </c>
      <c r="G5" s="124" t="s">
        <v>1592</v>
      </c>
      <c r="H5" s="425"/>
      <c r="I5" s="425"/>
      <c r="J5" s="425"/>
      <c r="K5" s="425"/>
      <c r="L5" s="425"/>
      <c r="M5" s="425"/>
      <c r="N5" s="425"/>
      <c r="O5" s="425"/>
      <c r="P5" s="425"/>
      <c r="Q5" s="425"/>
      <c r="R5" s="425"/>
      <c r="S5" s="425"/>
      <c r="T5" s="425"/>
      <c r="U5" s="132"/>
    </row>
    <row r="6">
      <c r="A6" s="132"/>
      <c r="B6" s="124" t="s">
        <v>1430</v>
      </c>
      <c r="C6" s="422">
        <v>45084.0</v>
      </c>
      <c r="D6" s="425"/>
      <c r="E6" s="425"/>
      <c r="F6" s="135" t="s">
        <v>1597</v>
      </c>
      <c r="G6" s="318"/>
      <c r="H6" s="318"/>
      <c r="I6" s="318"/>
      <c r="J6" s="318"/>
      <c r="K6" s="318"/>
      <c r="L6" s="318"/>
      <c r="M6" s="318"/>
      <c r="N6" s="318"/>
      <c r="O6" s="318"/>
      <c r="P6" s="318"/>
      <c r="Q6" s="318"/>
      <c r="R6" s="318"/>
      <c r="S6" s="318"/>
      <c r="T6" s="318"/>
    </row>
    <row r="7">
      <c r="A7" s="132"/>
      <c r="B7" s="124" t="s">
        <v>1416</v>
      </c>
      <c r="C7" s="422">
        <v>45076.0</v>
      </c>
      <c r="D7" s="425"/>
      <c r="E7" s="425"/>
      <c r="F7" s="427" t="s">
        <v>1601</v>
      </c>
      <c r="G7" s="425"/>
      <c r="H7" s="425"/>
      <c r="I7" s="425"/>
      <c r="J7" s="425"/>
      <c r="K7" s="425"/>
      <c r="L7" s="425"/>
      <c r="M7" s="425"/>
      <c r="N7" s="425"/>
      <c r="O7" s="425"/>
      <c r="P7" s="425"/>
      <c r="Q7" s="425"/>
      <c r="R7" s="318"/>
      <c r="S7" s="318"/>
      <c r="T7" s="318"/>
    </row>
    <row r="8">
      <c r="A8" s="132"/>
      <c r="B8" s="124" t="s">
        <v>1362</v>
      </c>
      <c r="C8" s="422">
        <v>45042.0</v>
      </c>
      <c r="D8" s="318"/>
      <c r="E8" s="318"/>
      <c r="F8" s="427" t="s">
        <v>1604</v>
      </c>
      <c r="G8" s="318"/>
      <c r="H8" s="318"/>
      <c r="I8" s="318"/>
      <c r="J8" s="318"/>
      <c r="K8" s="318"/>
      <c r="L8" s="318"/>
      <c r="M8" s="318"/>
      <c r="N8" s="318"/>
      <c r="O8" s="318"/>
      <c r="P8" s="318"/>
      <c r="Q8" s="318"/>
      <c r="R8" s="318"/>
      <c r="S8" s="318"/>
      <c r="T8" s="318"/>
    </row>
    <row r="9">
      <c r="A9" s="132"/>
      <c r="B9" s="408" t="s">
        <v>1246</v>
      </c>
      <c r="C9" s="422">
        <v>44987.0</v>
      </c>
      <c r="D9" s="124" t="s">
        <v>1578</v>
      </c>
      <c r="E9" s="422">
        <v>44998.0</v>
      </c>
      <c r="F9" s="431"/>
      <c r="G9" s="422">
        <v>44998.0</v>
      </c>
      <c r="H9" s="425"/>
      <c r="I9" s="425"/>
      <c r="J9" s="432" t="s">
        <v>1607</v>
      </c>
      <c r="K9" s="425"/>
      <c r="L9" s="425"/>
      <c r="M9" s="124" t="s">
        <v>1109</v>
      </c>
      <c r="N9" s="425"/>
      <c r="O9" s="425"/>
      <c r="P9" s="425"/>
      <c r="Q9" s="425"/>
    </row>
    <row r="10">
      <c r="A10" s="132"/>
      <c r="B10" s="124" t="s">
        <v>1353</v>
      </c>
      <c r="C10" s="425"/>
      <c r="D10" s="425"/>
      <c r="E10" s="318"/>
      <c r="F10" s="427" t="s">
        <v>1609</v>
      </c>
      <c r="G10" s="425"/>
      <c r="H10" s="425"/>
      <c r="I10" s="425"/>
      <c r="J10" s="425"/>
      <c r="K10" s="425"/>
      <c r="L10" s="425"/>
      <c r="M10" s="425"/>
      <c r="N10" s="425"/>
      <c r="O10" s="425"/>
      <c r="P10" s="425"/>
      <c r="Q10" s="425"/>
      <c r="R10" s="425"/>
      <c r="S10" s="425"/>
      <c r="T10" s="425"/>
      <c r="U10" s="3"/>
      <c r="V10" s="3"/>
      <c r="W10" s="3"/>
      <c r="X10" s="3"/>
      <c r="Y10" s="3"/>
      <c r="Z10" s="3"/>
      <c r="AA10" s="3"/>
      <c r="AB10" s="3"/>
      <c r="AC10" s="3"/>
      <c r="AD10" s="3"/>
    </row>
    <row r="11">
      <c r="A11" s="132"/>
      <c r="B11" s="124" t="s">
        <v>1316</v>
      </c>
      <c r="C11" s="318"/>
      <c r="D11" s="124" t="s">
        <v>1578</v>
      </c>
      <c r="E11" s="422">
        <v>45071.0</v>
      </c>
      <c r="F11" s="427" t="s">
        <v>1620</v>
      </c>
      <c r="G11" s="425"/>
      <c r="H11" s="425"/>
      <c r="I11" s="425"/>
      <c r="J11" s="425"/>
      <c r="K11" s="425"/>
      <c r="L11" s="425"/>
      <c r="M11" s="425"/>
      <c r="N11" s="425"/>
      <c r="O11" s="425"/>
      <c r="P11" s="425"/>
      <c r="Q11" s="425"/>
      <c r="R11" s="425"/>
      <c r="S11" s="425"/>
      <c r="T11" s="425"/>
    </row>
    <row r="12">
      <c r="A12" s="39"/>
      <c r="B12" s="437" t="s">
        <v>1623</v>
      </c>
      <c r="C12" s="422">
        <v>45154.0</v>
      </c>
      <c r="D12" s="438"/>
      <c r="E12" s="438">
        <v>45163.0</v>
      </c>
      <c r="F12" s="440" t="s">
        <v>1627</v>
      </c>
      <c r="G12" s="438"/>
      <c r="H12" s="378"/>
      <c r="I12" s="438"/>
      <c r="J12" s="378"/>
      <c r="K12" s="378"/>
      <c r="L12" s="378"/>
      <c r="M12" s="378"/>
      <c r="N12" s="378"/>
      <c r="O12" s="438">
        <v>45163.0</v>
      </c>
      <c r="P12" s="378"/>
      <c r="Q12" s="378"/>
      <c r="R12" s="378"/>
      <c r="S12" s="378"/>
      <c r="T12" s="378"/>
      <c r="U12" s="14"/>
      <c r="V12" s="14"/>
      <c r="W12" s="14"/>
      <c r="X12" s="14"/>
      <c r="Y12" s="14"/>
      <c r="Z12" s="14"/>
      <c r="AA12" s="14"/>
    </row>
    <row r="13">
      <c r="A13" s="132"/>
      <c r="B13" s="124" t="s">
        <v>1634</v>
      </c>
      <c r="C13" s="428">
        <v>45148.0</v>
      </c>
      <c r="D13" s="425"/>
      <c r="E13" s="425"/>
      <c r="F13" s="442" t="s">
        <v>1637</v>
      </c>
    </row>
    <row r="14">
      <c r="A14" s="132"/>
      <c r="B14" s="408" t="s">
        <v>1526</v>
      </c>
      <c r="C14" s="124" t="s">
        <v>1640</v>
      </c>
      <c r="D14" s="422">
        <v>45118.0</v>
      </c>
      <c r="E14" s="427" t="s">
        <v>1584</v>
      </c>
      <c r="F14" s="422">
        <v>45140.0</v>
      </c>
      <c r="G14" s="422">
        <v>45133.0</v>
      </c>
      <c r="H14" s="425"/>
      <c r="I14" s="422">
        <v>45133.0</v>
      </c>
      <c r="J14" s="425"/>
      <c r="K14" s="422">
        <v>45212.0</v>
      </c>
      <c r="L14" s="445" t="s">
        <v>1643</v>
      </c>
      <c r="M14" s="422">
        <v>45141.0</v>
      </c>
      <c r="N14" s="124" t="s">
        <v>1644</v>
      </c>
      <c r="O14" s="422">
        <v>45133.0</v>
      </c>
      <c r="P14" s="425"/>
    </row>
    <row r="15">
      <c r="A15" s="132"/>
      <c r="B15" s="408" t="s">
        <v>1645</v>
      </c>
      <c r="C15" s="124" t="s">
        <v>1578</v>
      </c>
      <c r="D15" s="422">
        <v>45161.0</v>
      </c>
      <c r="E15" s="427" t="s">
        <v>1584</v>
      </c>
      <c r="F15" s="422"/>
      <c r="G15" s="422">
        <v>45161.0</v>
      </c>
      <c r="H15" s="425"/>
      <c r="I15" s="422">
        <v>45161.0</v>
      </c>
      <c r="J15" s="425"/>
      <c r="K15" s="318"/>
      <c r="L15" s="422">
        <v>45209.0</v>
      </c>
      <c r="M15" s="422">
        <v>45191.0</v>
      </c>
      <c r="N15" s="425"/>
      <c r="O15" s="422">
        <v>45161.0</v>
      </c>
      <c r="P15" s="425"/>
    </row>
    <row r="16">
      <c r="A16" s="39"/>
      <c r="B16" s="420" t="s">
        <v>1649</v>
      </c>
      <c r="C16" s="437" t="s">
        <v>1578</v>
      </c>
      <c r="D16" s="446">
        <v>45226.0</v>
      </c>
      <c r="E16" s="448" t="s">
        <v>1653</v>
      </c>
      <c r="F16" s="378"/>
      <c r="G16" s="446">
        <v>45226.0</v>
      </c>
      <c r="H16" s="378"/>
      <c r="I16" s="446">
        <v>45226.0</v>
      </c>
      <c r="J16" s="378"/>
      <c r="K16" s="378"/>
      <c r="L16" s="449" t="s">
        <v>1655</v>
      </c>
      <c r="M16" s="437" t="s">
        <v>1656</v>
      </c>
      <c r="N16" s="378"/>
      <c r="O16" s="446">
        <v>45226.0</v>
      </c>
      <c r="P16" s="378"/>
    </row>
    <row r="17">
      <c r="A17" s="132"/>
      <c r="B17" s="408" t="s">
        <v>1657</v>
      </c>
      <c r="C17" s="124" t="s">
        <v>1640</v>
      </c>
      <c r="D17" s="422">
        <v>45161.0</v>
      </c>
      <c r="E17" s="427" t="s">
        <v>1660</v>
      </c>
      <c r="F17" s="425"/>
      <c r="G17" s="422">
        <v>45168.0</v>
      </c>
      <c r="H17" s="425"/>
      <c r="I17" s="422">
        <v>45168.0</v>
      </c>
      <c r="J17" s="425"/>
      <c r="K17" s="451">
        <v>45307.0</v>
      </c>
      <c r="L17" s="424" t="s">
        <v>1664</v>
      </c>
      <c r="M17" s="124" t="s">
        <v>1109</v>
      </c>
      <c r="N17" s="422"/>
      <c r="O17" s="422">
        <v>45168.0</v>
      </c>
      <c r="P17" s="425"/>
    </row>
    <row r="18">
      <c r="A18" s="132"/>
      <c r="B18" s="408" t="s">
        <v>1666</v>
      </c>
      <c r="C18" s="124" t="s">
        <v>1578</v>
      </c>
      <c r="D18" s="422">
        <v>45232.0</v>
      </c>
      <c r="E18" s="124" t="s">
        <v>1660</v>
      </c>
      <c r="F18" s="318"/>
      <c r="G18" s="422">
        <v>45232.0</v>
      </c>
      <c r="H18" s="425"/>
      <c r="I18" s="422">
        <v>45232.0</v>
      </c>
      <c r="J18" s="425"/>
      <c r="K18" s="422">
        <v>45296.0</v>
      </c>
      <c r="L18" s="424" t="s">
        <v>1669</v>
      </c>
      <c r="M18" s="451">
        <v>45246.0</v>
      </c>
      <c r="N18" s="425"/>
      <c r="O18" s="422">
        <v>45232.0</v>
      </c>
      <c r="P18" s="318"/>
    </row>
    <row r="19">
      <c r="A19" s="132"/>
      <c r="B19" s="408" t="s">
        <v>1673</v>
      </c>
      <c r="C19" s="124" t="s">
        <v>1578</v>
      </c>
      <c r="D19" s="451">
        <v>45223.0</v>
      </c>
      <c r="E19" s="427" t="s">
        <v>1675</v>
      </c>
      <c r="F19" s="425"/>
      <c r="G19" s="451">
        <v>45273.0</v>
      </c>
      <c r="H19" s="425"/>
      <c r="I19" s="451">
        <v>45223.0</v>
      </c>
      <c r="J19" s="425"/>
      <c r="K19" s="422">
        <v>45331.0</v>
      </c>
      <c r="L19" s="124" t="s">
        <v>1676</v>
      </c>
      <c r="M19" s="124" t="s">
        <v>1678</v>
      </c>
      <c r="N19" s="425"/>
      <c r="O19" s="451">
        <v>45223.0</v>
      </c>
      <c r="P19" s="425"/>
    </row>
    <row r="20">
      <c r="A20" s="132"/>
      <c r="B20" s="408" t="s">
        <v>1681</v>
      </c>
      <c r="C20" s="124" t="s">
        <v>1578</v>
      </c>
      <c r="D20" s="451">
        <v>45273.0</v>
      </c>
      <c r="E20" s="431"/>
      <c r="F20" s="428">
        <v>45265.0</v>
      </c>
      <c r="G20" s="451">
        <v>45273.0</v>
      </c>
      <c r="H20" s="425"/>
      <c r="I20" s="451">
        <v>45273.0</v>
      </c>
      <c r="J20" s="425"/>
      <c r="K20" s="422">
        <v>45342.0</v>
      </c>
      <c r="L20" s="425"/>
      <c r="M20" s="422">
        <v>45317.0</v>
      </c>
      <c r="N20" s="425"/>
      <c r="O20" s="451">
        <v>45273.0</v>
      </c>
      <c r="P20" s="425"/>
    </row>
    <row r="21">
      <c r="A21" s="132"/>
      <c r="B21" s="408" t="s">
        <v>1685</v>
      </c>
      <c r="C21" s="124" t="s">
        <v>1578</v>
      </c>
      <c r="D21" s="451">
        <v>45217.0</v>
      </c>
      <c r="E21" s="427" t="s">
        <v>1675</v>
      </c>
      <c r="F21" s="124"/>
      <c r="G21" s="451">
        <v>45217.0</v>
      </c>
      <c r="H21" s="425"/>
      <c r="I21" s="425"/>
      <c r="J21" s="424" t="s">
        <v>1686</v>
      </c>
      <c r="K21" s="124" t="s">
        <v>1687</v>
      </c>
      <c r="L21" s="425"/>
      <c r="M21" s="425"/>
      <c r="N21" s="425"/>
      <c r="O21" s="425"/>
      <c r="P21" s="424" t="s">
        <v>1689</v>
      </c>
      <c r="Q21" s="425"/>
      <c r="R21" s="425"/>
      <c r="S21" s="425"/>
      <c r="T21" s="425"/>
      <c r="U21" s="425"/>
      <c r="V21" s="425"/>
      <c r="W21" s="425"/>
      <c r="X21" s="425"/>
      <c r="Y21" s="456"/>
      <c r="Z21" s="457"/>
      <c r="AA21" s="425"/>
      <c r="AB21" s="425"/>
      <c r="AC21" s="425"/>
      <c r="AD21" s="425"/>
    </row>
    <row r="22">
      <c r="A22" s="9"/>
      <c r="B22" s="423" t="s">
        <v>1699</v>
      </c>
      <c r="C22" s="458" t="s">
        <v>1578</v>
      </c>
      <c r="D22" s="459">
        <v>45274.0</v>
      </c>
      <c r="E22" s="427" t="s">
        <v>1675</v>
      </c>
      <c r="F22" s="124"/>
      <c r="G22" s="459">
        <v>45274.0</v>
      </c>
      <c r="H22" s="437"/>
      <c r="I22" s="459">
        <v>45278.0</v>
      </c>
      <c r="J22" s="363" t="s">
        <v>1706</v>
      </c>
      <c r="K22" s="460"/>
      <c r="L22" s="363" t="s">
        <v>1706</v>
      </c>
      <c r="M22" s="378"/>
      <c r="N22" s="378"/>
      <c r="O22" s="459">
        <v>45274.0</v>
      </c>
      <c r="P22" s="378"/>
      <c r="Q22" s="3"/>
      <c r="R22" s="461" t="s">
        <v>1710</v>
      </c>
    </row>
    <row r="23">
      <c r="A23" s="39"/>
      <c r="B23" s="437" t="s">
        <v>1712</v>
      </c>
      <c r="C23" s="437" t="s">
        <v>1578</v>
      </c>
      <c r="D23" s="458" t="s">
        <v>1714</v>
      </c>
      <c r="E23" s="449" t="s">
        <v>1715</v>
      </c>
      <c r="F23" s="378"/>
      <c r="G23" s="438">
        <v>45377.0</v>
      </c>
      <c r="H23" s="378"/>
      <c r="I23" s="438">
        <v>45377.0</v>
      </c>
      <c r="J23" s="378"/>
      <c r="K23" s="378"/>
      <c r="L23" s="378"/>
      <c r="M23" s="378"/>
      <c r="N23" s="378"/>
      <c r="O23" s="438">
        <v>45377.0</v>
      </c>
      <c r="P23" s="378"/>
      <c r="Q23" s="14"/>
      <c r="R23" s="14"/>
      <c r="S23" s="14"/>
      <c r="T23" s="14"/>
      <c r="U23" s="14"/>
      <c r="V23" s="14"/>
      <c r="W23" s="14"/>
      <c r="X23" s="14"/>
      <c r="Y23" s="14"/>
      <c r="Z23" s="14"/>
      <c r="AA23" s="14"/>
      <c r="AB23" s="14"/>
      <c r="AC23" s="14"/>
      <c r="AD23" s="14"/>
    </row>
    <row r="24">
      <c r="A24" s="132"/>
      <c r="B24" s="408" t="s">
        <v>1719</v>
      </c>
      <c r="C24" s="408" t="s">
        <v>1578</v>
      </c>
      <c r="D24" s="462">
        <v>45261.0</v>
      </c>
      <c r="E24" s="463" t="s">
        <v>1675</v>
      </c>
      <c r="F24" s="408"/>
      <c r="G24" s="464">
        <v>45261.0</v>
      </c>
      <c r="H24" s="465"/>
      <c r="I24" s="464">
        <v>45261.0</v>
      </c>
      <c r="J24" s="465"/>
      <c r="K24" s="408" t="s">
        <v>1592</v>
      </c>
      <c r="L24" s="465"/>
      <c r="M24" s="408" t="s">
        <v>1109</v>
      </c>
      <c r="N24" s="465"/>
      <c r="O24" s="464">
        <v>45261.0</v>
      </c>
      <c r="P24" s="465"/>
      <c r="Q24" s="465"/>
    </row>
    <row r="25">
      <c r="A25" s="132"/>
      <c r="B25" s="124" t="s">
        <v>1726</v>
      </c>
      <c r="C25" s="451">
        <v>45420.0</v>
      </c>
      <c r="E25" s="124" t="s">
        <v>1728</v>
      </c>
      <c r="F25" s="124"/>
      <c r="G25" s="124"/>
      <c r="H25" s="124"/>
      <c r="I25" s="124"/>
      <c r="J25" s="124"/>
      <c r="K25" s="425"/>
      <c r="L25" s="124"/>
      <c r="M25" s="378"/>
      <c r="N25" s="378"/>
      <c r="O25" s="438"/>
      <c r="P25" s="378"/>
      <c r="Q25" s="378"/>
      <c r="R25" s="378"/>
      <c r="S25" s="378"/>
      <c r="T25" s="378"/>
      <c r="U25" s="378"/>
      <c r="V25" s="378"/>
      <c r="W25" s="378"/>
      <c r="X25" s="378"/>
      <c r="Y25" s="378"/>
      <c r="Z25" s="378"/>
      <c r="AA25" s="378"/>
      <c r="AB25" s="378"/>
      <c r="AC25" s="378"/>
      <c r="AD25" s="378"/>
    </row>
    <row r="26">
      <c r="A26" s="39"/>
      <c r="B26" s="437" t="s">
        <v>1731</v>
      </c>
      <c r="C26" s="437" t="s">
        <v>1732</v>
      </c>
      <c r="D26" s="438">
        <v>45463.0</v>
      </c>
      <c r="E26" s="363" t="s">
        <v>1733</v>
      </c>
      <c r="F26" s="378"/>
      <c r="G26" s="438">
        <v>45463.0</v>
      </c>
      <c r="H26" s="378"/>
      <c r="I26" s="438">
        <v>45463.0</v>
      </c>
      <c r="J26" s="378"/>
      <c r="K26" s="378"/>
      <c r="L26" s="378"/>
      <c r="M26" s="378"/>
      <c r="N26" s="378"/>
      <c r="O26" s="438">
        <v>45463.0</v>
      </c>
      <c r="P26" s="378"/>
      <c r="Q26" s="378"/>
      <c r="R26" s="378"/>
      <c r="S26" s="378"/>
      <c r="T26" s="378"/>
      <c r="U26" s="378"/>
      <c r="V26" s="378"/>
      <c r="W26" s="378"/>
      <c r="X26" s="378"/>
      <c r="Y26" s="378"/>
      <c r="Z26" s="378"/>
      <c r="AA26" s="378"/>
      <c r="AB26" s="378"/>
      <c r="AC26" s="378"/>
      <c r="AD26" s="378"/>
    </row>
    <row r="27">
      <c r="A27" s="132"/>
      <c r="B27" s="124" t="s">
        <v>1737</v>
      </c>
      <c r="C27" s="422">
        <v>45481.0</v>
      </c>
      <c r="D27" s="422"/>
      <c r="E27" s="425"/>
      <c r="F27" s="318"/>
      <c r="G27" s="318"/>
      <c r="H27" s="318"/>
      <c r="I27" s="318"/>
      <c r="J27" s="318"/>
      <c r="K27" s="318"/>
      <c r="L27" s="318"/>
      <c r="M27" s="318"/>
      <c r="N27" s="318"/>
      <c r="O27" s="318"/>
      <c r="P27" s="318"/>
    </row>
    <row r="28">
      <c r="A28" s="132"/>
      <c r="B28" s="124" t="s">
        <v>1750</v>
      </c>
      <c r="C28" s="422">
        <v>45460.0</v>
      </c>
      <c r="D28" s="318"/>
      <c r="E28" s="318"/>
      <c r="F28" s="318"/>
      <c r="G28" s="318"/>
      <c r="H28" s="318"/>
      <c r="I28" s="318"/>
      <c r="J28" s="318"/>
      <c r="K28" s="318"/>
      <c r="L28" s="318"/>
      <c r="M28" s="318"/>
      <c r="N28" s="318"/>
      <c r="O28" s="318"/>
      <c r="P28" s="318"/>
    </row>
    <row r="29">
      <c r="A29" s="132"/>
      <c r="B29" s="408" t="s">
        <v>1752</v>
      </c>
      <c r="C29" s="408" t="s">
        <v>1578</v>
      </c>
      <c r="D29" s="468">
        <v>45419.0</v>
      </c>
      <c r="E29" s="468"/>
      <c r="F29" s="465"/>
      <c r="G29" s="468">
        <v>45419.0</v>
      </c>
      <c r="H29" s="468"/>
      <c r="I29" s="468">
        <v>45419.0</v>
      </c>
      <c r="J29" s="468"/>
      <c r="K29" s="464">
        <v>45495.0</v>
      </c>
      <c r="L29" s="408" t="s">
        <v>1758</v>
      </c>
      <c r="M29" s="408" t="s">
        <v>1109</v>
      </c>
      <c r="N29" s="465"/>
      <c r="O29" s="468">
        <v>45419.0</v>
      </c>
      <c r="P29" s="468"/>
      <c r="Q29" s="469">
        <v>9.0</v>
      </c>
      <c r="R29" s="469">
        <v>83.0</v>
      </c>
      <c r="S29" s="465"/>
      <c r="T29" s="465"/>
      <c r="U29" s="465"/>
      <c r="V29" s="465"/>
      <c r="W29" s="465"/>
      <c r="X29" s="465"/>
      <c r="Y29" s="465"/>
      <c r="Z29" s="465"/>
      <c r="AA29" s="465"/>
      <c r="AB29" s="465"/>
      <c r="AC29" s="465"/>
      <c r="AD29" s="465"/>
    </row>
    <row r="30">
      <c r="A30" s="132"/>
      <c r="B30" s="408" t="s">
        <v>1761</v>
      </c>
      <c r="C30" s="408" t="s">
        <v>1732</v>
      </c>
      <c r="D30" s="464">
        <v>45338.0</v>
      </c>
      <c r="E30" s="463" t="s">
        <v>1675</v>
      </c>
      <c r="F30" s="464">
        <v>45338.0</v>
      </c>
      <c r="G30" s="464">
        <v>45338.0</v>
      </c>
      <c r="H30" s="465"/>
      <c r="I30" s="464">
        <v>45358.0</v>
      </c>
      <c r="J30" s="447" t="s">
        <v>1764</v>
      </c>
      <c r="K30" s="464">
        <v>45492.0</v>
      </c>
      <c r="L30" s="408" t="s">
        <v>1767</v>
      </c>
      <c r="M30" s="408" t="s">
        <v>1769</v>
      </c>
      <c r="N30" s="465"/>
      <c r="O30" s="464">
        <v>45372.0</v>
      </c>
      <c r="P30" s="447" t="s">
        <v>1764</v>
      </c>
      <c r="Q30" s="469">
        <v>7.0</v>
      </c>
      <c r="R30" s="469">
        <v>61.0</v>
      </c>
      <c r="S30" s="465"/>
      <c r="T30" s="465"/>
      <c r="U30" s="465"/>
      <c r="V30" s="465"/>
      <c r="W30" s="465"/>
      <c r="X30" s="465"/>
      <c r="Y30" s="470"/>
      <c r="Z30" s="471"/>
      <c r="AA30" s="470"/>
      <c r="AB30" s="471"/>
      <c r="AC30" s="465"/>
      <c r="AD30" s="465"/>
    </row>
    <row r="31">
      <c r="A31" s="132"/>
      <c r="B31" s="408" t="s">
        <v>1773</v>
      </c>
      <c r="C31" s="408" t="s">
        <v>1578</v>
      </c>
      <c r="D31" s="464">
        <v>45386.0</v>
      </c>
      <c r="E31" s="463" t="s">
        <v>1775</v>
      </c>
      <c r="F31" s="464">
        <v>45386.0</v>
      </c>
      <c r="G31" s="464">
        <v>45386.0</v>
      </c>
      <c r="H31" s="465"/>
      <c r="I31" s="464">
        <v>45386.0</v>
      </c>
      <c r="J31" s="465"/>
      <c r="K31" s="464">
        <v>45484.0</v>
      </c>
      <c r="L31" s="408" t="s">
        <v>1767</v>
      </c>
      <c r="M31" s="408" t="s">
        <v>1769</v>
      </c>
      <c r="N31" s="465"/>
      <c r="O31" s="464">
        <v>45386.0</v>
      </c>
      <c r="P31" s="465"/>
      <c r="Q31" s="469">
        <v>8.0</v>
      </c>
      <c r="R31" s="469">
        <v>70.0</v>
      </c>
      <c r="S31" s="465"/>
      <c r="T31" s="465"/>
      <c r="U31" s="465"/>
      <c r="V31" s="465"/>
      <c r="W31" s="465"/>
      <c r="X31" s="465"/>
      <c r="Y31" s="465"/>
      <c r="Z31" s="465"/>
      <c r="AA31" s="465"/>
      <c r="AB31" s="465"/>
      <c r="AC31" s="465"/>
      <c r="AD31" s="465"/>
    </row>
    <row r="32">
      <c r="A32" s="132"/>
      <c r="B32" s="124" t="s">
        <v>1780</v>
      </c>
      <c r="C32" s="124" t="s">
        <v>1578</v>
      </c>
      <c r="D32" s="422">
        <v>45496.0</v>
      </c>
      <c r="E32" s="424" t="s">
        <v>1783</v>
      </c>
      <c r="F32" s="318"/>
      <c r="G32" s="422"/>
      <c r="H32" s="318"/>
      <c r="I32" s="318"/>
      <c r="J32" s="318"/>
      <c r="K32" s="318"/>
      <c r="L32" s="318"/>
      <c r="M32" s="318"/>
      <c r="N32" s="318"/>
      <c r="O32" s="318"/>
      <c r="P32" s="318"/>
      <c r="Q32" s="425"/>
      <c r="R32" s="425"/>
      <c r="S32" s="425"/>
      <c r="T32" s="425"/>
      <c r="U32" s="425"/>
      <c r="V32" s="425"/>
      <c r="W32" s="425"/>
      <c r="X32" s="425"/>
      <c r="Y32" s="425"/>
      <c r="Z32" s="425"/>
      <c r="AA32" s="425"/>
      <c r="AB32" s="425"/>
      <c r="AC32" s="425"/>
      <c r="AD32" s="425"/>
    </row>
    <row r="33">
      <c r="A33" s="132"/>
      <c r="B33" s="408" t="s">
        <v>1787</v>
      </c>
      <c r="C33" s="408" t="s">
        <v>1578</v>
      </c>
      <c r="D33" s="464">
        <v>45383.0</v>
      </c>
      <c r="E33" s="463" t="s">
        <v>1789</v>
      </c>
      <c r="F33" s="358"/>
      <c r="G33" s="464">
        <v>45383.0</v>
      </c>
      <c r="H33" s="465"/>
      <c r="I33" s="464">
        <v>45425.0</v>
      </c>
      <c r="J33" s="408" t="s">
        <v>1793</v>
      </c>
      <c r="K33" s="464">
        <v>45513.0</v>
      </c>
      <c r="L33" s="408" t="s">
        <v>1795</v>
      </c>
      <c r="M33" s="408" t="s">
        <v>1769</v>
      </c>
      <c r="N33" s="465"/>
      <c r="O33" s="464">
        <v>45425.0</v>
      </c>
      <c r="P33" s="408"/>
      <c r="Q33" s="469">
        <v>8.0</v>
      </c>
      <c r="R33" s="469">
        <v>75.0</v>
      </c>
      <c r="S33" s="465"/>
      <c r="T33" s="465"/>
      <c r="U33" s="465"/>
      <c r="V33" s="465"/>
      <c r="W33" s="465"/>
      <c r="X33" s="465"/>
      <c r="Y33" s="465"/>
      <c r="Z33" s="465"/>
      <c r="AA33" s="465"/>
      <c r="AB33" s="465"/>
      <c r="AC33" s="465"/>
      <c r="AD33" s="465"/>
    </row>
    <row r="34">
      <c r="A34" s="39"/>
      <c r="B34" s="437" t="s">
        <v>1798</v>
      </c>
      <c r="C34" s="437" t="s">
        <v>1732</v>
      </c>
      <c r="D34" s="438">
        <v>45519.0</v>
      </c>
      <c r="E34" s="472" t="s">
        <v>1800</v>
      </c>
      <c r="F34" s="378"/>
      <c r="G34" s="438">
        <v>45519.0</v>
      </c>
      <c r="H34" s="378"/>
      <c r="I34" s="438">
        <v>45519.0</v>
      </c>
      <c r="J34" s="378"/>
      <c r="K34" s="378"/>
      <c r="L34" s="378"/>
      <c r="M34" s="378"/>
      <c r="N34" s="378"/>
      <c r="O34" s="438">
        <v>45519.0</v>
      </c>
      <c r="P34" s="378"/>
      <c r="Q34" s="473">
        <v>10.0</v>
      </c>
      <c r="R34" s="473">
        <v>99.0</v>
      </c>
      <c r="S34" s="3"/>
      <c r="T34" s="3"/>
      <c r="U34" s="3"/>
      <c r="V34" s="3"/>
      <c r="W34" s="3"/>
      <c r="X34" s="3"/>
      <c r="Y34" s="3"/>
      <c r="Z34" s="3"/>
      <c r="AA34" s="3"/>
      <c r="AB34" s="3"/>
      <c r="AC34" s="3"/>
      <c r="AD34" s="3"/>
    </row>
    <row r="35">
      <c r="A35" s="132"/>
      <c r="B35" s="132" t="s">
        <v>1804</v>
      </c>
      <c r="C35" s="132" t="s">
        <v>1578</v>
      </c>
      <c r="D35" s="3"/>
      <c r="E35" s="132" t="s">
        <v>1806</v>
      </c>
      <c r="F35" s="3"/>
      <c r="G35" s="3"/>
      <c r="H35" s="3"/>
      <c r="I35" s="3"/>
      <c r="J35" s="3"/>
      <c r="K35" s="3"/>
      <c r="L35" s="3"/>
      <c r="M35" s="3"/>
      <c r="N35" s="3"/>
      <c r="O35" s="3"/>
      <c r="P35" s="3"/>
      <c r="Q35" s="3"/>
      <c r="R35" s="3"/>
      <c r="S35" s="3"/>
      <c r="T35" s="3"/>
      <c r="U35" s="3"/>
      <c r="V35" s="3"/>
      <c r="W35" s="3"/>
      <c r="X35" s="3"/>
      <c r="Y35" s="3"/>
      <c r="Z35" s="3"/>
      <c r="AA35" s="3"/>
      <c r="AB35" s="3"/>
      <c r="AC35" s="3"/>
      <c r="AD35" s="3"/>
    </row>
    <row r="36">
      <c r="A36" s="132"/>
      <c r="B36" s="132" t="s">
        <v>1810</v>
      </c>
      <c r="C36" s="3"/>
      <c r="D36" s="3"/>
      <c r="E36" s="3"/>
      <c r="F36" s="3"/>
      <c r="G36" s="3"/>
      <c r="H36" s="3"/>
      <c r="I36" s="132" t="s">
        <v>1811</v>
      </c>
      <c r="J36" s="3"/>
      <c r="K36" s="3"/>
      <c r="L36" s="3"/>
      <c r="M36" s="3"/>
      <c r="N36" s="3"/>
      <c r="O36" s="3"/>
      <c r="P36" s="3"/>
      <c r="Q36" s="3"/>
      <c r="R36" s="3"/>
      <c r="S36" s="3"/>
      <c r="T36" s="3"/>
      <c r="U36" s="3"/>
      <c r="V36" s="3"/>
      <c r="W36" s="3"/>
      <c r="X36" s="3"/>
      <c r="Y36" s="3"/>
      <c r="Z36" s="3"/>
      <c r="AA36" s="3"/>
      <c r="AB36" s="3"/>
      <c r="AC36" s="3"/>
      <c r="AD36" s="3"/>
    </row>
    <row r="37">
      <c r="A37" s="132"/>
      <c r="B37" s="132"/>
      <c r="C37" s="18"/>
      <c r="D37" s="132"/>
      <c r="E37" s="3"/>
      <c r="F37" s="3"/>
      <c r="G37" s="3"/>
      <c r="H37" s="465"/>
      <c r="I37" s="47"/>
      <c r="J37" s="3"/>
      <c r="K37" s="3"/>
      <c r="L37" s="3"/>
      <c r="M37" s="3"/>
      <c r="N37" s="3"/>
      <c r="O37" s="3"/>
      <c r="P37" s="3"/>
      <c r="Q37" s="3"/>
      <c r="R37" s="3"/>
      <c r="S37" s="3"/>
      <c r="T37" s="3"/>
      <c r="U37" s="3"/>
      <c r="V37" s="3"/>
      <c r="W37" s="3"/>
      <c r="X37" s="3"/>
      <c r="Y37" s="3"/>
      <c r="Z37" s="3"/>
      <c r="AA37" s="3"/>
      <c r="AB37" s="3"/>
      <c r="AC37" s="3"/>
      <c r="AD37" s="3"/>
    </row>
    <row r="38" ht="27.0" customHeight="1">
      <c r="A38" s="47" t="s">
        <v>1816</v>
      </c>
      <c r="B38" s="132"/>
      <c r="C38" s="18" t="s">
        <v>1817</v>
      </c>
      <c r="D38" s="132"/>
      <c r="E38" s="3"/>
      <c r="F38" s="3"/>
      <c r="G38" s="3"/>
      <c r="H38" s="465"/>
      <c r="I38" s="47" t="s">
        <v>1819</v>
      </c>
      <c r="J38" s="3"/>
      <c r="K38" s="3"/>
      <c r="L38" s="3"/>
      <c r="M38" s="3"/>
      <c r="N38" s="3"/>
      <c r="O38" s="3"/>
      <c r="P38" s="3"/>
      <c r="Q38" s="3"/>
      <c r="R38" s="3"/>
      <c r="S38" s="3"/>
      <c r="T38" s="3"/>
      <c r="U38" s="3"/>
      <c r="V38" s="3"/>
      <c r="W38" s="3"/>
      <c r="X38" s="3"/>
      <c r="Y38" s="3"/>
      <c r="Z38" s="3"/>
      <c r="AA38" s="3"/>
      <c r="AB38" s="3"/>
      <c r="AC38" s="3"/>
      <c r="AD38" s="3"/>
    </row>
    <row r="39">
      <c r="A39" s="132" t="b">
        <v>1</v>
      </c>
      <c r="B39" s="132" t="s">
        <v>141</v>
      </c>
      <c r="C39" s="222">
        <v>45405.0</v>
      </c>
      <c r="D39" s="9" t="s">
        <v>1831</v>
      </c>
      <c r="E39" s="474" t="s">
        <v>1832</v>
      </c>
      <c r="F39" s="14"/>
      <c r="G39" s="3"/>
      <c r="H39" s="3"/>
      <c r="I39" s="47"/>
      <c r="J39" s="3"/>
      <c r="K39" s="3"/>
      <c r="L39" s="3"/>
      <c r="M39" s="3"/>
      <c r="N39" s="3"/>
      <c r="O39" s="3"/>
      <c r="P39" s="3"/>
      <c r="Q39" s="3"/>
      <c r="R39" s="3"/>
      <c r="S39" s="3"/>
      <c r="T39" s="3"/>
      <c r="U39" s="3"/>
      <c r="V39" s="3"/>
      <c r="W39" s="3"/>
      <c r="X39" s="3"/>
      <c r="Y39" s="3"/>
      <c r="Z39" s="3"/>
      <c r="AA39" s="3"/>
      <c r="AB39" s="3"/>
      <c r="AC39" s="3"/>
      <c r="AD39" s="3"/>
    </row>
    <row r="40">
      <c r="A40" s="132" t="b">
        <v>1</v>
      </c>
      <c r="B40" s="132" t="s">
        <v>597</v>
      </c>
      <c r="C40" s="475">
        <v>45779.0</v>
      </c>
      <c r="D40" s="435" t="s">
        <v>978</v>
      </c>
      <c r="E40" s="476" t="s">
        <v>1844</v>
      </c>
      <c r="F40" s="3"/>
      <c r="G40" s="3"/>
      <c r="H40" s="3"/>
      <c r="I40" s="3"/>
      <c r="J40" s="3"/>
      <c r="K40" s="3"/>
      <c r="L40" s="3"/>
      <c r="M40" s="3"/>
      <c r="N40" s="3"/>
      <c r="O40" s="3"/>
      <c r="P40" s="3"/>
      <c r="Q40" s="3"/>
      <c r="R40" s="3"/>
      <c r="S40" s="3"/>
      <c r="T40" s="3"/>
      <c r="U40" s="3"/>
      <c r="V40" s="3"/>
      <c r="W40" s="3"/>
      <c r="X40" s="3"/>
      <c r="Y40" s="3"/>
      <c r="Z40" s="3"/>
      <c r="AA40" s="3"/>
      <c r="AB40" s="3"/>
      <c r="AC40" s="3"/>
      <c r="AD40" s="3"/>
    </row>
    <row r="41">
      <c r="A41" s="132" t="b">
        <v>1</v>
      </c>
      <c r="B41" s="132" t="s">
        <v>599</v>
      </c>
      <c r="C41" s="475">
        <v>45779.0</v>
      </c>
      <c r="D41" s="450" t="s">
        <v>978</v>
      </c>
      <c r="E41" s="477" t="s">
        <v>1844</v>
      </c>
      <c r="F41" s="3"/>
      <c r="G41" s="3"/>
      <c r="H41" s="3"/>
      <c r="I41" s="3"/>
      <c r="J41" s="3"/>
      <c r="K41" s="3"/>
      <c r="L41" s="3"/>
      <c r="M41" s="3"/>
      <c r="N41" s="3"/>
      <c r="O41" s="3"/>
      <c r="P41" s="3"/>
      <c r="Q41" s="3"/>
      <c r="R41" s="3"/>
      <c r="S41" s="3"/>
      <c r="T41" s="3"/>
      <c r="U41" s="3"/>
      <c r="V41" s="3"/>
      <c r="W41" s="3"/>
      <c r="X41" s="3"/>
      <c r="Y41" s="3"/>
      <c r="Z41" s="3"/>
      <c r="AA41" s="3"/>
      <c r="AB41" s="3"/>
      <c r="AC41" s="3"/>
      <c r="AD41" s="3"/>
    </row>
    <row r="42">
      <c r="A42" s="132" t="b">
        <v>1</v>
      </c>
      <c r="B42" s="312" t="s">
        <v>594</v>
      </c>
      <c r="C42" s="478">
        <v>45777.0</v>
      </c>
      <c r="D42" s="450" t="s">
        <v>978</v>
      </c>
      <c r="E42" s="479" t="s">
        <v>1854</v>
      </c>
      <c r="F42" s="3"/>
      <c r="G42" s="3"/>
      <c r="H42" s="3"/>
      <c r="I42" s="3"/>
      <c r="J42" s="3"/>
      <c r="K42" s="3"/>
      <c r="L42" s="3"/>
      <c r="M42" s="3"/>
      <c r="N42" s="3"/>
      <c r="O42" s="3"/>
      <c r="P42" s="3"/>
      <c r="Q42" s="3"/>
      <c r="R42" s="3"/>
      <c r="S42" s="3"/>
      <c r="T42" s="3"/>
      <c r="U42" s="3"/>
      <c r="V42" s="3"/>
      <c r="W42" s="3"/>
      <c r="X42" s="3"/>
      <c r="Y42" s="3"/>
      <c r="Z42" s="3"/>
      <c r="AA42" s="3"/>
      <c r="AB42" s="3"/>
      <c r="AC42" s="3"/>
      <c r="AD42" s="3"/>
    </row>
    <row r="43">
      <c r="A43" s="132" t="b">
        <v>1</v>
      </c>
      <c r="B43" s="312" t="s">
        <v>606</v>
      </c>
      <c r="C43" s="82">
        <v>45779.0</v>
      </c>
      <c r="D43" s="307" t="s">
        <v>978</v>
      </c>
      <c r="E43" s="480" t="s">
        <v>1844</v>
      </c>
      <c r="F43" s="3"/>
      <c r="G43" s="3"/>
      <c r="H43" s="3"/>
      <c r="I43" s="3"/>
      <c r="J43" s="3"/>
      <c r="K43" s="3"/>
      <c r="L43" s="3"/>
      <c r="M43" s="3"/>
      <c r="N43" s="3"/>
      <c r="O43" s="3"/>
      <c r="P43" s="3"/>
      <c r="Q43" s="3"/>
      <c r="R43" s="3"/>
      <c r="S43" s="3"/>
      <c r="T43" s="3"/>
      <c r="U43" s="3"/>
      <c r="V43" s="3"/>
      <c r="W43" s="3"/>
      <c r="X43" s="3"/>
      <c r="Y43" s="3"/>
      <c r="Z43" s="3"/>
      <c r="AA43" s="3"/>
      <c r="AB43" s="3"/>
      <c r="AC43" s="3"/>
      <c r="AD43" s="3"/>
    </row>
    <row r="44">
      <c r="A44" s="132" t="b">
        <v>1</v>
      </c>
      <c r="B44" s="312" t="s">
        <v>467</v>
      </c>
      <c r="C44" s="478">
        <v>45621.0</v>
      </c>
      <c r="D44" s="312" t="s">
        <v>978</v>
      </c>
      <c r="E44" s="479" t="s">
        <v>1865</v>
      </c>
      <c r="F44" s="3"/>
      <c r="G44" s="3"/>
      <c r="H44" s="3"/>
      <c r="I44" s="3"/>
      <c r="J44" s="3"/>
      <c r="K44" s="3"/>
      <c r="L44" s="3"/>
      <c r="M44" s="3"/>
      <c r="N44" s="3"/>
      <c r="O44" s="3"/>
      <c r="P44" s="3"/>
      <c r="Q44" s="3"/>
      <c r="R44" s="3"/>
      <c r="S44" s="3"/>
      <c r="T44" s="3"/>
      <c r="U44" s="3"/>
      <c r="V44" s="3"/>
      <c r="W44" s="3"/>
      <c r="X44" s="3"/>
      <c r="Y44" s="3"/>
      <c r="Z44" s="3"/>
      <c r="AA44" s="3"/>
      <c r="AB44" s="3"/>
      <c r="AC44" s="3"/>
      <c r="AD44" s="3"/>
    </row>
    <row r="45">
      <c r="A45" s="132" t="b">
        <v>1</v>
      </c>
      <c r="B45" s="312" t="s">
        <v>489</v>
      </c>
      <c r="C45" s="478">
        <v>45643.0</v>
      </c>
      <c r="D45" s="312" t="s">
        <v>978</v>
      </c>
      <c r="E45" s="479" t="s">
        <v>1872</v>
      </c>
      <c r="F45" s="3"/>
      <c r="G45" s="3"/>
      <c r="H45" s="3"/>
      <c r="I45" s="3"/>
      <c r="J45" s="3"/>
      <c r="K45" s="3"/>
      <c r="L45" s="3"/>
      <c r="M45" s="3"/>
      <c r="N45" s="3"/>
      <c r="O45" s="3"/>
      <c r="P45" s="3"/>
      <c r="Q45" s="3"/>
      <c r="R45" s="3"/>
      <c r="S45" s="3"/>
      <c r="T45" s="3"/>
      <c r="U45" s="3"/>
      <c r="V45" s="3"/>
      <c r="W45" s="3"/>
      <c r="X45" s="3"/>
      <c r="Y45" s="3"/>
      <c r="Z45" s="3"/>
      <c r="AA45" s="3"/>
      <c r="AB45" s="3"/>
      <c r="AC45" s="3"/>
      <c r="AD45" s="3"/>
    </row>
    <row r="46">
      <c r="A46" s="132" t="b">
        <v>1</v>
      </c>
      <c r="B46" s="312" t="s">
        <v>600</v>
      </c>
      <c r="C46" s="478">
        <v>45775.0</v>
      </c>
      <c r="D46" s="312" t="s">
        <v>978</v>
      </c>
      <c r="E46" s="479" t="s">
        <v>1877</v>
      </c>
      <c r="F46" s="3"/>
      <c r="G46" s="3"/>
      <c r="H46" s="3"/>
      <c r="I46" s="3"/>
      <c r="J46" s="3"/>
      <c r="K46" s="3"/>
      <c r="L46" s="3"/>
      <c r="M46" s="3"/>
      <c r="N46" s="3"/>
      <c r="O46" s="3"/>
      <c r="P46" s="3"/>
      <c r="Q46" s="3"/>
      <c r="R46" s="3"/>
      <c r="S46" s="3"/>
      <c r="T46" s="3"/>
      <c r="U46" s="3"/>
      <c r="V46" s="3"/>
      <c r="W46" s="3"/>
      <c r="X46" s="3"/>
      <c r="Y46" s="3"/>
      <c r="Z46" s="3"/>
      <c r="AA46" s="3"/>
      <c r="AB46" s="3"/>
      <c r="AC46" s="3"/>
      <c r="AD46" s="3"/>
    </row>
    <row r="47">
      <c r="A47" s="132" t="b">
        <v>1</v>
      </c>
      <c r="B47" s="312" t="s">
        <v>539</v>
      </c>
      <c r="C47" s="478">
        <v>45702.0</v>
      </c>
      <c r="D47" s="312" t="s">
        <v>978</v>
      </c>
      <c r="E47" s="479" t="s">
        <v>1884</v>
      </c>
      <c r="F47" s="3"/>
      <c r="G47" s="3"/>
      <c r="H47" s="3"/>
      <c r="I47" s="3"/>
      <c r="J47" s="3"/>
      <c r="K47" s="3"/>
      <c r="L47" s="3"/>
      <c r="M47" s="3"/>
      <c r="N47" s="3"/>
      <c r="O47" s="3"/>
      <c r="P47" s="3"/>
      <c r="Q47" s="3"/>
      <c r="R47" s="3"/>
      <c r="S47" s="3"/>
      <c r="T47" s="3"/>
      <c r="U47" s="3"/>
      <c r="V47" s="3"/>
      <c r="W47" s="3"/>
      <c r="X47" s="3"/>
      <c r="Y47" s="3"/>
      <c r="Z47" s="3"/>
      <c r="AA47" s="3"/>
      <c r="AB47" s="3"/>
      <c r="AC47" s="3"/>
      <c r="AD47" s="3"/>
    </row>
    <row r="48">
      <c r="A48" s="132" t="b">
        <v>1</v>
      </c>
      <c r="B48" s="312" t="s">
        <v>604</v>
      </c>
      <c r="C48" s="478">
        <v>45779.0</v>
      </c>
      <c r="D48" s="312" t="s">
        <v>978</v>
      </c>
      <c r="E48" s="479" t="s">
        <v>1844</v>
      </c>
      <c r="F48" s="3"/>
      <c r="G48" s="3"/>
      <c r="H48" s="3"/>
      <c r="I48" s="3"/>
      <c r="J48" s="3"/>
      <c r="K48" s="3"/>
      <c r="L48" s="3"/>
      <c r="M48" s="3"/>
      <c r="N48" s="3"/>
      <c r="O48" s="3"/>
      <c r="P48" s="3"/>
      <c r="Q48" s="3"/>
      <c r="R48" s="3"/>
      <c r="S48" s="3"/>
      <c r="T48" s="3"/>
      <c r="U48" s="3"/>
      <c r="V48" s="3"/>
      <c r="W48" s="3"/>
      <c r="X48" s="3"/>
      <c r="Y48" s="3"/>
      <c r="Z48" s="3"/>
      <c r="AA48" s="3"/>
      <c r="AB48" s="3"/>
      <c r="AC48" s="3"/>
      <c r="AD48" s="3"/>
    </row>
    <row r="49">
      <c r="A49" s="132" t="b">
        <v>1</v>
      </c>
      <c r="B49" s="312" t="s">
        <v>69</v>
      </c>
      <c r="C49" s="478">
        <v>45386.0</v>
      </c>
      <c r="D49" s="312" t="s">
        <v>1891</v>
      </c>
      <c r="E49" s="479" t="s">
        <v>1892</v>
      </c>
      <c r="F49" s="3"/>
      <c r="G49" s="3"/>
      <c r="H49" s="3"/>
      <c r="I49" s="3"/>
      <c r="J49" s="3"/>
      <c r="K49" s="3"/>
      <c r="L49" s="3"/>
      <c r="M49" s="3"/>
      <c r="N49" s="3"/>
      <c r="O49" s="3"/>
      <c r="P49" s="3"/>
      <c r="Q49" s="3"/>
      <c r="R49" s="3"/>
      <c r="S49" s="3"/>
      <c r="T49" s="3"/>
      <c r="U49" s="3"/>
      <c r="V49" s="3"/>
      <c r="W49" s="3"/>
      <c r="X49" s="3"/>
      <c r="Y49" s="3"/>
      <c r="Z49" s="3"/>
      <c r="AA49" s="3"/>
      <c r="AB49" s="3"/>
      <c r="AC49" s="3"/>
      <c r="AD49" s="3"/>
    </row>
    <row r="50">
      <c r="A50" s="132" t="b">
        <v>1</v>
      </c>
      <c r="B50" s="312" t="s">
        <v>82</v>
      </c>
      <c r="C50" s="478">
        <v>45616.0</v>
      </c>
      <c r="D50" s="312" t="s">
        <v>1891</v>
      </c>
      <c r="E50" s="479" t="s">
        <v>1896</v>
      </c>
      <c r="F50" s="3"/>
      <c r="G50" s="132" t="s">
        <v>1898</v>
      </c>
      <c r="H50" s="3"/>
      <c r="I50" s="3"/>
      <c r="J50" s="3"/>
      <c r="K50" s="3"/>
      <c r="L50" s="3"/>
      <c r="M50" s="3"/>
      <c r="N50" s="3"/>
      <c r="O50" s="3"/>
      <c r="P50" s="3"/>
      <c r="Q50" s="3"/>
      <c r="R50" s="3"/>
      <c r="S50" s="3"/>
      <c r="T50" s="3"/>
      <c r="U50" s="3"/>
      <c r="V50" s="3"/>
      <c r="W50" s="3"/>
      <c r="X50" s="3"/>
      <c r="Y50" s="3"/>
      <c r="Z50" s="3"/>
      <c r="AA50" s="3"/>
      <c r="AB50" s="3"/>
      <c r="AC50" s="3"/>
      <c r="AD50" s="3"/>
    </row>
    <row r="51">
      <c r="A51" s="132" t="b">
        <v>1</v>
      </c>
      <c r="B51" s="312" t="s">
        <v>169</v>
      </c>
      <c r="C51" s="478">
        <v>45716.0</v>
      </c>
      <c r="D51" s="312" t="s">
        <v>1891</v>
      </c>
      <c r="E51" s="479" t="s">
        <v>1903</v>
      </c>
      <c r="F51" s="3"/>
      <c r="G51" s="132" t="s">
        <v>1898</v>
      </c>
      <c r="H51" s="3"/>
      <c r="I51" s="3"/>
      <c r="J51" s="3"/>
      <c r="K51" s="3"/>
      <c r="L51" s="3"/>
      <c r="M51" s="3"/>
      <c r="N51" s="3"/>
      <c r="O51" s="3"/>
      <c r="P51" s="3"/>
      <c r="Q51" s="3"/>
      <c r="R51" s="3"/>
      <c r="S51" s="3"/>
      <c r="T51" s="3"/>
      <c r="U51" s="3"/>
      <c r="V51" s="3"/>
      <c r="W51" s="3"/>
      <c r="X51" s="3"/>
      <c r="Y51" s="3"/>
      <c r="Z51" s="3"/>
      <c r="AA51" s="3"/>
      <c r="AB51" s="3"/>
      <c r="AC51" s="3"/>
      <c r="AD51" s="3"/>
    </row>
    <row r="52">
      <c r="A52" s="132" t="b">
        <v>1</v>
      </c>
      <c r="B52" s="312" t="s">
        <v>319</v>
      </c>
      <c r="C52" s="478">
        <v>45810.0</v>
      </c>
      <c r="D52" s="312" t="s">
        <v>1891</v>
      </c>
      <c r="E52" s="479" t="s">
        <v>1906</v>
      </c>
      <c r="F52" s="3"/>
      <c r="G52" s="132" t="s">
        <v>1898</v>
      </c>
      <c r="H52" s="3"/>
      <c r="I52" s="3"/>
      <c r="J52" s="3"/>
      <c r="K52" s="3"/>
      <c r="L52" s="3"/>
      <c r="M52" s="3"/>
      <c r="N52" s="3"/>
      <c r="O52" s="3"/>
      <c r="P52" s="3"/>
      <c r="Q52" s="3"/>
      <c r="R52" s="3"/>
      <c r="S52" s="3"/>
      <c r="T52" s="3"/>
      <c r="U52" s="3"/>
      <c r="V52" s="3"/>
      <c r="W52" s="3"/>
      <c r="X52" s="3"/>
      <c r="Y52" s="3"/>
      <c r="Z52" s="3"/>
      <c r="AA52" s="3"/>
      <c r="AB52" s="3"/>
      <c r="AC52" s="3"/>
      <c r="AD52" s="3"/>
    </row>
    <row r="53">
      <c r="A53" s="132" t="b">
        <v>1</v>
      </c>
      <c r="B53" s="312" t="s">
        <v>347</v>
      </c>
      <c r="C53" s="478">
        <v>45680.0</v>
      </c>
      <c r="D53" s="312" t="s">
        <v>978</v>
      </c>
      <c r="E53" s="479" t="s">
        <v>1909</v>
      </c>
      <c r="F53" s="3"/>
      <c r="G53" s="3"/>
      <c r="H53" s="3"/>
      <c r="I53" s="3"/>
      <c r="J53" s="3"/>
      <c r="K53" s="3"/>
      <c r="L53" s="3"/>
      <c r="M53" s="3"/>
      <c r="N53" s="3"/>
      <c r="O53" s="3"/>
      <c r="P53" s="3"/>
      <c r="Q53" s="3"/>
      <c r="R53" s="3"/>
      <c r="S53" s="3"/>
      <c r="T53" s="3"/>
      <c r="U53" s="3"/>
      <c r="V53" s="3"/>
      <c r="W53" s="3"/>
      <c r="X53" s="3"/>
      <c r="Y53" s="3"/>
      <c r="Z53" s="3"/>
      <c r="AA53" s="3"/>
      <c r="AB53" s="3"/>
      <c r="AC53" s="3"/>
      <c r="AD53" s="3"/>
    </row>
    <row r="54">
      <c r="A54" s="132" t="b">
        <v>1</v>
      </c>
      <c r="B54" s="312" t="s">
        <v>503</v>
      </c>
      <c r="C54" s="478">
        <v>45672.0</v>
      </c>
      <c r="D54" s="312" t="s">
        <v>978</v>
      </c>
      <c r="E54" s="479" t="s">
        <v>1913</v>
      </c>
      <c r="F54" s="3"/>
      <c r="G54" s="3"/>
      <c r="H54" s="3"/>
      <c r="I54" s="3"/>
      <c r="J54" s="3"/>
      <c r="K54" s="3"/>
      <c r="L54" s="3"/>
      <c r="M54" s="3"/>
      <c r="N54" s="3"/>
      <c r="O54" s="3"/>
      <c r="P54" s="3"/>
      <c r="Q54" s="3"/>
      <c r="R54" s="3"/>
      <c r="S54" s="3"/>
      <c r="T54" s="3"/>
      <c r="U54" s="3"/>
      <c r="V54" s="3"/>
      <c r="W54" s="3"/>
      <c r="X54" s="3"/>
      <c r="Y54" s="3"/>
      <c r="Z54" s="3"/>
      <c r="AA54" s="3"/>
      <c r="AB54" s="3"/>
      <c r="AC54" s="3"/>
      <c r="AD54" s="3"/>
    </row>
    <row r="55">
      <c r="A55" s="132" t="b">
        <v>1</v>
      </c>
      <c r="B55" s="312" t="s">
        <v>549</v>
      </c>
      <c r="C55" s="478">
        <v>45680.0</v>
      </c>
      <c r="D55" s="312" t="s">
        <v>978</v>
      </c>
      <c r="E55" s="479" t="s">
        <v>1917</v>
      </c>
      <c r="F55" s="3"/>
      <c r="G55" s="3"/>
      <c r="H55" s="3"/>
      <c r="I55" s="3"/>
      <c r="J55" s="3"/>
      <c r="K55" s="3"/>
      <c r="L55" s="3"/>
      <c r="M55" s="3"/>
      <c r="N55" s="3"/>
      <c r="O55" s="3"/>
      <c r="P55" s="3"/>
      <c r="Q55" s="3"/>
      <c r="R55" s="3"/>
      <c r="S55" s="3"/>
      <c r="T55" s="3"/>
      <c r="U55" s="3"/>
      <c r="V55" s="3"/>
      <c r="W55" s="3"/>
      <c r="X55" s="3"/>
      <c r="Y55" s="3"/>
      <c r="Z55" s="3"/>
      <c r="AA55" s="3"/>
      <c r="AB55" s="3"/>
      <c r="AC55" s="3"/>
      <c r="AD55" s="3"/>
    </row>
    <row r="56">
      <c r="A56" s="132" t="b">
        <v>1</v>
      </c>
      <c r="B56" s="312" t="s">
        <v>591</v>
      </c>
      <c r="C56" s="478">
        <v>45772.0</v>
      </c>
      <c r="D56" s="312" t="s">
        <v>978</v>
      </c>
      <c r="E56" s="479" t="s">
        <v>1921</v>
      </c>
      <c r="F56" s="3"/>
      <c r="G56" s="3"/>
      <c r="H56" s="3"/>
      <c r="I56" s="3"/>
      <c r="J56" s="3"/>
      <c r="K56" s="3"/>
      <c r="L56" s="3"/>
      <c r="M56" s="3"/>
      <c r="N56" s="3"/>
      <c r="O56" s="3"/>
      <c r="P56" s="3"/>
      <c r="Q56" s="3"/>
      <c r="R56" s="3"/>
      <c r="S56" s="3"/>
      <c r="T56" s="3"/>
      <c r="U56" s="3"/>
      <c r="V56" s="3"/>
      <c r="W56" s="3"/>
      <c r="X56" s="3"/>
      <c r="Y56" s="3"/>
      <c r="Z56" s="3"/>
      <c r="AA56" s="3"/>
      <c r="AB56" s="3"/>
      <c r="AC56" s="3"/>
      <c r="AD56" s="3"/>
    </row>
    <row r="57">
      <c r="A57" s="132" t="b">
        <v>1</v>
      </c>
      <c r="B57" s="312" t="s">
        <v>66</v>
      </c>
      <c r="C57" s="478">
        <v>45805.0</v>
      </c>
      <c r="D57" s="312" t="s">
        <v>1924</v>
      </c>
      <c r="E57" s="479" t="s">
        <v>197</v>
      </c>
      <c r="F57" s="3"/>
      <c r="G57" s="132" t="s">
        <v>1898</v>
      </c>
      <c r="H57" s="3"/>
      <c r="I57" s="3"/>
      <c r="J57" s="3"/>
      <c r="K57" s="3"/>
    </row>
    <row r="58">
      <c r="A58" s="132" t="b">
        <v>1</v>
      </c>
      <c r="B58" s="132" t="s">
        <v>33</v>
      </c>
      <c r="C58" s="222">
        <v>45861.0</v>
      </c>
      <c r="D58" s="132" t="s">
        <v>1924</v>
      </c>
      <c r="E58" s="47" t="s">
        <v>1929</v>
      </c>
      <c r="F58" s="3"/>
      <c r="G58" s="3"/>
      <c r="H58" s="3"/>
      <c r="I58" s="3"/>
      <c r="J58" s="3"/>
      <c r="K58" s="3"/>
    </row>
    <row r="59">
      <c r="A59" s="132" t="b">
        <v>1</v>
      </c>
      <c r="B59" s="132" t="s">
        <v>145</v>
      </c>
      <c r="C59" s="224">
        <v>45922.0</v>
      </c>
      <c r="D59" s="132" t="s">
        <v>1891</v>
      </c>
      <c r="E59" s="47" t="s">
        <v>1932</v>
      </c>
      <c r="F59" s="3"/>
      <c r="G59" s="3"/>
      <c r="H59" s="3"/>
      <c r="I59" s="3"/>
      <c r="J59" s="3"/>
      <c r="K59" s="3"/>
    </row>
    <row r="60">
      <c r="A60" s="132" t="b">
        <v>1</v>
      </c>
      <c r="B60" s="132" t="s">
        <v>544</v>
      </c>
      <c r="C60" s="224">
        <v>45951.0</v>
      </c>
      <c r="D60" s="132" t="s">
        <v>1891</v>
      </c>
      <c r="E60" s="47" t="s">
        <v>1935</v>
      </c>
      <c r="F60" s="3"/>
      <c r="G60" s="3"/>
      <c r="H60" s="3"/>
      <c r="I60" s="3"/>
      <c r="J60" s="3"/>
      <c r="K60" s="3"/>
    </row>
    <row r="61">
      <c r="A61" s="132" t="b">
        <v>1</v>
      </c>
      <c r="B61" s="132" t="s">
        <v>154</v>
      </c>
      <c r="C61" s="224">
        <v>45971.0</v>
      </c>
      <c r="D61" s="132" t="s">
        <v>1924</v>
      </c>
      <c r="E61" s="47" t="s">
        <v>1937</v>
      </c>
      <c r="F61" s="3"/>
      <c r="G61" s="3"/>
      <c r="H61" s="3"/>
      <c r="I61" s="3"/>
      <c r="J61" s="3"/>
      <c r="K61" s="3"/>
    </row>
    <row r="62">
      <c r="A62" s="483" t="b">
        <v>0</v>
      </c>
      <c r="B62" s="483" t="s">
        <v>365</v>
      </c>
      <c r="C62" s="224">
        <v>45972.0</v>
      </c>
      <c r="D62" s="132" t="s">
        <v>1924</v>
      </c>
      <c r="E62" s="461" t="s">
        <v>1945</v>
      </c>
      <c r="F62" s="3"/>
      <c r="G62" s="3"/>
      <c r="H62" s="3"/>
      <c r="I62" s="3"/>
      <c r="J62" s="3"/>
      <c r="K62" s="3"/>
    </row>
    <row r="63">
      <c r="A63" s="132" t="b">
        <v>1</v>
      </c>
      <c r="B63" s="132" t="s">
        <v>446</v>
      </c>
      <c r="C63" s="224">
        <v>45972.0</v>
      </c>
      <c r="D63" s="132" t="s">
        <v>1891</v>
      </c>
      <c r="E63" s="461" t="s">
        <v>1948</v>
      </c>
      <c r="F63" s="3"/>
      <c r="G63" s="3"/>
      <c r="H63" s="3"/>
      <c r="I63" s="3"/>
      <c r="J63" s="3"/>
      <c r="K63" s="3"/>
    </row>
    <row r="64">
      <c r="A64" s="9" t="b">
        <v>1</v>
      </c>
      <c r="B64" s="86" t="s">
        <v>91</v>
      </c>
      <c r="C64" s="224">
        <v>45982.0</v>
      </c>
      <c r="D64" s="132" t="s">
        <v>1924</v>
      </c>
      <c r="E64" s="47" t="s">
        <v>1952</v>
      </c>
      <c r="F64" s="3"/>
      <c r="G64" s="3"/>
      <c r="H64" s="3"/>
      <c r="I64" s="3"/>
      <c r="J64" s="3"/>
      <c r="K64" s="3"/>
    </row>
    <row r="65">
      <c r="A65" s="9" t="b">
        <v>1</v>
      </c>
      <c r="B65" s="86" t="s">
        <v>88</v>
      </c>
      <c r="C65" s="224">
        <v>45982.0</v>
      </c>
      <c r="D65" s="132" t="s">
        <v>1924</v>
      </c>
      <c r="E65" s="47" t="s">
        <v>1955</v>
      </c>
      <c r="F65" s="3"/>
      <c r="G65" s="3"/>
      <c r="H65" s="3"/>
      <c r="I65" s="3"/>
      <c r="J65" s="3"/>
      <c r="K65" s="3"/>
    </row>
    <row r="66">
      <c r="A66" s="132" t="b">
        <v>1</v>
      </c>
      <c r="B66" s="86" t="s">
        <v>49</v>
      </c>
      <c r="C66" s="484">
        <v>45792.0</v>
      </c>
      <c r="D66" s="132" t="s">
        <v>1924</v>
      </c>
      <c r="E66" s="47" t="s">
        <v>1960</v>
      </c>
      <c r="F66" s="3"/>
      <c r="G66" s="3"/>
      <c r="H66" s="3"/>
      <c r="I66" s="3"/>
      <c r="J66" s="3"/>
      <c r="K66" s="3"/>
    </row>
    <row r="67">
      <c r="A67" s="132" t="b">
        <v>1</v>
      </c>
      <c r="B67" s="86" t="s">
        <v>71</v>
      </c>
      <c r="C67" s="484">
        <v>45994.0</v>
      </c>
      <c r="D67" s="132" t="s">
        <v>1924</v>
      </c>
      <c r="E67" s="47" t="s">
        <v>1963</v>
      </c>
      <c r="F67" s="3"/>
      <c r="G67" s="3"/>
      <c r="H67" s="3"/>
      <c r="I67" s="3"/>
      <c r="J67" s="3"/>
      <c r="K67" s="3"/>
    </row>
    <row r="68">
      <c r="A68" s="132" t="b">
        <v>1</v>
      </c>
      <c r="B68" s="132" t="s">
        <v>25</v>
      </c>
      <c r="C68" s="484">
        <v>45994.0</v>
      </c>
      <c r="D68" s="132" t="s">
        <v>1924</v>
      </c>
      <c r="E68" s="47" t="s">
        <v>1966</v>
      </c>
      <c r="F68" s="3"/>
      <c r="G68" s="3"/>
      <c r="H68" s="3"/>
      <c r="I68" s="3"/>
      <c r="J68" s="3"/>
      <c r="K68" s="3"/>
    </row>
    <row r="69">
      <c r="A69" s="132" t="b">
        <v>1</v>
      </c>
      <c r="B69" s="132" t="s">
        <v>211</v>
      </c>
      <c r="C69" s="224">
        <v>45993.0</v>
      </c>
      <c r="D69" s="132" t="s">
        <v>1924</v>
      </c>
      <c r="E69" s="47" t="s">
        <v>1967</v>
      </c>
      <c r="F69" s="3"/>
      <c r="G69" s="3"/>
      <c r="H69" s="3"/>
      <c r="I69" s="3"/>
      <c r="J69" s="3"/>
      <c r="K69" s="3"/>
    </row>
    <row r="70">
      <c r="A70" s="132" t="b">
        <v>1</v>
      </c>
      <c r="B70" s="132" t="s">
        <v>443</v>
      </c>
      <c r="C70" s="224">
        <v>46013.0</v>
      </c>
      <c r="D70" s="132" t="s">
        <v>1891</v>
      </c>
      <c r="E70" s="47" t="s">
        <v>1969</v>
      </c>
      <c r="F70" s="3"/>
      <c r="G70" s="3"/>
      <c r="H70" s="3"/>
      <c r="I70" s="3"/>
      <c r="J70" s="3"/>
      <c r="K70" s="3"/>
    </row>
    <row r="71">
      <c r="A71" s="132" t="b">
        <v>1</v>
      </c>
      <c r="B71" s="132" t="s">
        <v>262</v>
      </c>
      <c r="C71" s="224">
        <v>46028.0</v>
      </c>
      <c r="D71" s="132" t="s">
        <v>1891</v>
      </c>
      <c r="E71" s="47" t="s">
        <v>1970</v>
      </c>
      <c r="F71" s="3"/>
      <c r="G71" s="3"/>
      <c r="H71" s="3"/>
      <c r="I71" s="3"/>
      <c r="J71" s="3"/>
      <c r="K71" s="3"/>
    </row>
    <row r="72">
      <c r="A72" s="132" t="b">
        <v>1</v>
      </c>
      <c r="B72" s="132" t="s">
        <v>286</v>
      </c>
      <c r="C72" s="224">
        <v>46028.0</v>
      </c>
      <c r="D72" s="132" t="s">
        <v>1891</v>
      </c>
      <c r="E72" s="47" t="s">
        <v>1974</v>
      </c>
      <c r="F72" s="3"/>
      <c r="G72" s="3"/>
      <c r="H72" s="3"/>
      <c r="I72" s="3"/>
      <c r="J72" s="3"/>
      <c r="K72" s="3"/>
    </row>
    <row r="73">
      <c r="A73" s="132" t="b">
        <v>1</v>
      </c>
      <c r="B73" s="132" t="s">
        <v>353</v>
      </c>
      <c r="C73" s="224">
        <v>46029.0</v>
      </c>
      <c r="D73" s="132" t="s">
        <v>1891</v>
      </c>
      <c r="E73" s="47" t="s">
        <v>1977</v>
      </c>
      <c r="F73" s="3"/>
      <c r="G73" s="3"/>
      <c r="H73" s="3"/>
      <c r="I73" s="3"/>
      <c r="J73" s="3"/>
      <c r="K73" s="3"/>
    </row>
    <row r="74">
      <c r="A74" s="132" t="b">
        <v>1</v>
      </c>
      <c r="B74" s="132" t="s">
        <v>456</v>
      </c>
      <c r="C74" s="224">
        <v>46029.0</v>
      </c>
      <c r="D74" s="132" t="s">
        <v>1891</v>
      </c>
      <c r="E74" s="47" t="s">
        <v>1982</v>
      </c>
      <c r="F74" s="3"/>
      <c r="G74" s="3"/>
      <c r="H74" s="3"/>
      <c r="I74" s="3"/>
      <c r="J74" s="3"/>
      <c r="K74" s="3"/>
    </row>
    <row r="75">
      <c r="A75" s="132" t="b">
        <v>1</v>
      </c>
      <c r="B75" s="132" t="s">
        <v>259</v>
      </c>
      <c r="C75" s="224">
        <v>46036.0</v>
      </c>
      <c r="D75" s="132" t="s">
        <v>1924</v>
      </c>
      <c r="E75" s="47" t="s">
        <v>1985</v>
      </c>
      <c r="F75" s="3"/>
      <c r="G75" s="3"/>
      <c r="H75" s="3"/>
      <c r="I75" s="3"/>
      <c r="J75" s="3"/>
      <c r="K75" s="3"/>
    </row>
    <row r="76">
      <c r="A76" s="132" t="b">
        <v>1</v>
      </c>
      <c r="B76" s="132" t="s">
        <v>512</v>
      </c>
      <c r="C76" s="224">
        <v>46043.0</v>
      </c>
      <c r="D76" s="132" t="s">
        <v>1891</v>
      </c>
      <c r="E76" s="47" t="s">
        <v>1988</v>
      </c>
      <c r="F76" s="3"/>
      <c r="G76" s="3"/>
      <c r="H76" s="3"/>
      <c r="I76" s="3"/>
      <c r="J76" s="3"/>
      <c r="K76" s="3"/>
    </row>
    <row r="77">
      <c r="A77" s="132" t="b">
        <v>1</v>
      </c>
      <c r="B77" s="132" t="s">
        <v>73</v>
      </c>
      <c r="C77" s="224">
        <v>46051.0</v>
      </c>
      <c r="D77" s="132" t="s">
        <v>1924</v>
      </c>
      <c r="E77" s="47" t="s">
        <v>1991</v>
      </c>
      <c r="F77" s="3"/>
      <c r="G77" s="3"/>
      <c r="H77" s="3"/>
      <c r="I77" s="3"/>
      <c r="J77" s="3"/>
      <c r="K77" s="3"/>
    </row>
    <row r="78">
      <c r="A78" s="132" t="b">
        <v>1</v>
      </c>
      <c r="B78" s="132" t="s">
        <v>274</v>
      </c>
      <c r="C78" s="224">
        <v>46051.0</v>
      </c>
      <c r="D78" s="132" t="s">
        <v>1924</v>
      </c>
      <c r="E78" s="47" t="s">
        <v>1994</v>
      </c>
      <c r="F78" s="3"/>
      <c r="G78" s="3"/>
      <c r="H78" s="3"/>
      <c r="I78" s="3"/>
      <c r="J78" s="3"/>
      <c r="K78" s="3"/>
    </row>
    <row r="79">
      <c r="A79" s="132" t="b">
        <v>1</v>
      </c>
      <c r="B79" s="132" t="s">
        <v>272</v>
      </c>
      <c r="C79" s="224">
        <v>46135.0</v>
      </c>
      <c r="D79" s="132" t="s">
        <v>1924</v>
      </c>
      <c r="E79" s="47" t="s">
        <v>1998</v>
      </c>
      <c r="F79" s="3"/>
      <c r="G79" s="3"/>
      <c r="H79" s="3"/>
      <c r="I79" s="3"/>
      <c r="J79" s="3"/>
      <c r="K79" s="3"/>
    </row>
    <row r="80">
      <c r="A80" s="132" t="b">
        <v>1</v>
      </c>
      <c r="B80" s="132" t="s">
        <v>484</v>
      </c>
      <c r="C80" s="224">
        <v>46108.0</v>
      </c>
      <c r="D80" s="132" t="s">
        <v>1891</v>
      </c>
      <c r="E80" s="16" t="s">
        <v>2002</v>
      </c>
      <c r="F80" s="3"/>
      <c r="G80" s="3"/>
      <c r="H80" s="3"/>
      <c r="I80" s="3"/>
      <c r="J80" s="3"/>
      <c r="K80" s="3"/>
    </row>
    <row r="81">
      <c r="A81" s="132" t="b">
        <v>1</v>
      </c>
      <c r="B81" s="132" t="s">
        <v>314</v>
      </c>
      <c r="C81" s="224">
        <v>46164.0</v>
      </c>
      <c r="D81" s="132" t="s">
        <v>1924</v>
      </c>
      <c r="E81" s="47" t="s">
        <v>2006</v>
      </c>
      <c r="F81" s="3"/>
      <c r="G81" s="3"/>
      <c r="H81" s="3"/>
      <c r="I81" s="3"/>
      <c r="J81" s="3"/>
      <c r="K81" s="3"/>
    </row>
    <row r="82">
      <c r="A82" s="132" t="b">
        <v>1</v>
      </c>
      <c r="B82" s="132" t="s">
        <v>2013</v>
      </c>
      <c r="C82" s="224">
        <v>46168.0</v>
      </c>
      <c r="D82" s="132" t="s">
        <v>1924</v>
      </c>
      <c r="E82" s="47" t="s">
        <v>2015</v>
      </c>
      <c r="F82" s="3"/>
      <c r="G82" s="3"/>
      <c r="H82" s="3"/>
      <c r="I82" s="3"/>
      <c r="J82" s="3"/>
      <c r="K82" s="3"/>
    </row>
    <row r="83">
      <c r="A83" s="3"/>
      <c r="B83" s="3"/>
      <c r="C83" s="3"/>
      <c r="D83" s="3"/>
      <c r="E83" s="3"/>
      <c r="F83" s="3"/>
      <c r="G83" s="3"/>
      <c r="H83" s="3"/>
      <c r="I83" s="3"/>
      <c r="J83" s="3"/>
      <c r="K83" s="3"/>
    </row>
    <row r="84">
      <c r="A84" s="3"/>
      <c r="B84" s="3"/>
      <c r="C84" s="3"/>
      <c r="D84" s="3"/>
      <c r="E84" s="3"/>
      <c r="F84" s="3"/>
      <c r="G84" s="3"/>
      <c r="H84" s="3"/>
      <c r="I84" s="3"/>
      <c r="J84" s="3"/>
      <c r="K84" s="3"/>
    </row>
    <row r="85">
      <c r="A85" s="3"/>
      <c r="B85" s="3"/>
      <c r="C85" s="3"/>
      <c r="D85" s="3"/>
      <c r="E85" s="3"/>
      <c r="F85" s="3"/>
      <c r="G85" s="3"/>
      <c r="H85" s="3"/>
      <c r="I85" s="3"/>
      <c r="J85" s="3"/>
      <c r="K85" s="3"/>
    </row>
    <row r="86">
      <c r="A86" s="3"/>
      <c r="B86" s="3"/>
      <c r="C86" s="3"/>
      <c r="D86" s="3"/>
      <c r="E86" s="3"/>
      <c r="F86" s="3"/>
      <c r="G86" s="3"/>
      <c r="H86" s="3"/>
      <c r="I86" s="3"/>
      <c r="J86" s="3"/>
      <c r="K86" s="3"/>
    </row>
    <row r="87">
      <c r="A87" s="3"/>
      <c r="B87" s="3"/>
      <c r="C87" s="3"/>
      <c r="D87" s="3"/>
      <c r="E87" s="3"/>
      <c r="F87" s="3"/>
      <c r="G87" s="3"/>
      <c r="H87" s="3"/>
      <c r="I87" s="3"/>
      <c r="J87" s="3"/>
      <c r="K87" s="3"/>
    </row>
    <row r="88">
      <c r="A88" s="3"/>
      <c r="B88" s="3"/>
      <c r="C88" s="3"/>
      <c r="D88" s="3"/>
      <c r="E88" s="3"/>
      <c r="F88" s="3"/>
      <c r="G88" s="3"/>
      <c r="H88" s="3"/>
      <c r="I88" s="3"/>
      <c r="J88" s="3"/>
      <c r="K88" s="3"/>
    </row>
    <row r="89">
      <c r="A89" s="3"/>
      <c r="B89" s="3"/>
      <c r="C89" s="3"/>
      <c r="D89" s="3"/>
      <c r="E89" s="3"/>
      <c r="F89" s="3"/>
      <c r="G89" s="3"/>
      <c r="H89" s="3"/>
      <c r="I89" s="3"/>
      <c r="J89" s="3"/>
      <c r="K89" s="3"/>
    </row>
    <row r="90">
      <c r="A90" s="3"/>
      <c r="B90" s="3"/>
    </row>
    <row r="91">
      <c r="A91" s="3"/>
      <c r="B91" s="3"/>
    </row>
    <row r="92">
      <c r="A92" s="3"/>
      <c r="B92" s="3"/>
    </row>
    <row r="93">
      <c r="A93" s="3"/>
      <c r="B93" s="3"/>
    </row>
    <row r="94">
      <c r="A94" s="3"/>
      <c r="B94" s="3"/>
    </row>
    <row r="95">
      <c r="A95" s="3"/>
      <c r="B95" s="3"/>
    </row>
    <row r="96">
      <c r="A96" s="3"/>
      <c r="B96" s="3"/>
    </row>
    <row r="97">
      <c r="A97" s="3"/>
      <c r="B97" s="3"/>
    </row>
    <row r="98">
      <c r="A98" s="3"/>
      <c r="B98" s="3"/>
    </row>
    <row r="99">
      <c r="A99" s="3"/>
      <c r="B99" s="3"/>
    </row>
    <row r="100">
      <c r="A100" s="3"/>
      <c r="B100" s="3"/>
    </row>
  </sheetData>
  <autoFilter ref="$D$38:$D$125"/>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2"/>
  <cols>
    <col customWidth="1" min="5" max="5" width="98.38"/>
    <col customWidth="1" min="6" max="6" width="68.38"/>
  </cols>
  <sheetData>
    <row r="1">
      <c r="A1" s="72" t="s">
        <v>0</v>
      </c>
      <c r="B1" s="72" t="s">
        <v>1553</v>
      </c>
      <c r="C1" s="495" t="s">
        <v>1554</v>
      </c>
      <c r="D1" s="72" t="s">
        <v>1557</v>
      </c>
      <c r="E1" s="72" t="s">
        <v>1558</v>
      </c>
      <c r="F1" s="72" t="s">
        <v>103</v>
      </c>
      <c r="G1" s="72" t="s">
        <v>1559</v>
      </c>
      <c r="H1" s="72" t="s">
        <v>1560</v>
      </c>
      <c r="I1" s="72" t="s">
        <v>106</v>
      </c>
      <c r="J1" s="72" t="s">
        <v>1562</v>
      </c>
      <c r="K1" s="72" t="s">
        <v>0</v>
      </c>
      <c r="L1" s="72" t="s">
        <v>1553</v>
      </c>
      <c r="M1" s="72" t="s">
        <v>1554</v>
      </c>
      <c r="N1" s="72" t="s">
        <v>1557</v>
      </c>
      <c r="O1" s="72" t="s">
        <v>1558</v>
      </c>
      <c r="P1" s="72" t="s">
        <v>103</v>
      </c>
      <c r="Q1" s="72" t="s">
        <v>1559</v>
      </c>
      <c r="R1" s="72" t="s">
        <v>1560</v>
      </c>
      <c r="S1" s="72" t="s">
        <v>106</v>
      </c>
      <c r="T1" s="72" t="s">
        <v>1562</v>
      </c>
    </row>
    <row r="2">
      <c r="A2" s="39" t="s">
        <v>141</v>
      </c>
      <c r="B2" s="95">
        <v>45405.0</v>
      </c>
      <c r="C2" s="39" t="s">
        <v>1831</v>
      </c>
      <c r="D2" s="14" t="s">
        <v>1832</v>
      </c>
      <c r="E2" s="14"/>
      <c r="F2" s="14"/>
      <c r="G2" s="14"/>
      <c r="H2" s="14"/>
      <c r="I2" s="14"/>
      <c r="J2" s="14"/>
      <c r="K2" s="14"/>
    </row>
    <row r="3">
      <c r="A3" s="450" t="s">
        <v>69</v>
      </c>
      <c r="B3" s="82">
        <v>45386.0</v>
      </c>
      <c r="C3" s="450" t="s">
        <v>1891</v>
      </c>
      <c r="D3" s="418" t="s">
        <v>1892</v>
      </c>
      <c r="E3" s="14"/>
      <c r="F3" s="14"/>
      <c r="G3" s="14"/>
      <c r="H3" s="14"/>
      <c r="I3" s="14"/>
      <c r="J3" s="14"/>
      <c r="K3" s="14"/>
    </row>
    <row r="4">
      <c r="A4" s="450" t="s">
        <v>82</v>
      </c>
      <c r="B4" s="82">
        <v>45616.0</v>
      </c>
      <c r="C4" s="450" t="s">
        <v>1891</v>
      </c>
      <c r="D4" s="418" t="s">
        <v>1896</v>
      </c>
      <c r="E4" s="14"/>
      <c r="F4" s="39" t="s">
        <v>1898</v>
      </c>
      <c r="G4" s="14"/>
      <c r="H4" s="14"/>
      <c r="I4" s="14"/>
      <c r="J4" s="14"/>
      <c r="K4" s="14"/>
    </row>
    <row r="5">
      <c r="A5" s="450" t="s">
        <v>169</v>
      </c>
      <c r="B5" s="82">
        <v>45716.0</v>
      </c>
      <c r="C5" s="450" t="s">
        <v>1891</v>
      </c>
      <c r="D5" s="418" t="s">
        <v>1903</v>
      </c>
      <c r="E5" s="14"/>
      <c r="F5" s="39" t="s">
        <v>1898</v>
      </c>
      <c r="G5" s="14"/>
      <c r="H5" s="14"/>
      <c r="I5" s="14"/>
      <c r="J5" s="14"/>
      <c r="K5" s="14"/>
    </row>
    <row r="6">
      <c r="A6" s="450" t="s">
        <v>319</v>
      </c>
      <c r="B6" s="82">
        <v>45810.0</v>
      </c>
      <c r="C6" s="450" t="s">
        <v>1891</v>
      </c>
      <c r="D6" s="418" t="s">
        <v>1906</v>
      </c>
      <c r="E6" s="14"/>
      <c r="F6" s="39" t="s">
        <v>1898</v>
      </c>
      <c r="G6" s="14"/>
      <c r="H6" s="14"/>
      <c r="I6" s="14"/>
      <c r="J6" s="14"/>
      <c r="K6" s="14"/>
    </row>
    <row r="7">
      <c r="A7" s="39" t="s">
        <v>145</v>
      </c>
      <c r="B7" s="475">
        <v>45922.0</v>
      </c>
      <c r="C7" s="39" t="s">
        <v>1891</v>
      </c>
      <c r="D7" s="14" t="s">
        <v>1932</v>
      </c>
      <c r="E7" s="14"/>
      <c r="F7" s="14"/>
      <c r="G7" s="14"/>
      <c r="H7" s="14"/>
      <c r="I7" s="14"/>
      <c r="J7" s="14"/>
      <c r="K7" s="14"/>
    </row>
    <row r="8">
      <c r="A8" s="39" t="s">
        <v>544</v>
      </c>
      <c r="B8" s="475">
        <v>45951.0</v>
      </c>
      <c r="C8" s="39" t="s">
        <v>1891</v>
      </c>
      <c r="D8" s="14" t="s">
        <v>1935</v>
      </c>
      <c r="E8" s="14"/>
      <c r="F8" s="14"/>
      <c r="G8" s="14"/>
      <c r="H8" s="14"/>
      <c r="I8" s="14"/>
      <c r="J8" s="14"/>
      <c r="K8" s="14"/>
    </row>
    <row r="9">
      <c r="A9" s="39" t="s">
        <v>446</v>
      </c>
      <c r="B9" s="475">
        <v>45972.0</v>
      </c>
      <c r="C9" s="39" t="s">
        <v>1891</v>
      </c>
      <c r="D9" s="14" t="s">
        <v>1948</v>
      </c>
      <c r="E9" s="14"/>
      <c r="F9" s="14"/>
      <c r="G9" s="14"/>
      <c r="H9" s="14"/>
      <c r="I9" s="14"/>
      <c r="J9" s="14"/>
      <c r="K9" s="14"/>
    </row>
    <row r="10">
      <c r="A10" s="39" t="s">
        <v>443</v>
      </c>
      <c r="B10" s="475">
        <v>46013.0</v>
      </c>
      <c r="C10" s="39" t="s">
        <v>1891</v>
      </c>
      <c r="D10" s="14" t="s">
        <v>1969</v>
      </c>
      <c r="E10" s="14"/>
      <c r="F10" s="14"/>
      <c r="G10" s="14"/>
      <c r="H10" s="14"/>
      <c r="I10" s="14"/>
      <c r="J10" s="14"/>
      <c r="K10" s="14"/>
    </row>
    <row r="11">
      <c r="A11" s="39" t="s">
        <v>262</v>
      </c>
      <c r="B11" s="475">
        <v>46028.0</v>
      </c>
      <c r="C11" s="39" t="s">
        <v>1891</v>
      </c>
      <c r="D11" s="14" t="s">
        <v>1970</v>
      </c>
      <c r="E11" s="14"/>
      <c r="F11" s="14"/>
      <c r="G11" s="14"/>
      <c r="H11" s="14"/>
      <c r="I11" s="14"/>
      <c r="J11" s="14"/>
      <c r="K11" s="14"/>
    </row>
    <row r="12">
      <c r="A12" s="39" t="s">
        <v>286</v>
      </c>
      <c r="B12" s="475">
        <v>46028.0</v>
      </c>
      <c r="C12" s="39" t="s">
        <v>1891</v>
      </c>
      <c r="D12" s="14" t="s">
        <v>1974</v>
      </c>
      <c r="E12" s="14"/>
      <c r="F12" s="14"/>
      <c r="G12" s="14"/>
      <c r="H12" s="14"/>
      <c r="I12" s="14"/>
      <c r="J12" s="14"/>
      <c r="K12" s="14"/>
    </row>
    <row r="13">
      <c r="A13" s="39" t="s">
        <v>353</v>
      </c>
      <c r="B13" s="475">
        <v>46029.0</v>
      </c>
      <c r="C13" s="39" t="s">
        <v>1891</v>
      </c>
      <c r="D13" s="14" t="s">
        <v>1977</v>
      </c>
      <c r="E13" s="14"/>
      <c r="F13" s="14"/>
      <c r="G13" s="14"/>
      <c r="H13" s="14"/>
      <c r="I13" s="14"/>
      <c r="J13" s="14"/>
      <c r="K13" s="14"/>
    </row>
    <row r="14">
      <c r="A14" s="39" t="s">
        <v>456</v>
      </c>
      <c r="B14" s="475">
        <v>46029.0</v>
      </c>
      <c r="C14" s="39" t="s">
        <v>1891</v>
      </c>
      <c r="D14" s="14" t="s">
        <v>1982</v>
      </c>
      <c r="E14" s="14"/>
      <c r="F14" s="14"/>
      <c r="G14" s="14"/>
      <c r="H14" s="14"/>
      <c r="I14" s="14"/>
      <c r="J14" s="14"/>
      <c r="K14" s="14"/>
    </row>
    <row r="15">
      <c r="A15" s="39" t="s">
        <v>512</v>
      </c>
      <c r="B15" s="475">
        <v>46043.0</v>
      </c>
      <c r="C15" s="39" t="s">
        <v>1891</v>
      </c>
      <c r="D15" s="14" t="s">
        <v>1988</v>
      </c>
      <c r="E15" s="14"/>
      <c r="F15" s="14"/>
      <c r="G15" s="14"/>
      <c r="H15" s="14"/>
      <c r="I15" s="14"/>
      <c r="J15" s="14"/>
      <c r="K15" s="14"/>
    </row>
    <row r="16">
      <c r="A16" s="39" t="s">
        <v>484</v>
      </c>
      <c r="B16" s="475">
        <v>46108.0</v>
      </c>
      <c r="C16" s="39" t="s">
        <v>1891</v>
      </c>
      <c r="D16" s="14" t="s">
        <v>2002</v>
      </c>
      <c r="E16" s="14"/>
      <c r="F16" s="14"/>
      <c r="G16" s="14"/>
      <c r="H16" s="14"/>
      <c r="I16" s="14"/>
      <c r="J16" s="14"/>
      <c r="K16" s="14"/>
    </row>
    <row r="17">
      <c r="A17" s="450" t="s">
        <v>66</v>
      </c>
      <c r="B17" s="82">
        <v>45805.0</v>
      </c>
      <c r="C17" s="450" t="s">
        <v>1924</v>
      </c>
      <c r="D17" s="418" t="s">
        <v>197</v>
      </c>
      <c r="E17" s="14"/>
      <c r="F17" s="39" t="s">
        <v>1898</v>
      </c>
      <c r="G17" s="14"/>
      <c r="H17" s="14"/>
      <c r="I17" s="14"/>
      <c r="J17" s="14"/>
      <c r="K17" s="14"/>
    </row>
    <row r="18">
      <c r="A18" s="39" t="s">
        <v>33</v>
      </c>
      <c r="B18" s="95">
        <v>45861.0</v>
      </c>
      <c r="C18" s="39" t="s">
        <v>1924</v>
      </c>
      <c r="D18" s="14" t="s">
        <v>1929</v>
      </c>
      <c r="E18" s="14"/>
      <c r="F18" s="14"/>
      <c r="G18" s="14"/>
      <c r="H18" s="14"/>
      <c r="I18" s="14"/>
      <c r="J18" s="14"/>
      <c r="K18" s="14"/>
    </row>
    <row r="19">
      <c r="A19" s="39" t="s">
        <v>154</v>
      </c>
      <c r="B19" s="475">
        <v>45971.0</v>
      </c>
      <c r="C19" s="39" t="s">
        <v>1924</v>
      </c>
      <c r="D19" s="14" t="s">
        <v>1937</v>
      </c>
      <c r="E19" s="14"/>
      <c r="F19" s="14"/>
      <c r="G19" s="14"/>
      <c r="H19" s="14"/>
      <c r="I19" s="14"/>
      <c r="J19" s="14"/>
      <c r="K19" s="14"/>
    </row>
    <row r="20">
      <c r="A20" s="86" t="s">
        <v>91</v>
      </c>
      <c r="B20" s="475">
        <v>45982.0</v>
      </c>
      <c r="C20" s="39" t="s">
        <v>1924</v>
      </c>
      <c r="D20" s="14" t="s">
        <v>1952</v>
      </c>
      <c r="E20" s="14"/>
      <c r="F20" s="14"/>
      <c r="G20" s="14"/>
      <c r="H20" s="14"/>
      <c r="I20" s="14"/>
      <c r="J20" s="14"/>
      <c r="K20" s="14"/>
    </row>
    <row r="21">
      <c r="A21" s="86" t="s">
        <v>88</v>
      </c>
      <c r="B21" s="475">
        <v>45982.0</v>
      </c>
      <c r="C21" s="39" t="s">
        <v>1924</v>
      </c>
      <c r="D21" s="14" t="s">
        <v>1955</v>
      </c>
      <c r="E21" s="14"/>
      <c r="F21" s="14"/>
      <c r="G21" s="14"/>
      <c r="H21" s="14"/>
      <c r="I21" s="14"/>
      <c r="J21" s="14"/>
      <c r="K21" s="14"/>
    </row>
    <row r="22">
      <c r="A22" s="86" t="s">
        <v>49</v>
      </c>
      <c r="B22" s="475">
        <v>45792.0</v>
      </c>
      <c r="C22" s="39" t="s">
        <v>1924</v>
      </c>
      <c r="D22" s="14" t="s">
        <v>1960</v>
      </c>
      <c r="E22" s="14"/>
      <c r="F22" s="14"/>
      <c r="G22" s="14"/>
      <c r="H22" s="14"/>
      <c r="I22" s="14"/>
      <c r="J22" s="14"/>
      <c r="K22" s="14"/>
    </row>
    <row r="23">
      <c r="A23" s="86" t="s">
        <v>71</v>
      </c>
      <c r="B23" s="475">
        <v>45994.0</v>
      </c>
      <c r="C23" s="39" t="s">
        <v>1924</v>
      </c>
      <c r="D23" s="14" t="s">
        <v>1963</v>
      </c>
      <c r="E23" s="14"/>
      <c r="F23" s="14"/>
      <c r="G23" s="14"/>
      <c r="H23" s="14"/>
      <c r="I23" s="14"/>
      <c r="J23" s="14"/>
      <c r="K23" s="14"/>
    </row>
    <row r="24">
      <c r="A24" s="39" t="s">
        <v>25</v>
      </c>
      <c r="B24" s="475">
        <v>45994.0</v>
      </c>
      <c r="C24" s="39" t="s">
        <v>1924</v>
      </c>
      <c r="D24" s="14" t="s">
        <v>1966</v>
      </c>
      <c r="E24" s="14"/>
      <c r="F24" s="14"/>
      <c r="G24" s="14"/>
      <c r="H24" s="14"/>
      <c r="I24" s="14"/>
      <c r="J24" s="14"/>
      <c r="K24" s="14"/>
    </row>
    <row r="25">
      <c r="A25" s="39" t="s">
        <v>211</v>
      </c>
      <c r="B25" s="475">
        <v>45993.0</v>
      </c>
      <c r="C25" s="39" t="s">
        <v>1924</v>
      </c>
      <c r="D25" s="14" t="s">
        <v>1967</v>
      </c>
      <c r="E25" s="14"/>
      <c r="F25" s="14"/>
      <c r="G25" s="14"/>
      <c r="H25" s="14"/>
      <c r="I25" s="14"/>
      <c r="J25" s="14"/>
      <c r="K25" s="14"/>
    </row>
    <row r="26">
      <c r="A26" s="39" t="s">
        <v>259</v>
      </c>
      <c r="B26" s="475">
        <v>46036.0</v>
      </c>
      <c r="C26" s="39" t="s">
        <v>1924</v>
      </c>
      <c r="D26" s="14" t="s">
        <v>1985</v>
      </c>
      <c r="E26" s="14"/>
      <c r="F26" s="14"/>
      <c r="G26" s="14"/>
      <c r="H26" s="14"/>
      <c r="I26" s="14"/>
      <c r="J26" s="14"/>
      <c r="K26" s="14"/>
    </row>
    <row r="27">
      <c r="A27" s="39" t="s">
        <v>73</v>
      </c>
      <c r="B27" s="475">
        <v>46051.0</v>
      </c>
      <c r="C27" s="39" t="s">
        <v>1924</v>
      </c>
      <c r="D27" s="14" t="s">
        <v>1991</v>
      </c>
      <c r="E27" s="14"/>
      <c r="F27" s="14"/>
      <c r="G27" s="14"/>
      <c r="H27" s="14"/>
      <c r="I27" s="14"/>
      <c r="J27" s="14"/>
      <c r="K27" s="14"/>
    </row>
    <row r="28">
      <c r="A28" s="39" t="s">
        <v>274</v>
      </c>
      <c r="B28" s="475">
        <v>46051.0</v>
      </c>
      <c r="C28" s="39" t="s">
        <v>1924</v>
      </c>
      <c r="D28" s="14" t="s">
        <v>1994</v>
      </c>
      <c r="E28" s="14"/>
      <c r="F28" s="14"/>
      <c r="G28" s="14"/>
      <c r="H28" s="14"/>
      <c r="I28" s="14"/>
      <c r="J28" s="14"/>
      <c r="K28" s="14"/>
    </row>
    <row r="29">
      <c r="A29" s="39" t="s">
        <v>272</v>
      </c>
      <c r="B29" s="475">
        <v>46135.0</v>
      </c>
      <c r="C29" s="39" t="s">
        <v>1924</v>
      </c>
      <c r="D29" s="14" t="s">
        <v>1998</v>
      </c>
      <c r="E29" s="14"/>
      <c r="F29" s="14"/>
      <c r="G29" s="14"/>
      <c r="H29" s="14"/>
      <c r="I29" s="14"/>
      <c r="J29" s="14"/>
      <c r="K29" s="14"/>
    </row>
    <row r="30">
      <c r="A30" s="39" t="s">
        <v>314</v>
      </c>
      <c r="B30" s="475">
        <v>46164.0</v>
      </c>
      <c r="C30" s="39" t="s">
        <v>1924</v>
      </c>
      <c r="D30" s="14" t="s">
        <v>2006</v>
      </c>
      <c r="E30" s="14"/>
      <c r="F30" s="14"/>
      <c r="G30" s="14"/>
      <c r="H30" s="14"/>
      <c r="I30" s="14"/>
      <c r="J30" s="14"/>
      <c r="K30" s="14"/>
    </row>
    <row r="31">
      <c r="A31" s="39" t="s">
        <v>2013</v>
      </c>
      <c r="B31" s="475">
        <v>46168.0</v>
      </c>
      <c r="C31" s="39" t="s">
        <v>1924</v>
      </c>
      <c r="D31" s="14" t="s">
        <v>2015</v>
      </c>
      <c r="E31" s="14"/>
      <c r="F31" s="14"/>
      <c r="G31" s="14"/>
      <c r="H31" s="14"/>
      <c r="I31" s="14"/>
      <c r="J31" s="14"/>
      <c r="K31" s="14"/>
    </row>
    <row r="32">
      <c r="A32" s="39" t="s">
        <v>597</v>
      </c>
      <c r="B32" s="475">
        <v>45779.0</v>
      </c>
      <c r="C32" s="39" t="s">
        <v>978</v>
      </c>
      <c r="D32" s="14" t="s">
        <v>1844</v>
      </c>
      <c r="E32" s="14"/>
      <c r="F32" s="14"/>
      <c r="G32" s="14"/>
      <c r="H32" s="14"/>
      <c r="I32" s="14"/>
      <c r="J32" s="14"/>
      <c r="K32" s="14"/>
    </row>
    <row r="33">
      <c r="A33" s="39" t="s">
        <v>599</v>
      </c>
      <c r="B33" s="475">
        <v>45779.0</v>
      </c>
      <c r="C33" s="450" t="s">
        <v>978</v>
      </c>
      <c r="D33" s="418" t="s">
        <v>1844</v>
      </c>
      <c r="E33" s="14"/>
      <c r="F33" s="14"/>
      <c r="G33" s="14"/>
      <c r="H33" s="14"/>
      <c r="I33" s="14"/>
      <c r="J33" s="14"/>
      <c r="K33" s="14"/>
    </row>
    <row r="34">
      <c r="A34" s="450" t="s">
        <v>594</v>
      </c>
      <c r="B34" s="82">
        <v>45777.0</v>
      </c>
      <c r="C34" s="450" t="s">
        <v>978</v>
      </c>
      <c r="D34" s="418" t="s">
        <v>1854</v>
      </c>
      <c r="E34" s="14"/>
      <c r="F34" s="14"/>
      <c r="G34" s="14"/>
      <c r="H34" s="14"/>
      <c r="I34" s="14"/>
      <c r="J34" s="14"/>
      <c r="K34" s="14"/>
    </row>
    <row r="35">
      <c r="A35" s="450" t="s">
        <v>606</v>
      </c>
      <c r="B35" s="82">
        <v>45779.0</v>
      </c>
      <c r="C35" s="450" t="s">
        <v>978</v>
      </c>
      <c r="D35" s="418" t="s">
        <v>1844</v>
      </c>
      <c r="E35" s="14"/>
      <c r="F35" s="14"/>
      <c r="G35" s="14"/>
      <c r="H35" s="14"/>
      <c r="I35" s="14"/>
      <c r="J35" s="14"/>
      <c r="K35" s="14"/>
    </row>
    <row r="36">
      <c r="A36" s="450" t="s">
        <v>467</v>
      </c>
      <c r="B36" s="82">
        <v>45621.0</v>
      </c>
      <c r="C36" s="450" t="s">
        <v>978</v>
      </c>
      <c r="D36" s="418" t="s">
        <v>1865</v>
      </c>
      <c r="E36" s="14"/>
      <c r="F36" s="14"/>
      <c r="G36" s="14"/>
      <c r="H36" s="14"/>
      <c r="I36" s="14"/>
      <c r="J36" s="14"/>
      <c r="K36" s="14"/>
    </row>
    <row r="37">
      <c r="A37" s="450" t="s">
        <v>489</v>
      </c>
      <c r="B37" s="82">
        <v>45643.0</v>
      </c>
      <c r="C37" s="450" t="s">
        <v>978</v>
      </c>
      <c r="D37" s="418" t="s">
        <v>1872</v>
      </c>
      <c r="E37" s="14"/>
      <c r="F37" s="14"/>
      <c r="G37" s="14"/>
      <c r="H37" s="14"/>
      <c r="I37" s="14"/>
      <c r="J37" s="14"/>
      <c r="K37" s="14"/>
    </row>
    <row r="38">
      <c r="A38" s="450" t="s">
        <v>600</v>
      </c>
      <c r="B38" s="82">
        <v>45775.0</v>
      </c>
      <c r="C38" s="450" t="s">
        <v>978</v>
      </c>
      <c r="D38" s="418" t="s">
        <v>1877</v>
      </c>
      <c r="E38" s="14"/>
      <c r="F38" s="14"/>
      <c r="G38" s="14"/>
      <c r="H38" s="14"/>
      <c r="I38" s="14"/>
      <c r="J38" s="14"/>
      <c r="K38" s="14"/>
    </row>
    <row r="39">
      <c r="A39" s="450" t="s">
        <v>539</v>
      </c>
      <c r="B39" s="82">
        <v>45702.0</v>
      </c>
      <c r="C39" s="450" t="s">
        <v>978</v>
      </c>
      <c r="D39" s="418" t="s">
        <v>1884</v>
      </c>
      <c r="E39" s="14"/>
      <c r="F39" s="14"/>
      <c r="G39" s="14"/>
      <c r="H39" s="14"/>
      <c r="I39" s="14"/>
      <c r="J39" s="14"/>
      <c r="K39" s="14"/>
    </row>
    <row r="40">
      <c r="A40" s="450" t="s">
        <v>604</v>
      </c>
      <c r="B40" s="82">
        <v>45779.0</v>
      </c>
      <c r="C40" s="450" t="s">
        <v>978</v>
      </c>
      <c r="D40" s="418" t="s">
        <v>1844</v>
      </c>
      <c r="E40" s="14"/>
      <c r="F40" s="14"/>
      <c r="G40" s="14"/>
      <c r="H40" s="14"/>
      <c r="I40" s="14"/>
      <c r="J40" s="14"/>
      <c r="K40" s="14"/>
    </row>
    <row r="41">
      <c r="A41" s="450" t="s">
        <v>347</v>
      </c>
      <c r="B41" s="82">
        <v>45680.0</v>
      </c>
      <c r="C41" s="450" t="s">
        <v>978</v>
      </c>
      <c r="D41" s="418" t="s">
        <v>1909</v>
      </c>
      <c r="E41" s="14"/>
      <c r="F41" s="14"/>
      <c r="G41" s="14"/>
      <c r="H41" s="14"/>
      <c r="I41" s="14"/>
      <c r="J41" s="14"/>
      <c r="K41" s="14"/>
    </row>
    <row r="42">
      <c r="A42" s="450" t="s">
        <v>503</v>
      </c>
      <c r="B42" s="82">
        <v>45672.0</v>
      </c>
      <c r="C42" s="450" t="s">
        <v>978</v>
      </c>
      <c r="D42" s="418" t="s">
        <v>1913</v>
      </c>
      <c r="E42" s="14"/>
      <c r="F42" s="14"/>
      <c r="G42" s="14"/>
      <c r="H42" s="14"/>
      <c r="I42" s="14"/>
      <c r="J42" s="14"/>
      <c r="K42" s="14"/>
    </row>
    <row r="43">
      <c r="A43" s="450" t="s">
        <v>549</v>
      </c>
      <c r="B43" s="82">
        <v>45680.0</v>
      </c>
      <c r="C43" s="450" t="s">
        <v>978</v>
      </c>
      <c r="D43" s="418" t="s">
        <v>1917</v>
      </c>
      <c r="E43" s="14"/>
      <c r="F43" s="14"/>
      <c r="G43" s="14"/>
      <c r="H43" s="14"/>
      <c r="I43" s="14"/>
      <c r="J43" s="14"/>
      <c r="K43" s="14"/>
    </row>
    <row r="44">
      <c r="A44" s="450" t="s">
        <v>591</v>
      </c>
      <c r="B44" s="82">
        <v>45772.0</v>
      </c>
      <c r="C44" s="450" t="s">
        <v>978</v>
      </c>
      <c r="D44" s="418" t="s">
        <v>1921</v>
      </c>
      <c r="E44" s="14"/>
      <c r="F44" s="14"/>
      <c r="G44" s="14"/>
      <c r="H44" s="14"/>
      <c r="I44" s="14"/>
      <c r="J44" s="14"/>
      <c r="K44" s="14"/>
    </row>
    <row r="45">
      <c r="A45" s="72"/>
      <c r="B45" s="72"/>
      <c r="C45" s="72"/>
      <c r="D45" s="72"/>
      <c r="E45" s="72"/>
      <c r="F45" s="72"/>
      <c r="G45" s="72"/>
      <c r="H45" s="72"/>
      <c r="I45" s="72"/>
      <c r="J45" s="72"/>
      <c r="K45" s="72"/>
    </row>
    <row r="46">
      <c r="A46" s="497"/>
      <c r="B46" s="498"/>
      <c r="C46" s="497"/>
      <c r="D46" s="498"/>
      <c r="E46" s="499"/>
      <c r="F46" s="498"/>
      <c r="G46" s="500"/>
      <c r="H46" s="500"/>
      <c r="I46" s="500"/>
      <c r="J46" s="500"/>
      <c r="K46" s="500"/>
    </row>
    <row r="47">
      <c r="A47" s="497"/>
      <c r="B47" s="498"/>
      <c r="C47" s="497"/>
      <c r="D47" s="497"/>
      <c r="E47" s="501"/>
      <c r="F47" s="502"/>
      <c r="G47" s="500"/>
      <c r="H47" s="500"/>
      <c r="I47" s="500"/>
      <c r="J47" s="500"/>
      <c r="K47" s="500"/>
    </row>
    <row r="48">
      <c r="A48" s="497"/>
      <c r="B48" s="498"/>
      <c r="C48" s="497"/>
      <c r="D48" s="502"/>
      <c r="E48" s="499"/>
      <c r="F48" s="502"/>
      <c r="G48" s="500"/>
      <c r="H48" s="500"/>
      <c r="I48" s="500"/>
      <c r="J48" s="500"/>
      <c r="K48" s="500"/>
    </row>
    <row r="49">
      <c r="A49" s="497"/>
      <c r="B49" s="498"/>
      <c r="C49" s="497"/>
      <c r="D49" s="497"/>
      <c r="E49" s="501"/>
      <c r="F49" s="497"/>
      <c r="G49" s="500"/>
      <c r="H49" s="500"/>
      <c r="I49" s="500"/>
      <c r="J49" s="500"/>
      <c r="K49" s="500"/>
    </row>
    <row r="50">
      <c r="A50" s="497"/>
      <c r="B50" s="498"/>
      <c r="C50" s="500"/>
      <c r="D50" s="500"/>
      <c r="E50" s="500"/>
      <c r="F50" s="500"/>
      <c r="G50" s="500"/>
      <c r="H50" s="500"/>
      <c r="I50" s="500"/>
      <c r="J50" s="500"/>
      <c r="K50" s="500"/>
    </row>
    <row r="51">
      <c r="A51" s="497"/>
      <c r="B51" s="498"/>
      <c r="C51" s="500"/>
      <c r="D51" s="500"/>
      <c r="E51" s="501"/>
      <c r="F51" s="500"/>
      <c r="G51" s="500"/>
      <c r="H51" s="500"/>
      <c r="I51" s="500"/>
      <c r="J51" s="500"/>
      <c r="K51" s="500"/>
    </row>
    <row r="52">
      <c r="A52" s="497"/>
      <c r="B52" s="498"/>
      <c r="C52" s="500"/>
      <c r="D52" s="500"/>
      <c r="E52" s="501"/>
      <c r="F52" s="500"/>
      <c r="G52" s="500"/>
      <c r="H52" s="500"/>
      <c r="I52" s="500"/>
      <c r="J52" s="500"/>
      <c r="K52" s="500"/>
    </row>
    <row r="53">
      <c r="A53" s="497"/>
      <c r="B53" s="498"/>
      <c r="C53" s="497"/>
      <c r="D53" s="498"/>
      <c r="E53" s="500"/>
      <c r="F53" s="498"/>
      <c r="G53" s="500"/>
      <c r="H53" s="500"/>
      <c r="I53" s="499"/>
      <c r="J53" s="500"/>
      <c r="K53" s="500"/>
    </row>
    <row r="54">
      <c r="A54" s="497"/>
      <c r="B54" s="500"/>
      <c r="C54" s="500"/>
      <c r="D54" s="500"/>
      <c r="E54" s="501"/>
      <c r="F54" s="500"/>
      <c r="G54" s="500"/>
      <c r="H54" s="500"/>
      <c r="I54" s="500"/>
      <c r="J54" s="500"/>
      <c r="K54" s="500"/>
    </row>
    <row r="55">
      <c r="A55" s="497"/>
      <c r="B55" s="500"/>
      <c r="C55" s="497"/>
      <c r="D55" s="498"/>
      <c r="E55" s="501"/>
      <c r="F55" s="500"/>
      <c r="G55" s="500"/>
      <c r="H55" s="500"/>
      <c r="I55" s="500"/>
      <c r="J55" s="500"/>
      <c r="K55" s="500"/>
    </row>
    <row r="56">
      <c r="A56" s="497"/>
      <c r="B56" s="498"/>
      <c r="C56" s="503"/>
      <c r="D56" s="498"/>
      <c r="E56" s="504"/>
      <c r="F56" s="503"/>
      <c r="G56" s="500"/>
      <c r="H56" s="503"/>
      <c r="I56" s="500"/>
      <c r="J56" s="500"/>
      <c r="K56" s="500"/>
    </row>
    <row r="57">
      <c r="A57" s="497"/>
      <c r="B57" s="502"/>
      <c r="C57" s="500"/>
      <c r="D57" s="500"/>
      <c r="E57" s="504"/>
      <c r="F57" s="500"/>
      <c r="G57" s="500"/>
      <c r="H57" s="500"/>
      <c r="I57" s="500"/>
      <c r="J57" s="500"/>
      <c r="K57" s="500"/>
    </row>
    <row r="58">
      <c r="A58" s="497"/>
      <c r="B58" s="497"/>
      <c r="C58" s="498"/>
      <c r="D58" s="501"/>
      <c r="E58" s="498"/>
      <c r="F58" s="498"/>
      <c r="G58" s="500"/>
      <c r="H58" s="498"/>
      <c r="I58" s="500"/>
      <c r="J58" s="498"/>
      <c r="K58" s="500"/>
    </row>
    <row r="59">
      <c r="A59" s="497"/>
      <c r="B59" s="497"/>
      <c r="C59" s="498"/>
      <c r="D59" s="501"/>
      <c r="E59" s="503"/>
      <c r="F59" s="498"/>
      <c r="G59" s="500"/>
      <c r="H59" s="498"/>
      <c r="I59" s="500"/>
      <c r="J59" s="500"/>
      <c r="K59" s="498"/>
    </row>
    <row r="60">
      <c r="A60" s="497"/>
      <c r="B60" s="497"/>
      <c r="C60" s="505"/>
      <c r="D60" s="501"/>
      <c r="E60" s="500"/>
      <c r="F60" s="505"/>
      <c r="G60" s="500"/>
      <c r="H60" s="505"/>
      <c r="I60" s="500"/>
      <c r="J60" s="500"/>
      <c r="K60" s="499"/>
    </row>
    <row r="61">
      <c r="A61" s="497"/>
      <c r="B61" s="497"/>
      <c r="C61" s="498"/>
      <c r="D61" s="501"/>
      <c r="E61" s="500"/>
      <c r="F61" s="498"/>
      <c r="G61" s="500"/>
      <c r="H61" s="498"/>
      <c r="I61" s="500"/>
      <c r="J61" s="505"/>
      <c r="K61" s="499"/>
    </row>
    <row r="62">
      <c r="A62" s="497"/>
      <c r="B62" s="497"/>
      <c r="C62" s="498"/>
      <c r="D62" s="497"/>
      <c r="E62" s="500"/>
      <c r="F62" s="498"/>
      <c r="G62" s="500"/>
      <c r="H62" s="498"/>
      <c r="I62" s="500"/>
      <c r="J62" s="498"/>
      <c r="K62" s="499"/>
    </row>
    <row r="63">
      <c r="A63" s="497"/>
      <c r="B63" s="497"/>
      <c r="C63" s="505"/>
      <c r="D63" s="501"/>
      <c r="E63" s="500"/>
      <c r="F63" s="505"/>
      <c r="G63" s="500"/>
      <c r="H63" s="505"/>
      <c r="I63" s="500"/>
      <c r="J63" s="498"/>
      <c r="K63" s="497"/>
    </row>
    <row r="64">
      <c r="A64" s="497"/>
      <c r="B64" s="497"/>
      <c r="C64" s="505"/>
      <c r="D64" s="500"/>
      <c r="E64" s="502"/>
      <c r="F64" s="505"/>
      <c r="G64" s="500"/>
      <c r="H64" s="505"/>
      <c r="I64" s="500"/>
      <c r="J64" s="498"/>
      <c r="K64" s="500"/>
    </row>
    <row r="65">
      <c r="A65" s="497"/>
      <c r="B65" s="497"/>
      <c r="C65" s="505"/>
      <c r="D65" s="501"/>
      <c r="E65" s="500"/>
      <c r="F65" s="505"/>
      <c r="G65" s="500"/>
      <c r="H65" s="500"/>
      <c r="I65" s="499"/>
      <c r="J65" s="497"/>
      <c r="K65" s="500"/>
    </row>
    <row r="66">
      <c r="A66" s="497"/>
      <c r="B66" s="497"/>
      <c r="C66" s="505"/>
      <c r="D66" s="501"/>
      <c r="E66" s="500"/>
      <c r="F66" s="505"/>
      <c r="G66" s="500"/>
      <c r="H66" s="505"/>
      <c r="I66" s="500"/>
      <c r="J66" s="503"/>
      <c r="K66" s="500"/>
    </row>
    <row r="67">
      <c r="A67" s="497"/>
      <c r="B67" s="497"/>
      <c r="C67" s="497"/>
      <c r="D67" s="499"/>
      <c r="E67" s="500"/>
      <c r="F67" s="498"/>
      <c r="G67" s="500"/>
      <c r="H67" s="498"/>
      <c r="I67" s="500"/>
      <c r="J67" s="500"/>
      <c r="K67" s="500"/>
    </row>
    <row r="68">
      <c r="A68" s="497"/>
      <c r="B68" s="497"/>
      <c r="C68" s="502"/>
      <c r="D68" s="501"/>
      <c r="E68" s="500"/>
      <c r="F68" s="498"/>
      <c r="G68" s="500"/>
      <c r="H68" s="498"/>
      <c r="I68" s="500"/>
      <c r="J68" s="497"/>
      <c r="K68" s="500"/>
    </row>
    <row r="69">
      <c r="A69" s="497"/>
      <c r="B69" s="505"/>
      <c r="C69" s="500"/>
      <c r="D69" s="497"/>
      <c r="E69" s="500"/>
      <c r="F69" s="500"/>
      <c r="G69" s="500"/>
      <c r="H69" s="500"/>
      <c r="I69" s="500"/>
      <c r="J69" s="500"/>
      <c r="K69" s="500"/>
    </row>
    <row r="70">
      <c r="A70" s="497"/>
      <c r="B70" s="497"/>
      <c r="C70" s="498"/>
      <c r="D70" s="500"/>
      <c r="E70" s="500"/>
      <c r="F70" s="498"/>
      <c r="G70" s="500"/>
      <c r="H70" s="498"/>
      <c r="I70" s="500"/>
      <c r="J70" s="500"/>
      <c r="K70" s="500"/>
    </row>
    <row r="71">
      <c r="A71" s="497"/>
      <c r="B71" s="498"/>
      <c r="C71" s="503"/>
      <c r="D71" s="500"/>
      <c r="E71" s="500"/>
      <c r="F71" s="500"/>
      <c r="G71" s="500"/>
      <c r="H71" s="500"/>
      <c r="I71" s="500"/>
      <c r="J71" s="500"/>
      <c r="K71" s="500"/>
    </row>
    <row r="72">
      <c r="A72" s="497"/>
      <c r="B72" s="498"/>
      <c r="C72" s="500"/>
      <c r="D72" s="500"/>
      <c r="E72" s="500"/>
      <c r="F72" s="500"/>
      <c r="G72" s="500"/>
      <c r="H72" s="500"/>
      <c r="I72" s="500"/>
      <c r="J72" s="500"/>
      <c r="K72" s="500"/>
    </row>
    <row r="73">
      <c r="A73" s="497"/>
      <c r="B73" s="497"/>
      <c r="C73" s="508"/>
      <c r="D73" s="503"/>
      <c r="E73" s="500"/>
      <c r="F73" s="508"/>
      <c r="G73" s="503"/>
      <c r="H73" s="508"/>
      <c r="I73" s="503"/>
      <c r="J73" s="498"/>
      <c r="K73" s="497"/>
    </row>
    <row r="74">
      <c r="A74" s="497"/>
      <c r="B74" s="497"/>
      <c r="C74" s="498"/>
      <c r="D74" s="501"/>
      <c r="E74" s="498"/>
      <c r="F74" s="498"/>
      <c r="G74" s="500"/>
      <c r="H74" s="498"/>
      <c r="I74" s="500"/>
      <c r="J74" s="498"/>
      <c r="K74" s="497"/>
    </row>
    <row r="75">
      <c r="A75" s="497"/>
      <c r="B75" s="497"/>
      <c r="C75" s="498"/>
      <c r="D75" s="501"/>
      <c r="E75" s="498"/>
      <c r="F75" s="498"/>
      <c r="G75" s="500"/>
      <c r="H75" s="498"/>
      <c r="I75" s="500"/>
      <c r="J75" s="498"/>
      <c r="K75" s="497"/>
    </row>
    <row r="76">
      <c r="A76" s="497"/>
      <c r="B76" s="497"/>
      <c r="C76" s="498"/>
      <c r="D76" s="499"/>
      <c r="E76" s="500"/>
      <c r="F76" s="503"/>
      <c r="G76" s="500"/>
      <c r="H76" s="500"/>
      <c r="I76" s="500"/>
      <c r="J76" s="500"/>
      <c r="K76" s="500"/>
    </row>
    <row r="77">
      <c r="A77" s="497"/>
      <c r="B77" s="497"/>
      <c r="C77" s="498"/>
      <c r="D77" s="501"/>
      <c r="E77" s="500"/>
      <c r="F77" s="498"/>
      <c r="G77" s="500"/>
      <c r="H77" s="498"/>
      <c r="I77" s="497"/>
      <c r="J77" s="498"/>
      <c r="K77" s="497"/>
    </row>
    <row r="78">
      <c r="A78" s="497"/>
      <c r="B78" s="497"/>
      <c r="C78" s="498"/>
      <c r="D78" s="501"/>
      <c r="E78" s="500"/>
      <c r="F78" s="498"/>
      <c r="G78" s="500"/>
      <c r="H78" s="498"/>
      <c r="I78" s="500"/>
      <c r="J78" s="500"/>
      <c r="K78" s="500"/>
    </row>
    <row r="79">
      <c r="A79" s="497"/>
      <c r="B79" s="497"/>
      <c r="C79" s="500"/>
      <c r="D79" s="497"/>
      <c r="E79" s="500"/>
      <c r="F79" s="500"/>
      <c r="G79" s="500"/>
      <c r="H79" s="500"/>
      <c r="I79" s="500"/>
      <c r="J79" s="500"/>
      <c r="K79" s="500"/>
    </row>
    <row r="80">
      <c r="A80" s="497"/>
      <c r="B80" s="500"/>
      <c r="C80" s="500"/>
      <c r="D80" s="500"/>
      <c r="E80" s="500"/>
      <c r="F80" s="500"/>
      <c r="G80" s="500"/>
      <c r="H80" s="497"/>
      <c r="I80" s="500"/>
      <c r="J80" s="500"/>
      <c r="K80" s="500"/>
    </row>
    <row r="81">
      <c r="A81" s="500"/>
      <c r="B81" s="500"/>
      <c r="C81" s="500"/>
      <c r="D81" s="500"/>
      <c r="E81" s="500"/>
      <c r="F81" s="500"/>
      <c r="G81" s="500"/>
      <c r="H81" s="500"/>
      <c r="I81" s="500"/>
      <c r="J81" s="500"/>
      <c r="K81" s="500"/>
    </row>
    <row r="82">
      <c r="A82" s="500"/>
      <c r="B82" s="509"/>
      <c r="C82" s="500"/>
      <c r="D82" s="500"/>
      <c r="E82" s="500"/>
      <c r="F82" s="500"/>
      <c r="G82" s="500"/>
      <c r="H82" s="500"/>
      <c r="I82" s="500"/>
      <c r="J82" s="500"/>
      <c r="K82" s="500"/>
    </row>
    <row r="83">
      <c r="A83" s="500"/>
      <c r="B83" s="500"/>
      <c r="C83" s="500"/>
      <c r="D83" s="500"/>
      <c r="E83" s="500"/>
      <c r="F83" s="500"/>
      <c r="G83" s="500"/>
      <c r="H83" s="500"/>
      <c r="I83" s="500"/>
      <c r="J83" s="500"/>
      <c r="K83" s="500"/>
    </row>
    <row r="84">
      <c r="A84" s="14"/>
      <c r="B84" s="14"/>
      <c r="C84" s="14"/>
      <c r="D84" s="14"/>
      <c r="E84" s="14"/>
      <c r="F84" s="14"/>
      <c r="G84" s="14"/>
      <c r="H84" s="14"/>
      <c r="I84" s="14"/>
      <c r="J84" s="14"/>
      <c r="K84" s="14"/>
    </row>
    <row r="85">
      <c r="A85" s="14"/>
      <c r="B85" s="14"/>
      <c r="C85" s="14"/>
      <c r="D85" s="14"/>
      <c r="E85" s="14"/>
      <c r="F85" s="14"/>
      <c r="G85" s="14"/>
      <c r="H85" s="14"/>
      <c r="I85" s="14"/>
      <c r="J85" s="14"/>
      <c r="K85" s="14"/>
    </row>
    <row r="86">
      <c r="A86" s="14"/>
      <c r="B86" s="14"/>
      <c r="C86" s="14"/>
      <c r="D86" s="14"/>
      <c r="E86" s="14"/>
      <c r="F86" s="14"/>
      <c r="G86" s="14"/>
      <c r="H86" s="14"/>
      <c r="I86" s="14"/>
      <c r="J86" s="14"/>
      <c r="K86" s="14"/>
    </row>
    <row r="87">
      <c r="A87" s="14"/>
      <c r="B87" s="14"/>
      <c r="C87" s="14"/>
      <c r="D87" s="14"/>
      <c r="E87" s="14"/>
      <c r="F87" s="14"/>
      <c r="G87" s="14"/>
      <c r="H87" s="14"/>
      <c r="I87" s="14"/>
      <c r="J87" s="14"/>
      <c r="K87" s="14"/>
    </row>
    <row r="88">
      <c r="A88" s="14"/>
      <c r="B88" s="14"/>
      <c r="C88" s="14"/>
      <c r="D88" s="14"/>
      <c r="E88" s="14"/>
      <c r="F88" s="14"/>
      <c r="G88" s="14"/>
      <c r="H88" s="14"/>
      <c r="I88" s="14"/>
      <c r="J88" s="14"/>
      <c r="K88" s="14"/>
    </row>
    <row r="89">
      <c r="A89" s="14"/>
      <c r="B89" s="14"/>
      <c r="C89" s="14"/>
      <c r="D89" s="14"/>
      <c r="E89" s="14"/>
      <c r="F89" s="14"/>
      <c r="G89" s="14"/>
      <c r="H89" s="14"/>
      <c r="I89" s="14"/>
      <c r="J89" s="14"/>
      <c r="K89" s="14"/>
    </row>
    <row r="90">
      <c r="A90" s="14"/>
      <c r="B90" s="14"/>
      <c r="C90" s="14"/>
      <c r="D90" s="14"/>
      <c r="E90" s="14"/>
      <c r="F90" s="14"/>
      <c r="G90" s="14"/>
      <c r="H90" s="14"/>
      <c r="I90" s="14"/>
      <c r="J90" s="14"/>
      <c r="K90" s="14"/>
    </row>
    <row r="91">
      <c r="A91" s="14"/>
      <c r="B91" s="14"/>
      <c r="C91" s="14"/>
      <c r="D91" s="14"/>
      <c r="E91" s="14"/>
      <c r="F91" s="14"/>
      <c r="G91" s="14"/>
      <c r="H91" s="14"/>
      <c r="I91" s="14"/>
      <c r="J91" s="14"/>
      <c r="K91" s="14"/>
    </row>
    <row r="92">
      <c r="A92" s="14"/>
      <c r="B92" s="14"/>
      <c r="C92" s="14"/>
      <c r="D92" s="14"/>
      <c r="E92" s="14"/>
      <c r="F92" s="14"/>
      <c r="G92" s="14"/>
      <c r="H92" s="14"/>
      <c r="I92" s="14"/>
      <c r="J92" s="14"/>
      <c r="K92" s="14"/>
    </row>
    <row r="93">
      <c r="A93" s="14"/>
      <c r="B93" s="14"/>
      <c r="C93" s="14"/>
      <c r="D93" s="14"/>
      <c r="E93" s="14"/>
      <c r="F93" s="14"/>
      <c r="G93" s="14"/>
      <c r="H93" s="14"/>
      <c r="I93" s="14"/>
      <c r="J93" s="14"/>
      <c r="K93" s="14"/>
    </row>
    <row r="94">
      <c r="A94" s="14"/>
      <c r="B94" s="14"/>
      <c r="C94" s="14"/>
      <c r="D94" s="14"/>
      <c r="E94" s="14"/>
      <c r="F94" s="14"/>
      <c r="G94" s="14"/>
      <c r="H94" s="14"/>
      <c r="I94" s="14"/>
      <c r="J94" s="14"/>
      <c r="K94" s="14"/>
    </row>
    <row r="95">
      <c r="A95" s="14"/>
      <c r="B95" s="14"/>
      <c r="C95" s="14"/>
      <c r="D95" s="14"/>
      <c r="E95" s="14"/>
      <c r="F95" s="14"/>
      <c r="G95" s="14"/>
      <c r="H95" s="14"/>
      <c r="I95" s="14"/>
      <c r="J95" s="14"/>
      <c r="K95" s="14"/>
    </row>
    <row r="96">
      <c r="A96" s="14"/>
      <c r="B96" s="14"/>
      <c r="C96" s="14"/>
      <c r="D96" s="14"/>
      <c r="E96" s="14"/>
      <c r="F96" s="14"/>
      <c r="G96" s="14"/>
      <c r="H96" s="14"/>
      <c r="I96" s="14"/>
      <c r="J96" s="14"/>
      <c r="K96" s="14"/>
    </row>
    <row r="97">
      <c r="A97" s="14"/>
      <c r="B97" s="14"/>
      <c r="C97" s="14"/>
      <c r="D97" s="14"/>
      <c r="E97" s="14"/>
      <c r="F97" s="14"/>
      <c r="G97" s="14"/>
      <c r="H97" s="14"/>
      <c r="I97" s="14"/>
      <c r="J97" s="14"/>
      <c r="K97" s="14"/>
    </row>
    <row r="98">
      <c r="A98" s="14"/>
      <c r="B98" s="14"/>
      <c r="C98" s="14"/>
      <c r="D98" s="14"/>
      <c r="E98" s="14"/>
      <c r="F98" s="14"/>
      <c r="G98" s="14"/>
      <c r="H98" s="14"/>
      <c r="I98" s="14"/>
      <c r="J98" s="14"/>
      <c r="K98" s="14"/>
    </row>
    <row r="99">
      <c r="A99" s="14"/>
      <c r="B99" s="14"/>
      <c r="C99" s="14"/>
      <c r="D99" s="14"/>
      <c r="E99" s="14"/>
      <c r="F99" s="14"/>
      <c r="G99" s="14"/>
      <c r="H99" s="14"/>
      <c r="I99" s="14"/>
      <c r="J99" s="14"/>
      <c r="K99" s="14"/>
    </row>
    <row r="100">
      <c r="A100" s="14"/>
      <c r="B100" s="14"/>
      <c r="C100" s="14"/>
      <c r="D100" s="14"/>
      <c r="E100" s="14"/>
      <c r="F100" s="14"/>
      <c r="G100" s="14"/>
      <c r="H100" s="14"/>
      <c r="I100" s="14"/>
      <c r="J100" s="14"/>
      <c r="K100" s="14"/>
    </row>
    <row r="101">
      <c r="A101" s="14"/>
      <c r="B101" s="14"/>
      <c r="C101" s="14"/>
      <c r="D101" s="14"/>
      <c r="E101" s="14"/>
      <c r="F101" s="14"/>
      <c r="G101" s="14"/>
      <c r="H101" s="14"/>
      <c r="I101" s="14"/>
      <c r="J101" s="14"/>
      <c r="K101" s="14"/>
    </row>
    <row r="102">
      <c r="A102" s="14"/>
      <c r="B102" s="14"/>
      <c r="C102" s="14"/>
      <c r="D102" s="14"/>
      <c r="E102" s="14"/>
      <c r="F102" s="14"/>
      <c r="G102" s="14"/>
      <c r="H102" s="14"/>
      <c r="I102" s="14"/>
      <c r="J102" s="14"/>
      <c r="K102" s="14"/>
    </row>
    <row r="103">
      <c r="A103" s="14"/>
      <c r="B103" s="14"/>
      <c r="C103" s="14"/>
      <c r="D103" s="14"/>
      <c r="E103" s="14"/>
      <c r="F103" s="14"/>
      <c r="G103" s="14"/>
      <c r="H103" s="14"/>
      <c r="I103" s="14"/>
      <c r="J103" s="14"/>
      <c r="K103" s="14"/>
    </row>
    <row r="104">
      <c r="A104" s="14"/>
      <c r="B104" s="14"/>
      <c r="C104" s="14"/>
      <c r="D104" s="14"/>
      <c r="E104" s="14"/>
      <c r="F104" s="14"/>
      <c r="G104" s="14"/>
      <c r="H104" s="14"/>
      <c r="I104" s="14"/>
      <c r="J104" s="14"/>
      <c r="K104" s="14"/>
    </row>
    <row r="105">
      <c r="A105" s="14"/>
      <c r="B105" s="14"/>
      <c r="C105" s="14"/>
      <c r="D105" s="14"/>
      <c r="E105" s="14"/>
      <c r="F105" s="14"/>
      <c r="G105" s="14"/>
      <c r="H105" s="14"/>
      <c r="I105" s="14"/>
      <c r="J105" s="14"/>
      <c r="K105" s="14"/>
    </row>
    <row r="106">
      <c r="A106" s="14"/>
      <c r="B106" s="14"/>
      <c r="C106" s="14"/>
      <c r="D106" s="14"/>
      <c r="E106" s="14"/>
      <c r="F106" s="14"/>
      <c r="G106" s="14"/>
      <c r="H106" s="14"/>
      <c r="I106" s="14"/>
      <c r="J106" s="14"/>
      <c r="K106" s="14"/>
    </row>
    <row r="107">
      <c r="A107" s="14"/>
      <c r="B107" s="14"/>
      <c r="C107" s="14"/>
      <c r="D107" s="14"/>
      <c r="E107" s="14"/>
      <c r="F107" s="14"/>
      <c r="G107" s="14"/>
      <c r="H107" s="14"/>
      <c r="I107" s="14"/>
      <c r="J107" s="14"/>
      <c r="K107" s="14"/>
    </row>
    <row r="108">
      <c r="A108" s="14"/>
      <c r="B108" s="14"/>
      <c r="C108" s="14"/>
      <c r="D108" s="14"/>
      <c r="E108" s="14"/>
      <c r="F108" s="14"/>
      <c r="G108" s="14"/>
      <c r="H108" s="14"/>
      <c r="I108" s="14"/>
      <c r="J108" s="14"/>
      <c r="K108" s="14"/>
    </row>
    <row r="109">
      <c r="A109" s="14"/>
      <c r="B109" s="14"/>
      <c r="C109" s="14"/>
      <c r="D109" s="14"/>
      <c r="E109" s="14"/>
      <c r="F109" s="14"/>
      <c r="G109" s="14"/>
      <c r="H109" s="14"/>
      <c r="I109" s="14"/>
      <c r="J109" s="14"/>
      <c r="K109" s="14"/>
    </row>
    <row r="110">
      <c r="A110" s="14"/>
      <c r="B110" s="14"/>
      <c r="C110" s="14"/>
      <c r="D110" s="14"/>
      <c r="E110" s="14"/>
      <c r="F110" s="14"/>
      <c r="G110" s="14"/>
      <c r="H110" s="14"/>
      <c r="I110" s="14"/>
      <c r="J110" s="14"/>
      <c r="K110" s="14"/>
    </row>
    <row r="111">
      <c r="A111" s="14"/>
      <c r="B111" s="14"/>
      <c r="C111" s="14"/>
      <c r="D111" s="14"/>
      <c r="E111" s="14"/>
      <c r="F111" s="14"/>
      <c r="G111" s="14"/>
      <c r="H111" s="14"/>
      <c r="I111" s="14"/>
      <c r="J111" s="14"/>
      <c r="K111" s="14"/>
    </row>
    <row r="112">
      <c r="A112" s="14"/>
      <c r="B112" s="14"/>
      <c r="C112" s="14"/>
      <c r="D112" s="14"/>
      <c r="E112" s="14"/>
      <c r="F112" s="14"/>
      <c r="G112" s="14"/>
      <c r="H112" s="14"/>
      <c r="I112" s="14"/>
      <c r="J112" s="14"/>
      <c r="K112" s="14"/>
    </row>
    <row r="113">
      <c r="A113" s="14"/>
      <c r="B113" s="14"/>
      <c r="C113" s="14"/>
      <c r="D113" s="14"/>
      <c r="E113" s="14"/>
      <c r="F113" s="14"/>
      <c r="G113" s="14"/>
      <c r="H113" s="14"/>
      <c r="I113" s="14"/>
      <c r="J113" s="14"/>
      <c r="K113" s="14"/>
    </row>
    <row r="114">
      <c r="A114" s="14"/>
      <c r="B114" s="14"/>
      <c r="C114" s="14"/>
      <c r="D114" s="14"/>
      <c r="E114" s="14"/>
      <c r="F114" s="14"/>
      <c r="G114" s="14"/>
      <c r="H114" s="14"/>
      <c r="I114" s="14"/>
      <c r="J114" s="14"/>
      <c r="K114" s="14"/>
    </row>
    <row r="115">
      <c r="A115" s="14"/>
      <c r="B115" s="14"/>
      <c r="C115" s="14"/>
      <c r="D115" s="14"/>
      <c r="E115" s="14"/>
      <c r="F115" s="14"/>
      <c r="G115" s="14"/>
      <c r="H115" s="14"/>
      <c r="I115" s="14"/>
      <c r="J115" s="14"/>
      <c r="K115" s="14"/>
    </row>
    <row r="116">
      <c r="A116" s="14"/>
      <c r="B116" s="14"/>
      <c r="C116" s="14"/>
      <c r="D116" s="14"/>
      <c r="E116" s="14"/>
      <c r="F116" s="14"/>
      <c r="G116" s="14"/>
      <c r="H116" s="14"/>
      <c r="I116" s="14"/>
      <c r="J116" s="14"/>
      <c r="K116" s="14"/>
    </row>
    <row r="117">
      <c r="A117" s="14"/>
      <c r="B117" s="14"/>
      <c r="C117" s="14"/>
      <c r="D117" s="14"/>
      <c r="E117" s="14"/>
      <c r="F117" s="14"/>
      <c r="G117" s="14"/>
      <c r="H117" s="14"/>
      <c r="I117" s="14"/>
      <c r="J117" s="14"/>
      <c r="K117" s="14"/>
    </row>
    <row r="118">
      <c r="A118" s="14"/>
      <c r="B118" s="14"/>
      <c r="C118" s="14"/>
      <c r="D118" s="14"/>
      <c r="E118" s="14"/>
      <c r="F118" s="14"/>
      <c r="G118" s="14"/>
      <c r="H118" s="14"/>
      <c r="I118" s="14"/>
      <c r="J118" s="14"/>
      <c r="K118" s="14"/>
    </row>
    <row r="119">
      <c r="A119" s="14"/>
      <c r="B119" s="14"/>
      <c r="C119" s="14"/>
      <c r="D119" s="14"/>
      <c r="E119" s="14"/>
      <c r="F119" s="14"/>
      <c r="G119" s="14"/>
      <c r="H119" s="14"/>
      <c r="I119" s="14"/>
      <c r="J119" s="14"/>
      <c r="K119" s="14"/>
    </row>
    <row r="120">
      <c r="A120" s="14"/>
      <c r="B120" s="14"/>
      <c r="C120" s="14"/>
      <c r="D120" s="14"/>
      <c r="E120" s="14"/>
      <c r="F120" s="14"/>
      <c r="G120" s="14"/>
      <c r="H120" s="14"/>
      <c r="I120" s="14"/>
      <c r="J120" s="14"/>
      <c r="K120" s="14"/>
    </row>
    <row r="121">
      <c r="A121" s="14"/>
      <c r="B121" s="14"/>
      <c r="C121" s="14"/>
      <c r="D121" s="14"/>
      <c r="E121" s="14"/>
      <c r="F121" s="14"/>
      <c r="G121" s="14"/>
      <c r="H121" s="14"/>
      <c r="I121" s="14"/>
      <c r="J121" s="14"/>
      <c r="K121" s="14"/>
    </row>
    <row r="122">
      <c r="A122" s="14"/>
      <c r="B122" s="14"/>
      <c r="C122" s="14"/>
      <c r="D122" s="14"/>
      <c r="E122" s="14"/>
      <c r="F122" s="14"/>
      <c r="G122" s="14"/>
      <c r="H122" s="14"/>
      <c r="I122" s="14"/>
      <c r="J122" s="14"/>
      <c r="K122" s="14"/>
    </row>
    <row r="123">
      <c r="A123" s="14"/>
      <c r="B123" s="14"/>
      <c r="C123" s="14"/>
      <c r="D123" s="14"/>
      <c r="E123" s="14"/>
      <c r="F123" s="14"/>
      <c r="G123" s="14"/>
      <c r="H123" s="14"/>
      <c r="I123" s="14"/>
      <c r="J123" s="14"/>
      <c r="K123" s="14"/>
    </row>
    <row r="124">
      <c r="A124" s="14"/>
      <c r="B124" s="14"/>
      <c r="C124" s="14"/>
      <c r="D124" s="14"/>
      <c r="E124" s="14"/>
      <c r="F124" s="14"/>
      <c r="G124" s="14"/>
      <c r="H124" s="14"/>
      <c r="I124" s="14"/>
      <c r="J124" s="14"/>
      <c r="K124" s="14"/>
    </row>
    <row r="125">
      <c r="A125" s="14"/>
      <c r="B125" s="14"/>
      <c r="C125" s="14"/>
      <c r="D125" s="14"/>
      <c r="E125" s="14"/>
      <c r="F125" s="14"/>
      <c r="G125" s="14"/>
      <c r="H125" s="14"/>
      <c r="I125" s="14"/>
      <c r="J125" s="14"/>
      <c r="K125" s="14"/>
    </row>
    <row r="126">
      <c r="A126" s="14"/>
      <c r="B126" s="14"/>
      <c r="C126" s="14"/>
      <c r="D126" s="14"/>
      <c r="E126" s="14"/>
      <c r="F126" s="14"/>
      <c r="G126" s="14"/>
      <c r="H126" s="14"/>
      <c r="I126" s="14"/>
      <c r="J126" s="14"/>
      <c r="K126" s="14"/>
    </row>
    <row r="127">
      <c r="A127" s="14"/>
      <c r="B127" s="14"/>
      <c r="C127" s="14"/>
      <c r="D127" s="14"/>
      <c r="E127" s="14"/>
      <c r="F127" s="14"/>
      <c r="G127" s="14"/>
      <c r="H127" s="14"/>
      <c r="I127" s="14"/>
      <c r="J127" s="14"/>
      <c r="K127" s="14"/>
    </row>
    <row r="128">
      <c r="A128" s="14"/>
      <c r="B128" s="14"/>
      <c r="C128" s="14"/>
      <c r="D128" s="14"/>
      <c r="E128" s="14"/>
      <c r="F128" s="14"/>
      <c r="G128" s="14"/>
      <c r="H128" s="14"/>
      <c r="I128" s="14"/>
      <c r="J128" s="14"/>
      <c r="K128" s="14"/>
    </row>
    <row r="129">
      <c r="A129" s="14"/>
      <c r="B129" s="14"/>
      <c r="C129" s="14"/>
      <c r="D129" s="14"/>
      <c r="E129" s="14"/>
      <c r="F129" s="14"/>
      <c r="G129" s="14"/>
      <c r="H129" s="14"/>
      <c r="I129" s="14"/>
      <c r="J129" s="14"/>
      <c r="K129" s="14"/>
    </row>
    <row r="130">
      <c r="A130" s="14"/>
      <c r="B130" s="14"/>
      <c r="C130" s="14"/>
      <c r="D130" s="14"/>
      <c r="E130" s="14"/>
      <c r="F130" s="14"/>
      <c r="G130" s="14"/>
      <c r="H130" s="14"/>
      <c r="I130" s="14"/>
      <c r="J130" s="14"/>
      <c r="K130" s="14"/>
    </row>
    <row r="131">
      <c r="A131" s="14"/>
      <c r="B131" s="14"/>
      <c r="C131" s="14"/>
      <c r="D131" s="14"/>
      <c r="E131" s="14"/>
      <c r="F131" s="14"/>
      <c r="G131" s="14"/>
      <c r="H131" s="14"/>
      <c r="I131" s="14"/>
      <c r="J131" s="14"/>
      <c r="K131" s="14"/>
    </row>
    <row r="132">
      <c r="A132" s="14"/>
      <c r="B132" s="14"/>
      <c r="C132" s="14"/>
      <c r="D132" s="14"/>
      <c r="E132" s="14"/>
      <c r="F132" s="14"/>
      <c r="G132" s="14"/>
      <c r="H132" s="14"/>
      <c r="I132" s="14"/>
      <c r="J132" s="14"/>
      <c r="K132" s="14"/>
    </row>
    <row r="133">
      <c r="A133" s="14"/>
      <c r="B133" s="14"/>
      <c r="C133" s="14"/>
      <c r="D133" s="14"/>
      <c r="E133" s="14"/>
      <c r="F133" s="14"/>
      <c r="G133" s="14"/>
      <c r="H133" s="14"/>
      <c r="I133" s="14"/>
      <c r="J133" s="14"/>
      <c r="K133" s="14"/>
    </row>
    <row r="134">
      <c r="A134" s="14"/>
      <c r="B134" s="14"/>
      <c r="C134" s="14"/>
      <c r="D134" s="14"/>
      <c r="E134" s="14"/>
      <c r="F134" s="14"/>
      <c r="G134" s="14"/>
      <c r="H134" s="14"/>
      <c r="I134" s="14"/>
      <c r="J134" s="14"/>
      <c r="K134" s="14"/>
    </row>
    <row r="135">
      <c r="A135" s="14"/>
      <c r="B135" s="14"/>
      <c r="C135" s="14"/>
      <c r="D135" s="14"/>
      <c r="E135" s="14"/>
      <c r="F135" s="14"/>
      <c r="G135" s="14"/>
      <c r="H135" s="14"/>
      <c r="I135" s="14"/>
      <c r="J135" s="14"/>
      <c r="K135" s="14"/>
    </row>
    <row r="136">
      <c r="A136" s="14"/>
      <c r="B136" s="14"/>
      <c r="C136" s="14"/>
      <c r="D136" s="14"/>
      <c r="E136" s="14"/>
      <c r="F136" s="14"/>
      <c r="G136" s="14"/>
      <c r="H136" s="14"/>
      <c r="I136" s="14"/>
      <c r="J136" s="14"/>
      <c r="K136" s="14"/>
    </row>
    <row r="137">
      <c r="A137" s="14"/>
      <c r="B137" s="14"/>
      <c r="C137" s="14"/>
      <c r="D137" s="14"/>
      <c r="E137" s="14"/>
      <c r="F137" s="14"/>
      <c r="G137" s="14"/>
      <c r="H137" s="14"/>
      <c r="I137" s="14"/>
      <c r="J137" s="14"/>
      <c r="K137" s="14"/>
    </row>
    <row r="138">
      <c r="A138" s="14"/>
      <c r="B138" s="14"/>
      <c r="C138" s="14"/>
      <c r="D138" s="14"/>
      <c r="E138" s="14"/>
      <c r="F138" s="14"/>
      <c r="G138" s="14"/>
      <c r="H138" s="14"/>
      <c r="I138" s="14"/>
      <c r="J138" s="14"/>
      <c r="K138" s="14"/>
    </row>
    <row r="139">
      <c r="A139" s="14"/>
      <c r="B139" s="14"/>
      <c r="C139" s="14"/>
      <c r="D139" s="14"/>
      <c r="E139" s="14"/>
      <c r="F139" s="14"/>
      <c r="G139" s="14"/>
      <c r="H139" s="14"/>
      <c r="I139" s="14"/>
      <c r="J139" s="14"/>
      <c r="K139" s="14"/>
    </row>
    <row r="140">
      <c r="A140" s="14"/>
      <c r="B140" s="14"/>
      <c r="C140" s="14"/>
      <c r="D140" s="14"/>
      <c r="E140" s="14"/>
      <c r="F140" s="14"/>
      <c r="G140" s="14"/>
      <c r="H140" s="14"/>
      <c r="I140" s="14"/>
      <c r="J140" s="14"/>
      <c r="K140" s="14"/>
    </row>
    <row r="141">
      <c r="A141" s="14"/>
      <c r="B141" s="14"/>
      <c r="C141" s="14"/>
      <c r="D141" s="14"/>
      <c r="E141" s="14"/>
      <c r="F141" s="14"/>
      <c r="G141" s="14"/>
      <c r="H141" s="14"/>
      <c r="I141" s="14"/>
      <c r="J141" s="14"/>
      <c r="K141" s="14"/>
    </row>
    <row r="142">
      <c r="A142" s="14"/>
      <c r="B142" s="14"/>
      <c r="C142" s="14"/>
      <c r="D142" s="14"/>
      <c r="E142" s="14"/>
      <c r="F142" s="14"/>
      <c r="G142" s="14"/>
      <c r="H142" s="14"/>
      <c r="I142" s="14"/>
      <c r="J142" s="14"/>
      <c r="K142" s="14"/>
    </row>
    <row r="143">
      <c r="A143" s="14"/>
      <c r="B143" s="14"/>
      <c r="C143" s="14"/>
      <c r="D143" s="14"/>
      <c r="E143" s="14"/>
      <c r="F143" s="14"/>
      <c r="G143" s="14"/>
      <c r="H143" s="14"/>
      <c r="I143" s="14"/>
      <c r="J143" s="14"/>
      <c r="K143" s="14"/>
    </row>
    <row r="144">
      <c r="A144" s="14"/>
      <c r="B144" s="14"/>
      <c r="C144" s="14"/>
      <c r="D144" s="14"/>
      <c r="E144" s="14"/>
      <c r="F144" s="14"/>
      <c r="G144" s="14"/>
      <c r="H144" s="14"/>
      <c r="I144" s="14"/>
      <c r="J144" s="14"/>
      <c r="K144" s="14"/>
    </row>
    <row r="145">
      <c r="A145" s="14"/>
      <c r="B145" s="14"/>
      <c r="C145" s="14"/>
      <c r="D145" s="14"/>
      <c r="E145" s="14"/>
      <c r="F145" s="14"/>
      <c r="G145" s="14"/>
      <c r="H145" s="14"/>
      <c r="I145" s="14"/>
      <c r="J145" s="14"/>
      <c r="K145" s="14"/>
    </row>
    <row r="146">
      <c r="A146" s="14"/>
      <c r="B146" s="14"/>
      <c r="C146" s="14"/>
      <c r="D146" s="14"/>
      <c r="E146" s="14"/>
      <c r="F146" s="14"/>
      <c r="G146" s="14"/>
      <c r="H146" s="14"/>
      <c r="I146" s="14"/>
      <c r="J146" s="14"/>
      <c r="K146" s="14"/>
    </row>
    <row r="147">
      <c r="A147" s="14"/>
      <c r="B147" s="14"/>
      <c r="C147" s="14"/>
      <c r="D147" s="14"/>
      <c r="E147" s="14"/>
      <c r="F147" s="14"/>
      <c r="G147" s="14"/>
      <c r="H147" s="14"/>
      <c r="I147" s="14"/>
      <c r="J147" s="14"/>
      <c r="K147" s="14"/>
    </row>
    <row r="148">
      <c r="A148" s="14"/>
      <c r="B148" s="14"/>
      <c r="C148" s="14"/>
      <c r="D148" s="14"/>
      <c r="E148" s="14"/>
      <c r="F148" s="14"/>
      <c r="G148" s="14"/>
      <c r="H148" s="14"/>
      <c r="I148" s="14"/>
      <c r="J148" s="14"/>
      <c r="K148" s="14"/>
    </row>
    <row r="149">
      <c r="A149" s="14"/>
      <c r="B149" s="14"/>
      <c r="C149" s="14"/>
      <c r="D149" s="14"/>
      <c r="E149" s="14"/>
      <c r="F149" s="14"/>
      <c r="G149" s="14"/>
      <c r="H149" s="14"/>
      <c r="I149" s="14"/>
      <c r="J149" s="14"/>
      <c r="K149" s="14"/>
    </row>
    <row r="150">
      <c r="A150" s="14"/>
      <c r="B150" s="14"/>
      <c r="C150" s="14"/>
      <c r="D150" s="14"/>
      <c r="E150" s="14"/>
      <c r="F150" s="14"/>
      <c r="G150" s="14"/>
      <c r="H150" s="14"/>
      <c r="I150" s="14"/>
      <c r="J150" s="14"/>
      <c r="K150" s="14"/>
    </row>
    <row r="151">
      <c r="A151" s="14"/>
      <c r="B151" s="14"/>
      <c r="C151" s="14"/>
      <c r="D151" s="14"/>
      <c r="E151" s="14"/>
      <c r="F151" s="14"/>
      <c r="G151" s="14"/>
      <c r="H151" s="14"/>
      <c r="I151" s="14"/>
      <c r="J151" s="14"/>
      <c r="K151" s="14"/>
    </row>
    <row r="152">
      <c r="A152" s="14"/>
      <c r="B152" s="14"/>
      <c r="C152" s="14"/>
      <c r="D152" s="14"/>
      <c r="E152" s="14"/>
      <c r="F152" s="14"/>
      <c r="G152" s="14"/>
      <c r="H152" s="14"/>
      <c r="I152" s="14"/>
      <c r="J152" s="14"/>
      <c r="K152" s="14"/>
    </row>
    <row r="153">
      <c r="A153" s="14"/>
      <c r="B153" s="14"/>
      <c r="C153" s="14"/>
      <c r="D153" s="14"/>
      <c r="E153" s="14"/>
      <c r="F153" s="14"/>
      <c r="G153" s="14"/>
      <c r="H153" s="14"/>
      <c r="I153" s="14"/>
      <c r="J153" s="14"/>
      <c r="K153" s="14"/>
    </row>
    <row r="154">
      <c r="A154" s="14"/>
      <c r="B154" s="14"/>
      <c r="C154" s="14"/>
      <c r="D154" s="14"/>
      <c r="E154" s="14"/>
      <c r="F154" s="14"/>
      <c r="G154" s="14"/>
      <c r="H154" s="14"/>
      <c r="I154" s="14"/>
      <c r="J154" s="14"/>
      <c r="K154" s="14"/>
    </row>
    <row r="155">
      <c r="A155" s="14"/>
      <c r="B155" s="14"/>
      <c r="C155" s="14"/>
      <c r="D155" s="14"/>
      <c r="E155" s="14"/>
      <c r="F155" s="14"/>
      <c r="G155" s="14"/>
      <c r="H155" s="14"/>
      <c r="I155" s="14"/>
      <c r="J155" s="14"/>
      <c r="K155" s="14"/>
    </row>
    <row r="156">
      <c r="A156" s="14"/>
      <c r="B156" s="14"/>
      <c r="C156" s="14"/>
      <c r="D156" s="14"/>
      <c r="E156" s="14"/>
      <c r="F156" s="14"/>
      <c r="G156" s="14"/>
      <c r="H156" s="14"/>
      <c r="I156" s="14"/>
      <c r="J156" s="14"/>
      <c r="K156" s="14"/>
    </row>
    <row r="157">
      <c r="A157" s="14"/>
      <c r="B157" s="14"/>
      <c r="C157" s="14"/>
      <c r="D157" s="14"/>
      <c r="E157" s="14"/>
      <c r="F157" s="14"/>
      <c r="G157" s="14"/>
      <c r="H157" s="14"/>
      <c r="I157" s="14"/>
      <c r="J157" s="14"/>
      <c r="K157" s="14"/>
    </row>
    <row r="158">
      <c r="A158" s="14"/>
      <c r="B158" s="14"/>
      <c r="C158" s="14"/>
      <c r="D158" s="14"/>
      <c r="E158" s="14"/>
      <c r="F158" s="14"/>
      <c r="G158" s="14"/>
      <c r="H158" s="14"/>
      <c r="I158" s="14"/>
      <c r="J158" s="14"/>
      <c r="K158" s="14"/>
    </row>
    <row r="159">
      <c r="A159" s="14"/>
      <c r="B159" s="14"/>
      <c r="C159" s="14"/>
      <c r="D159" s="14"/>
      <c r="E159" s="14"/>
      <c r="F159" s="14"/>
      <c r="G159" s="14"/>
      <c r="H159" s="14"/>
      <c r="I159" s="14"/>
      <c r="J159" s="14"/>
      <c r="K159" s="14"/>
    </row>
    <row r="160">
      <c r="A160" s="14"/>
      <c r="B160" s="14"/>
      <c r="C160" s="14"/>
      <c r="D160" s="14"/>
      <c r="E160" s="14"/>
      <c r="F160" s="14"/>
      <c r="G160" s="14"/>
      <c r="H160" s="14"/>
      <c r="I160" s="14"/>
      <c r="J160" s="14"/>
      <c r="K160" s="14"/>
    </row>
    <row r="161">
      <c r="A161" s="14"/>
      <c r="B161" s="14"/>
      <c r="C161" s="14"/>
      <c r="D161" s="14"/>
      <c r="E161" s="14"/>
      <c r="F161" s="14"/>
      <c r="G161" s="14"/>
      <c r="H161" s="14"/>
      <c r="I161" s="14"/>
      <c r="J161" s="14"/>
      <c r="K161" s="14"/>
    </row>
    <row r="162">
      <c r="A162" s="14"/>
      <c r="B162" s="14"/>
      <c r="C162" s="14"/>
      <c r="D162" s="14"/>
      <c r="E162" s="14"/>
      <c r="F162" s="14"/>
      <c r="G162" s="14"/>
      <c r="H162" s="14"/>
      <c r="I162" s="14"/>
      <c r="J162" s="14"/>
      <c r="K162" s="14"/>
    </row>
    <row r="163">
      <c r="A163" s="14"/>
      <c r="B163" s="14"/>
      <c r="C163" s="14"/>
      <c r="D163" s="14"/>
      <c r="E163" s="14"/>
      <c r="F163" s="14"/>
      <c r="G163" s="14"/>
      <c r="H163" s="14"/>
      <c r="I163" s="14"/>
      <c r="J163" s="14"/>
      <c r="K163" s="14"/>
    </row>
    <row r="164">
      <c r="A164" s="14"/>
      <c r="B164" s="14"/>
      <c r="C164" s="14"/>
      <c r="D164" s="14"/>
      <c r="E164" s="14"/>
      <c r="F164" s="14"/>
      <c r="G164" s="14"/>
      <c r="H164" s="14"/>
      <c r="I164" s="14"/>
      <c r="J164" s="14"/>
      <c r="K164" s="14"/>
    </row>
    <row r="165">
      <c r="A165" s="14"/>
      <c r="B165" s="14"/>
      <c r="C165" s="14"/>
      <c r="D165" s="14"/>
      <c r="E165" s="14"/>
      <c r="F165" s="14"/>
      <c r="G165" s="14"/>
      <c r="H165" s="14"/>
      <c r="I165" s="14"/>
      <c r="J165" s="14"/>
      <c r="K165" s="14"/>
    </row>
    <row r="166">
      <c r="A166" s="14"/>
      <c r="B166" s="14"/>
      <c r="C166" s="14"/>
      <c r="D166" s="14"/>
      <c r="E166" s="14"/>
      <c r="F166" s="14"/>
      <c r="G166" s="14"/>
      <c r="H166" s="14"/>
      <c r="I166" s="14"/>
      <c r="J166" s="14"/>
      <c r="K166" s="14"/>
    </row>
    <row r="167">
      <c r="A167" s="14"/>
      <c r="B167" s="14"/>
      <c r="C167" s="14"/>
      <c r="D167" s="14"/>
      <c r="E167" s="14"/>
      <c r="F167" s="14"/>
      <c r="G167" s="14"/>
      <c r="H167" s="14"/>
      <c r="I167" s="14"/>
      <c r="J167" s="14"/>
      <c r="K167" s="14"/>
    </row>
    <row r="168">
      <c r="A168" s="14"/>
      <c r="B168" s="14"/>
      <c r="C168" s="14"/>
      <c r="D168" s="14"/>
      <c r="E168" s="14"/>
      <c r="F168" s="14"/>
      <c r="G168" s="14"/>
      <c r="H168" s="14"/>
      <c r="I168" s="14"/>
      <c r="J168" s="14"/>
      <c r="K168" s="14"/>
    </row>
    <row r="169">
      <c r="A169" s="14"/>
      <c r="B169" s="14"/>
      <c r="C169" s="14"/>
      <c r="D169" s="14"/>
      <c r="E169" s="14"/>
      <c r="F169" s="14"/>
      <c r="G169" s="14"/>
      <c r="H169" s="14"/>
      <c r="I169" s="14"/>
      <c r="J169" s="14"/>
      <c r="K169" s="14"/>
    </row>
    <row r="170">
      <c r="A170" s="14"/>
      <c r="B170" s="14"/>
      <c r="C170" s="14"/>
      <c r="D170" s="14"/>
      <c r="E170" s="14"/>
      <c r="F170" s="14"/>
      <c r="G170" s="14"/>
      <c r="H170" s="14"/>
      <c r="I170" s="14"/>
      <c r="J170" s="14"/>
      <c r="K170" s="14"/>
    </row>
    <row r="171">
      <c r="A171" s="14"/>
      <c r="B171" s="14"/>
      <c r="C171" s="14"/>
      <c r="D171" s="14"/>
      <c r="E171" s="14"/>
      <c r="F171" s="14"/>
      <c r="G171" s="14"/>
      <c r="H171" s="14"/>
      <c r="I171" s="14"/>
      <c r="J171" s="14"/>
      <c r="K171" s="14"/>
    </row>
    <row r="172">
      <c r="A172" s="14"/>
      <c r="B172" s="14"/>
      <c r="C172" s="14"/>
      <c r="D172" s="14"/>
      <c r="E172" s="14"/>
      <c r="F172" s="14"/>
      <c r="G172" s="14"/>
      <c r="H172" s="14"/>
      <c r="I172" s="14"/>
      <c r="J172" s="14"/>
      <c r="K172" s="14"/>
    </row>
    <row r="173">
      <c r="A173" s="14"/>
      <c r="B173" s="14"/>
      <c r="C173" s="14"/>
      <c r="D173" s="14"/>
      <c r="E173" s="14"/>
      <c r="F173" s="14"/>
      <c r="G173" s="14"/>
      <c r="H173" s="14"/>
      <c r="I173" s="14"/>
      <c r="J173" s="14"/>
      <c r="K173" s="14"/>
    </row>
    <row r="174">
      <c r="A174" s="14"/>
      <c r="B174" s="14"/>
      <c r="C174" s="14"/>
      <c r="D174" s="14"/>
      <c r="E174" s="14"/>
      <c r="F174" s="14"/>
      <c r="G174" s="14"/>
      <c r="H174" s="14"/>
      <c r="I174" s="14"/>
      <c r="J174" s="14"/>
      <c r="K174" s="14"/>
    </row>
    <row r="175">
      <c r="A175" s="14"/>
      <c r="B175" s="14"/>
      <c r="C175" s="14"/>
      <c r="D175" s="14"/>
      <c r="E175" s="14"/>
      <c r="F175" s="14"/>
      <c r="G175" s="14"/>
      <c r="H175" s="14"/>
      <c r="I175" s="14"/>
      <c r="J175" s="14"/>
      <c r="K175" s="14"/>
    </row>
    <row r="176">
      <c r="A176" s="14"/>
      <c r="B176" s="14"/>
      <c r="C176" s="14"/>
      <c r="D176" s="14"/>
      <c r="E176" s="14"/>
      <c r="F176" s="14"/>
      <c r="G176" s="14"/>
      <c r="H176" s="14"/>
      <c r="I176" s="14"/>
      <c r="J176" s="14"/>
      <c r="K176" s="14"/>
    </row>
    <row r="177">
      <c r="A177" s="14"/>
      <c r="B177" s="14"/>
      <c r="C177" s="14"/>
      <c r="D177" s="14"/>
      <c r="E177" s="14"/>
      <c r="F177" s="14"/>
      <c r="G177" s="14"/>
      <c r="H177" s="14"/>
      <c r="I177" s="14"/>
      <c r="J177" s="14"/>
      <c r="K177" s="14"/>
    </row>
    <row r="178">
      <c r="A178" s="14"/>
      <c r="B178" s="14"/>
      <c r="C178" s="14"/>
      <c r="D178" s="14"/>
      <c r="E178" s="14"/>
      <c r="F178" s="14"/>
      <c r="G178" s="14"/>
      <c r="H178" s="14"/>
      <c r="I178" s="14"/>
      <c r="J178" s="14"/>
      <c r="K178" s="14"/>
    </row>
    <row r="179">
      <c r="A179" s="14"/>
      <c r="B179" s="14"/>
      <c r="C179" s="14"/>
      <c r="D179" s="14"/>
      <c r="E179" s="14"/>
      <c r="F179" s="14"/>
      <c r="G179" s="14"/>
      <c r="H179" s="14"/>
      <c r="I179" s="14"/>
      <c r="J179" s="14"/>
      <c r="K179" s="14"/>
    </row>
    <row r="180">
      <c r="A180" s="14"/>
      <c r="B180" s="14"/>
      <c r="C180" s="14"/>
      <c r="D180" s="14"/>
      <c r="E180" s="14"/>
      <c r="F180" s="14"/>
      <c r="G180" s="14"/>
      <c r="H180" s="14"/>
      <c r="I180" s="14"/>
      <c r="J180" s="14"/>
      <c r="K180" s="14"/>
    </row>
    <row r="181">
      <c r="A181" s="14"/>
      <c r="B181" s="14"/>
      <c r="C181" s="14"/>
      <c r="D181" s="14"/>
      <c r="E181" s="14"/>
      <c r="F181" s="14"/>
      <c r="G181" s="14"/>
      <c r="H181" s="14"/>
      <c r="I181" s="14"/>
      <c r="J181" s="14"/>
      <c r="K181" s="14"/>
    </row>
    <row r="182">
      <c r="A182" s="14"/>
      <c r="B182" s="14"/>
      <c r="C182" s="14"/>
      <c r="D182" s="14"/>
      <c r="E182" s="14"/>
      <c r="F182" s="14"/>
      <c r="G182" s="14"/>
      <c r="H182" s="14"/>
      <c r="I182" s="14"/>
      <c r="J182" s="14"/>
      <c r="K182" s="14"/>
    </row>
    <row r="183">
      <c r="A183" s="14"/>
      <c r="B183" s="14"/>
      <c r="C183" s="14"/>
      <c r="D183" s="14"/>
      <c r="E183" s="14"/>
      <c r="F183" s="14"/>
      <c r="G183" s="14"/>
      <c r="H183" s="14"/>
      <c r="I183" s="14"/>
      <c r="J183" s="14"/>
      <c r="K183" s="14"/>
    </row>
    <row r="184">
      <c r="A184" s="14"/>
      <c r="B184" s="14"/>
      <c r="C184" s="14"/>
      <c r="D184" s="14"/>
      <c r="E184" s="14"/>
      <c r="F184" s="14"/>
      <c r="G184" s="14"/>
      <c r="H184" s="14"/>
      <c r="I184" s="14"/>
      <c r="J184" s="14"/>
      <c r="K184" s="14"/>
    </row>
    <row r="185">
      <c r="A185" s="14"/>
      <c r="B185" s="14"/>
      <c r="C185" s="14"/>
      <c r="D185" s="14"/>
      <c r="E185" s="14"/>
      <c r="F185" s="14"/>
      <c r="G185" s="14"/>
      <c r="H185" s="14"/>
      <c r="I185" s="14"/>
      <c r="J185" s="14"/>
      <c r="K185" s="14"/>
    </row>
    <row r="186">
      <c r="A186" s="14"/>
      <c r="B186" s="14"/>
      <c r="C186" s="14"/>
      <c r="D186" s="14"/>
      <c r="E186" s="14"/>
      <c r="F186" s="14"/>
      <c r="G186" s="14"/>
      <c r="H186" s="14"/>
      <c r="I186" s="14"/>
      <c r="J186" s="14"/>
      <c r="K186" s="14"/>
    </row>
    <row r="187">
      <c r="A187" s="14"/>
      <c r="B187" s="14"/>
      <c r="C187" s="14"/>
      <c r="D187" s="14"/>
      <c r="E187" s="14"/>
      <c r="F187" s="14"/>
      <c r="G187" s="14"/>
      <c r="H187" s="14"/>
      <c r="I187" s="14"/>
      <c r="J187" s="14"/>
      <c r="K187" s="14"/>
    </row>
    <row r="188">
      <c r="A188" s="14"/>
      <c r="B188" s="14"/>
      <c r="C188" s="14"/>
      <c r="D188" s="14"/>
      <c r="E188" s="14"/>
      <c r="F188" s="14"/>
      <c r="G188" s="14"/>
      <c r="H188" s="14"/>
      <c r="I188" s="14"/>
      <c r="J188" s="14"/>
      <c r="K188" s="14"/>
    </row>
    <row r="189">
      <c r="A189" s="14"/>
      <c r="B189" s="14"/>
      <c r="C189" s="14"/>
      <c r="D189" s="14"/>
      <c r="E189" s="14"/>
      <c r="F189" s="14"/>
      <c r="G189" s="14"/>
      <c r="H189" s="14"/>
      <c r="I189" s="14"/>
      <c r="J189" s="14"/>
      <c r="K189" s="14"/>
    </row>
    <row r="190">
      <c r="A190" s="14"/>
      <c r="B190" s="14"/>
      <c r="C190" s="14"/>
      <c r="D190" s="14"/>
      <c r="E190" s="14"/>
      <c r="F190" s="14"/>
      <c r="G190" s="14"/>
      <c r="H190" s="14"/>
      <c r="I190" s="14"/>
      <c r="J190" s="14"/>
      <c r="K190" s="14"/>
    </row>
    <row r="191">
      <c r="A191" s="14"/>
      <c r="B191" s="14"/>
      <c r="C191" s="14"/>
      <c r="D191" s="14"/>
      <c r="E191" s="14"/>
      <c r="F191" s="14"/>
      <c r="G191" s="14"/>
      <c r="H191" s="14"/>
      <c r="I191" s="14"/>
      <c r="J191" s="14"/>
      <c r="K191" s="14"/>
    </row>
    <row r="192">
      <c r="A192" s="14"/>
      <c r="B192" s="14"/>
      <c r="C192" s="14"/>
      <c r="D192" s="14"/>
      <c r="E192" s="14"/>
      <c r="F192" s="14"/>
      <c r="G192" s="14"/>
      <c r="H192" s="14"/>
      <c r="I192" s="14"/>
      <c r="J192" s="14"/>
      <c r="K192" s="14"/>
    </row>
    <row r="193">
      <c r="A193" s="14"/>
      <c r="B193" s="14"/>
      <c r="C193" s="14"/>
      <c r="D193" s="14"/>
      <c r="E193" s="14"/>
      <c r="F193" s="14"/>
      <c r="G193" s="14"/>
      <c r="H193" s="14"/>
      <c r="I193" s="14"/>
      <c r="J193" s="14"/>
      <c r="K193" s="14"/>
    </row>
    <row r="194">
      <c r="A194" s="14"/>
      <c r="B194" s="14"/>
      <c r="C194" s="14"/>
      <c r="D194" s="14"/>
      <c r="E194" s="14"/>
      <c r="F194" s="14"/>
      <c r="G194" s="14"/>
      <c r="H194" s="14"/>
      <c r="I194" s="14"/>
      <c r="J194" s="14"/>
      <c r="K194" s="14"/>
    </row>
    <row r="195">
      <c r="A195" s="14"/>
      <c r="B195" s="14"/>
      <c r="C195" s="14"/>
      <c r="D195" s="14"/>
      <c r="E195" s="14"/>
      <c r="F195" s="14"/>
      <c r="G195" s="14"/>
      <c r="H195" s="14"/>
      <c r="I195" s="14"/>
      <c r="J195" s="14"/>
      <c r="K195" s="14"/>
    </row>
    <row r="196">
      <c r="A196" s="14"/>
      <c r="B196" s="14"/>
      <c r="C196" s="14"/>
      <c r="D196" s="14"/>
      <c r="E196" s="14"/>
      <c r="F196" s="14"/>
      <c r="G196" s="14"/>
      <c r="H196" s="14"/>
      <c r="I196" s="14"/>
      <c r="J196" s="14"/>
      <c r="K196" s="14"/>
    </row>
    <row r="197">
      <c r="A197" s="14"/>
      <c r="B197" s="14"/>
      <c r="C197" s="14"/>
      <c r="D197" s="14"/>
      <c r="E197" s="14"/>
      <c r="F197" s="14"/>
      <c r="G197" s="14"/>
      <c r="H197" s="14"/>
      <c r="I197" s="14"/>
      <c r="J197" s="14"/>
      <c r="K197" s="14"/>
    </row>
    <row r="198">
      <c r="A198" s="14"/>
      <c r="B198" s="14"/>
      <c r="C198" s="14"/>
      <c r="D198" s="14"/>
      <c r="E198" s="14"/>
      <c r="F198" s="14"/>
      <c r="G198" s="14"/>
      <c r="H198" s="14"/>
      <c r="I198" s="14"/>
      <c r="J198" s="14"/>
      <c r="K198" s="14"/>
    </row>
    <row r="199">
      <c r="A199" s="14"/>
      <c r="B199" s="14"/>
      <c r="C199" s="14"/>
      <c r="D199" s="14"/>
      <c r="E199" s="14"/>
      <c r="F199" s="14"/>
      <c r="G199" s="14"/>
      <c r="H199" s="14"/>
      <c r="I199" s="14"/>
      <c r="J199" s="14"/>
      <c r="K199" s="14"/>
    </row>
    <row r="200">
      <c r="A200" s="14"/>
      <c r="B200" s="14"/>
      <c r="C200" s="14"/>
      <c r="D200" s="14"/>
      <c r="E200" s="14"/>
      <c r="F200" s="14"/>
      <c r="G200" s="14"/>
      <c r="H200" s="14"/>
      <c r="I200" s="14"/>
      <c r="J200" s="14"/>
      <c r="K200" s="14"/>
    </row>
    <row r="201">
      <c r="A201" s="14"/>
      <c r="B201" s="14"/>
      <c r="C201" s="14"/>
      <c r="D201" s="14"/>
      <c r="E201" s="14"/>
      <c r="F201" s="14"/>
      <c r="G201" s="14"/>
      <c r="H201" s="14"/>
      <c r="I201" s="14"/>
      <c r="J201" s="14"/>
      <c r="K201" s="14"/>
    </row>
    <row r="202">
      <c r="A202" s="14"/>
      <c r="B202" s="14"/>
      <c r="C202" s="14"/>
      <c r="D202" s="14"/>
      <c r="E202" s="14"/>
      <c r="F202" s="14"/>
      <c r="G202" s="14"/>
      <c r="H202" s="14"/>
      <c r="I202" s="14"/>
      <c r="J202" s="14"/>
      <c r="K202" s="14"/>
    </row>
    <row r="203">
      <c r="A203" s="14"/>
      <c r="B203" s="14"/>
      <c r="C203" s="14"/>
      <c r="D203" s="14"/>
      <c r="E203" s="14"/>
      <c r="F203" s="14"/>
      <c r="G203" s="14"/>
      <c r="H203" s="14"/>
      <c r="I203" s="14"/>
      <c r="J203" s="14"/>
      <c r="K203" s="14"/>
    </row>
    <row r="204">
      <c r="A204" s="14"/>
      <c r="B204" s="14"/>
      <c r="C204" s="14"/>
      <c r="D204" s="14"/>
      <c r="E204" s="14"/>
      <c r="F204" s="14"/>
      <c r="G204" s="14"/>
      <c r="H204" s="14"/>
      <c r="I204" s="14"/>
      <c r="J204" s="14"/>
      <c r="K204" s="14"/>
    </row>
    <row r="205">
      <c r="A205" s="14"/>
      <c r="B205" s="14"/>
      <c r="C205" s="14"/>
      <c r="D205" s="14"/>
      <c r="E205" s="14"/>
      <c r="F205" s="14"/>
      <c r="G205" s="14"/>
      <c r="H205" s="14"/>
      <c r="I205" s="14"/>
      <c r="J205" s="14"/>
      <c r="K205" s="14"/>
    </row>
    <row r="206">
      <c r="A206" s="14"/>
      <c r="B206" s="14"/>
      <c r="C206" s="14"/>
      <c r="D206" s="14"/>
      <c r="E206" s="14"/>
      <c r="F206" s="14"/>
      <c r="G206" s="14"/>
      <c r="H206" s="14"/>
      <c r="I206" s="14"/>
      <c r="J206" s="14"/>
      <c r="K206" s="14"/>
    </row>
    <row r="207">
      <c r="A207" s="14"/>
      <c r="B207" s="14"/>
      <c r="C207" s="14"/>
      <c r="D207" s="14"/>
      <c r="E207" s="14"/>
      <c r="F207" s="14"/>
      <c r="G207" s="14"/>
      <c r="H207" s="14"/>
      <c r="I207" s="14"/>
      <c r="J207" s="14"/>
      <c r="K207" s="14"/>
    </row>
    <row r="208">
      <c r="A208" s="14"/>
      <c r="B208" s="14"/>
      <c r="C208" s="14"/>
      <c r="D208" s="14"/>
      <c r="E208" s="14"/>
      <c r="F208" s="14"/>
      <c r="G208" s="14"/>
      <c r="H208" s="14"/>
      <c r="I208" s="14"/>
      <c r="J208" s="14"/>
      <c r="K208" s="14"/>
    </row>
    <row r="209">
      <c r="A209" s="14"/>
      <c r="B209" s="14"/>
      <c r="C209" s="14"/>
      <c r="D209" s="14"/>
      <c r="E209" s="14"/>
      <c r="F209" s="14"/>
      <c r="G209" s="14"/>
      <c r="H209" s="14"/>
      <c r="I209" s="14"/>
      <c r="J209" s="14"/>
      <c r="K209" s="14"/>
    </row>
    <row r="210">
      <c r="A210" s="14"/>
      <c r="B210" s="14"/>
      <c r="C210" s="14"/>
      <c r="D210" s="14"/>
      <c r="E210" s="14"/>
      <c r="F210" s="14"/>
      <c r="G210" s="14"/>
      <c r="H210" s="14"/>
      <c r="I210" s="14"/>
      <c r="J210" s="14"/>
      <c r="K210" s="14"/>
    </row>
    <row r="211">
      <c r="A211" s="14"/>
      <c r="B211" s="14"/>
      <c r="C211" s="14"/>
      <c r="D211" s="14"/>
      <c r="E211" s="14"/>
      <c r="F211" s="14"/>
      <c r="G211" s="14"/>
      <c r="H211" s="14"/>
      <c r="I211" s="14"/>
      <c r="J211" s="14"/>
      <c r="K211" s="14"/>
    </row>
    <row r="212">
      <c r="A212" s="14"/>
      <c r="B212" s="14"/>
      <c r="C212" s="14"/>
      <c r="D212" s="14"/>
      <c r="E212" s="14"/>
      <c r="F212" s="14"/>
      <c r="G212" s="14"/>
      <c r="H212" s="14"/>
      <c r="I212" s="14"/>
      <c r="J212" s="14"/>
      <c r="K212" s="14"/>
    </row>
    <row r="213">
      <c r="A213" s="14"/>
      <c r="B213" s="14"/>
      <c r="C213" s="14"/>
      <c r="D213" s="14"/>
      <c r="E213" s="14"/>
      <c r="F213" s="14"/>
      <c r="G213" s="14"/>
      <c r="H213" s="14"/>
      <c r="I213" s="14"/>
      <c r="J213" s="14"/>
      <c r="K213" s="14"/>
    </row>
    <row r="214">
      <c r="A214" s="14"/>
      <c r="B214" s="14"/>
      <c r="C214" s="14"/>
      <c r="D214" s="14"/>
      <c r="E214" s="14"/>
      <c r="F214" s="14"/>
      <c r="G214" s="14"/>
      <c r="H214" s="14"/>
      <c r="I214" s="14"/>
      <c r="J214" s="14"/>
      <c r="K214" s="14"/>
    </row>
    <row r="215">
      <c r="A215" s="14"/>
      <c r="B215" s="14"/>
      <c r="C215" s="14"/>
      <c r="D215" s="14"/>
      <c r="E215" s="14"/>
      <c r="F215" s="14"/>
      <c r="G215" s="14"/>
      <c r="H215" s="14"/>
      <c r="I215" s="14"/>
      <c r="J215" s="14"/>
      <c r="K215" s="14"/>
    </row>
    <row r="216">
      <c r="A216" s="14"/>
      <c r="B216" s="14"/>
      <c r="C216" s="14"/>
      <c r="D216" s="14"/>
      <c r="E216" s="14"/>
      <c r="F216" s="14"/>
      <c r="G216" s="14"/>
      <c r="H216" s="14"/>
      <c r="I216" s="14"/>
      <c r="J216" s="14"/>
      <c r="K216" s="14"/>
    </row>
    <row r="217">
      <c r="A217" s="14"/>
      <c r="B217" s="14"/>
      <c r="C217" s="14"/>
      <c r="D217" s="14"/>
      <c r="E217" s="14"/>
      <c r="F217" s="14"/>
      <c r="G217" s="14"/>
      <c r="H217" s="14"/>
      <c r="I217" s="14"/>
      <c r="J217" s="14"/>
      <c r="K217" s="14"/>
    </row>
    <row r="218">
      <c r="A218" s="14"/>
      <c r="B218" s="14"/>
      <c r="C218" s="14"/>
      <c r="D218" s="14"/>
      <c r="E218" s="14"/>
      <c r="F218" s="14"/>
      <c r="G218" s="14"/>
      <c r="H218" s="14"/>
      <c r="I218" s="14"/>
      <c r="J218" s="14"/>
      <c r="K218" s="14"/>
    </row>
    <row r="219">
      <c r="A219" s="14"/>
      <c r="B219" s="14"/>
      <c r="C219" s="14"/>
      <c r="D219" s="14"/>
      <c r="E219" s="14"/>
      <c r="F219" s="14"/>
      <c r="G219" s="14"/>
      <c r="H219" s="14"/>
      <c r="I219" s="14"/>
      <c r="J219" s="14"/>
      <c r="K219" s="14"/>
    </row>
    <row r="220">
      <c r="A220" s="14"/>
      <c r="B220" s="14"/>
      <c r="C220" s="14"/>
      <c r="D220" s="14"/>
      <c r="E220" s="14"/>
      <c r="F220" s="14"/>
      <c r="G220" s="14"/>
      <c r="H220" s="14"/>
      <c r="I220" s="14"/>
      <c r="J220" s="14"/>
      <c r="K220" s="14"/>
    </row>
    <row r="221">
      <c r="A221" s="14"/>
      <c r="B221" s="14"/>
      <c r="C221" s="14"/>
      <c r="D221" s="14"/>
      <c r="E221" s="14"/>
      <c r="F221" s="14"/>
      <c r="G221" s="14"/>
      <c r="H221" s="14"/>
      <c r="I221" s="14"/>
      <c r="J221" s="14"/>
      <c r="K221" s="14"/>
    </row>
    <row r="222">
      <c r="A222" s="14"/>
      <c r="B222" s="14"/>
      <c r="C222" s="14"/>
      <c r="D222" s="14"/>
      <c r="E222" s="14"/>
      <c r="F222" s="14"/>
      <c r="G222" s="14"/>
      <c r="H222" s="14"/>
      <c r="I222" s="14"/>
      <c r="J222" s="14"/>
      <c r="K222" s="14"/>
    </row>
    <row r="223">
      <c r="A223" s="14"/>
      <c r="B223" s="14"/>
      <c r="C223" s="14"/>
      <c r="D223" s="14"/>
      <c r="E223" s="14"/>
      <c r="F223" s="14"/>
      <c r="G223" s="14"/>
      <c r="H223" s="14"/>
      <c r="I223" s="14"/>
      <c r="J223" s="14"/>
      <c r="K223" s="14"/>
    </row>
    <row r="224">
      <c r="A224" s="14"/>
      <c r="B224" s="14"/>
      <c r="C224" s="14"/>
      <c r="D224" s="14"/>
      <c r="E224" s="14"/>
      <c r="F224" s="14"/>
      <c r="G224" s="14"/>
      <c r="H224" s="14"/>
      <c r="I224" s="14"/>
      <c r="J224" s="14"/>
      <c r="K224" s="14"/>
    </row>
    <row r="225">
      <c r="A225" s="14"/>
      <c r="B225" s="14"/>
      <c r="C225" s="14"/>
      <c r="D225" s="14"/>
      <c r="E225" s="14"/>
      <c r="F225" s="14"/>
      <c r="G225" s="14"/>
      <c r="H225" s="14"/>
      <c r="I225" s="14"/>
      <c r="J225" s="14"/>
      <c r="K225" s="14"/>
    </row>
    <row r="226">
      <c r="A226" s="14"/>
      <c r="B226" s="14"/>
      <c r="C226" s="14"/>
      <c r="D226" s="14"/>
      <c r="E226" s="14"/>
      <c r="F226" s="14"/>
      <c r="G226" s="14"/>
      <c r="H226" s="14"/>
      <c r="I226" s="14"/>
      <c r="J226" s="14"/>
      <c r="K226" s="14"/>
    </row>
    <row r="227">
      <c r="A227" s="14"/>
      <c r="B227" s="14"/>
      <c r="C227" s="14"/>
      <c r="D227" s="14"/>
      <c r="E227" s="14"/>
      <c r="F227" s="14"/>
      <c r="G227" s="14"/>
      <c r="H227" s="14"/>
      <c r="I227" s="14"/>
      <c r="J227" s="14"/>
      <c r="K227" s="14"/>
    </row>
    <row r="228">
      <c r="A228" s="14"/>
      <c r="B228" s="14"/>
      <c r="C228" s="14"/>
      <c r="D228" s="14"/>
      <c r="E228" s="14"/>
      <c r="F228" s="14"/>
      <c r="G228" s="14"/>
      <c r="H228" s="14"/>
      <c r="I228" s="14"/>
      <c r="J228" s="14"/>
      <c r="K228" s="14"/>
    </row>
    <row r="229">
      <c r="A229" s="14"/>
      <c r="B229" s="14"/>
      <c r="C229" s="14"/>
      <c r="D229" s="14"/>
      <c r="E229" s="14"/>
      <c r="F229" s="14"/>
      <c r="G229" s="14"/>
      <c r="H229" s="14"/>
      <c r="I229" s="14"/>
      <c r="J229" s="14"/>
      <c r="K229" s="14"/>
    </row>
    <row r="230">
      <c r="A230" s="14"/>
      <c r="B230" s="14"/>
      <c r="C230" s="14"/>
      <c r="D230" s="14"/>
      <c r="E230" s="14"/>
      <c r="F230" s="14"/>
      <c r="G230" s="14"/>
      <c r="H230" s="14"/>
      <c r="I230" s="14"/>
      <c r="J230" s="14"/>
      <c r="K230" s="14"/>
    </row>
    <row r="231">
      <c r="A231" s="14"/>
      <c r="B231" s="14"/>
      <c r="C231" s="14"/>
      <c r="D231" s="14"/>
      <c r="E231" s="14"/>
      <c r="F231" s="14"/>
      <c r="G231" s="14"/>
      <c r="H231" s="14"/>
      <c r="I231" s="14"/>
      <c r="J231" s="14"/>
      <c r="K231" s="14"/>
    </row>
    <row r="232">
      <c r="A232" s="14"/>
      <c r="B232" s="14"/>
      <c r="C232" s="14"/>
      <c r="D232" s="14"/>
      <c r="E232" s="14"/>
      <c r="F232" s="14"/>
      <c r="G232" s="14"/>
      <c r="H232" s="14"/>
      <c r="I232" s="14"/>
      <c r="J232" s="14"/>
      <c r="K232" s="14"/>
    </row>
    <row r="233">
      <c r="A233" s="14"/>
      <c r="B233" s="14"/>
      <c r="C233" s="14"/>
      <c r="D233" s="14"/>
      <c r="E233" s="14"/>
      <c r="F233" s="14"/>
      <c r="G233" s="14"/>
      <c r="H233" s="14"/>
      <c r="I233" s="14"/>
      <c r="J233" s="14"/>
      <c r="K233" s="14"/>
    </row>
    <row r="234">
      <c r="A234" s="14"/>
      <c r="B234" s="14"/>
      <c r="C234" s="14"/>
      <c r="D234" s="14"/>
      <c r="E234" s="14"/>
      <c r="F234" s="14"/>
      <c r="G234" s="14"/>
      <c r="H234" s="14"/>
      <c r="I234" s="14"/>
      <c r="J234" s="14"/>
      <c r="K234" s="14"/>
    </row>
    <row r="235">
      <c r="A235" s="14"/>
      <c r="B235" s="14"/>
      <c r="C235" s="14"/>
      <c r="D235" s="14"/>
      <c r="E235" s="14"/>
      <c r="F235" s="14"/>
      <c r="G235" s="14"/>
      <c r="H235" s="14"/>
      <c r="I235" s="14"/>
      <c r="J235" s="14"/>
      <c r="K235" s="14"/>
    </row>
    <row r="236">
      <c r="A236" s="14"/>
      <c r="B236" s="14"/>
      <c r="C236" s="14"/>
      <c r="D236" s="14"/>
      <c r="E236" s="14"/>
      <c r="F236" s="14"/>
      <c r="G236" s="14"/>
      <c r="H236" s="14"/>
      <c r="I236" s="14"/>
      <c r="J236" s="14"/>
      <c r="K236" s="14"/>
    </row>
    <row r="237">
      <c r="A237" s="14"/>
      <c r="B237" s="14"/>
      <c r="C237" s="14"/>
      <c r="D237" s="14"/>
      <c r="E237" s="14"/>
      <c r="F237" s="14"/>
      <c r="G237" s="14"/>
      <c r="H237" s="14"/>
      <c r="I237" s="14"/>
      <c r="J237" s="14"/>
      <c r="K237" s="14"/>
    </row>
    <row r="238">
      <c r="A238" s="14"/>
      <c r="B238" s="14"/>
      <c r="C238" s="14"/>
      <c r="D238" s="14"/>
      <c r="E238" s="14"/>
      <c r="F238" s="14"/>
      <c r="G238" s="14"/>
      <c r="H238" s="14"/>
      <c r="I238" s="14"/>
      <c r="J238" s="14"/>
      <c r="K238" s="14"/>
    </row>
    <row r="239">
      <c r="A239" s="14"/>
      <c r="B239" s="14"/>
      <c r="C239" s="14"/>
      <c r="D239" s="14"/>
      <c r="E239" s="14"/>
      <c r="F239" s="14"/>
      <c r="G239" s="14"/>
      <c r="H239" s="14"/>
      <c r="I239" s="14"/>
      <c r="J239" s="14"/>
      <c r="K239" s="14"/>
    </row>
    <row r="240">
      <c r="A240" s="14"/>
      <c r="B240" s="14"/>
      <c r="C240" s="14"/>
      <c r="D240" s="14"/>
      <c r="E240" s="14"/>
      <c r="F240" s="14"/>
      <c r="G240" s="14"/>
      <c r="H240" s="14"/>
      <c r="I240" s="14"/>
      <c r="J240" s="14"/>
      <c r="K240" s="14"/>
    </row>
    <row r="241">
      <c r="A241" s="14"/>
      <c r="B241" s="14"/>
      <c r="C241" s="14"/>
      <c r="D241" s="14"/>
      <c r="E241" s="14"/>
      <c r="F241" s="14"/>
      <c r="G241" s="14"/>
      <c r="H241" s="14"/>
      <c r="I241" s="14"/>
      <c r="J241" s="14"/>
      <c r="K241" s="14"/>
    </row>
    <row r="242">
      <c r="A242" s="14"/>
      <c r="B242" s="14"/>
      <c r="C242" s="14"/>
      <c r="D242" s="14"/>
      <c r="E242" s="14"/>
      <c r="F242" s="14"/>
      <c r="G242" s="14"/>
      <c r="H242" s="14"/>
      <c r="I242" s="14"/>
      <c r="J242" s="14"/>
      <c r="K242" s="14"/>
    </row>
    <row r="243">
      <c r="A243" s="14"/>
      <c r="B243" s="14"/>
      <c r="C243" s="14"/>
      <c r="D243" s="14"/>
      <c r="E243" s="14"/>
      <c r="F243" s="14"/>
      <c r="G243" s="14"/>
      <c r="H243" s="14"/>
      <c r="I243" s="14"/>
      <c r="J243" s="14"/>
      <c r="K243" s="14"/>
    </row>
    <row r="244">
      <c r="A244" s="14"/>
      <c r="B244" s="14"/>
      <c r="C244" s="14"/>
      <c r="D244" s="14"/>
      <c r="E244" s="14"/>
      <c r="F244" s="14"/>
      <c r="G244" s="14"/>
      <c r="H244" s="14"/>
      <c r="I244" s="14"/>
      <c r="J244" s="14"/>
      <c r="K244" s="14"/>
    </row>
    <row r="245">
      <c r="A245" s="14"/>
      <c r="B245" s="14"/>
      <c r="C245" s="14"/>
      <c r="D245" s="14"/>
      <c r="E245" s="14"/>
      <c r="F245" s="14"/>
      <c r="G245" s="14"/>
      <c r="H245" s="14"/>
      <c r="I245" s="14"/>
      <c r="J245" s="14"/>
      <c r="K245" s="14"/>
    </row>
    <row r="246">
      <c r="A246" s="14"/>
      <c r="B246" s="14"/>
      <c r="C246" s="14"/>
      <c r="D246" s="14"/>
      <c r="E246" s="14"/>
      <c r="F246" s="14"/>
      <c r="G246" s="14"/>
      <c r="H246" s="14"/>
      <c r="I246" s="14"/>
      <c r="J246" s="14"/>
      <c r="K246" s="14"/>
    </row>
    <row r="247">
      <c r="A247" s="14"/>
      <c r="B247" s="14"/>
      <c r="C247" s="14"/>
      <c r="D247" s="14"/>
      <c r="E247" s="14"/>
      <c r="F247" s="14"/>
      <c r="G247" s="14"/>
      <c r="H247" s="14"/>
      <c r="I247" s="14"/>
      <c r="J247" s="14"/>
      <c r="K247" s="14"/>
    </row>
    <row r="248">
      <c r="A248" s="14"/>
      <c r="B248" s="14"/>
      <c r="C248" s="14"/>
      <c r="D248" s="14"/>
      <c r="E248" s="14"/>
      <c r="F248" s="14"/>
      <c r="G248" s="14"/>
      <c r="H248" s="14"/>
      <c r="I248" s="14"/>
      <c r="J248" s="14"/>
      <c r="K248" s="14"/>
    </row>
    <row r="249">
      <c r="A249" s="14"/>
      <c r="B249" s="14"/>
      <c r="C249" s="14"/>
      <c r="D249" s="14"/>
      <c r="E249" s="14"/>
      <c r="F249" s="14"/>
      <c r="G249" s="14"/>
      <c r="H249" s="14"/>
      <c r="I249" s="14"/>
      <c r="J249" s="14"/>
      <c r="K249" s="14"/>
    </row>
    <row r="250">
      <c r="A250" s="14"/>
      <c r="B250" s="14"/>
      <c r="C250" s="14"/>
      <c r="D250" s="14"/>
      <c r="E250" s="14"/>
      <c r="F250" s="14"/>
      <c r="G250" s="14"/>
      <c r="H250" s="14"/>
      <c r="I250" s="14"/>
      <c r="J250" s="14"/>
      <c r="K250" s="14"/>
    </row>
    <row r="251">
      <c r="A251" s="14"/>
      <c r="B251" s="14"/>
      <c r="C251" s="14"/>
      <c r="D251" s="14"/>
      <c r="E251" s="14"/>
      <c r="F251" s="14"/>
      <c r="G251" s="14"/>
      <c r="H251" s="14"/>
      <c r="I251" s="14"/>
      <c r="J251" s="14"/>
      <c r="K251" s="14"/>
    </row>
    <row r="252">
      <c r="A252" s="14"/>
      <c r="B252" s="14"/>
      <c r="C252" s="14"/>
      <c r="D252" s="14"/>
      <c r="E252" s="14"/>
      <c r="F252" s="14"/>
      <c r="G252" s="14"/>
      <c r="H252" s="14"/>
      <c r="I252" s="14"/>
      <c r="J252" s="14"/>
      <c r="K252" s="14"/>
    </row>
    <row r="253">
      <c r="A253" s="14"/>
      <c r="B253" s="14"/>
      <c r="C253" s="14"/>
      <c r="D253" s="14"/>
      <c r="E253" s="14"/>
      <c r="F253" s="14"/>
      <c r="G253" s="14"/>
      <c r="H253" s="14"/>
      <c r="I253" s="14"/>
      <c r="J253" s="14"/>
      <c r="K253" s="14"/>
    </row>
    <row r="254">
      <c r="A254" s="14"/>
      <c r="B254" s="14"/>
      <c r="C254" s="14"/>
      <c r="D254" s="14"/>
      <c r="E254" s="14"/>
      <c r="F254" s="14"/>
      <c r="G254" s="14"/>
      <c r="H254" s="14"/>
      <c r="I254" s="14"/>
      <c r="J254" s="14"/>
      <c r="K254" s="14"/>
    </row>
    <row r="255">
      <c r="A255" s="14"/>
      <c r="B255" s="14"/>
      <c r="C255" s="14"/>
      <c r="D255" s="14"/>
      <c r="E255" s="14"/>
      <c r="F255" s="14"/>
      <c r="G255" s="14"/>
      <c r="H255" s="14"/>
      <c r="I255" s="14"/>
      <c r="J255" s="14"/>
      <c r="K255" s="14"/>
    </row>
    <row r="256">
      <c r="A256" s="14"/>
      <c r="B256" s="14"/>
      <c r="C256" s="14"/>
      <c r="D256" s="14"/>
      <c r="E256" s="14"/>
      <c r="F256" s="14"/>
      <c r="G256" s="14"/>
      <c r="H256" s="14"/>
      <c r="I256" s="14"/>
      <c r="J256" s="14"/>
      <c r="K256" s="14"/>
    </row>
    <row r="257">
      <c r="A257" s="14"/>
      <c r="B257" s="14"/>
      <c r="C257" s="14"/>
      <c r="D257" s="14"/>
      <c r="E257" s="14"/>
      <c r="F257" s="14"/>
      <c r="G257" s="14"/>
      <c r="H257" s="14"/>
      <c r="I257" s="14"/>
      <c r="J257" s="14"/>
      <c r="K257" s="14"/>
    </row>
    <row r="258">
      <c r="A258" s="14"/>
      <c r="B258" s="14"/>
      <c r="C258" s="14"/>
      <c r="D258" s="14"/>
      <c r="E258" s="14"/>
      <c r="F258" s="14"/>
      <c r="G258" s="14"/>
      <c r="H258" s="14"/>
      <c r="I258" s="14"/>
      <c r="J258" s="14"/>
      <c r="K258" s="14"/>
    </row>
    <row r="259">
      <c r="A259" s="14"/>
      <c r="B259" s="14"/>
      <c r="C259" s="14"/>
      <c r="D259" s="14"/>
      <c r="E259" s="14"/>
      <c r="F259" s="14"/>
      <c r="G259" s="14"/>
      <c r="H259" s="14"/>
      <c r="I259" s="14"/>
      <c r="J259" s="14"/>
      <c r="K259" s="14"/>
    </row>
    <row r="260">
      <c r="A260" s="14"/>
      <c r="B260" s="14"/>
      <c r="C260" s="14"/>
      <c r="D260" s="14"/>
      <c r="E260" s="14"/>
      <c r="F260" s="14"/>
      <c r="G260" s="14"/>
      <c r="H260" s="14"/>
      <c r="I260" s="14"/>
      <c r="J260" s="14"/>
      <c r="K260" s="14"/>
    </row>
    <row r="261">
      <c r="A261" s="14"/>
      <c r="B261" s="14"/>
      <c r="C261" s="14"/>
      <c r="D261" s="14"/>
      <c r="E261" s="14"/>
      <c r="F261" s="14"/>
      <c r="G261" s="14"/>
      <c r="H261" s="14"/>
      <c r="I261" s="14"/>
      <c r="J261" s="14"/>
      <c r="K261" s="14"/>
    </row>
    <row r="262">
      <c r="A262" s="14"/>
      <c r="B262" s="14"/>
      <c r="C262" s="14"/>
      <c r="D262" s="14"/>
      <c r="E262" s="14"/>
      <c r="F262" s="14"/>
      <c r="G262" s="14"/>
      <c r="H262" s="14"/>
      <c r="I262" s="14"/>
      <c r="J262" s="14"/>
      <c r="K262" s="14"/>
    </row>
    <row r="263">
      <c r="A263" s="14"/>
      <c r="B263" s="14"/>
      <c r="C263" s="14"/>
      <c r="D263" s="14"/>
      <c r="E263" s="14"/>
      <c r="F263" s="14"/>
      <c r="G263" s="14"/>
      <c r="H263" s="14"/>
      <c r="I263" s="14"/>
      <c r="J263" s="14"/>
      <c r="K263" s="14"/>
    </row>
    <row r="264">
      <c r="A264" s="14"/>
      <c r="B264" s="14"/>
      <c r="C264" s="14"/>
      <c r="D264" s="14"/>
      <c r="E264" s="14"/>
      <c r="F264" s="14"/>
      <c r="G264" s="14"/>
      <c r="H264" s="14"/>
      <c r="I264" s="14"/>
      <c r="J264" s="14"/>
      <c r="K264" s="14"/>
    </row>
    <row r="265">
      <c r="A265" s="14"/>
      <c r="B265" s="14"/>
      <c r="C265" s="14"/>
      <c r="D265" s="14"/>
      <c r="E265" s="14"/>
      <c r="F265" s="14"/>
      <c r="G265" s="14"/>
      <c r="H265" s="14"/>
      <c r="I265" s="14"/>
      <c r="J265" s="14"/>
      <c r="K265" s="14"/>
    </row>
    <row r="266">
      <c r="A266" s="14"/>
      <c r="B266" s="14"/>
      <c r="C266" s="14"/>
      <c r="D266" s="14"/>
      <c r="E266" s="14"/>
      <c r="F266" s="14"/>
      <c r="G266" s="14"/>
      <c r="H266" s="14"/>
      <c r="I266" s="14"/>
      <c r="J266" s="14"/>
      <c r="K266" s="14"/>
    </row>
    <row r="267">
      <c r="A267" s="14"/>
      <c r="B267" s="14"/>
      <c r="C267" s="14"/>
      <c r="D267" s="14"/>
      <c r="E267" s="14"/>
      <c r="F267" s="14"/>
      <c r="G267" s="14"/>
      <c r="H267" s="14"/>
      <c r="I267" s="14"/>
      <c r="J267" s="14"/>
      <c r="K267" s="14"/>
    </row>
    <row r="268">
      <c r="A268" s="14"/>
      <c r="B268" s="14"/>
      <c r="C268" s="14"/>
      <c r="D268" s="14"/>
      <c r="E268" s="14"/>
      <c r="F268" s="14"/>
      <c r="G268" s="14"/>
      <c r="H268" s="14"/>
      <c r="I268" s="14"/>
      <c r="J268" s="14"/>
      <c r="K268" s="14"/>
    </row>
    <row r="269">
      <c r="A269" s="14"/>
      <c r="B269" s="14"/>
      <c r="C269" s="14"/>
      <c r="D269" s="14"/>
      <c r="E269" s="14"/>
      <c r="F269" s="14"/>
      <c r="G269" s="14"/>
      <c r="H269" s="14"/>
      <c r="I269" s="14"/>
      <c r="J269" s="14"/>
      <c r="K269" s="14"/>
    </row>
    <row r="270">
      <c r="A270" s="14"/>
      <c r="B270" s="14"/>
      <c r="C270" s="14"/>
      <c r="D270" s="14"/>
      <c r="E270" s="14"/>
      <c r="F270" s="14"/>
      <c r="G270" s="14"/>
      <c r="H270" s="14"/>
      <c r="I270" s="14"/>
      <c r="J270" s="14"/>
      <c r="K270" s="14"/>
    </row>
    <row r="271">
      <c r="A271" s="14"/>
      <c r="B271" s="14"/>
      <c r="C271" s="14"/>
      <c r="D271" s="14"/>
      <c r="E271" s="14"/>
      <c r="F271" s="14"/>
      <c r="G271" s="14"/>
      <c r="H271" s="14"/>
      <c r="I271" s="14"/>
      <c r="J271" s="14"/>
      <c r="K271" s="14"/>
    </row>
    <row r="272">
      <c r="A272" s="14"/>
      <c r="B272" s="14"/>
      <c r="C272" s="14"/>
      <c r="D272" s="14"/>
      <c r="E272" s="14"/>
      <c r="F272" s="14"/>
      <c r="G272" s="14"/>
      <c r="H272" s="14"/>
      <c r="I272" s="14"/>
      <c r="J272" s="14"/>
      <c r="K272" s="14"/>
    </row>
    <row r="273">
      <c r="A273" s="14"/>
      <c r="B273" s="14"/>
      <c r="C273" s="14"/>
      <c r="D273" s="14"/>
      <c r="E273" s="14"/>
      <c r="F273" s="14"/>
      <c r="G273" s="14"/>
      <c r="H273" s="14"/>
      <c r="I273" s="14"/>
      <c r="J273" s="14"/>
      <c r="K273" s="14"/>
    </row>
    <row r="274">
      <c r="A274" s="14"/>
      <c r="B274" s="14"/>
      <c r="C274" s="14"/>
      <c r="D274" s="14"/>
      <c r="E274" s="14"/>
      <c r="F274" s="14"/>
      <c r="G274" s="14"/>
      <c r="H274" s="14"/>
      <c r="I274" s="14"/>
      <c r="J274" s="14"/>
      <c r="K274" s="14"/>
    </row>
    <row r="275">
      <c r="A275" s="14"/>
      <c r="B275" s="14"/>
      <c r="C275" s="14"/>
      <c r="D275" s="14"/>
      <c r="E275" s="14"/>
      <c r="F275" s="14"/>
      <c r="G275" s="14"/>
      <c r="H275" s="14"/>
      <c r="I275" s="14"/>
      <c r="J275" s="14"/>
      <c r="K275" s="14"/>
    </row>
    <row r="276">
      <c r="A276" s="14"/>
      <c r="B276" s="14"/>
      <c r="C276" s="14"/>
      <c r="D276" s="14"/>
      <c r="E276" s="14"/>
      <c r="F276" s="14"/>
      <c r="G276" s="14"/>
      <c r="H276" s="14"/>
      <c r="I276" s="14"/>
      <c r="J276" s="14"/>
      <c r="K276" s="14"/>
    </row>
    <row r="277">
      <c r="A277" s="14"/>
      <c r="B277" s="14"/>
      <c r="C277" s="14"/>
      <c r="D277" s="14"/>
      <c r="E277" s="14"/>
      <c r="F277" s="14"/>
      <c r="G277" s="14"/>
      <c r="H277" s="14"/>
      <c r="I277" s="14"/>
      <c r="J277" s="14"/>
      <c r="K277" s="14"/>
    </row>
    <row r="278">
      <c r="A278" s="14"/>
      <c r="B278" s="14"/>
      <c r="C278" s="14"/>
      <c r="D278" s="14"/>
      <c r="E278" s="14"/>
      <c r="F278" s="14"/>
      <c r="G278" s="14"/>
      <c r="H278" s="14"/>
      <c r="I278" s="14"/>
      <c r="J278" s="14"/>
      <c r="K278" s="14"/>
    </row>
    <row r="279">
      <c r="A279" s="14"/>
      <c r="B279" s="14"/>
      <c r="C279" s="14"/>
      <c r="D279" s="14"/>
      <c r="E279" s="14"/>
      <c r="F279" s="14"/>
      <c r="G279" s="14"/>
      <c r="H279" s="14"/>
      <c r="I279" s="14"/>
      <c r="J279" s="14"/>
      <c r="K279" s="14"/>
    </row>
    <row r="280">
      <c r="A280" s="14"/>
      <c r="B280" s="14"/>
      <c r="C280" s="14"/>
      <c r="D280" s="14"/>
      <c r="E280" s="14"/>
      <c r="F280" s="14"/>
      <c r="G280" s="14"/>
      <c r="H280" s="14"/>
      <c r="I280" s="14"/>
      <c r="J280" s="14"/>
      <c r="K280" s="14"/>
    </row>
    <row r="281">
      <c r="A281" s="14"/>
      <c r="B281" s="14"/>
      <c r="C281" s="14"/>
      <c r="D281" s="14"/>
      <c r="E281" s="14"/>
      <c r="F281" s="14"/>
      <c r="G281" s="14"/>
      <c r="H281" s="14"/>
      <c r="I281" s="14"/>
      <c r="J281" s="14"/>
      <c r="K281" s="14"/>
    </row>
    <row r="282">
      <c r="A282" s="14"/>
      <c r="B282" s="14"/>
      <c r="C282" s="14"/>
      <c r="D282" s="14"/>
      <c r="E282" s="14"/>
      <c r="F282" s="14"/>
      <c r="G282" s="14"/>
      <c r="H282" s="14"/>
      <c r="I282" s="14"/>
      <c r="J282" s="14"/>
      <c r="K282" s="14"/>
    </row>
    <row r="283">
      <c r="A283" s="14"/>
      <c r="B283" s="14"/>
      <c r="C283" s="14"/>
      <c r="D283" s="14"/>
      <c r="E283" s="14"/>
      <c r="F283" s="14"/>
      <c r="G283" s="14"/>
      <c r="H283" s="14"/>
      <c r="I283" s="14"/>
      <c r="J283" s="14"/>
      <c r="K283" s="14"/>
    </row>
    <row r="284">
      <c r="A284" s="14"/>
      <c r="B284" s="14"/>
      <c r="C284" s="14"/>
      <c r="D284" s="14"/>
      <c r="E284" s="14"/>
      <c r="F284" s="14"/>
      <c r="G284" s="14"/>
      <c r="H284" s="14"/>
      <c r="I284" s="14"/>
      <c r="J284" s="14"/>
      <c r="K284" s="14"/>
    </row>
    <row r="285">
      <c r="A285" s="14"/>
      <c r="B285" s="14"/>
      <c r="C285" s="14"/>
      <c r="D285" s="14"/>
      <c r="E285" s="14"/>
      <c r="F285" s="14"/>
      <c r="G285" s="14"/>
      <c r="H285" s="14"/>
      <c r="I285" s="14"/>
      <c r="J285" s="14"/>
      <c r="K285" s="14"/>
    </row>
    <row r="286">
      <c r="A286" s="14"/>
      <c r="B286" s="14"/>
      <c r="C286" s="14"/>
      <c r="D286" s="14"/>
      <c r="E286" s="14"/>
      <c r="F286" s="14"/>
      <c r="G286" s="14"/>
      <c r="H286" s="14"/>
      <c r="I286" s="14"/>
      <c r="J286" s="14"/>
      <c r="K286" s="14"/>
    </row>
    <row r="287">
      <c r="A287" s="14"/>
      <c r="B287" s="14"/>
      <c r="C287" s="14"/>
      <c r="D287" s="14"/>
      <c r="E287" s="14"/>
      <c r="F287" s="14"/>
      <c r="G287" s="14"/>
      <c r="H287" s="14"/>
      <c r="I287" s="14"/>
      <c r="J287" s="14"/>
      <c r="K287" s="14"/>
    </row>
    <row r="288">
      <c r="A288" s="14"/>
      <c r="B288" s="14"/>
      <c r="C288" s="14"/>
      <c r="D288" s="14"/>
      <c r="E288" s="14"/>
      <c r="F288" s="14"/>
      <c r="G288" s="14"/>
      <c r="H288" s="14"/>
      <c r="I288" s="14"/>
      <c r="J288" s="14"/>
      <c r="K288" s="14"/>
    </row>
    <row r="289">
      <c r="A289" s="14"/>
      <c r="B289" s="14"/>
      <c r="C289" s="14"/>
      <c r="D289" s="14"/>
      <c r="E289" s="14"/>
      <c r="F289" s="14"/>
      <c r="G289" s="14"/>
      <c r="H289" s="14"/>
      <c r="I289" s="14"/>
      <c r="J289" s="14"/>
      <c r="K289" s="14"/>
    </row>
    <row r="290">
      <c r="A290" s="14"/>
      <c r="B290" s="14"/>
      <c r="C290" s="14"/>
      <c r="D290" s="14"/>
      <c r="E290" s="14"/>
      <c r="F290" s="14"/>
      <c r="G290" s="14"/>
      <c r="H290" s="14"/>
      <c r="I290" s="14"/>
      <c r="J290" s="14"/>
      <c r="K290" s="14"/>
    </row>
    <row r="291">
      <c r="A291" s="14"/>
      <c r="B291" s="14"/>
      <c r="C291" s="14"/>
      <c r="D291" s="14"/>
      <c r="E291" s="14"/>
      <c r="F291" s="14"/>
      <c r="G291" s="14"/>
      <c r="H291" s="14"/>
      <c r="I291" s="14"/>
      <c r="J291" s="14"/>
      <c r="K291" s="14"/>
    </row>
    <row r="292">
      <c r="A292" s="14"/>
      <c r="B292" s="14"/>
      <c r="C292" s="14"/>
      <c r="D292" s="14"/>
      <c r="E292" s="14"/>
      <c r="F292" s="14"/>
      <c r="G292" s="14"/>
      <c r="H292" s="14"/>
      <c r="I292" s="14"/>
      <c r="J292" s="14"/>
      <c r="K292" s="14"/>
    </row>
    <row r="293">
      <c r="A293" s="14"/>
      <c r="B293" s="14"/>
      <c r="C293" s="14"/>
      <c r="D293" s="14"/>
      <c r="E293" s="14"/>
      <c r="F293" s="14"/>
      <c r="G293" s="14"/>
      <c r="H293" s="14"/>
      <c r="I293" s="14"/>
      <c r="J293" s="14"/>
      <c r="K293" s="14"/>
    </row>
    <row r="294">
      <c r="A294" s="14"/>
      <c r="B294" s="14"/>
      <c r="C294" s="14"/>
      <c r="D294" s="14"/>
      <c r="E294" s="14"/>
      <c r="F294" s="14"/>
      <c r="G294" s="14"/>
      <c r="H294" s="14"/>
      <c r="I294" s="14"/>
      <c r="J294" s="14"/>
      <c r="K294" s="14"/>
    </row>
    <row r="295">
      <c r="A295" s="14"/>
      <c r="B295" s="14"/>
      <c r="C295" s="14"/>
      <c r="D295" s="14"/>
      <c r="E295" s="14"/>
      <c r="F295" s="14"/>
      <c r="G295" s="14"/>
      <c r="H295" s="14"/>
      <c r="I295" s="14"/>
      <c r="J295" s="14"/>
      <c r="K295" s="14"/>
    </row>
    <row r="296">
      <c r="A296" s="14"/>
      <c r="B296" s="14"/>
      <c r="C296" s="14"/>
      <c r="D296" s="14"/>
      <c r="E296" s="14"/>
      <c r="F296" s="14"/>
      <c r="G296" s="14"/>
      <c r="H296" s="14"/>
      <c r="I296" s="14"/>
      <c r="J296" s="14"/>
      <c r="K296" s="14"/>
    </row>
    <row r="297">
      <c r="A297" s="14"/>
      <c r="B297" s="14"/>
      <c r="C297" s="14"/>
      <c r="D297" s="14"/>
      <c r="E297" s="14"/>
      <c r="F297" s="14"/>
      <c r="G297" s="14"/>
      <c r="H297" s="14"/>
      <c r="I297" s="14"/>
      <c r="J297" s="14"/>
      <c r="K297" s="14"/>
    </row>
    <row r="298">
      <c r="A298" s="14"/>
      <c r="B298" s="14"/>
      <c r="C298" s="14"/>
      <c r="D298" s="14"/>
      <c r="E298" s="14"/>
      <c r="F298" s="14"/>
      <c r="G298" s="14"/>
      <c r="H298" s="14"/>
      <c r="I298" s="14"/>
      <c r="J298" s="14"/>
      <c r="K298" s="14"/>
    </row>
    <row r="299">
      <c r="A299" s="14"/>
      <c r="B299" s="14"/>
      <c r="C299" s="14"/>
      <c r="D299" s="14"/>
      <c r="E299" s="14"/>
      <c r="F299" s="14"/>
      <c r="G299" s="14"/>
      <c r="H299" s="14"/>
      <c r="I299" s="14"/>
      <c r="J299" s="14"/>
      <c r="K299" s="14"/>
    </row>
    <row r="300">
      <c r="A300" s="14"/>
      <c r="B300" s="14"/>
      <c r="C300" s="14"/>
      <c r="D300" s="14"/>
      <c r="E300" s="14"/>
      <c r="F300" s="14"/>
      <c r="G300" s="14"/>
      <c r="H300" s="14"/>
      <c r="I300" s="14"/>
      <c r="J300" s="14"/>
      <c r="K300" s="14"/>
    </row>
    <row r="301">
      <c r="A301" s="14"/>
      <c r="B301" s="14"/>
      <c r="C301" s="14"/>
      <c r="D301" s="14"/>
      <c r="E301" s="14"/>
      <c r="F301" s="14"/>
      <c r="G301" s="14"/>
      <c r="H301" s="14"/>
      <c r="I301" s="14"/>
      <c r="J301" s="14"/>
      <c r="K301" s="14"/>
    </row>
    <row r="302">
      <c r="A302" s="14"/>
      <c r="B302" s="14"/>
      <c r="C302" s="14"/>
      <c r="D302" s="14"/>
      <c r="E302" s="14"/>
      <c r="F302" s="14"/>
      <c r="G302" s="14"/>
      <c r="H302" s="14"/>
      <c r="I302" s="14"/>
      <c r="J302" s="14"/>
      <c r="K302" s="14"/>
    </row>
    <row r="303">
      <c r="A303" s="14"/>
      <c r="B303" s="14"/>
      <c r="C303" s="14"/>
      <c r="D303" s="14"/>
      <c r="E303" s="14"/>
      <c r="F303" s="14"/>
      <c r="G303" s="14"/>
      <c r="H303" s="14"/>
      <c r="I303" s="14"/>
      <c r="J303" s="14"/>
      <c r="K303" s="14"/>
    </row>
    <row r="304">
      <c r="A304" s="14"/>
      <c r="B304" s="14"/>
      <c r="C304" s="14"/>
      <c r="D304" s="14"/>
      <c r="E304" s="14"/>
      <c r="F304" s="14"/>
      <c r="G304" s="14"/>
      <c r="H304" s="14"/>
      <c r="I304" s="14"/>
      <c r="J304" s="14"/>
      <c r="K304" s="14"/>
    </row>
    <row r="305">
      <c r="A305" s="14"/>
      <c r="B305" s="14"/>
      <c r="C305" s="14"/>
      <c r="D305" s="14"/>
      <c r="E305" s="14"/>
      <c r="F305" s="14"/>
      <c r="G305" s="14"/>
      <c r="H305" s="14"/>
      <c r="I305" s="14"/>
      <c r="J305" s="14"/>
      <c r="K305" s="14"/>
    </row>
    <row r="306">
      <c r="A306" s="14"/>
      <c r="B306" s="14"/>
      <c r="C306" s="14"/>
      <c r="D306" s="14"/>
      <c r="E306" s="14"/>
      <c r="F306" s="14"/>
      <c r="G306" s="14"/>
      <c r="H306" s="14"/>
      <c r="I306" s="14"/>
      <c r="J306" s="14"/>
      <c r="K306" s="14"/>
    </row>
    <row r="307">
      <c r="A307" s="14"/>
      <c r="B307" s="14"/>
      <c r="C307" s="14"/>
      <c r="D307" s="14"/>
      <c r="E307" s="14"/>
      <c r="F307" s="14"/>
      <c r="G307" s="14"/>
      <c r="H307" s="14"/>
      <c r="I307" s="14"/>
      <c r="J307" s="14"/>
      <c r="K307" s="14"/>
    </row>
    <row r="308">
      <c r="A308" s="14"/>
      <c r="B308" s="14"/>
      <c r="C308" s="14"/>
      <c r="D308" s="14"/>
      <c r="E308" s="14"/>
      <c r="F308" s="14"/>
      <c r="G308" s="14"/>
      <c r="H308" s="14"/>
      <c r="I308" s="14"/>
      <c r="J308" s="14"/>
      <c r="K308" s="14"/>
    </row>
    <row r="309">
      <c r="A309" s="14"/>
      <c r="B309" s="14"/>
      <c r="C309" s="14"/>
      <c r="D309" s="14"/>
      <c r="E309" s="14"/>
      <c r="F309" s="14"/>
      <c r="G309" s="14"/>
      <c r="H309" s="14"/>
      <c r="I309" s="14"/>
      <c r="J309" s="14"/>
      <c r="K309" s="14"/>
    </row>
    <row r="310">
      <c r="A310" s="14"/>
      <c r="B310" s="14"/>
      <c r="C310" s="14"/>
      <c r="D310" s="14"/>
      <c r="E310" s="14"/>
      <c r="F310" s="14"/>
      <c r="G310" s="14"/>
      <c r="H310" s="14"/>
      <c r="I310" s="14"/>
      <c r="J310" s="14"/>
      <c r="K310" s="14"/>
    </row>
    <row r="311">
      <c r="A311" s="14"/>
      <c r="B311" s="14"/>
      <c r="C311" s="14"/>
      <c r="D311" s="14"/>
      <c r="E311" s="14"/>
      <c r="F311" s="14"/>
      <c r="G311" s="14"/>
      <c r="H311" s="14"/>
      <c r="I311" s="14"/>
      <c r="J311" s="14"/>
      <c r="K311" s="14"/>
    </row>
    <row r="312">
      <c r="A312" s="14"/>
      <c r="B312" s="14"/>
      <c r="C312" s="14"/>
      <c r="D312" s="14"/>
      <c r="E312" s="14"/>
      <c r="F312" s="14"/>
      <c r="G312" s="14"/>
      <c r="H312" s="14"/>
      <c r="I312" s="14"/>
      <c r="J312" s="14"/>
      <c r="K312" s="14"/>
    </row>
    <row r="313">
      <c r="A313" s="14"/>
      <c r="B313" s="14"/>
      <c r="C313" s="14"/>
      <c r="D313" s="14"/>
      <c r="E313" s="14"/>
      <c r="F313" s="14"/>
      <c r="G313" s="14"/>
      <c r="H313" s="14"/>
      <c r="I313" s="14"/>
      <c r="J313" s="14"/>
      <c r="K313" s="14"/>
    </row>
    <row r="314">
      <c r="A314" s="14"/>
      <c r="B314" s="14"/>
      <c r="C314" s="14"/>
      <c r="D314" s="14"/>
      <c r="E314" s="14"/>
      <c r="F314" s="14"/>
      <c r="G314" s="14"/>
      <c r="H314" s="14"/>
      <c r="I314" s="14"/>
      <c r="J314" s="14"/>
      <c r="K314" s="14"/>
    </row>
    <row r="315">
      <c r="A315" s="14"/>
      <c r="B315" s="14"/>
      <c r="C315" s="14"/>
      <c r="D315" s="14"/>
      <c r="E315" s="14"/>
      <c r="F315" s="14"/>
      <c r="G315" s="14"/>
      <c r="H315" s="14"/>
      <c r="I315" s="14"/>
      <c r="J315" s="14"/>
      <c r="K315" s="14"/>
    </row>
    <row r="316">
      <c r="A316" s="14"/>
      <c r="B316" s="14"/>
      <c r="C316" s="14"/>
      <c r="D316" s="14"/>
      <c r="E316" s="14"/>
      <c r="F316" s="14"/>
      <c r="G316" s="14"/>
      <c r="H316" s="14"/>
      <c r="I316" s="14"/>
      <c r="J316" s="14"/>
      <c r="K316" s="14"/>
    </row>
    <row r="317">
      <c r="A317" s="14"/>
      <c r="B317" s="14"/>
      <c r="C317" s="14"/>
      <c r="D317" s="14"/>
      <c r="E317" s="14"/>
      <c r="F317" s="14"/>
      <c r="G317" s="14"/>
      <c r="H317" s="14"/>
      <c r="I317" s="14"/>
      <c r="J317" s="14"/>
      <c r="K317" s="14"/>
    </row>
    <row r="318">
      <c r="A318" s="14"/>
      <c r="B318" s="14"/>
      <c r="C318" s="14"/>
      <c r="D318" s="14"/>
      <c r="E318" s="14"/>
      <c r="F318" s="14"/>
      <c r="G318" s="14"/>
      <c r="H318" s="14"/>
      <c r="I318" s="14"/>
      <c r="J318" s="14"/>
      <c r="K318" s="14"/>
    </row>
    <row r="319">
      <c r="A319" s="14"/>
      <c r="B319" s="14"/>
      <c r="C319" s="14"/>
      <c r="D319" s="14"/>
      <c r="E319" s="14"/>
      <c r="F319" s="14"/>
      <c r="G319" s="14"/>
      <c r="H319" s="14"/>
      <c r="I319" s="14"/>
      <c r="J319" s="14"/>
      <c r="K319" s="14"/>
    </row>
    <row r="320">
      <c r="A320" s="14"/>
      <c r="B320" s="14"/>
      <c r="C320" s="14"/>
      <c r="D320" s="14"/>
      <c r="E320" s="14"/>
      <c r="F320" s="14"/>
      <c r="G320" s="14"/>
      <c r="H320" s="14"/>
      <c r="I320" s="14"/>
      <c r="J320" s="14"/>
      <c r="K320" s="14"/>
    </row>
    <row r="321">
      <c r="A321" s="14"/>
      <c r="B321" s="14"/>
      <c r="C321" s="14"/>
      <c r="D321" s="14"/>
      <c r="E321" s="14"/>
      <c r="F321" s="14"/>
      <c r="G321" s="14"/>
      <c r="H321" s="14"/>
      <c r="I321" s="14"/>
      <c r="J321" s="14"/>
      <c r="K321" s="14"/>
    </row>
    <row r="322">
      <c r="A322" s="14"/>
      <c r="B322" s="14"/>
      <c r="C322" s="14"/>
      <c r="D322" s="14"/>
      <c r="E322" s="14"/>
      <c r="F322" s="14"/>
      <c r="G322" s="14"/>
      <c r="H322" s="14"/>
      <c r="I322" s="14"/>
      <c r="J322" s="14"/>
      <c r="K322" s="14"/>
    </row>
    <row r="323">
      <c r="A323" s="14"/>
      <c r="B323" s="14"/>
      <c r="C323" s="14"/>
      <c r="D323" s="14"/>
      <c r="E323" s="14"/>
      <c r="F323" s="14"/>
      <c r="G323" s="14"/>
      <c r="H323" s="14"/>
      <c r="I323" s="14"/>
      <c r="J323" s="14"/>
      <c r="K323" s="14"/>
    </row>
    <row r="324">
      <c r="A324" s="14"/>
      <c r="B324" s="14"/>
      <c r="C324" s="14"/>
      <c r="D324" s="14"/>
      <c r="E324" s="14"/>
      <c r="F324" s="14"/>
      <c r="G324" s="14"/>
      <c r="H324" s="14"/>
      <c r="I324" s="14"/>
      <c r="J324" s="14"/>
      <c r="K324" s="14"/>
    </row>
    <row r="325">
      <c r="A325" s="14"/>
      <c r="B325" s="14"/>
      <c r="C325" s="14"/>
      <c r="D325" s="14"/>
      <c r="E325" s="14"/>
      <c r="F325" s="14"/>
      <c r="G325" s="14"/>
      <c r="H325" s="14"/>
      <c r="I325" s="14"/>
      <c r="J325" s="14"/>
      <c r="K325" s="14"/>
    </row>
    <row r="326">
      <c r="A326" s="14"/>
      <c r="B326" s="14"/>
      <c r="C326" s="14"/>
      <c r="D326" s="14"/>
      <c r="E326" s="14"/>
      <c r="F326" s="14"/>
      <c r="G326" s="14"/>
      <c r="H326" s="14"/>
      <c r="I326" s="14"/>
      <c r="J326" s="14"/>
      <c r="K326" s="14"/>
    </row>
    <row r="327">
      <c r="A327" s="14"/>
      <c r="B327" s="14"/>
      <c r="C327" s="14"/>
      <c r="D327" s="14"/>
      <c r="E327" s="14"/>
      <c r="F327" s="14"/>
      <c r="G327" s="14"/>
      <c r="H327" s="14"/>
      <c r="I327" s="14"/>
      <c r="J327" s="14"/>
      <c r="K327" s="14"/>
    </row>
    <row r="328">
      <c r="A328" s="14"/>
      <c r="B328" s="14"/>
      <c r="C328" s="14"/>
      <c r="D328" s="14"/>
      <c r="E328" s="14"/>
      <c r="F328" s="14"/>
      <c r="G328" s="14"/>
      <c r="H328" s="14"/>
      <c r="I328" s="14"/>
      <c r="J328" s="14"/>
      <c r="K328" s="14"/>
    </row>
    <row r="329">
      <c r="A329" s="14"/>
      <c r="B329" s="14"/>
      <c r="C329" s="14"/>
      <c r="D329" s="14"/>
      <c r="E329" s="14"/>
      <c r="F329" s="14"/>
      <c r="G329" s="14"/>
      <c r="H329" s="14"/>
      <c r="I329" s="14"/>
      <c r="J329" s="14"/>
      <c r="K329" s="14"/>
    </row>
    <row r="330">
      <c r="A330" s="14"/>
      <c r="B330" s="14"/>
      <c r="C330" s="14"/>
      <c r="D330" s="14"/>
      <c r="E330" s="14"/>
      <c r="F330" s="14"/>
      <c r="G330" s="14"/>
      <c r="H330" s="14"/>
      <c r="I330" s="14"/>
      <c r="J330" s="14"/>
      <c r="K330" s="14"/>
    </row>
    <row r="331">
      <c r="A331" s="14"/>
      <c r="B331" s="14"/>
      <c r="C331" s="14"/>
      <c r="D331" s="14"/>
      <c r="E331" s="14"/>
      <c r="F331" s="14"/>
      <c r="G331" s="14"/>
      <c r="H331" s="14"/>
      <c r="I331" s="14"/>
      <c r="J331" s="14"/>
      <c r="K331" s="14"/>
    </row>
    <row r="332">
      <c r="A332" s="14"/>
      <c r="B332" s="14"/>
      <c r="C332" s="14"/>
      <c r="D332" s="14"/>
      <c r="E332" s="14"/>
      <c r="F332" s="14"/>
      <c r="G332" s="14"/>
      <c r="H332" s="14"/>
      <c r="I332" s="14"/>
      <c r="J332" s="14"/>
      <c r="K332" s="14"/>
    </row>
    <row r="333">
      <c r="A333" s="14"/>
      <c r="B333" s="14"/>
      <c r="C333" s="14"/>
      <c r="D333" s="14"/>
      <c r="E333" s="14"/>
      <c r="F333" s="14"/>
      <c r="G333" s="14"/>
      <c r="H333" s="14"/>
      <c r="I333" s="14"/>
      <c r="J333" s="14"/>
      <c r="K333" s="14"/>
    </row>
    <row r="334">
      <c r="A334" s="14"/>
      <c r="B334" s="14"/>
      <c r="C334" s="14"/>
      <c r="D334" s="14"/>
      <c r="E334" s="14"/>
      <c r="F334" s="14"/>
      <c r="G334" s="14"/>
      <c r="H334" s="14"/>
      <c r="I334" s="14"/>
      <c r="J334" s="14"/>
      <c r="K334" s="14"/>
    </row>
    <row r="335">
      <c r="A335" s="14"/>
      <c r="B335" s="14"/>
      <c r="C335" s="14"/>
      <c r="D335" s="14"/>
      <c r="E335" s="14"/>
      <c r="F335" s="14"/>
      <c r="G335" s="14"/>
      <c r="H335" s="14"/>
      <c r="I335" s="14"/>
      <c r="J335" s="14"/>
      <c r="K335" s="14"/>
    </row>
    <row r="336">
      <c r="A336" s="14"/>
      <c r="B336" s="14"/>
      <c r="C336" s="14"/>
      <c r="D336" s="14"/>
      <c r="E336" s="14"/>
      <c r="F336" s="14"/>
      <c r="G336" s="14"/>
      <c r="H336" s="14"/>
      <c r="I336" s="14"/>
      <c r="J336" s="14"/>
      <c r="K336" s="14"/>
    </row>
    <row r="337">
      <c r="A337" s="14"/>
      <c r="B337" s="14"/>
      <c r="C337" s="14"/>
      <c r="D337" s="14"/>
      <c r="E337" s="14"/>
      <c r="F337" s="14"/>
      <c r="G337" s="14"/>
      <c r="H337" s="14"/>
      <c r="I337" s="14"/>
      <c r="J337" s="14"/>
      <c r="K337" s="14"/>
    </row>
    <row r="338">
      <c r="A338" s="14"/>
      <c r="B338" s="14"/>
      <c r="C338" s="14"/>
      <c r="D338" s="14"/>
      <c r="E338" s="14"/>
      <c r="F338" s="14"/>
      <c r="G338" s="14"/>
      <c r="H338" s="14"/>
      <c r="I338" s="14"/>
      <c r="J338" s="14"/>
      <c r="K338" s="14"/>
    </row>
    <row r="339">
      <c r="A339" s="14"/>
      <c r="B339" s="14"/>
      <c r="C339" s="14"/>
      <c r="D339" s="14"/>
      <c r="E339" s="14"/>
      <c r="F339" s="14"/>
      <c r="G339" s="14"/>
      <c r="H339" s="14"/>
      <c r="I339" s="14"/>
      <c r="J339" s="14"/>
      <c r="K339" s="14"/>
    </row>
    <row r="340">
      <c r="A340" s="14"/>
      <c r="B340" s="14"/>
      <c r="C340" s="14"/>
      <c r="D340" s="14"/>
      <c r="E340" s="14"/>
      <c r="F340" s="14"/>
      <c r="G340" s="14"/>
      <c r="H340" s="14"/>
      <c r="I340" s="14"/>
      <c r="J340" s="14"/>
      <c r="K340" s="14"/>
    </row>
    <row r="341">
      <c r="A341" s="14"/>
      <c r="B341" s="14"/>
      <c r="C341" s="14"/>
      <c r="D341" s="14"/>
      <c r="E341" s="14"/>
      <c r="F341" s="14"/>
      <c r="G341" s="14"/>
      <c r="H341" s="14"/>
      <c r="I341" s="14"/>
      <c r="J341" s="14"/>
      <c r="K341" s="14"/>
    </row>
    <row r="342">
      <c r="A342" s="14"/>
      <c r="B342" s="14"/>
      <c r="C342" s="14"/>
      <c r="D342" s="14"/>
      <c r="E342" s="14"/>
      <c r="F342" s="14"/>
      <c r="G342" s="14"/>
      <c r="H342" s="14"/>
      <c r="I342" s="14"/>
      <c r="J342" s="14"/>
      <c r="K342" s="14"/>
    </row>
    <row r="343">
      <c r="A343" s="14"/>
      <c r="B343" s="14"/>
      <c r="C343" s="14"/>
      <c r="D343" s="14"/>
      <c r="E343" s="14"/>
      <c r="F343" s="14"/>
      <c r="G343" s="14"/>
      <c r="H343" s="14"/>
      <c r="I343" s="14"/>
      <c r="J343" s="14"/>
      <c r="K343" s="14"/>
    </row>
    <row r="344">
      <c r="A344" s="14"/>
      <c r="B344" s="14"/>
      <c r="C344" s="14"/>
      <c r="D344" s="14"/>
      <c r="E344" s="14"/>
      <c r="F344" s="14"/>
      <c r="G344" s="14"/>
      <c r="H344" s="14"/>
      <c r="I344" s="14"/>
      <c r="J344" s="14"/>
      <c r="K344" s="14"/>
    </row>
    <row r="345">
      <c r="A345" s="14"/>
      <c r="B345" s="14"/>
      <c r="C345" s="14"/>
      <c r="D345" s="14"/>
      <c r="E345" s="14"/>
      <c r="F345" s="14"/>
      <c r="G345" s="14"/>
      <c r="H345" s="14"/>
      <c r="I345" s="14"/>
      <c r="J345" s="14"/>
      <c r="K345" s="14"/>
    </row>
    <row r="346">
      <c r="A346" s="14"/>
      <c r="B346" s="14"/>
      <c r="C346" s="14"/>
      <c r="D346" s="14"/>
      <c r="E346" s="14"/>
      <c r="F346" s="14"/>
      <c r="G346" s="14"/>
      <c r="H346" s="14"/>
      <c r="I346" s="14"/>
      <c r="J346" s="14"/>
      <c r="K346" s="14"/>
    </row>
    <row r="347">
      <c r="A347" s="14"/>
      <c r="B347" s="14"/>
      <c r="C347" s="14"/>
      <c r="D347" s="14"/>
      <c r="E347" s="14"/>
      <c r="F347" s="14"/>
      <c r="G347" s="14"/>
      <c r="H347" s="14"/>
      <c r="I347" s="14"/>
      <c r="J347" s="14"/>
      <c r="K347" s="14"/>
    </row>
    <row r="348">
      <c r="A348" s="14"/>
      <c r="B348" s="14"/>
      <c r="C348" s="14"/>
      <c r="D348" s="14"/>
      <c r="E348" s="14"/>
      <c r="F348" s="14"/>
      <c r="G348" s="14"/>
      <c r="H348" s="14"/>
      <c r="I348" s="14"/>
      <c r="J348" s="14"/>
      <c r="K348" s="14"/>
    </row>
    <row r="349">
      <c r="A349" s="14"/>
      <c r="B349" s="14"/>
      <c r="C349" s="14"/>
      <c r="D349" s="14"/>
      <c r="E349" s="14"/>
      <c r="F349" s="14"/>
      <c r="G349" s="14"/>
      <c r="H349" s="14"/>
      <c r="I349" s="14"/>
      <c r="J349" s="14"/>
      <c r="K349" s="14"/>
    </row>
    <row r="350">
      <c r="A350" s="14"/>
      <c r="B350" s="14"/>
      <c r="C350" s="14"/>
      <c r="D350" s="14"/>
      <c r="E350" s="14"/>
      <c r="F350" s="14"/>
      <c r="G350" s="14"/>
      <c r="H350" s="14"/>
      <c r="I350" s="14"/>
      <c r="J350" s="14"/>
      <c r="K350" s="14"/>
    </row>
    <row r="351">
      <c r="A351" s="14"/>
      <c r="B351" s="14"/>
      <c r="C351" s="14"/>
      <c r="D351" s="14"/>
      <c r="E351" s="14"/>
      <c r="F351" s="14"/>
      <c r="G351" s="14"/>
      <c r="H351" s="14"/>
      <c r="I351" s="14"/>
      <c r="J351" s="14"/>
      <c r="K351" s="14"/>
    </row>
    <row r="352">
      <c r="A352" s="14"/>
      <c r="B352" s="14"/>
      <c r="C352" s="14"/>
      <c r="D352" s="14"/>
      <c r="E352" s="14"/>
      <c r="F352" s="14"/>
      <c r="G352" s="14"/>
      <c r="H352" s="14"/>
      <c r="I352" s="14"/>
      <c r="J352" s="14"/>
      <c r="K352" s="14"/>
    </row>
    <row r="353">
      <c r="A353" s="14"/>
      <c r="B353" s="14"/>
      <c r="C353" s="14"/>
      <c r="D353" s="14"/>
      <c r="E353" s="14"/>
      <c r="F353" s="14"/>
      <c r="G353" s="14"/>
      <c r="H353" s="14"/>
      <c r="I353" s="14"/>
      <c r="J353" s="14"/>
      <c r="K353" s="14"/>
    </row>
    <row r="354">
      <c r="A354" s="14"/>
      <c r="B354" s="14"/>
      <c r="C354" s="14"/>
      <c r="D354" s="14"/>
      <c r="E354" s="14"/>
      <c r="F354" s="14"/>
      <c r="G354" s="14"/>
      <c r="H354" s="14"/>
      <c r="I354" s="14"/>
      <c r="J354" s="14"/>
      <c r="K354" s="14"/>
    </row>
    <row r="355">
      <c r="A355" s="14"/>
      <c r="B355" s="14"/>
      <c r="C355" s="14"/>
      <c r="D355" s="14"/>
      <c r="E355" s="14"/>
      <c r="F355" s="14"/>
      <c r="G355" s="14"/>
      <c r="H355" s="14"/>
      <c r="I355" s="14"/>
      <c r="J355" s="14"/>
      <c r="K355" s="14"/>
    </row>
    <row r="356">
      <c r="A356" s="14"/>
      <c r="B356" s="14"/>
      <c r="C356" s="14"/>
      <c r="D356" s="14"/>
      <c r="E356" s="14"/>
      <c r="F356" s="14"/>
      <c r="G356" s="14"/>
      <c r="H356" s="14"/>
      <c r="I356" s="14"/>
      <c r="J356" s="14"/>
      <c r="K356" s="14"/>
    </row>
    <row r="357">
      <c r="A357" s="14"/>
      <c r="B357" s="14"/>
      <c r="C357" s="14"/>
      <c r="D357" s="14"/>
      <c r="E357" s="14"/>
      <c r="F357" s="14"/>
      <c r="G357" s="14"/>
      <c r="H357" s="14"/>
      <c r="I357" s="14"/>
      <c r="J357" s="14"/>
      <c r="K357" s="14"/>
    </row>
    <row r="358">
      <c r="A358" s="14"/>
      <c r="B358" s="14"/>
      <c r="C358" s="14"/>
      <c r="D358" s="14"/>
      <c r="E358" s="14"/>
      <c r="F358" s="14"/>
      <c r="G358" s="14"/>
      <c r="H358" s="14"/>
      <c r="I358" s="14"/>
      <c r="J358" s="14"/>
      <c r="K358" s="14"/>
    </row>
    <row r="359">
      <c r="A359" s="14"/>
      <c r="B359" s="14"/>
      <c r="C359" s="14"/>
      <c r="D359" s="14"/>
      <c r="E359" s="14"/>
      <c r="F359" s="14"/>
      <c r="G359" s="14"/>
      <c r="H359" s="14"/>
      <c r="I359" s="14"/>
      <c r="J359" s="14"/>
      <c r="K359" s="14"/>
    </row>
    <row r="360">
      <c r="A360" s="14"/>
      <c r="B360" s="14"/>
      <c r="C360" s="14"/>
      <c r="D360" s="14"/>
      <c r="E360" s="14"/>
      <c r="F360" s="14"/>
      <c r="G360" s="14"/>
      <c r="H360" s="14"/>
      <c r="I360" s="14"/>
      <c r="J360" s="14"/>
      <c r="K360" s="14"/>
    </row>
    <row r="361">
      <c r="A361" s="14"/>
      <c r="B361" s="14"/>
      <c r="C361" s="14"/>
      <c r="D361" s="14"/>
      <c r="E361" s="14"/>
      <c r="F361" s="14"/>
      <c r="G361" s="14"/>
      <c r="H361" s="14"/>
      <c r="I361" s="14"/>
      <c r="J361" s="14"/>
      <c r="K361" s="14"/>
    </row>
    <row r="362">
      <c r="A362" s="14"/>
      <c r="B362" s="14"/>
      <c r="C362" s="14"/>
      <c r="D362" s="14"/>
      <c r="E362" s="14"/>
      <c r="F362" s="14"/>
      <c r="G362" s="14"/>
      <c r="H362" s="14"/>
      <c r="I362" s="14"/>
      <c r="J362" s="14"/>
      <c r="K362" s="14"/>
    </row>
    <row r="363">
      <c r="A363" s="14"/>
      <c r="B363" s="14"/>
      <c r="C363" s="14"/>
      <c r="D363" s="14"/>
      <c r="E363" s="14"/>
      <c r="F363" s="14"/>
      <c r="G363" s="14"/>
      <c r="H363" s="14"/>
      <c r="I363" s="14"/>
      <c r="J363" s="14"/>
      <c r="K363" s="14"/>
    </row>
    <row r="364">
      <c r="A364" s="14"/>
      <c r="B364" s="14"/>
      <c r="C364" s="14"/>
      <c r="D364" s="14"/>
      <c r="E364" s="14"/>
      <c r="F364" s="14"/>
      <c r="G364" s="14"/>
      <c r="H364" s="14"/>
      <c r="I364" s="14"/>
      <c r="J364" s="14"/>
      <c r="K364" s="14"/>
    </row>
    <row r="365">
      <c r="A365" s="14"/>
      <c r="B365" s="14"/>
      <c r="C365" s="14"/>
      <c r="D365" s="14"/>
      <c r="E365" s="14"/>
      <c r="F365" s="14"/>
      <c r="G365" s="14"/>
      <c r="H365" s="14"/>
      <c r="I365" s="14"/>
      <c r="J365" s="14"/>
      <c r="K365" s="14"/>
    </row>
    <row r="366">
      <c r="A366" s="14"/>
      <c r="B366" s="14"/>
      <c r="C366" s="14"/>
      <c r="D366" s="14"/>
      <c r="E366" s="14"/>
      <c r="F366" s="14"/>
      <c r="G366" s="14"/>
      <c r="H366" s="14"/>
      <c r="I366" s="14"/>
      <c r="J366" s="14"/>
      <c r="K366" s="14"/>
    </row>
    <row r="367">
      <c r="A367" s="14"/>
      <c r="B367" s="14"/>
      <c r="C367" s="14"/>
      <c r="D367" s="14"/>
      <c r="E367" s="14"/>
      <c r="F367" s="14"/>
      <c r="G367" s="14"/>
      <c r="H367" s="14"/>
      <c r="I367" s="14"/>
      <c r="J367" s="14"/>
      <c r="K367" s="14"/>
    </row>
    <row r="368">
      <c r="A368" s="14"/>
      <c r="B368" s="14"/>
      <c r="C368" s="14"/>
      <c r="D368" s="14"/>
      <c r="E368" s="14"/>
      <c r="F368" s="14"/>
      <c r="G368" s="14"/>
      <c r="H368" s="14"/>
      <c r="I368" s="14"/>
      <c r="J368" s="14"/>
      <c r="K368" s="14"/>
    </row>
    <row r="369">
      <c r="A369" s="14"/>
      <c r="B369" s="14"/>
      <c r="C369" s="14"/>
      <c r="D369" s="14"/>
      <c r="E369" s="14"/>
      <c r="F369" s="14"/>
      <c r="G369" s="14"/>
      <c r="H369" s="14"/>
      <c r="I369" s="14"/>
      <c r="J369" s="14"/>
      <c r="K369" s="14"/>
    </row>
    <row r="370">
      <c r="A370" s="14"/>
      <c r="B370" s="14"/>
      <c r="C370" s="14"/>
      <c r="D370" s="14"/>
      <c r="E370" s="14"/>
      <c r="F370" s="14"/>
      <c r="G370" s="14"/>
      <c r="H370" s="14"/>
      <c r="I370" s="14"/>
      <c r="J370" s="14"/>
      <c r="K370" s="14"/>
    </row>
    <row r="371">
      <c r="A371" s="14"/>
      <c r="B371" s="14"/>
      <c r="C371" s="14"/>
      <c r="D371" s="14"/>
      <c r="E371" s="14"/>
      <c r="F371" s="14"/>
      <c r="G371" s="14"/>
      <c r="H371" s="14"/>
      <c r="I371" s="14"/>
      <c r="J371" s="14"/>
      <c r="K371" s="14"/>
    </row>
    <row r="372">
      <c r="A372" s="14"/>
      <c r="B372" s="14"/>
      <c r="C372" s="14"/>
      <c r="D372" s="14"/>
      <c r="E372" s="14"/>
      <c r="F372" s="14"/>
      <c r="G372" s="14"/>
      <c r="H372" s="14"/>
      <c r="I372" s="14"/>
      <c r="J372" s="14"/>
      <c r="K372" s="14"/>
    </row>
    <row r="373">
      <c r="A373" s="14"/>
      <c r="B373" s="14"/>
      <c r="C373" s="14"/>
      <c r="D373" s="14"/>
      <c r="E373" s="14"/>
      <c r="F373" s="14"/>
      <c r="G373" s="14"/>
      <c r="H373" s="14"/>
      <c r="I373" s="14"/>
      <c r="J373" s="14"/>
      <c r="K373" s="14"/>
    </row>
    <row r="374">
      <c r="A374" s="14"/>
      <c r="B374" s="14"/>
      <c r="C374" s="14"/>
      <c r="D374" s="14"/>
      <c r="E374" s="14"/>
      <c r="F374" s="14"/>
      <c r="G374" s="14"/>
      <c r="H374" s="14"/>
      <c r="I374" s="14"/>
      <c r="J374" s="14"/>
      <c r="K374" s="14"/>
    </row>
    <row r="375">
      <c r="A375" s="14"/>
      <c r="B375" s="14"/>
      <c r="C375" s="14"/>
      <c r="D375" s="14"/>
      <c r="E375" s="14"/>
      <c r="F375" s="14"/>
      <c r="G375" s="14"/>
      <c r="H375" s="14"/>
      <c r="I375" s="14"/>
      <c r="J375" s="14"/>
      <c r="K375" s="14"/>
    </row>
    <row r="376">
      <c r="A376" s="14"/>
      <c r="B376" s="14"/>
      <c r="C376" s="14"/>
      <c r="D376" s="14"/>
      <c r="E376" s="14"/>
      <c r="F376" s="14"/>
      <c r="G376" s="14"/>
      <c r="H376" s="14"/>
      <c r="I376" s="14"/>
      <c r="J376" s="14"/>
      <c r="K376" s="14"/>
    </row>
    <row r="377">
      <c r="A377" s="14"/>
      <c r="B377" s="14"/>
      <c r="C377" s="14"/>
      <c r="D377" s="14"/>
      <c r="E377" s="14"/>
      <c r="F377" s="14"/>
      <c r="G377" s="14"/>
      <c r="H377" s="14"/>
      <c r="I377" s="14"/>
      <c r="J377" s="14"/>
      <c r="K377" s="14"/>
    </row>
    <row r="378">
      <c r="A378" s="14"/>
      <c r="B378" s="14"/>
      <c r="C378" s="14"/>
      <c r="D378" s="14"/>
      <c r="E378" s="14"/>
      <c r="F378" s="14"/>
      <c r="G378" s="14"/>
      <c r="H378" s="14"/>
      <c r="I378" s="14"/>
      <c r="J378" s="14"/>
      <c r="K378" s="14"/>
    </row>
    <row r="379">
      <c r="A379" s="14"/>
      <c r="B379" s="14"/>
      <c r="C379" s="14"/>
      <c r="D379" s="14"/>
      <c r="E379" s="14"/>
      <c r="F379" s="14"/>
      <c r="G379" s="14"/>
      <c r="H379" s="14"/>
      <c r="I379" s="14"/>
      <c r="J379" s="14"/>
      <c r="K379" s="14"/>
    </row>
    <row r="380">
      <c r="A380" s="14"/>
      <c r="B380" s="14"/>
      <c r="C380" s="14"/>
      <c r="D380" s="14"/>
      <c r="E380" s="14"/>
      <c r="F380" s="14"/>
      <c r="G380" s="14"/>
      <c r="H380" s="14"/>
      <c r="I380" s="14"/>
      <c r="J380" s="14"/>
      <c r="K380" s="14"/>
    </row>
    <row r="381">
      <c r="A381" s="14"/>
      <c r="B381" s="14"/>
      <c r="C381" s="14"/>
      <c r="D381" s="14"/>
      <c r="E381" s="14"/>
      <c r="F381" s="14"/>
      <c r="G381" s="14"/>
      <c r="H381" s="14"/>
      <c r="I381" s="14"/>
      <c r="J381" s="14"/>
      <c r="K381" s="14"/>
    </row>
    <row r="382">
      <c r="A382" s="14"/>
      <c r="B382" s="14"/>
      <c r="C382" s="14"/>
      <c r="D382" s="14"/>
      <c r="E382" s="14"/>
      <c r="F382" s="14"/>
      <c r="G382" s="14"/>
      <c r="H382" s="14"/>
      <c r="I382" s="14"/>
      <c r="J382" s="14"/>
      <c r="K382" s="14"/>
    </row>
    <row r="383">
      <c r="A383" s="14"/>
      <c r="B383" s="14"/>
      <c r="C383" s="14"/>
      <c r="D383" s="14"/>
      <c r="E383" s="14"/>
      <c r="F383" s="14"/>
      <c r="G383" s="14"/>
      <c r="H383" s="14"/>
      <c r="I383" s="14"/>
      <c r="J383" s="14"/>
      <c r="K383" s="14"/>
    </row>
    <row r="384">
      <c r="A384" s="14"/>
      <c r="B384" s="14"/>
      <c r="C384" s="14"/>
      <c r="D384" s="14"/>
      <c r="E384" s="14"/>
      <c r="F384" s="14"/>
      <c r="G384" s="14"/>
      <c r="H384" s="14"/>
      <c r="I384" s="14"/>
      <c r="J384" s="14"/>
      <c r="K384" s="14"/>
    </row>
    <row r="385">
      <c r="A385" s="14"/>
      <c r="B385" s="14"/>
      <c r="C385" s="14"/>
      <c r="D385" s="14"/>
      <c r="E385" s="14"/>
      <c r="F385" s="14"/>
      <c r="G385" s="14"/>
      <c r="H385" s="14"/>
      <c r="I385" s="14"/>
      <c r="J385" s="14"/>
      <c r="K385" s="14"/>
    </row>
    <row r="386">
      <c r="A386" s="14"/>
      <c r="B386" s="14"/>
      <c r="C386" s="14"/>
      <c r="D386" s="14"/>
      <c r="E386" s="14"/>
      <c r="F386" s="14"/>
      <c r="G386" s="14"/>
      <c r="H386" s="14"/>
      <c r="I386" s="14"/>
      <c r="J386" s="14"/>
      <c r="K386" s="14"/>
    </row>
    <row r="387">
      <c r="A387" s="14"/>
      <c r="B387" s="14"/>
      <c r="C387" s="14"/>
      <c r="D387" s="14"/>
      <c r="E387" s="14"/>
      <c r="F387" s="14"/>
      <c r="G387" s="14"/>
      <c r="H387" s="14"/>
      <c r="I387" s="14"/>
      <c r="J387" s="14"/>
      <c r="K387" s="14"/>
    </row>
    <row r="388">
      <c r="A388" s="14"/>
      <c r="B388" s="14"/>
      <c r="C388" s="14"/>
      <c r="D388" s="14"/>
      <c r="E388" s="14"/>
      <c r="F388" s="14"/>
      <c r="G388" s="14"/>
      <c r="H388" s="14"/>
      <c r="I388" s="14"/>
      <c r="J388" s="14"/>
      <c r="K388" s="14"/>
    </row>
    <row r="389">
      <c r="A389" s="14"/>
      <c r="B389" s="14"/>
      <c r="C389" s="14"/>
      <c r="D389" s="14"/>
      <c r="E389" s="14"/>
      <c r="F389" s="14"/>
      <c r="G389" s="14"/>
      <c r="H389" s="14"/>
      <c r="I389" s="14"/>
      <c r="J389" s="14"/>
      <c r="K389" s="14"/>
    </row>
    <row r="390">
      <c r="A390" s="14"/>
      <c r="B390" s="14"/>
      <c r="C390" s="14"/>
      <c r="D390" s="14"/>
      <c r="E390" s="14"/>
      <c r="F390" s="14"/>
      <c r="G390" s="14"/>
      <c r="H390" s="14"/>
      <c r="I390" s="14"/>
      <c r="J390" s="14"/>
      <c r="K390" s="14"/>
    </row>
    <row r="391">
      <c r="A391" s="14"/>
      <c r="B391" s="14"/>
      <c r="C391" s="14"/>
      <c r="D391" s="14"/>
      <c r="E391" s="14"/>
      <c r="F391" s="14"/>
      <c r="G391" s="14"/>
      <c r="H391" s="14"/>
      <c r="I391" s="14"/>
      <c r="J391" s="14"/>
      <c r="K391" s="14"/>
    </row>
    <row r="392">
      <c r="A392" s="14"/>
      <c r="B392" s="14"/>
      <c r="C392" s="14"/>
      <c r="D392" s="14"/>
      <c r="E392" s="14"/>
      <c r="F392" s="14"/>
      <c r="G392" s="14"/>
      <c r="H392" s="14"/>
      <c r="I392" s="14"/>
      <c r="J392" s="14"/>
      <c r="K392" s="14"/>
    </row>
    <row r="393">
      <c r="A393" s="14"/>
      <c r="B393" s="14"/>
      <c r="C393" s="14"/>
      <c r="D393" s="14"/>
      <c r="E393" s="14"/>
      <c r="F393" s="14"/>
      <c r="G393" s="14"/>
      <c r="H393" s="14"/>
      <c r="I393" s="14"/>
      <c r="J393" s="14"/>
      <c r="K393" s="14"/>
    </row>
    <row r="394">
      <c r="A394" s="14"/>
      <c r="B394" s="14"/>
      <c r="C394" s="14"/>
      <c r="D394" s="14"/>
      <c r="E394" s="14"/>
      <c r="F394" s="14"/>
      <c r="G394" s="14"/>
      <c r="H394" s="14"/>
      <c r="I394" s="14"/>
      <c r="J394" s="14"/>
      <c r="K394" s="14"/>
    </row>
    <row r="395">
      <c r="A395" s="14"/>
      <c r="B395" s="14"/>
      <c r="C395" s="14"/>
      <c r="D395" s="14"/>
      <c r="E395" s="14"/>
      <c r="F395" s="14"/>
      <c r="G395" s="14"/>
      <c r="H395" s="14"/>
      <c r="I395" s="14"/>
      <c r="J395" s="14"/>
      <c r="K395" s="14"/>
    </row>
    <row r="396">
      <c r="A396" s="14"/>
      <c r="B396" s="14"/>
      <c r="C396" s="14"/>
      <c r="D396" s="14"/>
      <c r="E396" s="14"/>
      <c r="F396" s="14"/>
      <c r="G396" s="14"/>
      <c r="H396" s="14"/>
      <c r="I396" s="14"/>
      <c r="J396" s="14"/>
      <c r="K396" s="14"/>
    </row>
    <row r="397">
      <c r="A397" s="14"/>
      <c r="B397" s="14"/>
      <c r="C397" s="14"/>
      <c r="D397" s="14"/>
      <c r="E397" s="14"/>
      <c r="F397" s="14"/>
      <c r="G397" s="14"/>
      <c r="H397" s="14"/>
      <c r="I397" s="14"/>
      <c r="J397" s="14"/>
      <c r="K397" s="14"/>
    </row>
    <row r="398">
      <c r="A398" s="14"/>
      <c r="B398" s="14"/>
      <c r="C398" s="14"/>
      <c r="D398" s="14"/>
      <c r="E398" s="14"/>
      <c r="F398" s="14"/>
      <c r="G398" s="14"/>
      <c r="H398" s="14"/>
      <c r="I398" s="14"/>
      <c r="J398" s="14"/>
      <c r="K398" s="14"/>
    </row>
    <row r="399">
      <c r="A399" s="14"/>
      <c r="B399" s="14"/>
      <c r="C399" s="14"/>
      <c r="D399" s="14"/>
      <c r="E399" s="14"/>
      <c r="F399" s="14"/>
      <c r="G399" s="14"/>
      <c r="H399" s="14"/>
      <c r="I399" s="14"/>
      <c r="J399" s="14"/>
      <c r="K399" s="14"/>
    </row>
    <row r="400">
      <c r="A400" s="14"/>
      <c r="B400" s="14"/>
      <c r="C400" s="14"/>
      <c r="D400" s="14"/>
      <c r="E400" s="14"/>
      <c r="F400" s="14"/>
      <c r="G400" s="14"/>
      <c r="H400" s="14"/>
      <c r="I400" s="14"/>
      <c r="J400" s="14"/>
      <c r="K400" s="14"/>
    </row>
    <row r="401">
      <c r="A401" s="14"/>
      <c r="B401" s="14"/>
      <c r="C401" s="14"/>
      <c r="D401" s="14"/>
      <c r="E401" s="14"/>
      <c r="F401" s="14"/>
      <c r="G401" s="14"/>
      <c r="H401" s="14"/>
      <c r="I401" s="14"/>
      <c r="J401" s="14"/>
      <c r="K401" s="14"/>
    </row>
    <row r="402">
      <c r="A402" s="14"/>
      <c r="B402" s="14"/>
      <c r="C402" s="14"/>
      <c r="D402" s="14"/>
      <c r="E402" s="14"/>
      <c r="F402" s="14"/>
      <c r="G402" s="14"/>
      <c r="H402" s="14"/>
      <c r="I402" s="14"/>
      <c r="J402" s="14"/>
      <c r="K402" s="14"/>
    </row>
    <row r="403">
      <c r="A403" s="14"/>
      <c r="B403" s="14"/>
      <c r="C403" s="14"/>
      <c r="D403" s="14"/>
      <c r="E403" s="14"/>
      <c r="F403" s="14"/>
      <c r="G403" s="14"/>
      <c r="H403" s="14"/>
      <c r="I403" s="14"/>
      <c r="J403" s="14"/>
      <c r="K403" s="14"/>
    </row>
    <row r="404">
      <c r="A404" s="14"/>
      <c r="B404" s="14"/>
      <c r="C404" s="14"/>
      <c r="D404" s="14"/>
      <c r="E404" s="14"/>
      <c r="F404" s="14"/>
      <c r="G404" s="14"/>
      <c r="H404" s="14"/>
      <c r="I404" s="14"/>
      <c r="J404" s="14"/>
      <c r="K404" s="14"/>
    </row>
    <row r="405">
      <c r="A405" s="14"/>
      <c r="B405" s="14"/>
      <c r="C405" s="14"/>
      <c r="D405" s="14"/>
      <c r="E405" s="14"/>
      <c r="F405" s="14"/>
      <c r="G405" s="14"/>
      <c r="H405" s="14"/>
      <c r="I405" s="14"/>
      <c r="J405" s="14"/>
      <c r="K405" s="14"/>
    </row>
    <row r="406">
      <c r="A406" s="14"/>
      <c r="B406" s="14"/>
      <c r="C406" s="14"/>
      <c r="D406" s="14"/>
      <c r="E406" s="14"/>
      <c r="F406" s="14"/>
      <c r="G406" s="14"/>
      <c r="H406" s="14"/>
      <c r="I406" s="14"/>
      <c r="J406" s="14"/>
      <c r="K406" s="14"/>
    </row>
    <row r="407">
      <c r="A407" s="14"/>
      <c r="B407" s="14"/>
      <c r="C407" s="14"/>
      <c r="D407" s="14"/>
      <c r="E407" s="14"/>
      <c r="F407" s="14"/>
      <c r="G407" s="14"/>
      <c r="H407" s="14"/>
      <c r="I407" s="14"/>
      <c r="J407" s="14"/>
      <c r="K407" s="14"/>
    </row>
    <row r="408">
      <c r="A408" s="14"/>
      <c r="B408" s="14"/>
      <c r="C408" s="14"/>
      <c r="D408" s="14"/>
      <c r="E408" s="14"/>
      <c r="F408" s="14"/>
      <c r="G408" s="14"/>
      <c r="H408" s="14"/>
      <c r="I408" s="14"/>
      <c r="J408" s="14"/>
      <c r="K408" s="14"/>
    </row>
    <row r="409">
      <c r="A409" s="14"/>
      <c r="B409" s="14"/>
      <c r="C409" s="14"/>
      <c r="D409" s="14"/>
      <c r="E409" s="14"/>
      <c r="F409" s="14"/>
      <c r="G409" s="14"/>
      <c r="H409" s="14"/>
      <c r="I409" s="14"/>
      <c r="J409" s="14"/>
      <c r="K409" s="14"/>
    </row>
    <row r="410">
      <c r="A410" s="14"/>
      <c r="B410" s="14"/>
      <c r="C410" s="14"/>
      <c r="D410" s="14"/>
      <c r="E410" s="14"/>
      <c r="F410" s="14"/>
      <c r="G410" s="14"/>
      <c r="H410" s="14"/>
      <c r="I410" s="14"/>
      <c r="J410" s="14"/>
      <c r="K410" s="14"/>
    </row>
    <row r="411">
      <c r="A411" s="14"/>
      <c r="B411" s="14"/>
      <c r="C411" s="14"/>
      <c r="D411" s="14"/>
      <c r="E411" s="14"/>
      <c r="F411" s="14"/>
      <c r="G411" s="14"/>
      <c r="H411" s="14"/>
      <c r="I411" s="14"/>
      <c r="J411" s="14"/>
      <c r="K411" s="14"/>
    </row>
    <row r="412">
      <c r="A412" s="14"/>
      <c r="B412" s="14"/>
      <c r="C412" s="14"/>
      <c r="D412" s="14"/>
      <c r="E412" s="14"/>
      <c r="F412" s="14"/>
      <c r="G412" s="14"/>
      <c r="H412" s="14"/>
      <c r="I412" s="14"/>
      <c r="J412" s="14"/>
      <c r="K412" s="14"/>
    </row>
    <row r="413">
      <c r="A413" s="14"/>
      <c r="B413" s="14"/>
      <c r="C413" s="14"/>
      <c r="D413" s="14"/>
      <c r="E413" s="14"/>
      <c r="F413" s="14"/>
      <c r="G413" s="14"/>
      <c r="H413" s="14"/>
      <c r="I413" s="14"/>
      <c r="J413" s="14"/>
      <c r="K413" s="14"/>
    </row>
    <row r="414">
      <c r="A414" s="14"/>
      <c r="B414" s="14"/>
      <c r="C414" s="14"/>
      <c r="D414" s="14"/>
      <c r="E414" s="14"/>
      <c r="F414" s="14"/>
      <c r="G414" s="14"/>
      <c r="H414" s="14"/>
      <c r="I414" s="14"/>
      <c r="J414" s="14"/>
      <c r="K414" s="14"/>
    </row>
    <row r="415">
      <c r="A415" s="14"/>
      <c r="B415" s="14"/>
      <c r="C415" s="14"/>
      <c r="D415" s="14"/>
      <c r="E415" s="14"/>
      <c r="F415" s="14"/>
      <c r="G415" s="14"/>
      <c r="H415" s="14"/>
      <c r="I415" s="14"/>
      <c r="J415" s="14"/>
      <c r="K415" s="14"/>
    </row>
    <row r="416">
      <c r="A416" s="14"/>
      <c r="B416" s="14"/>
      <c r="C416" s="14"/>
      <c r="D416" s="14"/>
      <c r="E416" s="14"/>
      <c r="F416" s="14"/>
      <c r="G416" s="14"/>
      <c r="H416" s="14"/>
      <c r="I416" s="14"/>
      <c r="J416" s="14"/>
      <c r="K416" s="14"/>
    </row>
    <row r="417">
      <c r="A417" s="14"/>
      <c r="B417" s="14"/>
      <c r="C417" s="14"/>
      <c r="D417" s="14"/>
      <c r="E417" s="14"/>
      <c r="F417" s="14"/>
      <c r="G417" s="14"/>
      <c r="H417" s="14"/>
      <c r="I417" s="14"/>
      <c r="J417" s="14"/>
      <c r="K417" s="14"/>
    </row>
    <row r="418">
      <c r="A418" s="14"/>
      <c r="B418" s="14"/>
      <c r="C418" s="14"/>
      <c r="D418" s="14"/>
      <c r="E418" s="14"/>
      <c r="F418" s="14"/>
      <c r="G418" s="14"/>
      <c r="H418" s="14"/>
      <c r="I418" s="14"/>
      <c r="J418" s="14"/>
      <c r="K418" s="14"/>
    </row>
    <row r="419">
      <c r="A419" s="14"/>
      <c r="B419" s="14"/>
      <c r="C419" s="14"/>
      <c r="D419" s="14"/>
      <c r="E419" s="14"/>
      <c r="F419" s="14"/>
      <c r="G419" s="14"/>
      <c r="H419" s="14"/>
      <c r="I419" s="14"/>
      <c r="J419" s="14"/>
      <c r="K419" s="14"/>
    </row>
    <row r="420">
      <c r="A420" s="14"/>
      <c r="B420" s="14"/>
      <c r="C420" s="14"/>
      <c r="D420" s="14"/>
      <c r="E420" s="14"/>
      <c r="F420" s="14"/>
      <c r="G420" s="14"/>
      <c r="H420" s="14"/>
      <c r="I420" s="14"/>
      <c r="J420" s="14"/>
      <c r="K420" s="14"/>
    </row>
    <row r="421">
      <c r="A421" s="14"/>
      <c r="B421" s="14"/>
      <c r="C421" s="14"/>
      <c r="D421" s="14"/>
      <c r="E421" s="14"/>
      <c r="F421" s="14"/>
      <c r="G421" s="14"/>
      <c r="H421" s="14"/>
      <c r="I421" s="14"/>
      <c r="J421" s="14"/>
      <c r="K421" s="14"/>
    </row>
    <row r="422">
      <c r="A422" s="14"/>
      <c r="B422" s="14"/>
      <c r="C422" s="14"/>
      <c r="D422" s="14"/>
      <c r="E422" s="14"/>
      <c r="F422" s="14"/>
      <c r="G422" s="14"/>
      <c r="H422" s="14"/>
      <c r="I422" s="14"/>
      <c r="J422" s="14"/>
      <c r="K422" s="14"/>
    </row>
    <row r="423">
      <c r="A423" s="14"/>
      <c r="B423" s="14"/>
      <c r="C423" s="14"/>
      <c r="D423" s="14"/>
      <c r="E423" s="14"/>
      <c r="F423" s="14"/>
      <c r="G423" s="14"/>
      <c r="H423" s="14"/>
      <c r="I423" s="14"/>
      <c r="J423" s="14"/>
      <c r="K423" s="14"/>
    </row>
    <row r="424">
      <c r="A424" s="14"/>
      <c r="B424" s="14"/>
      <c r="C424" s="14"/>
      <c r="D424" s="14"/>
      <c r="E424" s="14"/>
      <c r="F424" s="14"/>
      <c r="G424" s="14"/>
      <c r="H424" s="14"/>
      <c r="I424" s="14"/>
      <c r="J424" s="14"/>
      <c r="K424" s="14"/>
    </row>
    <row r="425">
      <c r="A425" s="14"/>
      <c r="B425" s="14"/>
      <c r="C425" s="14"/>
      <c r="D425" s="14"/>
      <c r="E425" s="14"/>
      <c r="F425" s="14"/>
      <c r="G425" s="14"/>
      <c r="H425" s="14"/>
      <c r="I425" s="14"/>
      <c r="J425" s="14"/>
      <c r="K425" s="14"/>
    </row>
    <row r="426">
      <c r="A426" s="14"/>
      <c r="B426" s="14"/>
      <c r="C426" s="14"/>
      <c r="D426" s="14"/>
      <c r="E426" s="14"/>
      <c r="F426" s="14"/>
      <c r="G426" s="14"/>
      <c r="H426" s="14"/>
      <c r="I426" s="14"/>
      <c r="J426" s="14"/>
      <c r="K426" s="14"/>
    </row>
    <row r="427">
      <c r="A427" s="14"/>
      <c r="B427" s="14"/>
      <c r="C427" s="14"/>
      <c r="D427" s="14"/>
      <c r="E427" s="14"/>
      <c r="F427" s="14"/>
      <c r="G427" s="14"/>
      <c r="H427" s="14"/>
      <c r="I427" s="14"/>
      <c r="J427" s="14"/>
      <c r="K427" s="14"/>
    </row>
    <row r="428">
      <c r="A428" s="14"/>
      <c r="B428" s="14"/>
      <c r="C428" s="14"/>
      <c r="D428" s="14"/>
      <c r="E428" s="14"/>
      <c r="F428" s="14"/>
      <c r="G428" s="14"/>
      <c r="H428" s="14"/>
      <c r="I428" s="14"/>
      <c r="J428" s="14"/>
      <c r="K428" s="14"/>
    </row>
    <row r="429">
      <c r="A429" s="14"/>
      <c r="B429" s="14"/>
      <c r="C429" s="14"/>
      <c r="D429" s="14"/>
      <c r="E429" s="14"/>
      <c r="F429" s="14"/>
      <c r="G429" s="14"/>
      <c r="H429" s="14"/>
      <c r="I429" s="14"/>
      <c r="J429" s="14"/>
      <c r="K429" s="14"/>
    </row>
    <row r="430">
      <c r="A430" s="14"/>
      <c r="B430" s="14"/>
      <c r="C430" s="14"/>
      <c r="D430" s="14"/>
      <c r="E430" s="14"/>
      <c r="F430" s="14"/>
      <c r="G430" s="14"/>
      <c r="H430" s="14"/>
      <c r="I430" s="14"/>
      <c r="J430" s="14"/>
      <c r="K430" s="14"/>
    </row>
    <row r="431">
      <c r="A431" s="14"/>
      <c r="B431" s="14"/>
      <c r="C431" s="14"/>
      <c r="D431" s="14"/>
      <c r="E431" s="14"/>
      <c r="F431" s="14"/>
      <c r="G431" s="14"/>
      <c r="H431" s="14"/>
      <c r="I431" s="14"/>
      <c r="J431" s="14"/>
      <c r="K431" s="14"/>
    </row>
    <row r="432">
      <c r="A432" s="14"/>
      <c r="B432" s="14"/>
      <c r="C432" s="14"/>
      <c r="D432" s="14"/>
      <c r="E432" s="14"/>
      <c r="F432" s="14"/>
      <c r="G432" s="14"/>
      <c r="H432" s="14"/>
      <c r="I432" s="14"/>
      <c r="J432" s="14"/>
      <c r="K432" s="14"/>
    </row>
    <row r="433">
      <c r="A433" s="14"/>
      <c r="B433" s="14"/>
      <c r="C433" s="14"/>
      <c r="D433" s="14"/>
      <c r="E433" s="14"/>
      <c r="F433" s="14"/>
      <c r="G433" s="14"/>
      <c r="H433" s="14"/>
      <c r="I433" s="14"/>
      <c r="J433" s="14"/>
      <c r="K433" s="14"/>
    </row>
    <row r="434">
      <c r="A434" s="14"/>
      <c r="B434" s="14"/>
      <c r="C434" s="14"/>
      <c r="D434" s="14"/>
      <c r="E434" s="14"/>
      <c r="F434" s="14"/>
      <c r="G434" s="14"/>
      <c r="H434" s="14"/>
      <c r="I434" s="14"/>
      <c r="J434" s="14"/>
      <c r="K434" s="14"/>
    </row>
    <row r="435">
      <c r="A435" s="14"/>
      <c r="B435" s="14"/>
      <c r="C435" s="14"/>
      <c r="D435" s="14"/>
      <c r="E435" s="14"/>
      <c r="F435" s="14"/>
      <c r="G435" s="14"/>
      <c r="H435" s="14"/>
      <c r="I435" s="14"/>
      <c r="J435" s="14"/>
      <c r="K435" s="14"/>
    </row>
    <row r="436">
      <c r="A436" s="14"/>
      <c r="B436" s="14"/>
      <c r="C436" s="14"/>
      <c r="D436" s="14"/>
      <c r="E436" s="14"/>
      <c r="F436" s="14"/>
      <c r="G436" s="14"/>
      <c r="H436" s="14"/>
      <c r="I436" s="14"/>
      <c r="J436" s="14"/>
      <c r="K436" s="14"/>
    </row>
    <row r="437">
      <c r="A437" s="14"/>
      <c r="B437" s="14"/>
      <c r="C437" s="14"/>
      <c r="D437" s="14"/>
      <c r="E437" s="14"/>
      <c r="F437" s="14"/>
      <c r="G437" s="14"/>
      <c r="H437" s="14"/>
      <c r="I437" s="14"/>
      <c r="J437" s="14"/>
      <c r="K437" s="14"/>
    </row>
    <row r="438">
      <c r="A438" s="14"/>
      <c r="B438" s="14"/>
      <c r="C438" s="14"/>
      <c r="D438" s="14"/>
      <c r="E438" s="14"/>
      <c r="F438" s="14"/>
      <c r="G438" s="14"/>
      <c r="H438" s="14"/>
      <c r="I438" s="14"/>
      <c r="J438" s="14"/>
      <c r="K438" s="14"/>
    </row>
    <row r="439">
      <c r="A439" s="14"/>
      <c r="B439" s="14"/>
      <c r="C439" s="14"/>
      <c r="D439" s="14"/>
      <c r="E439" s="14"/>
      <c r="F439" s="14"/>
      <c r="G439" s="14"/>
      <c r="H439" s="14"/>
      <c r="I439" s="14"/>
      <c r="J439" s="14"/>
      <c r="K439" s="14"/>
    </row>
    <row r="440">
      <c r="A440" s="14"/>
      <c r="B440" s="14"/>
      <c r="C440" s="14"/>
      <c r="D440" s="14"/>
      <c r="E440" s="14"/>
      <c r="F440" s="14"/>
      <c r="G440" s="14"/>
      <c r="H440" s="14"/>
      <c r="I440" s="14"/>
      <c r="J440" s="14"/>
      <c r="K440" s="14"/>
    </row>
    <row r="441">
      <c r="A441" s="14"/>
      <c r="B441" s="14"/>
      <c r="C441" s="14"/>
      <c r="D441" s="14"/>
      <c r="E441" s="14"/>
      <c r="F441" s="14"/>
      <c r="G441" s="14"/>
      <c r="H441" s="14"/>
      <c r="I441" s="14"/>
      <c r="J441" s="14"/>
      <c r="K441" s="14"/>
    </row>
    <row r="442">
      <c r="A442" s="14"/>
      <c r="B442" s="14"/>
      <c r="C442" s="14"/>
      <c r="D442" s="14"/>
      <c r="E442" s="14"/>
      <c r="F442" s="14"/>
      <c r="G442" s="14"/>
      <c r="H442" s="14"/>
      <c r="I442" s="14"/>
      <c r="J442" s="14"/>
      <c r="K442" s="14"/>
    </row>
    <row r="443">
      <c r="A443" s="14"/>
      <c r="B443" s="14"/>
      <c r="C443" s="14"/>
      <c r="D443" s="14"/>
      <c r="E443" s="14"/>
      <c r="F443" s="14"/>
      <c r="G443" s="14"/>
      <c r="H443" s="14"/>
      <c r="I443" s="14"/>
      <c r="J443" s="14"/>
      <c r="K443" s="14"/>
    </row>
    <row r="444">
      <c r="A444" s="14"/>
      <c r="B444" s="14"/>
      <c r="C444" s="14"/>
      <c r="D444" s="14"/>
      <c r="E444" s="14"/>
      <c r="F444" s="14"/>
      <c r="G444" s="14"/>
      <c r="H444" s="14"/>
      <c r="I444" s="14"/>
      <c r="J444" s="14"/>
      <c r="K444" s="14"/>
    </row>
    <row r="445">
      <c r="A445" s="14"/>
      <c r="B445" s="14"/>
      <c r="C445" s="14"/>
      <c r="D445" s="14"/>
      <c r="E445" s="14"/>
      <c r="F445" s="14"/>
      <c r="G445" s="14"/>
      <c r="H445" s="14"/>
      <c r="I445" s="14"/>
      <c r="J445" s="14"/>
      <c r="K445" s="14"/>
    </row>
    <row r="446">
      <c r="A446" s="14"/>
      <c r="B446" s="14"/>
      <c r="C446" s="14"/>
      <c r="D446" s="14"/>
      <c r="E446" s="14"/>
      <c r="F446" s="14"/>
      <c r="G446" s="14"/>
      <c r="H446" s="14"/>
      <c r="I446" s="14"/>
      <c r="J446" s="14"/>
      <c r="K446" s="14"/>
    </row>
    <row r="447">
      <c r="A447" s="14"/>
      <c r="B447" s="14"/>
      <c r="C447" s="14"/>
      <c r="D447" s="14"/>
      <c r="E447" s="14"/>
      <c r="F447" s="14"/>
      <c r="G447" s="14"/>
      <c r="H447" s="14"/>
      <c r="I447" s="14"/>
      <c r="J447" s="14"/>
      <c r="K447" s="14"/>
    </row>
    <row r="448">
      <c r="A448" s="14"/>
      <c r="B448" s="14"/>
      <c r="C448" s="14"/>
      <c r="D448" s="14"/>
      <c r="E448" s="14"/>
      <c r="F448" s="14"/>
      <c r="G448" s="14"/>
      <c r="H448" s="14"/>
      <c r="I448" s="14"/>
      <c r="J448" s="14"/>
      <c r="K448" s="14"/>
    </row>
    <row r="449">
      <c r="A449" s="14"/>
      <c r="B449" s="14"/>
      <c r="C449" s="14"/>
      <c r="D449" s="14"/>
      <c r="E449" s="14"/>
      <c r="F449" s="14"/>
      <c r="G449" s="14"/>
      <c r="H449" s="14"/>
      <c r="I449" s="14"/>
      <c r="J449" s="14"/>
      <c r="K449" s="14"/>
    </row>
    <row r="450">
      <c r="A450" s="14"/>
      <c r="B450" s="14"/>
      <c r="C450" s="14"/>
      <c r="D450" s="14"/>
      <c r="E450" s="14"/>
      <c r="F450" s="14"/>
      <c r="G450" s="14"/>
      <c r="H450" s="14"/>
      <c r="I450" s="14"/>
      <c r="J450" s="14"/>
      <c r="K450" s="14"/>
    </row>
    <row r="451">
      <c r="A451" s="14"/>
      <c r="B451" s="14"/>
      <c r="C451" s="14"/>
      <c r="D451" s="14"/>
      <c r="E451" s="14"/>
      <c r="F451" s="14"/>
      <c r="G451" s="14"/>
      <c r="H451" s="14"/>
      <c r="I451" s="14"/>
      <c r="J451" s="14"/>
      <c r="K451" s="14"/>
    </row>
    <row r="452">
      <c r="A452" s="14"/>
      <c r="B452" s="14"/>
      <c r="C452" s="14"/>
      <c r="D452" s="14"/>
      <c r="E452" s="14"/>
      <c r="F452" s="14"/>
      <c r="G452" s="14"/>
      <c r="H452" s="14"/>
      <c r="I452" s="14"/>
      <c r="J452" s="14"/>
      <c r="K452" s="14"/>
    </row>
    <row r="453">
      <c r="A453" s="14"/>
      <c r="B453" s="14"/>
      <c r="C453" s="14"/>
      <c r="D453" s="14"/>
      <c r="E453" s="14"/>
      <c r="F453" s="14"/>
      <c r="G453" s="14"/>
      <c r="H453" s="14"/>
      <c r="I453" s="14"/>
      <c r="J453" s="14"/>
      <c r="K453" s="14"/>
    </row>
    <row r="454">
      <c r="A454" s="14"/>
      <c r="B454" s="14"/>
      <c r="C454" s="14"/>
      <c r="D454" s="14"/>
      <c r="E454" s="14"/>
      <c r="F454" s="14"/>
      <c r="G454" s="14"/>
      <c r="H454" s="14"/>
      <c r="I454" s="14"/>
      <c r="J454" s="14"/>
      <c r="K454" s="14"/>
    </row>
    <row r="455">
      <c r="A455" s="14"/>
      <c r="B455" s="14"/>
      <c r="C455" s="14"/>
      <c r="D455" s="14"/>
      <c r="E455" s="14"/>
      <c r="F455" s="14"/>
      <c r="G455" s="14"/>
      <c r="H455" s="14"/>
      <c r="I455" s="14"/>
      <c r="J455" s="14"/>
      <c r="K455" s="14"/>
    </row>
    <row r="456">
      <c r="A456" s="14"/>
      <c r="B456" s="14"/>
      <c r="C456" s="14"/>
      <c r="D456" s="14"/>
      <c r="E456" s="14"/>
      <c r="F456" s="14"/>
      <c r="G456" s="14"/>
      <c r="H456" s="14"/>
      <c r="I456" s="14"/>
      <c r="J456" s="14"/>
      <c r="K456" s="14"/>
    </row>
    <row r="457">
      <c r="A457" s="14"/>
      <c r="B457" s="14"/>
      <c r="C457" s="14"/>
      <c r="D457" s="14"/>
      <c r="E457" s="14"/>
      <c r="F457" s="14"/>
      <c r="G457" s="14"/>
      <c r="H457" s="14"/>
      <c r="I457" s="14"/>
      <c r="J457" s="14"/>
      <c r="K457" s="14"/>
    </row>
    <row r="458">
      <c r="A458" s="14"/>
      <c r="B458" s="14"/>
      <c r="C458" s="14"/>
      <c r="D458" s="14"/>
      <c r="E458" s="14"/>
      <c r="F458" s="14"/>
      <c r="G458" s="14"/>
      <c r="H458" s="14"/>
      <c r="I458" s="14"/>
      <c r="J458" s="14"/>
      <c r="K458" s="14"/>
    </row>
    <row r="459">
      <c r="A459" s="14"/>
      <c r="B459" s="14"/>
      <c r="C459" s="14"/>
      <c r="D459" s="14"/>
      <c r="E459" s="14"/>
      <c r="F459" s="14"/>
      <c r="G459" s="14"/>
      <c r="H459" s="14"/>
      <c r="I459" s="14"/>
      <c r="J459" s="14"/>
      <c r="K459" s="14"/>
    </row>
    <row r="460">
      <c r="A460" s="14"/>
      <c r="B460" s="14"/>
      <c r="C460" s="14"/>
      <c r="D460" s="14"/>
      <c r="E460" s="14"/>
      <c r="F460" s="14"/>
      <c r="G460" s="14"/>
      <c r="H460" s="14"/>
      <c r="I460" s="14"/>
      <c r="J460" s="14"/>
      <c r="K460" s="14"/>
    </row>
    <row r="461">
      <c r="A461" s="14"/>
      <c r="B461" s="14"/>
      <c r="C461" s="14"/>
      <c r="D461" s="14"/>
      <c r="E461" s="14"/>
      <c r="F461" s="14"/>
      <c r="G461" s="14"/>
      <c r="H461" s="14"/>
      <c r="I461" s="14"/>
      <c r="J461" s="14"/>
      <c r="K461" s="14"/>
    </row>
    <row r="462">
      <c r="A462" s="14"/>
      <c r="B462" s="14"/>
      <c r="C462" s="14"/>
      <c r="D462" s="14"/>
      <c r="E462" s="14"/>
      <c r="F462" s="14"/>
      <c r="G462" s="14"/>
      <c r="H462" s="14"/>
      <c r="I462" s="14"/>
      <c r="J462" s="14"/>
      <c r="K462" s="14"/>
    </row>
    <row r="463">
      <c r="A463" s="14"/>
      <c r="B463" s="14"/>
      <c r="C463" s="14"/>
      <c r="D463" s="14"/>
      <c r="E463" s="14"/>
      <c r="F463" s="14"/>
      <c r="G463" s="14"/>
      <c r="H463" s="14"/>
      <c r="I463" s="14"/>
      <c r="J463" s="14"/>
      <c r="K463" s="14"/>
    </row>
    <row r="464">
      <c r="A464" s="14"/>
      <c r="B464" s="14"/>
      <c r="C464" s="14"/>
      <c r="D464" s="14"/>
      <c r="E464" s="14"/>
      <c r="F464" s="14"/>
      <c r="G464" s="14"/>
      <c r="H464" s="14"/>
      <c r="I464" s="14"/>
      <c r="J464" s="14"/>
      <c r="K464" s="14"/>
    </row>
    <row r="465">
      <c r="A465" s="14"/>
      <c r="B465" s="14"/>
      <c r="C465" s="14"/>
      <c r="D465" s="14"/>
      <c r="E465" s="14"/>
      <c r="F465" s="14"/>
      <c r="G465" s="14"/>
      <c r="H465" s="14"/>
      <c r="I465" s="14"/>
      <c r="J465" s="14"/>
      <c r="K465" s="14"/>
    </row>
    <row r="466">
      <c r="A466" s="14"/>
      <c r="B466" s="14"/>
      <c r="C466" s="14"/>
      <c r="D466" s="14"/>
      <c r="E466" s="14"/>
      <c r="F466" s="14"/>
      <c r="G466" s="14"/>
      <c r="H466" s="14"/>
      <c r="I466" s="14"/>
      <c r="J466" s="14"/>
      <c r="K466" s="14"/>
    </row>
    <row r="467">
      <c r="A467" s="14"/>
      <c r="B467" s="14"/>
      <c r="C467" s="14"/>
      <c r="D467" s="14"/>
      <c r="E467" s="14"/>
      <c r="F467" s="14"/>
      <c r="G467" s="14"/>
      <c r="H467" s="14"/>
      <c r="I467" s="14"/>
      <c r="J467" s="14"/>
      <c r="K467" s="14"/>
    </row>
    <row r="468">
      <c r="A468" s="14"/>
      <c r="B468" s="14"/>
      <c r="C468" s="14"/>
      <c r="D468" s="14"/>
      <c r="E468" s="14"/>
      <c r="F468" s="14"/>
      <c r="G468" s="14"/>
      <c r="H468" s="14"/>
      <c r="I468" s="14"/>
      <c r="J468" s="14"/>
      <c r="K468" s="14"/>
    </row>
    <row r="469">
      <c r="A469" s="14"/>
      <c r="B469" s="14"/>
      <c r="C469" s="14"/>
      <c r="D469" s="14"/>
      <c r="E469" s="14"/>
      <c r="F469" s="14"/>
      <c r="G469" s="14"/>
      <c r="H469" s="14"/>
      <c r="I469" s="14"/>
      <c r="J469" s="14"/>
      <c r="K469" s="14"/>
    </row>
    <row r="470">
      <c r="A470" s="14"/>
      <c r="B470" s="14"/>
      <c r="C470" s="14"/>
      <c r="D470" s="14"/>
      <c r="E470" s="14"/>
      <c r="F470" s="14"/>
      <c r="G470" s="14"/>
      <c r="H470" s="14"/>
      <c r="I470" s="14"/>
      <c r="J470" s="14"/>
      <c r="K470" s="14"/>
    </row>
    <row r="471">
      <c r="A471" s="14"/>
      <c r="B471" s="14"/>
      <c r="C471" s="14"/>
      <c r="D471" s="14"/>
      <c r="E471" s="14"/>
      <c r="F471" s="14"/>
      <c r="G471" s="14"/>
      <c r="H471" s="14"/>
      <c r="I471" s="14"/>
      <c r="J471" s="14"/>
      <c r="K471" s="14"/>
    </row>
    <row r="472">
      <c r="A472" s="14"/>
      <c r="B472" s="14"/>
      <c r="C472" s="14"/>
      <c r="D472" s="14"/>
      <c r="E472" s="14"/>
      <c r="F472" s="14"/>
      <c r="G472" s="14"/>
      <c r="H472" s="14"/>
      <c r="I472" s="14"/>
      <c r="J472" s="14"/>
      <c r="K472" s="14"/>
    </row>
    <row r="473">
      <c r="A473" s="14"/>
      <c r="B473" s="14"/>
      <c r="C473" s="14"/>
      <c r="D473" s="14"/>
      <c r="E473" s="14"/>
      <c r="F473" s="14"/>
      <c r="G473" s="14"/>
      <c r="H473" s="14"/>
      <c r="I473" s="14"/>
      <c r="J473" s="14"/>
      <c r="K473" s="14"/>
    </row>
    <row r="474">
      <c r="A474" s="14"/>
      <c r="B474" s="14"/>
      <c r="C474" s="14"/>
      <c r="D474" s="14"/>
      <c r="E474" s="14"/>
      <c r="F474" s="14"/>
      <c r="G474" s="14"/>
      <c r="H474" s="14"/>
      <c r="I474" s="14"/>
      <c r="J474" s="14"/>
      <c r="K474" s="14"/>
    </row>
    <row r="475">
      <c r="A475" s="14"/>
      <c r="B475" s="14"/>
      <c r="C475" s="14"/>
      <c r="D475" s="14"/>
      <c r="E475" s="14"/>
      <c r="F475" s="14"/>
      <c r="G475" s="14"/>
      <c r="H475" s="14"/>
      <c r="I475" s="14"/>
      <c r="J475" s="14"/>
      <c r="K475" s="14"/>
    </row>
    <row r="476">
      <c r="A476" s="14"/>
      <c r="B476" s="14"/>
      <c r="C476" s="14"/>
      <c r="D476" s="14"/>
      <c r="E476" s="14"/>
      <c r="F476" s="14"/>
      <c r="G476" s="14"/>
      <c r="H476" s="14"/>
      <c r="I476" s="14"/>
      <c r="J476" s="14"/>
      <c r="K476" s="14"/>
    </row>
    <row r="477">
      <c r="A477" s="14"/>
      <c r="B477" s="14"/>
      <c r="C477" s="14"/>
      <c r="D477" s="14"/>
      <c r="E477" s="14"/>
      <c r="F477" s="14"/>
      <c r="G477" s="14"/>
      <c r="H477" s="14"/>
      <c r="I477" s="14"/>
      <c r="J477" s="14"/>
      <c r="K477" s="14"/>
    </row>
    <row r="478">
      <c r="A478" s="14"/>
      <c r="B478" s="14"/>
      <c r="C478" s="14"/>
      <c r="D478" s="14"/>
      <c r="E478" s="14"/>
      <c r="F478" s="14"/>
      <c r="G478" s="14"/>
      <c r="H478" s="14"/>
      <c r="I478" s="14"/>
      <c r="J478" s="14"/>
      <c r="K478" s="14"/>
    </row>
    <row r="479">
      <c r="A479" s="14"/>
      <c r="B479" s="14"/>
      <c r="C479" s="14"/>
      <c r="D479" s="14"/>
      <c r="E479" s="14"/>
      <c r="F479" s="14"/>
      <c r="G479" s="14"/>
      <c r="H479" s="14"/>
      <c r="I479" s="14"/>
      <c r="J479" s="14"/>
      <c r="K479" s="14"/>
    </row>
    <row r="480">
      <c r="A480" s="14"/>
      <c r="B480" s="14"/>
      <c r="C480" s="14"/>
      <c r="D480" s="14"/>
      <c r="E480" s="14"/>
      <c r="F480" s="14"/>
      <c r="G480" s="14"/>
      <c r="H480" s="14"/>
      <c r="I480" s="14"/>
      <c r="J480" s="14"/>
      <c r="K480" s="14"/>
    </row>
    <row r="481">
      <c r="A481" s="14"/>
      <c r="B481" s="14"/>
      <c r="C481" s="14"/>
      <c r="D481" s="14"/>
      <c r="E481" s="14"/>
      <c r="F481" s="14"/>
      <c r="G481" s="14"/>
      <c r="H481" s="14"/>
      <c r="I481" s="14"/>
      <c r="J481" s="14"/>
      <c r="K481" s="14"/>
    </row>
    <row r="482">
      <c r="A482" s="14"/>
      <c r="B482" s="14"/>
      <c r="C482" s="14"/>
      <c r="D482" s="14"/>
      <c r="E482" s="14"/>
      <c r="F482" s="14"/>
      <c r="G482" s="14"/>
      <c r="H482" s="14"/>
      <c r="I482" s="14"/>
      <c r="J482" s="14"/>
      <c r="K482" s="14"/>
    </row>
    <row r="483">
      <c r="A483" s="14"/>
      <c r="B483" s="14"/>
      <c r="C483" s="14"/>
      <c r="D483" s="14"/>
      <c r="E483" s="14"/>
      <c r="F483" s="14"/>
      <c r="G483" s="14"/>
      <c r="H483" s="14"/>
      <c r="I483" s="14"/>
      <c r="J483" s="14"/>
      <c r="K483" s="14"/>
    </row>
    <row r="484">
      <c r="A484" s="14"/>
      <c r="B484" s="14"/>
      <c r="C484" s="14"/>
      <c r="D484" s="14"/>
      <c r="E484" s="14"/>
      <c r="F484" s="14"/>
      <c r="G484" s="14"/>
      <c r="H484" s="14"/>
      <c r="I484" s="14"/>
      <c r="J484" s="14"/>
      <c r="K484" s="14"/>
    </row>
    <row r="485">
      <c r="A485" s="14"/>
      <c r="B485" s="14"/>
      <c r="C485" s="14"/>
      <c r="D485" s="14"/>
      <c r="E485" s="14"/>
      <c r="F485" s="14"/>
      <c r="G485" s="14"/>
      <c r="H485" s="14"/>
      <c r="I485" s="14"/>
      <c r="J485" s="14"/>
      <c r="K485" s="14"/>
    </row>
    <row r="486">
      <c r="A486" s="14"/>
      <c r="B486" s="14"/>
      <c r="C486" s="14"/>
      <c r="D486" s="14"/>
      <c r="E486" s="14"/>
      <c r="F486" s="14"/>
      <c r="G486" s="14"/>
      <c r="H486" s="14"/>
      <c r="I486" s="14"/>
      <c r="J486" s="14"/>
      <c r="K486" s="14"/>
    </row>
    <row r="487">
      <c r="A487" s="14"/>
      <c r="B487" s="14"/>
      <c r="C487" s="14"/>
      <c r="D487" s="14"/>
      <c r="E487" s="14"/>
      <c r="F487" s="14"/>
      <c r="G487" s="14"/>
      <c r="H487" s="14"/>
      <c r="I487" s="14"/>
      <c r="J487" s="14"/>
      <c r="K487" s="14"/>
    </row>
    <row r="488">
      <c r="A488" s="14"/>
      <c r="B488" s="14"/>
      <c r="C488" s="14"/>
      <c r="D488" s="14"/>
      <c r="E488" s="14"/>
      <c r="F488" s="14"/>
      <c r="G488" s="14"/>
      <c r="H488" s="14"/>
      <c r="I488" s="14"/>
      <c r="J488" s="14"/>
      <c r="K488" s="14"/>
    </row>
    <row r="489">
      <c r="A489" s="14"/>
      <c r="B489" s="14"/>
      <c r="C489" s="14"/>
      <c r="D489" s="14"/>
      <c r="E489" s="14"/>
      <c r="F489" s="14"/>
      <c r="G489" s="14"/>
      <c r="H489" s="14"/>
      <c r="I489" s="14"/>
      <c r="J489" s="14"/>
      <c r="K489" s="14"/>
    </row>
    <row r="490">
      <c r="A490" s="14"/>
      <c r="B490" s="14"/>
      <c r="C490" s="14"/>
      <c r="D490" s="14"/>
      <c r="E490" s="14"/>
      <c r="F490" s="14"/>
      <c r="G490" s="14"/>
      <c r="H490" s="14"/>
      <c r="I490" s="14"/>
      <c r="J490" s="14"/>
      <c r="K490" s="14"/>
    </row>
    <row r="491">
      <c r="A491" s="14"/>
      <c r="B491" s="14"/>
      <c r="C491" s="14"/>
      <c r="D491" s="14"/>
      <c r="E491" s="14"/>
      <c r="F491" s="14"/>
      <c r="G491" s="14"/>
      <c r="H491" s="14"/>
      <c r="I491" s="14"/>
      <c r="J491" s="14"/>
      <c r="K491" s="14"/>
    </row>
    <row r="492">
      <c r="A492" s="14"/>
      <c r="B492" s="14"/>
      <c r="C492" s="14"/>
      <c r="D492" s="14"/>
      <c r="E492" s="14"/>
      <c r="F492" s="14"/>
      <c r="G492" s="14"/>
      <c r="H492" s="14"/>
      <c r="I492" s="14"/>
      <c r="J492" s="14"/>
      <c r="K492" s="14"/>
    </row>
    <row r="493">
      <c r="A493" s="14"/>
      <c r="B493" s="14"/>
      <c r="C493" s="14"/>
      <c r="D493" s="14"/>
      <c r="E493" s="14"/>
      <c r="F493" s="14"/>
      <c r="G493" s="14"/>
      <c r="H493" s="14"/>
      <c r="I493" s="14"/>
      <c r="J493" s="14"/>
      <c r="K493" s="14"/>
    </row>
    <row r="494">
      <c r="A494" s="14"/>
      <c r="B494" s="14"/>
      <c r="C494" s="14"/>
      <c r="D494" s="14"/>
      <c r="E494" s="14"/>
      <c r="F494" s="14"/>
      <c r="G494" s="14"/>
      <c r="H494" s="14"/>
      <c r="I494" s="14"/>
      <c r="J494" s="14"/>
      <c r="K494" s="14"/>
    </row>
    <row r="495">
      <c r="A495" s="14"/>
      <c r="B495" s="14"/>
      <c r="C495" s="14"/>
      <c r="D495" s="14"/>
      <c r="E495" s="14"/>
      <c r="F495" s="14"/>
      <c r="G495" s="14"/>
      <c r="H495" s="14"/>
      <c r="I495" s="14"/>
      <c r="J495" s="14"/>
      <c r="K495" s="14"/>
    </row>
    <row r="496">
      <c r="A496" s="14"/>
      <c r="B496" s="14"/>
      <c r="C496" s="14"/>
      <c r="D496" s="14"/>
      <c r="E496" s="14"/>
      <c r="F496" s="14"/>
      <c r="G496" s="14"/>
      <c r="H496" s="14"/>
      <c r="I496" s="14"/>
      <c r="J496" s="14"/>
      <c r="K496" s="14"/>
    </row>
    <row r="497">
      <c r="A497" s="14"/>
      <c r="B497" s="14"/>
      <c r="C497" s="14"/>
      <c r="D497" s="14"/>
      <c r="E497" s="14"/>
      <c r="F497" s="14"/>
      <c r="G497" s="14"/>
      <c r="H497" s="14"/>
      <c r="I497" s="14"/>
      <c r="J497" s="14"/>
      <c r="K497" s="14"/>
    </row>
    <row r="498">
      <c r="A498" s="14"/>
      <c r="B498" s="14"/>
      <c r="C498" s="14"/>
      <c r="D498" s="14"/>
      <c r="E498" s="14"/>
      <c r="F498" s="14"/>
      <c r="G498" s="14"/>
      <c r="H498" s="14"/>
      <c r="I498" s="14"/>
      <c r="J498" s="14"/>
      <c r="K498" s="14"/>
    </row>
    <row r="499">
      <c r="A499" s="14"/>
      <c r="B499" s="14"/>
      <c r="C499" s="14"/>
      <c r="D499" s="14"/>
      <c r="E499" s="14"/>
      <c r="F499" s="14"/>
      <c r="G499" s="14"/>
      <c r="H499" s="14"/>
      <c r="I499" s="14"/>
      <c r="J499" s="14"/>
      <c r="K499" s="14"/>
    </row>
    <row r="500">
      <c r="A500" s="14"/>
      <c r="B500" s="14"/>
      <c r="C500" s="14"/>
      <c r="D500" s="14"/>
      <c r="E500" s="14"/>
      <c r="F500" s="14"/>
      <c r="G500" s="14"/>
      <c r="H500" s="14"/>
      <c r="I500" s="14"/>
      <c r="J500" s="14"/>
      <c r="K500" s="14"/>
    </row>
    <row r="501">
      <c r="A501" s="14"/>
      <c r="B501" s="14"/>
      <c r="C501" s="14"/>
      <c r="D501" s="14"/>
      <c r="E501" s="14"/>
      <c r="F501" s="14"/>
      <c r="G501" s="14"/>
      <c r="H501" s="14"/>
      <c r="I501" s="14"/>
      <c r="J501" s="14"/>
      <c r="K501" s="14"/>
    </row>
    <row r="502">
      <c r="A502" s="14"/>
      <c r="B502" s="14"/>
      <c r="C502" s="14"/>
      <c r="D502" s="14"/>
      <c r="E502" s="14"/>
      <c r="F502" s="14"/>
      <c r="G502" s="14"/>
      <c r="H502" s="14"/>
      <c r="I502" s="14"/>
      <c r="J502" s="14"/>
      <c r="K502" s="14"/>
    </row>
    <row r="503">
      <c r="A503" s="14"/>
      <c r="B503" s="14"/>
      <c r="C503" s="14"/>
      <c r="D503" s="14"/>
      <c r="E503" s="14"/>
      <c r="F503" s="14"/>
      <c r="G503" s="14"/>
      <c r="H503" s="14"/>
      <c r="I503" s="14"/>
      <c r="J503" s="14"/>
      <c r="K503" s="14"/>
    </row>
    <row r="504">
      <c r="A504" s="14"/>
      <c r="B504" s="14"/>
      <c r="C504" s="14"/>
      <c r="D504" s="14"/>
      <c r="E504" s="14"/>
      <c r="F504" s="14"/>
      <c r="G504" s="14"/>
      <c r="H504" s="14"/>
      <c r="I504" s="14"/>
      <c r="J504" s="14"/>
      <c r="K504" s="14"/>
    </row>
    <row r="505">
      <c r="A505" s="14"/>
      <c r="B505" s="14"/>
      <c r="C505" s="14"/>
      <c r="D505" s="14"/>
      <c r="E505" s="14"/>
      <c r="F505" s="14"/>
      <c r="G505" s="14"/>
      <c r="H505" s="14"/>
      <c r="I505" s="14"/>
      <c r="J505" s="14"/>
      <c r="K505" s="14"/>
    </row>
    <row r="506">
      <c r="A506" s="14"/>
      <c r="B506" s="14"/>
      <c r="C506" s="14"/>
      <c r="D506" s="14"/>
      <c r="E506" s="14"/>
      <c r="F506" s="14"/>
      <c r="G506" s="14"/>
      <c r="H506" s="14"/>
      <c r="I506" s="14"/>
      <c r="J506" s="14"/>
      <c r="K506" s="14"/>
    </row>
    <row r="507">
      <c r="A507" s="14"/>
      <c r="B507" s="14"/>
      <c r="C507" s="14"/>
      <c r="D507" s="14"/>
      <c r="E507" s="14"/>
      <c r="F507" s="14"/>
      <c r="G507" s="14"/>
      <c r="H507" s="14"/>
      <c r="I507" s="14"/>
      <c r="J507" s="14"/>
      <c r="K507" s="14"/>
    </row>
    <row r="508">
      <c r="A508" s="14"/>
      <c r="B508" s="14"/>
      <c r="C508" s="14"/>
      <c r="D508" s="14"/>
      <c r="E508" s="14"/>
      <c r="F508" s="14"/>
      <c r="G508" s="14"/>
      <c r="H508" s="14"/>
      <c r="I508" s="14"/>
      <c r="J508" s="14"/>
      <c r="K508" s="14"/>
    </row>
    <row r="509">
      <c r="A509" s="14"/>
      <c r="B509" s="14"/>
      <c r="C509" s="14"/>
      <c r="D509" s="14"/>
      <c r="E509" s="14"/>
      <c r="F509" s="14"/>
      <c r="G509" s="14"/>
      <c r="H509" s="14"/>
      <c r="I509" s="14"/>
      <c r="J509" s="14"/>
      <c r="K509" s="14"/>
    </row>
    <row r="510">
      <c r="A510" s="14"/>
      <c r="B510" s="14"/>
      <c r="C510" s="14"/>
      <c r="D510" s="14"/>
      <c r="E510" s="14"/>
      <c r="F510" s="14"/>
      <c r="G510" s="14"/>
      <c r="H510" s="14"/>
      <c r="I510" s="14"/>
      <c r="J510" s="14"/>
      <c r="K510" s="14"/>
    </row>
    <row r="511">
      <c r="A511" s="14"/>
      <c r="B511" s="14"/>
      <c r="C511" s="14"/>
      <c r="D511" s="14"/>
      <c r="E511" s="14"/>
      <c r="F511" s="14"/>
      <c r="G511" s="14"/>
      <c r="H511" s="14"/>
      <c r="I511" s="14"/>
      <c r="J511" s="14"/>
      <c r="K511" s="14"/>
    </row>
    <row r="512">
      <c r="A512" s="14"/>
      <c r="B512" s="14"/>
      <c r="C512" s="14"/>
      <c r="D512" s="14"/>
      <c r="E512" s="14"/>
      <c r="F512" s="14"/>
      <c r="G512" s="14"/>
      <c r="H512" s="14"/>
      <c r="I512" s="14"/>
      <c r="J512" s="14"/>
      <c r="K512" s="14"/>
    </row>
    <row r="513">
      <c r="A513" s="14"/>
      <c r="B513" s="14"/>
      <c r="C513" s="14"/>
      <c r="D513" s="14"/>
      <c r="E513" s="14"/>
      <c r="F513" s="14"/>
      <c r="G513" s="14"/>
      <c r="H513" s="14"/>
      <c r="I513" s="14"/>
      <c r="J513" s="14"/>
      <c r="K513" s="14"/>
    </row>
    <row r="514">
      <c r="A514" s="14"/>
      <c r="B514" s="14"/>
      <c r="C514" s="14"/>
      <c r="D514" s="14"/>
      <c r="E514" s="14"/>
      <c r="F514" s="14"/>
      <c r="G514" s="14"/>
      <c r="H514" s="14"/>
      <c r="I514" s="14"/>
      <c r="J514" s="14"/>
      <c r="K514" s="14"/>
    </row>
    <row r="515">
      <c r="A515" s="14"/>
      <c r="B515" s="14"/>
      <c r="C515" s="14"/>
      <c r="D515" s="14"/>
      <c r="E515" s="14"/>
      <c r="F515" s="14"/>
      <c r="G515" s="14"/>
      <c r="H515" s="14"/>
      <c r="I515" s="14"/>
      <c r="J515" s="14"/>
      <c r="K515" s="14"/>
    </row>
    <row r="516">
      <c r="A516" s="14"/>
      <c r="B516" s="14"/>
      <c r="C516" s="14"/>
      <c r="D516" s="14"/>
      <c r="E516" s="14"/>
      <c r="F516" s="14"/>
      <c r="G516" s="14"/>
      <c r="H516" s="14"/>
      <c r="I516" s="14"/>
      <c r="J516" s="14"/>
      <c r="K516" s="14"/>
    </row>
    <row r="517">
      <c r="A517" s="14"/>
      <c r="B517" s="14"/>
      <c r="C517" s="14"/>
      <c r="D517" s="14"/>
      <c r="E517" s="14"/>
      <c r="F517" s="14"/>
      <c r="G517" s="14"/>
      <c r="H517" s="14"/>
      <c r="I517" s="14"/>
      <c r="J517" s="14"/>
      <c r="K517" s="14"/>
    </row>
    <row r="518">
      <c r="A518" s="14"/>
      <c r="B518" s="14"/>
      <c r="C518" s="14"/>
      <c r="D518" s="14"/>
      <c r="E518" s="14"/>
      <c r="F518" s="14"/>
      <c r="G518" s="14"/>
      <c r="H518" s="14"/>
      <c r="I518" s="14"/>
      <c r="J518" s="14"/>
      <c r="K518" s="14"/>
    </row>
    <row r="519">
      <c r="A519" s="14"/>
      <c r="B519" s="14"/>
      <c r="C519" s="14"/>
      <c r="D519" s="14"/>
      <c r="E519" s="14"/>
      <c r="F519" s="14"/>
      <c r="G519" s="14"/>
      <c r="H519" s="14"/>
      <c r="I519" s="14"/>
      <c r="J519" s="14"/>
      <c r="K519" s="14"/>
    </row>
    <row r="520">
      <c r="A520" s="14"/>
      <c r="B520" s="14"/>
      <c r="C520" s="14"/>
      <c r="D520" s="14"/>
      <c r="E520" s="14"/>
      <c r="F520" s="14"/>
      <c r="G520" s="14"/>
      <c r="H520" s="14"/>
      <c r="I520" s="14"/>
      <c r="J520" s="14"/>
      <c r="K520" s="14"/>
    </row>
    <row r="521">
      <c r="A521" s="14"/>
      <c r="B521" s="14"/>
      <c r="C521" s="14"/>
      <c r="D521" s="14"/>
      <c r="E521" s="14"/>
      <c r="F521" s="14"/>
      <c r="G521" s="14"/>
      <c r="H521" s="14"/>
      <c r="I521" s="14"/>
      <c r="J521" s="14"/>
      <c r="K521" s="14"/>
    </row>
    <row r="522">
      <c r="A522" s="14"/>
      <c r="B522" s="14"/>
      <c r="C522" s="14"/>
      <c r="D522" s="14"/>
      <c r="E522" s="14"/>
      <c r="F522" s="14"/>
      <c r="G522" s="14"/>
      <c r="H522" s="14"/>
      <c r="I522" s="14"/>
      <c r="J522" s="14"/>
      <c r="K522" s="14"/>
    </row>
    <row r="523">
      <c r="A523" s="14"/>
      <c r="B523" s="14"/>
      <c r="C523" s="14"/>
      <c r="D523" s="14"/>
      <c r="E523" s="14"/>
      <c r="F523" s="14"/>
      <c r="G523" s="14"/>
      <c r="H523" s="14"/>
      <c r="I523" s="14"/>
      <c r="J523" s="14"/>
      <c r="K523" s="14"/>
    </row>
    <row r="524">
      <c r="A524" s="14"/>
      <c r="B524" s="14"/>
      <c r="C524" s="14"/>
      <c r="D524" s="14"/>
      <c r="E524" s="14"/>
      <c r="F524" s="14"/>
      <c r="G524" s="14"/>
      <c r="H524" s="14"/>
      <c r="I524" s="14"/>
      <c r="J524" s="14"/>
      <c r="K524" s="14"/>
    </row>
    <row r="525">
      <c r="A525" s="14"/>
      <c r="B525" s="14"/>
      <c r="C525" s="14"/>
      <c r="D525" s="14"/>
      <c r="E525" s="14"/>
      <c r="F525" s="14"/>
      <c r="G525" s="14"/>
      <c r="H525" s="14"/>
      <c r="I525" s="14"/>
      <c r="J525" s="14"/>
      <c r="K525" s="14"/>
    </row>
    <row r="526">
      <c r="A526" s="14"/>
      <c r="B526" s="14"/>
      <c r="C526" s="14"/>
      <c r="D526" s="14"/>
      <c r="E526" s="14"/>
      <c r="F526" s="14"/>
      <c r="G526" s="14"/>
      <c r="H526" s="14"/>
      <c r="I526" s="14"/>
      <c r="J526" s="14"/>
      <c r="K526" s="14"/>
    </row>
    <row r="527">
      <c r="A527" s="14"/>
      <c r="B527" s="14"/>
      <c r="C527" s="14"/>
      <c r="D527" s="14"/>
      <c r="E527" s="14"/>
      <c r="F527" s="14"/>
      <c r="G527" s="14"/>
      <c r="H527" s="14"/>
      <c r="I527" s="14"/>
      <c r="J527" s="14"/>
      <c r="K527" s="14"/>
    </row>
    <row r="528">
      <c r="A528" s="14"/>
      <c r="B528" s="14"/>
      <c r="C528" s="14"/>
      <c r="D528" s="14"/>
      <c r="E528" s="14"/>
      <c r="F528" s="14"/>
      <c r="G528" s="14"/>
      <c r="H528" s="14"/>
      <c r="I528" s="14"/>
      <c r="J528" s="14"/>
      <c r="K528" s="14"/>
    </row>
    <row r="529">
      <c r="A529" s="14"/>
      <c r="B529" s="14"/>
      <c r="C529" s="14"/>
      <c r="D529" s="14"/>
      <c r="E529" s="14"/>
      <c r="F529" s="14"/>
      <c r="G529" s="14"/>
      <c r="H529" s="14"/>
      <c r="I529" s="14"/>
      <c r="J529" s="14"/>
      <c r="K529" s="14"/>
    </row>
    <row r="530">
      <c r="A530" s="14"/>
      <c r="B530" s="14"/>
      <c r="C530" s="14"/>
      <c r="D530" s="14"/>
      <c r="E530" s="14"/>
      <c r="F530" s="14"/>
      <c r="G530" s="14"/>
      <c r="H530" s="14"/>
      <c r="I530" s="14"/>
      <c r="J530" s="14"/>
      <c r="K530" s="14"/>
    </row>
    <row r="531">
      <c r="A531" s="14"/>
      <c r="B531" s="14"/>
      <c r="C531" s="14"/>
      <c r="D531" s="14"/>
      <c r="E531" s="14"/>
      <c r="F531" s="14"/>
      <c r="G531" s="14"/>
      <c r="H531" s="14"/>
      <c r="I531" s="14"/>
      <c r="J531" s="14"/>
      <c r="K531" s="14"/>
    </row>
    <row r="532">
      <c r="A532" s="14"/>
      <c r="B532" s="14"/>
      <c r="C532" s="14"/>
      <c r="D532" s="14"/>
      <c r="E532" s="14"/>
      <c r="F532" s="14"/>
      <c r="G532" s="14"/>
      <c r="H532" s="14"/>
      <c r="I532" s="14"/>
      <c r="J532" s="14"/>
      <c r="K532" s="14"/>
    </row>
    <row r="533">
      <c r="A533" s="14"/>
      <c r="B533" s="14"/>
      <c r="C533" s="14"/>
      <c r="D533" s="14"/>
      <c r="E533" s="14"/>
      <c r="F533" s="14"/>
      <c r="G533" s="14"/>
      <c r="H533" s="14"/>
      <c r="I533" s="14"/>
      <c r="J533" s="14"/>
      <c r="K533" s="14"/>
    </row>
    <row r="534">
      <c r="A534" s="14"/>
      <c r="B534" s="14"/>
      <c r="C534" s="14"/>
      <c r="D534" s="14"/>
      <c r="E534" s="14"/>
      <c r="F534" s="14"/>
      <c r="G534" s="14"/>
      <c r="H534" s="14"/>
      <c r="I534" s="14"/>
      <c r="J534" s="14"/>
      <c r="K534" s="14"/>
    </row>
    <row r="535">
      <c r="A535" s="14"/>
      <c r="B535" s="14"/>
      <c r="C535" s="14"/>
      <c r="D535" s="14"/>
      <c r="E535" s="14"/>
      <c r="F535" s="14"/>
      <c r="G535" s="14"/>
      <c r="H535" s="14"/>
      <c r="I535" s="14"/>
      <c r="J535" s="14"/>
      <c r="K535" s="14"/>
    </row>
    <row r="536">
      <c r="A536" s="14"/>
      <c r="B536" s="14"/>
      <c r="C536" s="14"/>
      <c r="D536" s="14"/>
      <c r="E536" s="14"/>
      <c r="F536" s="14"/>
      <c r="G536" s="14"/>
      <c r="H536" s="14"/>
      <c r="I536" s="14"/>
      <c r="J536" s="14"/>
      <c r="K536" s="14"/>
    </row>
    <row r="537">
      <c r="A537" s="14"/>
      <c r="B537" s="14"/>
      <c r="C537" s="14"/>
      <c r="D537" s="14"/>
      <c r="E537" s="14"/>
      <c r="F537" s="14"/>
      <c r="G537" s="14"/>
      <c r="H537" s="14"/>
      <c r="I537" s="14"/>
      <c r="J537" s="14"/>
      <c r="K537" s="14"/>
    </row>
    <row r="538">
      <c r="A538" s="14"/>
      <c r="B538" s="14"/>
      <c r="C538" s="14"/>
      <c r="D538" s="14"/>
      <c r="E538" s="14"/>
      <c r="F538" s="14"/>
      <c r="G538" s="14"/>
      <c r="H538" s="14"/>
      <c r="I538" s="14"/>
      <c r="J538" s="14"/>
      <c r="K538" s="14"/>
    </row>
    <row r="539">
      <c r="A539" s="14"/>
      <c r="B539" s="14"/>
      <c r="C539" s="14"/>
      <c r="D539" s="14"/>
      <c r="E539" s="14"/>
      <c r="F539" s="14"/>
      <c r="G539" s="14"/>
      <c r="H539" s="14"/>
      <c r="I539" s="14"/>
      <c r="J539" s="14"/>
      <c r="K539" s="14"/>
    </row>
    <row r="540">
      <c r="A540" s="14"/>
      <c r="B540" s="14"/>
      <c r="C540" s="14"/>
      <c r="D540" s="14"/>
      <c r="E540" s="14"/>
      <c r="F540" s="14"/>
      <c r="G540" s="14"/>
      <c r="H540" s="14"/>
      <c r="I540" s="14"/>
      <c r="J540" s="14"/>
      <c r="K540" s="14"/>
    </row>
    <row r="541">
      <c r="A541" s="14"/>
      <c r="B541" s="14"/>
      <c r="C541" s="14"/>
      <c r="D541" s="14"/>
      <c r="E541" s="14"/>
      <c r="F541" s="14"/>
      <c r="G541" s="14"/>
      <c r="H541" s="14"/>
      <c r="I541" s="14"/>
      <c r="J541" s="14"/>
      <c r="K541" s="14"/>
    </row>
    <row r="542">
      <c r="A542" s="14"/>
      <c r="B542" s="14"/>
      <c r="C542" s="14"/>
      <c r="D542" s="14"/>
      <c r="E542" s="14"/>
      <c r="F542" s="14"/>
      <c r="G542" s="14"/>
      <c r="H542" s="14"/>
      <c r="I542" s="14"/>
      <c r="J542" s="14"/>
      <c r="K542" s="14"/>
    </row>
    <row r="543">
      <c r="A543" s="14"/>
      <c r="B543" s="14"/>
      <c r="C543" s="14"/>
      <c r="D543" s="14"/>
      <c r="E543" s="14"/>
      <c r="F543" s="14"/>
      <c r="G543" s="14"/>
      <c r="H543" s="14"/>
      <c r="I543" s="14"/>
      <c r="J543" s="14"/>
      <c r="K543" s="14"/>
    </row>
    <row r="544">
      <c r="A544" s="14"/>
      <c r="B544" s="14"/>
      <c r="C544" s="14"/>
      <c r="D544" s="14"/>
      <c r="E544" s="14"/>
      <c r="F544" s="14"/>
      <c r="G544" s="14"/>
      <c r="H544" s="14"/>
      <c r="I544" s="14"/>
      <c r="J544" s="14"/>
      <c r="K544" s="14"/>
    </row>
    <row r="545">
      <c r="A545" s="14"/>
      <c r="B545" s="14"/>
      <c r="C545" s="14"/>
      <c r="D545" s="14"/>
      <c r="E545" s="14"/>
      <c r="F545" s="14"/>
      <c r="G545" s="14"/>
      <c r="H545" s="14"/>
      <c r="I545" s="14"/>
      <c r="J545" s="14"/>
      <c r="K545" s="14"/>
    </row>
    <row r="546">
      <c r="A546" s="14"/>
      <c r="B546" s="14"/>
      <c r="C546" s="14"/>
      <c r="D546" s="14"/>
      <c r="E546" s="14"/>
      <c r="F546" s="14"/>
      <c r="G546" s="14"/>
      <c r="H546" s="14"/>
      <c r="I546" s="14"/>
      <c r="J546" s="14"/>
      <c r="K546" s="14"/>
    </row>
    <row r="547">
      <c r="A547" s="14"/>
      <c r="B547" s="14"/>
      <c r="C547" s="14"/>
      <c r="D547" s="14"/>
      <c r="E547" s="14"/>
      <c r="F547" s="14"/>
      <c r="G547" s="14"/>
      <c r="H547" s="14"/>
      <c r="I547" s="14"/>
      <c r="J547" s="14"/>
      <c r="K547" s="14"/>
    </row>
    <row r="548">
      <c r="A548" s="14"/>
      <c r="B548" s="14"/>
      <c r="C548" s="14"/>
      <c r="D548" s="14"/>
      <c r="E548" s="14"/>
      <c r="F548" s="14"/>
      <c r="G548" s="14"/>
      <c r="H548" s="14"/>
      <c r="I548" s="14"/>
      <c r="J548" s="14"/>
      <c r="K548" s="14"/>
    </row>
    <row r="549">
      <c r="A549" s="14"/>
      <c r="B549" s="14"/>
      <c r="C549" s="14"/>
      <c r="D549" s="14"/>
      <c r="E549" s="14"/>
      <c r="F549" s="14"/>
      <c r="G549" s="14"/>
      <c r="H549" s="14"/>
      <c r="I549" s="14"/>
      <c r="J549" s="14"/>
      <c r="K549" s="14"/>
    </row>
    <row r="550">
      <c r="A550" s="14"/>
      <c r="B550" s="14"/>
      <c r="C550" s="14"/>
      <c r="D550" s="14"/>
      <c r="E550" s="14"/>
      <c r="F550" s="14"/>
      <c r="G550" s="14"/>
      <c r="H550" s="14"/>
      <c r="I550" s="14"/>
      <c r="J550" s="14"/>
      <c r="K550" s="14"/>
    </row>
    <row r="551">
      <c r="A551" s="14"/>
      <c r="B551" s="14"/>
      <c r="C551" s="14"/>
      <c r="D551" s="14"/>
      <c r="E551" s="14"/>
      <c r="F551" s="14"/>
      <c r="G551" s="14"/>
      <c r="H551" s="14"/>
      <c r="I551" s="14"/>
      <c r="J551" s="14"/>
      <c r="K551" s="14"/>
    </row>
    <row r="552">
      <c r="A552" s="14"/>
      <c r="B552" s="14"/>
      <c r="C552" s="14"/>
      <c r="D552" s="14"/>
      <c r="E552" s="14"/>
      <c r="F552" s="14"/>
      <c r="G552" s="14"/>
      <c r="H552" s="14"/>
      <c r="I552" s="14"/>
      <c r="J552" s="14"/>
      <c r="K552" s="14"/>
    </row>
    <row r="553">
      <c r="A553" s="14"/>
      <c r="B553" s="14"/>
      <c r="C553" s="14"/>
      <c r="D553" s="14"/>
      <c r="E553" s="14"/>
      <c r="F553" s="14"/>
      <c r="G553" s="14"/>
      <c r="H553" s="14"/>
      <c r="I553" s="14"/>
      <c r="J553" s="14"/>
      <c r="K553" s="14"/>
    </row>
    <row r="554">
      <c r="A554" s="14"/>
      <c r="B554" s="14"/>
      <c r="C554" s="14"/>
      <c r="D554" s="14"/>
      <c r="E554" s="14"/>
      <c r="F554" s="14"/>
      <c r="G554" s="14"/>
      <c r="H554" s="14"/>
      <c r="I554" s="14"/>
      <c r="J554" s="14"/>
      <c r="K554" s="14"/>
    </row>
    <row r="555">
      <c r="A555" s="14"/>
      <c r="B555" s="14"/>
      <c r="C555" s="14"/>
      <c r="D555" s="14"/>
      <c r="E555" s="14"/>
      <c r="F555" s="14"/>
      <c r="G555" s="14"/>
      <c r="H555" s="14"/>
      <c r="I555" s="14"/>
      <c r="J555" s="14"/>
      <c r="K555" s="14"/>
    </row>
    <row r="556">
      <c r="A556" s="14"/>
      <c r="B556" s="14"/>
      <c r="C556" s="14"/>
      <c r="D556" s="14"/>
      <c r="E556" s="14"/>
      <c r="F556" s="14"/>
      <c r="G556" s="14"/>
      <c r="H556" s="14"/>
      <c r="I556" s="14"/>
      <c r="J556" s="14"/>
      <c r="K556" s="14"/>
    </row>
    <row r="557">
      <c r="A557" s="14"/>
      <c r="B557" s="14"/>
      <c r="C557" s="14"/>
      <c r="D557" s="14"/>
      <c r="E557" s="14"/>
      <c r="F557" s="14"/>
      <c r="G557" s="14"/>
      <c r="H557" s="14"/>
      <c r="I557" s="14"/>
      <c r="J557" s="14"/>
      <c r="K557" s="14"/>
    </row>
    <row r="558">
      <c r="A558" s="14"/>
      <c r="B558" s="14"/>
      <c r="C558" s="14"/>
      <c r="D558" s="14"/>
      <c r="E558" s="14"/>
      <c r="F558" s="14"/>
      <c r="G558" s="14"/>
      <c r="H558" s="14"/>
      <c r="I558" s="14"/>
      <c r="J558" s="14"/>
      <c r="K558" s="14"/>
    </row>
    <row r="559">
      <c r="A559" s="14"/>
      <c r="B559" s="14"/>
      <c r="C559" s="14"/>
      <c r="D559" s="14"/>
      <c r="E559" s="14"/>
      <c r="F559" s="14"/>
      <c r="G559" s="14"/>
      <c r="H559" s="14"/>
      <c r="I559" s="14"/>
      <c r="J559" s="14"/>
      <c r="K559" s="14"/>
    </row>
    <row r="560">
      <c r="A560" s="14"/>
      <c r="B560" s="14"/>
      <c r="C560" s="14"/>
      <c r="D560" s="14"/>
      <c r="E560" s="14"/>
      <c r="F560" s="14"/>
      <c r="G560" s="14"/>
      <c r="H560" s="14"/>
      <c r="I560" s="14"/>
      <c r="J560" s="14"/>
      <c r="K560" s="14"/>
    </row>
    <row r="561">
      <c r="A561" s="14"/>
      <c r="B561" s="14"/>
      <c r="C561" s="14"/>
      <c r="D561" s="14"/>
      <c r="E561" s="14"/>
      <c r="F561" s="14"/>
      <c r="G561" s="14"/>
      <c r="H561" s="14"/>
      <c r="I561" s="14"/>
      <c r="J561" s="14"/>
      <c r="K561" s="14"/>
    </row>
    <row r="562">
      <c r="A562" s="14"/>
      <c r="B562" s="14"/>
      <c r="C562" s="14"/>
      <c r="D562" s="14"/>
      <c r="E562" s="14"/>
      <c r="F562" s="14"/>
      <c r="G562" s="14"/>
      <c r="H562" s="14"/>
      <c r="I562" s="14"/>
      <c r="J562" s="14"/>
      <c r="K562" s="14"/>
    </row>
    <row r="563">
      <c r="A563" s="14"/>
      <c r="B563" s="14"/>
      <c r="C563" s="14"/>
      <c r="D563" s="14"/>
      <c r="E563" s="14"/>
      <c r="F563" s="14"/>
      <c r="G563" s="14"/>
      <c r="H563" s="14"/>
      <c r="I563" s="14"/>
      <c r="J563" s="14"/>
      <c r="K563" s="14"/>
    </row>
    <row r="564">
      <c r="A564" s="14"/>
      <c r="B564" s="14"/>
      <c r="C564" s="14"/>
      <c r="D564" s="14"/>
      <c r="E564" s="14"/>
      <c r="F564" s="14"/>
      <c r="G564" s="14"/>
      <c r="H564" s="14"/>
      <c r="I564" s="14"/>
      <c r="J564" s="14"/>
      <c r="K564" s="14"/>
    </row>
    <row r="565">
      <c r="A565" s="14"/>
      <c r="B565" s="14"/>
      <c r="C565" s="14"/>
      <c r="D565" s="14"/>
      <c r="E565" s="14"/>
      <c r="F565" s="14"/>
      <c r="G565" s="14"/>
      <c r="H565" s="14"/>
      <c r="I565" s="14"/>
      <c r="J565" s="14"/>
      <c r="K565" s="14"/>
    </row>
    <row r="566">
      <c r="A566" s="14"/>
      <c r="B566" s="14"/>
      <c r="C566" s="14"/>
      <c r="D566" s="14"/>
      <c r="E566" s="14"/>
      <c r="F566" s="14"/>
      <c r="G566" s="14"/>
      <c r="H566" s="14"/>
      <c r="I566" s="14"/>
      <c r="J566" s="14"/>
      <c r="K566" s="14"/>
    </row>
    <row r="567">
      <c r="A567" s="14"/>
      <c r="B567" s="14"/>
      <c r="C567" s="14"/>
      <c r="D567" s="14"/>
      <c r="E567" s="14"/>
      <c r="F567" s="14"/>
      <c r="G567" s="14"/>
      <c r="H567" s="14"/>
      <c r="I567" s="14"/>
      <c r="J567" s="14"/>
      <c r="K567" s="14"/>
    </row>
    <row r="568">
      <c r="A568" s="14"/>
      <c r="B568" s="14"/>
      <c r="C568" s="14"/>
      <c r="D568" s="14"/>
      <c r="E568" s="14"/>
      <c r="F568" s="14"/>
      <c r="G568" s="14"/>
      <c r="H568" s="14"/>
      <c r="I568" s="14"/>
      <c r="J568" s="14"/>
      <c r="K568" s="14"/>
    </row>
    <row r="569">
      <c r="A569" s="14"/>
      <c r="B569" s="14"/>
      <c r="C569" s="14"/>
      <c r="D569" s="14"/>
      <c r="E569" s="14"/>
      <c r="F569" s="14"/>
      <c r="G569" s="14"/>
      <c r="H569" s="14"/>
      <c r="I569" s="14"/>
      <c r="J569" s="14"/>
      <c r="K569" s="14"/>
    </row>
    <row r="570">
      <c r="A570" s="14"/>
      <c r="B570" s="14"/>
      <c r="C570" s="14"/>
      <c r="D570" s="14"/>
      <c r="E570" s="14"/>
      <c r="F570" s="14"/>
      <c r="G570" s="14"/>
      <c r="H570" s="14"/>
      <c r="I570" s="14"/>
      <c r="J570" s="14"/>
      <c r="K570" s="14"/>
    </row>
    <row r="571">
      <c r="A571" s="14"/>
      <c r="B571" s="14"/>
      <c r="C571" s="14"/>
      <c r="D571" s="14"/>
      <c r="E571" s="14"/>
      <c r="F571" s="14"/>
      <c r="G571" s="14"/>
      <c r="H571" s="14"/>
      <c r="I571" s="14"/>
      <c r="J571" s="14"/>
      <c r="K571" s="14"/>
    </row>
    <row r="572">
      <c r="A572" s="14"/>
      <c r="B572" s="14"/>
      <c r="C572" s="14"/>
      <c r="D572" s="14"/>
      <c r="E572" s="14"/>
      <c r="F572" s="14"/>
      <c r="G572" s="14"/>
      <c r="H572" s="14"/>
      <c r="I572" s="14"/>
      <c r="J572" s="14"/>
      <c r="K572" s="14"/>
    </row>
    <row r="573">
      <c r="A573" s="14"/>
      <c r="B573" s="14"/>
      <c r="C573" s="14"/>
      <c r="D573" s="14"/>
      <c r="E573" s="14"/>
      <c r="F573" s="14"/>
      <c r="G573" s="14"/>
      <c r="H573" s="14"/>
      <c r="I573" s="14"/>
      <c r="J573" s="14"/>
      <c r="K573" s="14"/>
    </row>
    <row r="574">
      <c r="A574" s="14"/>
      <c r="B574" s="14"/>
      <c r="C574" s="14"/>
      <c r="D574" s="14"/>
      <c r="E574" s="14"/>
      <c r="F574" s="14"/>
      <c r="G574" s="14"/>
      <c r="H574" s="14"/>
      <c r="I574" s="14"/>
      <c r="J574" s="14"/>
      <c r="K574" s="14"/>
    </row>
    <row r="575">
      <c r="A575" s="14"/>
      <c r="B575" s="14"/>
      <c r="C575" s="14"/>
      <c r="D575" s="14"/>
      <c r="E575" s="14"/>
      <c r="F575" s="14"/>
      <c r="G575" s="14"/>
      <c r="H575" s="14"/>
      <c r="I575" s="14"/>
      <c r="J575" s="14"/>
      <c r="K575" s="14"/>
    </row>
    <row r="576">
      <c r="A576" s="14"/>
      <c r="B576" s="14"/>
      <c r="C576" s="14"/>
      <c r="D576" s="14"/>
      <c r="E576" s="14"/>
      <c r="F576" s="14"/>
      <c r="G576" s="14"/>
      <c r="H576" s="14"/>
      <c r="I576" s="14"/>
      <c r="J576" s="14"/>
      <c r="K576" s="14"/>
    </row>
    <row r="577">
      <c r="A577" s="14"/>
      <c r="B577" s="14"/>
      <c r="C577" s="14"/>
      <c r="D577" s="14"/>
      <c r="E577" s="14"/>
      <c r="F577" s="14"/>
      <c r="G577" s="14"/>
      <c r="H577" s="14"/>
      <c r="I577" s="14"/>
      <c r="J577" s="14"/>
      <c r="K577" s="14"/>
    </row>
    <row r="578">
      <c r="A578" s="14"/>
      <c r="B578" s="14"/>
      <c r="C578" s="14"/>
      <c r="D578" s="14"/>
      <c r="E578" s="14"/>
      <c r="F578" s="14"/>
      <c r="G578" s="14"/>
      <c r="H578" s="14"/>
      <c r="I578" s="14"/>
      <c r="J578" s="14"/>
      <c r="K578" s="14"/>
    </row>
    <row r="579">
      <c r="A579" s="14"/>
      <c r="B579" s="14"/>
      <c r="C579" s="14"/>
      <c r="D579" s="14"/>
      <c r="E579" s="14"/>
      <c r="F579" s="14"/>
      <c r="G579" s="14"/>
      <c r="H579" s="14"/>
      <c r="I579" s="14"/>
      <c r="J579" s="14"/>
      <c r="K579" s="14"/>
    </row>
    <row r="580">
      <c r="A580" s="14"/>
      <c r="B580" s="14"/>
      <c r="C580" s="14"/>
      <c r="D580" s="14"/>
      <c r="E580" s="14"/>
      <c r="F580" s="14"/>
      <c r="G580" s="14"/>
      <c r="H580" s="14"/>
      <c r="I580" s="14"/>
      <c r="J580" s="14"/>
      <c r="K580" s="14"/>
    </row>
    <row r="581">
      <c r="A581" s="14"/>
      <c r="B581" s="14"/>
      <c r="C581" s="14"/>
      <c r="D581" s="14"/>
      <c r="E581" s="14"/>
      <c r="F581" s="14"/>
      <c r="G581" s="14"/>
      <c r="H581" s="14"/>
      <c r="I581" s="14"/>
      <c r="J581" s="14"/>
      <c r="K581" s="14"/>
    </row>
    <row r="582">
      <c r="A582" s="14"/>
      <c r="B582" s="14"/>
      <c r="C582" s="14"/>
      <c r="D582" s="14"/>
      <c r="E582" s="14"/>
      <c r="F582" s="14"/>
      <c r="G582" s="14"/>
      <c r="H582" s="14"/>
      <c r="I582" s="14"/>
      <c r="J582" s="14"/>
      <c r="K582" s="14"/>
    </row>
    <row r="583">
      <c r="A583" s="14"/>
      <c r="B583" s="14"/>
      <c r="C583" s="14"/>
      <c r="D583" s="14"/>
      <c r="E583" s="14"/>
      <c r="F583" s="14"/>
      <c r="G583" s="14"/>
      <c r="H583" s="14"/>
      <c r="I583" s="14"/>
      <c r="J583" s="14"/>
      <c r="K583" s="14"/>
    </row>
    <row r="584">
      <c r="A584" s="14"/>
      <c r="B584" s="14"/>
      <c r="C584" s="14"/>
      <c r="D584" s="14"/>
      <c r="E584" s="14"/>
      <c r="F584" s="14"/>
      <c r="G584" s="14"/>
      <c r="H584" s="14"/>
      <c r="I584" s="14"/>
      <c r="J584" s="14"/>
      <c r="K584" s="14"/>
    </row>
    <row r="585">
      <c r="A585" s="14"/>
      <c r="B585" s="14"/>
      <c r="C585" s="14"/>
      <c r="D585" s="14"/>
      <c r="E585" s="14"/>
      <c r="F585" s="14"/>
      <c r="G585" s="14"/>
      <c r="H585" s="14"/>
      <c r="I585" s="14"/>
      <c r="J585" s="14"/>
      <c r="K585" s="14"/>
    </row>
    <row r="586">
      <c r="A586" s="14"/>
      <c r="B586" s="14"/>
      <c r="C586" s="14"/>
      <c r="D586" s="14"/>
      <c r="E586" s="14"/>
      <c r="F586" s="14"/>
      <c r="G586" s="14"/>
      <c r="H586" s="14"/>
      <c r="I586" s="14"/>
      <c r="J586" s="14"/>
      <c r="K586" s="14"/>
    </row>
    <row r="587">
      <c r="A587" s="14"/>
      <c r="B587" s="14"/>
      <c r="C587" s="14"/>
      <c r="D587" s="14"/>
      <c r="E587" s="14"/>
      <c r="F587" s="14"/>
      <c r="G587" s="14"/>
      <c r="H587" s="14"/>
      <c r="I587" s="14"/>
      <c r="J587" s="14"/>
      <c r="K587" s="14"/>
    </row>
    <row r="588">
      <c r="A588" s="14"/>
      <c r="B588" s="14"/>
      <c r="C588" s="14"/>
      <c r="D588" s="14"/>
      <c r="E588" s="14"/>
      <c r="F588" s="14"/>
      <c r="G588" s="14"/>
      <c r="H588" s="14"/>
      <c r="I588" s="14"/>
      <c r="J588" s="14"/>
      <c r="K588" s="14"/>
    </row>
    <row r="589">
      <c r="A589" s="14"/>
      <c r="B589" s="14"/>
      <c r="C589" s="14"/>
      <c r="D589" s="14"/>
      <c r="E589" s="14"/>
      <c r="F589" s="14"/>
      <c r="G589" s="14"/>
      <c r="H589" s="14"/>
      <c r="I589" s="14"/>
      <c r="J589" s="14"/>
      <c r="K589" s="14"/>
    </row>
    <row r="590">
      <c r="A590" s="14"/>
      <c r="B590" s="14"/>
      <c r="C590" s="14"/>
      <c r="D590" s="14"/>
      <c r="E590" s="14"/>
      <c r="F590" s="14"/>
      <c r="G590" s="14"/>
      <c r="H590" s="14"/>
      <c r="I590" s="14"/>
      <c r="J590" s="14"/>
      <c r="K590" s="14"/>
    </row>
    <row r="591">
      <c r="A591" s="14"/>
      <c r="B591" s="14"/>
      <c r="C591" s="14"/>
      <c r="D591" s="14"/>
      <c r="E591" s="14"/>
      <c r="F591" s="14"/>
      <c r="G591" s="14"/>
      <c r="H591" s="14"/>
      <c r="I591" s="14"/>
      <c r="J591" s="14"/>
      <c r="K591" s="14"/>
    </row>
    <row r="592">
      <c r="A592" s="14"/>
      <c r="B592" s="14"/>
      <c r="C592" s="14"/>
      <c r="D592" s="14"/>
      <c r="E592" s="14"/>
      <c r="F592" s="14"/>
      <c r="G592" s="14"/>
      <c r="H592" s="14"/>
      <c r="I592" s="14"/>
      <c r="J592" s="14"/>
      <c r="K592" s="14"/>
    </row>
    <row r="593">
      <c r="A593" s="14"/>
      <c r="B593" s="14"/>
      <c r="C593" s="14"/>
      <c r="D593" s="14"/>
      <c r="E593" s="14"/>
      <c r="F593" s="14"/>
      <c r="G593" s="14"/>
      <c r="H593" s="14"/>
      <c r="I593" s="14"/>
      <c r="J593" s="14"/>
      <c r="K593" s="14"/>
    </row>
    <row r="594">
      <c r="A594" s="14"/>
      <c r="B594" s="14"/>
      <c r="C594" s="14"/>
      <c r="D594" s="14"/>
      <c r="E594" s="14"/>
      <c r="F594" s="14"/>
      <c r="G594" s="14"/>
      <c r="H594" s="14"/>
      <c r="I594" s="14"/>
      <c r="J594" s="14"/>
      <c r="K594" s="14"/>
    </row>
    <row r="595">
      <c r="A595" s="14"/>
      <c r="B595" s="14"/>
      <c r="C595" s="14"/>
      <c r="D595" s="14"/>
      <c r="E595" s="14"/>
      <c r="F595" s="14"/>
      <c r="G595" s="14"/>
      <c r="H595" s="14"/>
      <c r="I595" s="14"/>
      <c r="J595" s="14"/>
      <c r="K595" s="14"/>
    </row>
    <row r="596">
      <c r="A596" s="14"/>
      <c r="B596" s="14"/>
      <c r="C596" s="14"/>
      <c r="D596" s="14"/>
      <c r="E596" s="14"/>
      <c r="F596" s="14"/>
      <c r="G596" s="14"/>
      <c r="H596" s="14"/>
      <c r="I596" s="14"/>
      <c r="J596" s="14"/>
      <c r="K596" s="14"/>
    </row>
    <row r="597">
      <c r="A597" s="14"/>
      <c r="B597" s="14"/>
      <c r="C597" s="14"/>
      <c r="D597" s="14"/>
      <c r="E597" s="14"/>
      <c r="F597" s="14"/>
      <c r="G597" s="14"/>
      <c r="H597" s="14"/>
      <c r="I597" s="14"/>
      <c r="J597" s="14"/>
      <c r="K597" s="14"/>
    </row>
    <row r="598">
      <c r="A598" s="14"/>
      <c r="B598" s="14"/>
      <c r="C598" s="14"/>
      <c r="D598" s="14"/>
      <c r="E598" s="14"/>
      <c r="F598" s="14"/>
      <c r="G598" s="14"/>
      <c r="H598" s="14"/>
      <c r="I598" s="14"/>
      <c r="J598" s="14"/>
      <c r="K598" s="14"/>
    </row>
    <row r="599">
      <c r="A599" s="14"/>
      <c r="B599" s="14"/>
      <c r="C599" s="14"/>
      <c r="D599" s="14"/>
      <c r="E599" s="14"/>
      <c r="F599" s="14"/>
      <c r="G599" s="14"/>
      <c r="H599" s="14"/>
      <c r="I599" s="14"/>
      <c r="J599" s="14"/>
      <c r="K599" s="14"/>
    </row>
    <row r="600">
      <c r="A600" s="14"/>
      <c r="B600" s="14"/>
      <c r="C600" s="14"/>
      <c r="D600" s="14"/>
      <c r="E600" s="14"/>
      <c r="F600" s="14"/>
      <c r="G600" s="14"/>
      <c r="H600" s="14"/>
      <c r="I600" s="14"/>
      <c r="J600" s="14"/>
      <c r="K600" s="14"/>
    </row>
    <row r="601">
      <c r="A601" s="14"/>
      <c r="B601" s="14"/>
      <c r="C601" s="14"/>
      <c r="D601" s="14"/>
      <c r="E601" s="14"/>
      <c r="F601" s="14"/>
      <c r="G601" s="14"/>
      <c r="H601" s="14"/>
      <c r="I601" s="14"/>
      <c r="J601" s="14"/>
      <c r="K601" s="14"/>
    </row>
    <row r="602">
      <c r="A602" s="14"/>
      <c r="B602" s="14"/>
      <c r="C602" s="14"/>
      <c r="D602" s="14"/>
      <c r="E602" s="14"/>
      <c r="F602" s="14"/>
      <c r="G602" s="14"/>
      <c r="H602" s="14"/>
      <c r="I602" s="14"/>
      <c r="J602" s="14"/>
      <c r="K602" s="14"/>
    </row>
    <row r="603">
      <c r="A603" s="14"/>
      <c r="B603" s="14"/>
      <c r="C603" s="14"/>
      <c r="D603" s="14"/>
      <c r="E603" s="14"/>
      <c r="F603" s="14"/>
      <c r="G603" s="14"/>
      <c r="H603" s="14"/>
      <c r="I603" s="14"/>
      <c r="J603" s="14"/>
      <c r="K603" s="14"/>
    </row>
    <row r="604">
      <c r="A604" s="14"/>
      <c r="B604" s="14"/>
      <c r="C604" s="14"/>
      <c r="D604" s="14"/>
      <c r="E604" s="14"/>
      <c r="F604" s="14"/>
      <c r="G604" s="14"/>
      <c r="H604" s="14"/>
      <c r="I604" s="14"/>
      <c r="J604" s="14"/>
      <c r="K604" s="14"/>
    </row>
    <row r="605">
      <c r="A605" s="14"/>
      <c r="B605" s="14"/>
      <c r="C605" s="14"/>
      <c r="D605" s="14"/>
      <c r="E605" s="14"/>
      <c r="F605" s="14"/>
      <c r="G605" s="14"/>
      <c r="H605" s="14"/>
      <c r="I605" s="14"/>
      <c r="J605" s="14"/>
      <c r="K605" s="14"/>
    </row>
    <row r="606">
      <c r="A606" s="14"/>
      <c r="B606" s="14"/>
      <c r="C606" s="14"/>
      <c r="D606" s="14"/>
      <c r="E606" s="14"/>
      <c r="F606" s="14"/>
      <c r="G606" s="14"/>
      <c r="H606" s="14"/>
      <c r="I606" s="14"/>
      <c r="J606" s="14"/>
      <c r="K606" s="14"/>
    </row>
    <row r="607">
      <c r="A607" s="14"/>
      <c r="B607" s="14"/>
      <c r="C607" s="14"/>
      <c r="D607" s="14"/>
      <c r="E607" s="14"/>
      <c r="F607" s="14"/>
      <c r="G607" s="14"/>
      <c r="H607" s="14"/>
      <c r="I607" s="14"/>
      <c r="J607" s="14"/>
      <c r="K607" s="14"/>
    </row>
    <row r="608">
      <c r="A608" s="14"/>
      <c r="B608" s="14"/>
      <c r="C608" s="14"/>
      <c r="D608" s="14"/>
      <c r="E608" s="14"/>
      <c r="F608" s="14"/>
      <c r="G608" s="14"/>
      <c r="H608" s="14"/>
      <c r="I608" s="14"/>
      <c r="J608" s="14"/>
      <c r="K608" s="14"/>
    </row>
    <row r="609">
      <c r="A609" s="14"/>
      <c r="B609" s="14"/>
      <c r="C609" s="14"/>
      <c r="D609" s="14"/>
      <c r="E609" s="14"/>
      <c r="F609" s="14"/>
      <c r="G609" s="14"/>
      <c r="H609" s="14"/>
      <c r="I609" s="14"/>
      <c r="J609" s="14"/>
      <c r="K609" s="14"/>
    </row>
    <row r="610">
      <c r="A610" s="14"/>
      <c r="B610" s="14"/>
      <c r="C610" s="14"/>
      <c r="D610" s="14"/>
      <c r="E610" s="14"/>
      <c r="F610" s="14"/>
      <c r="G610" s="14"/>
      <c r="H610" s="14"/>
      <c r="I610" s="14"/>
      <c r="J610" s="14"/>
      <c r="K610" s="14"/>
    </row>
    <row r="611">
      <c r="A611" s="14"/>
      <c r="B611" s="14"/>
      <c r="C611" s="14"/>
      <c r="D611" s="14"/>
      <c r="E611" s="14"/>
      <c r="F611" s="14"/>
      <c r="G611" s="14"/>
      <c r="H611" s="14"/>
      <c r="I611" s="14"/>
      <c r="J611" s="14"/>
      <c r="K611" s="14"/>
    </row>
    <row r="612">
      <c r="A612" s="14"/>
      <c r="B612" s="14"/>
      <c r="C612" s="14"/>
      <c r="D612" s="14"/>
      <c r="E612" s="14"/>
      <c r="F612" s="14"/>
      <c r="G612" s="14"/>
      <c r="H612" s="14"/>
      <c r="I612" s="14"/>
      <c r="J612" s="14"/>
      <c r="K612" s="14"/>
    </row>
    <row r="613">
      <c r="A613" s="14"/>
      <c r="B613" s="14"/>
      <c r="C613" s="14"/>
      <c r="D613" s="14"/>
      <c r="E613" s="14"/>
      <c r="F613" s="14"/>
      <c r="G613" s="14"/>
      <c r="H613" s="14"/>
      <c r="I613" s="14"/>
      <c r="J613" s="14"/>
      <c r="K613" s="14"/>
    </row>
    <row r="614">
      <c r="A614" s="14"/>
      <c r="B614" s="14"/>
      <c r="C614" s="14"/>
      <c r="D614" s="14"/>
      <c r="E614" s="14"/>
      <c r="F614" s="14"/>
      <c r="G614" s="14"/>
      <c r="H614" s="14"/>
      <c r="I614" s="14"/>
      <c r="J614" s="14"/>
      <c r="K614" s="14"/>
    </row>
    <row r="615">
      <c r="A615" s="14"/>
      <c r="B615" s="14"/>
      <c r="C615" s="14"/>
      <c r="D615" s="14"/>
      <c r="E615" s="14"/>
      <c r="F615" s="14"/>
      <c r="G615" s="14"/>
      <c r="H615" s="14"/>
      <c r="I615" s="14"/>
      <c r="J615" s="14"/>
      <c r="K615" s="14"/>
    </row>
    <row r="616">
      <c r="A616" s="14"/>
      <c r="B616" s="14"/>
      <c r="C616" s="14"/>
      <c r="D616" s="14"/>
      <c r="E616" s="14"/>
      <c r="F616" s="14"/>
      <c r="G616" s="14"/>
      <c r="H616" s="14"/>
      <c r="I616" s="14"/>
      <c r="J616" s="14"/>
      <c r="K616" s="14"/>
    </row>
    <row r="617">
      <c r="A617" s="14"/>
      <c r="B617" s="14"/>
      <c r="C617" s="14"/>
      <c r="D617" s="14"/>
      <c r="E617" s="14"/>
      <c r="F617" s="14"/>
      <c r="G617" s="14"/>
      <c r="H617" s="14"/>
      <c r="I617" s="14"/>
      <c r="J617" s="14"/>
      <c r="K617" s="14"/>
    </row>
    <row r="618">
      <c r="A618" s="14"/>
      <c r="B618" s="14"/>
      <c r="C618" s="14"/>
      <c r="D618" s="14"/>
      <c r="E618" s="14"/>
      <c r="F618" s="14"/>
      <c r="G618" s="14"/>
      <c r="H618" s="14"/>
      <c r="I618" s="14"/>
      <c r="J618" s="14"/>
      <c r="K618" s="14"/>
    </row>
    <row r="619">
      <c r="A619" s="14"/>
      <c r="B619" s="14"/>
      <c r="C619" s="14"/>
      <c r="D619" s="14"/>
      <c r="E619" s="14"/>
      <c r="F619" s="14"/>
      <c r="G619" s="14"/>
      <c r="H619" s="14"/>
      <c r="I619" s="14"/>
      <c r="J619" s="14"/>
      <c r="K619" s="14"/>
    </row>
    <row r="620">
      <c r="A620" s="14"/>
      <c r="B620" s="14"/>
      <c r="C620" s="14"/>
      <c r="D620" s="14"/>
      <c r="E620" s="14"/>
      <c r="F620" s="14"/>
      <c r="G620" s="14"/>
      <c r="H620" s="14"/>
      <c r="I620" s="14"/>
      <c r="J620" s="14"/>
      <c r="K620" s="14"/>
    </row>
    <row r="621">
      <c r="A621" s="14"/>
      <c r="B621" s="14"/>
      <c r="C621" s="14"/>
      <c r="D621" s="14"/>
      <c r="E621" s="14"/>
      <c r="F621" s="14"/>
      <c r="G621" s="14"/>
      <c r="H621" s="14"/>
      <c r="I621" s="14"/>
      <c r="J621" s="14"/>
      <c r="K621" s="14"/>
    </row>
    <row r="622">
      <c r="A622" s="14"/>
      <c r="B622" s="14"/>
      <c r="C622" s="14"/>
      <c r="D622" s="14"/>
      <c r="E622" s="14"/>
      <c r="F622" s="14"/>
      <c r="G622" s="14"/>
      <c r="H622" s="14"/>
      <c r="I622" s="14"/>
      <c r="J622" s="14"/>
      <c r="K622" s="14"/>
    </row>
    <row r="623">
      <c r="A623" s="14"/>
      <c r="B623" s="14"/>
      <c r="C623" s="14"/>
      <c r="D623" s="14"/>
      <c r="E623" s="14"/>
      <c r="F623" s="14"/>
      <c r="G623" s="14"/>
      <c r="H623" s="14"/>
      <c r="I623" s="14"/>
      <c r="J623" s="14"/>
      <c r="K623" s="14"/>
    </row>
    <row r="624">
      <c r="A624" s="14"/>
      <c r="B624" s="14"/>
      <c r="C624" s="14"/>
      <c r="D624" s="14"/>
      <c r="E624" s="14"/>
      <c r="F624" s="14"/>
      <c r="G624" s="14"/>
      <c r="H624" s="14"/>
      <c r="I624" s="14"/>
      <c r="J624" s="14"/>
      <c r="K624" s="14"/>
    </row>
    <row r="625">
      <c r="A625" s="14"/>
      <c r="B625" s="14"/>
      <c r="C625" s="14"/>
      <c r="D625" s="14"/>
      <c r="E625" s="14"/>
      <c r="F625" s="14"/>
      <c r="G625" s="14"/>
      <c r="H625" s="14"/>
      <c r="I625" s="14"/>
      <c r="J625" s="14"/>
      <c r="K625" s="14"/>
    </row>
    <row r="626">
      <c r="A626" s="14"/>
      <c r="B626" s="14"/>
      <c r="C626" s="14"/>
      <c r="D626" s="14"/>
      <c r="E626" s="14"/>
      <c r="F626" s="14"/>
      <c r="G626" s="14"/>
      <c r="H626" s="14"/>
      <c r="I626" s="14"/>
      <c r="J626" s="14"/>
      <c r="K626" s="14"/>
    </row>
    <row r="627">
      <c r="A627" s="14"/>
      <c r="B627" s="14"/>
      <c r="C627" s="14"/>
      <c r="D627" s="14"/>
      <c r="E627" s="14"/>
      <c r="F627" s="14"/>
      <c r="G627" s="14"/>
      <c r="H627" s="14"/>
      <c r="I627" s="14"/>
      <c r="J627" s="14"/>
      <c r="K627" s="14"/>
    </row>
    <row r="628">
      <c r="A628" s="14"/>
      <c r="B628" s="14"/>
      <c r="C628" s="14"/>
      <c r="D628" s="14"/>
      <c r="E628" s="14"/>
      <c r="F628" s="14"/>
      <c r="G628" s="14"/>
      <c r="H628" s="14"/>
      <c r="I628" s="14"/>
      <c r="J628" s="14"/>
      <c r="K628" s="14"/>
    </row>
    <row r="629">
      <c r="A629" s="14"/>
      <c r="B629" s="14"/>
      <c r="C629" s="14"/>
      <c r="D629" s="14"/>
      <c r="E629" s="14"/>
      <c r="F629" s="14"/>
      <c r="G629" s="14"/>
      <c r="H629" s="14"/>
      <c r="I629" s="14"/>
      <c r="J629" s="14"/>
      <c r="K629" s="14"/>
    </row>
    <row r="630">
      <c r="A630" s="14"/>
      <c r="B630" s="14"/>
      <c r="C630" s="14"/>
      <c r="D630" s="14"/>
      <c r="E630" s="14"/>
      <c r="F630" s="14"/>
      <c r="G630" s="14"/>
      <c r="H630" s="14"/>
      <c r="I630" s="14"/>
      <c r="J630" s="14"/>
      <c r="K630" s="14"/>
    </row>
    <row r="631">
      <c r="A631" s="14"/>
      <c r="B631" s="14"/>
      <c r="C631" s="14"/>
      <c r="D631" s="14"/>
      <c r="E631" s="14"/>
      <c r="F631" s="14"/>
      <c r="G631" s="14"/>
      <c r="H631" s="14"/>
      <c r="I631" s="14"/>
      <c r="J631" s="14"/>
      <c r="K631" s="14"/>
    </row>
    <row r="632">
      <c r="A632" s="14"/>
      <c r="B632" s="14"/>
      <c r="C632" s="14"/>
      <c r="D632" s="14"/>
      <c r="E632" s="14"/>
      <c r="F632" s="14"/>
      <c r="G632" s="14"/>
      <c r="H632" s="14"/>
      <c r="I632" s="14"/>
      <c r="J632" s="14"/>
      <c r="K632" s="14"/>
    </row>
    <row r="633">
      <c r="A633" s="14"/>
      <c r="B633" s="14"/>
      <c r="C633" s="14"/>
      <c r="D633" s="14"/>
      <c r="E633" s="14"/>
      <c r="F633" s="14"/>
      <c r="G633" s="14"/>
      <c r="H633" s="14"/>
      <c r="I633" s="14"/>
      <c r="J633" s="14"/>
      <c r="K633" s="14"/>
    </row>
    <row r="634">
      <c r="A634" s="14"/>
      <c r="B634" s="14"/>
      <c r="C634" s="14"/>
      <c r="D634" s="14"/>
      <c r="E634" s="14"/>
      <c r="F634" s="14"/>
      <c r="G634" s="14"/>
      <c r="H634" s="14"/>
      <c r="I634" s="14"/>
      <c r="J634" s="14"/>
      <c r="K634" s="14"/>
    </row>
    <row r="635">
      <c r="A635" s="14"/>
      <c r="B635" s="14"/>
      <c r="C635" s="14"/>
      <c r="D635" s="14"/>
      <c r="E635" s="14"/>
      <c r="F635" s="14"/>
      <c r="G635" s="14"/>
      <c r="H635" s="14"/>
      <c r="I635" s="14"/>
      <c r="J635" s="14"/>
      <c r="K635" s="14"/>
    </row>
    <row r="636">
      <c r="A636" s="14"/>
      <c r="B636" s="14"/>
      <c r="C636" s="14"/>
      <c r="D636" s="14"/>
      <c r="E636" s="14"/>
      <c r="F636" s="14"/>
      <c r="G636" s="14"/>
      <c r="H636" s="14"/>
      <c r="I636" s="14"/>
      <c r="J636" s="14"/>
      <c r="K636" s="14"/>
    </row>
    <row r="637">
      <c r="A637" s="14"/>
      <c r="B637" s="14"/>
      <c r="C637" s="14"/>
      <c r="D637" s="14"/>
      <c r="E637" s="14"/>
      <c r="F637" s="14"/>
      <c r="G637" s="14"/>
      <c r="H637" s="14"/>
      <c r="I637" s="14"/>
      <c r="J637" s="14"/>
      <c r="K637" s="14"/>
    </row>
    <row r="638">
      <c r="A638" s="14"/>
      <c r="B638" s="14"/>
      <c r="C638" s="14"/>
      <c r="D638" s="14"/>
      <c r="E638" s="14"/>
      <c r="F638" s="14"/>
      <c r="G638" s="14"/>
      <c r="H638" s="14"/>
      <c r="I638" s="14"/>
      <c r="J638" s="14"/>
      <c r="K638" s="14"/>
    </row>
    <row r="639">
      <c r="A639" s="14"/>
      <c r="B639" s="14"/>
      <c r="C639" s="14"/>
      <c r="D639" s="14"/>
      <c r="E639" s="14"/>
      <c r="F639" s="14"/>
      <c r="G639" s="14"/>
      <c r="H639" s="14"/>
      <c r="I639" s="14"/>
      <c r="J639" s="14"/>
      <c r="K639" s="14"/>
    </row>
    <row r="640">
      <c r="A640" s="14"/>
      <c r="B640" s="14"/>
      <c r="C640" s="14"/>
      <c r="D640" s="14"/>
      <c r="E640" s="14"/>
      <c r="F640" s="14"/>
      <c r="G640" s="14"/>
      <c r="H640" s="14"/>
      <c r="I640" s="14"/>
      <c r="J640" s="14"/>
      <c r="K640" s="14"/>
    </row>
    <row r="641">
      <c r="A641" s="14"/>
      <c r="B641" s="14"/>
      <c r="C641" s="14"/>
      <c r="D641" s="14"/>
      <c r="E641" s="14"/>
      <c r="F641" s="14"/>
      <c r="G641" s="14"/>
      <c r="H641" s="14"/>
      <c r="I641" s="14"/>
      <c r="J641" s="14"/>
      <c r="K641" s="14"/>
    </row>
    <row r="642">
      <c r="A642" s="14"/>
      <c r="B642" s="14"/>
      <c r="C642" s="14"/>
      <c r="D642" s="14"/>
      <c r="E642" s="14"/>
      <c r="F642" s="14"/>
      <c r="G642" s="14"/>
      <c r="H642" s="14"/>
      <c r="I642" s="14"/>
      <c r="J642" s="14"/>
      <c r="K642" s="14"/>
    </row>
    <row r="643">
      <c r="A643" s="14"/>
      <c r="B643" s="14"/>
      <c r="C643" s="14"/>
      <c r="D643" s="14"/>
      <c r="E643" s="14"/>
      <c r="F643" s="14"/>
      <c r="G643" s="14"/>
      <c r="H643" s="14"/>
      <c r="I643" s="14"/>
      <c r="J643" s="14"/>
      <c r="K643" s="14"/>
    </row>
    <row r="644">
      <c r="A644" s="14"/>
      <c r="B644" s="14"/>
      <c r="C644" s="14"/>
      <c r="D644" s="14"/>
      <c r="E644" s="14"/>
      <c r="F644" s="14"/>
      <c r="G644" s="14"/>
      <c r="H644" s="14"/>
      <c r="I644" s="14"/>
      <c r="J644" s="14"/>
      <c r="K644" s="14"/>
    </row>
    <row r="645">
      <c r="A645" s="14"/>
      <c r="B645" s="14"/>
      <c r="C645" s="14"/>
      <c r="D645" s="14"/>
      <c r="E645" s="14"/>
      <c r="F645" s="14"/>
      <c r="G645" s="14"/>
      <c r="H645" s="14"/>
      <c r="I645" s="14"/>
      <c r="J645" s="14"/>
      <c r="K645" s="14"/>
    </row>
    <row r="646">
      <c r="A646" s="14"/>
      <c r="B646" s="14"/>
      <c r="C646" s="14"/>
      <c r="D646" s="14"/>
      <c r="E646" s="14"/>
      <c r="F646" s="14"/>
      <c r="G646" s="14"/>
      <c r="H646" s="14"/>
      <c r="I646" s="14"/>
      <c r="J646" s="14"/>
      <c r="K646" s="14"/>
    </row>
    <row r="647">
      <c r="A647" s="14"/>
      <c r="B647" s="14"/>
      <c r="C647" s="14"/>
      <c r="D647" s="14"/>
      <c r="E647" s="14"/>
      <c r="F647" s="14"/>
      <c r="G647" s="14"/>
      <c r="H647" s="14"/>
      <c r="I647" s="14"/>
      <c r="J647" s="14"/>
      <c r="K647" s="14"/>
    </row>
    <row r="648">
      <c r="A648" s="14"/>
      <c r="B648" s="14"/>
      <c r="C648" s="14"/>
      <c r="D648" s="14"/>
      <c r="E648" s="14"/>
      <c r="F648" s="14"/>
      <c r="G648" s="14"/>
      <c r="H648" s="14"/>
      <c r="I648" s="14"/>
      <c r="J648" s="14"/>
      <c r="K648" s="14"/>
    </row>
    <row r="649">
      <c r="A649" s="14"/>
      <c r="B649" s="14"/>
      <c r="C649" s="14"/>
      <c r="D649" s="14"/>
      <c r="E649" s="14"/>
      <c r="F649" s="14"/>
      <c r="G649" s="14"/>
      <c r="H649" s="14"/>
      <c r="I649" s="14"/>
      <c r="J649" s="14"/>
      <c r="K649" s="14"/>
    </row>
    <row r="650">
      <c r="A650" s="14"/>
      <c r="B650" s="14"/>
      <c r="C650" s="14"/>
      <c r="D650" s="14"/>
      <c r="E650" s="14"/>
      <c r="F650" s="14"/>
      <c r="G650" s="14"/>
      <c r="H650" s="14"/>
      <c r="I650" s="14"/>
      <c r="J650" s="14"/>
      <c r="K650" s="14"/>
    </row>
    <row r="651">
      <c r="A651" s="14"/>
      <c r="B651" s="14"/>
      <c r="C651" s="14"/>
      <c r="D651" s="14"/>
      <c r="E651" s="14"/>
      <c r="F651" s="14"/>
      <c r="G651" s="14"/>
      <c r="H651" s="14"/>
      <c r="I651" s="14"/>
      <c r="J651" s="14"/>
      <c r="K651" s="14"/>
    </row>
    <row r="652">
      <c r="A652" s="14"/>
      <c r="B652" s="14"/>
      <c r="C652" s="14"/>
      <c r="D652" s="14"/>
      <c r="E652" s="14"/>
      <c r="F652" s="14"/>
      <c r="G652" s="14"/>
      <c r="H652" s="14"/>
      <c r="I652" s="14"/>
      <c r="J652" s="14"/>
      <c r="K652" s="14"/>
    </row>
    <row r="653">
      <c r="A653" s="14"/>
      <c r="B653" s="14"/>
      <c r="C653" s="14"/>
      <c r="D653" s="14"/>
      <c r="E653" s="14"/>
      <c r="F653" s="14"/>
      <c r="G653" s="14"/>
      <c r="H653" s="14"/>
      <c r="I653" s="14"/>
      <c r="J653" s="14"/>
      <c r="K653" s="14"/>
    </row>
    <row r="654">
      <c r="A654" s="14"/>
      <c r="B654" s="14"/>
      <c r="C654" s="14"/>
      <c r="D654" s="14"/>
      <c r="E654" s="14"/>
      <c r="F654" s="14"/>
      <c r="G654" s="14"/>
      <c r="H654" s="14"/>
      <c r="I654" s="14"/>
      <c r="J654" s="14"/>
      <c r="K654" s="14"/>
    </row>
    <row r="655">
      <c r="A655" s="14"/>
      <c r="B655" s="14"/>
      <c r="C655" s="14"/>
      <c r="D655" s="14"/>
      <c r="E655" s="14"/>
      <c r="F655" s="14"/>
      <c r="G655" s="14"/>
      <c r="H655" s="14"/>
      <c r="I655" s="14"/>
      <c r="J655" s="14"/>
      <c r="K655" s="14"/>
    </row>
    <row r="656">
      <c r="A656" s="14"/>
      <c r="B656" s="14"/>
      <c r="C656" s="14"/>
      <c r="D656" s="14"/>
      <c r="E656" s="14"/>
      <c r="F656" s="14"/>
      <c r="G656" s="14"/>
      <c r="H656" s="14"/>
      <c r="I656" s="14"/>
      <c r="J656" s="14"/>
      <c r="K656" s="14"/>
    </row>
    <row r="657">
      <c r="A657" s="14"/>
      <c r="B657" s="14"/>
      <c r="C657" s="14"/>
      <c r="D657" s="14"/>
      <c r="E657" s="14"/>
      <c r="F657" s="14"/>
      <c r="G657" s="14"/>
      <c r="H657" s="14"/>
      <c r="I657" s="14"/>
      <c r="J657" s="14"/>
      <c r="K657" s="14"/>
    </row>
    <row r="658">
      <c r="A658" s="14"/>
      <c r="B658" s="14"/>
      <c r="C658" s="14"/>
      <c r="D658" s="14"/>
      <c r="E658" s="14"/>
      <c r="F658" s="14"/>
      <c r="G658" s="14"/>
      <c r="H658" s="14"/>
      <c r="I658" s="14"/>
      <c r="J658" s="14"/>
      <c r="K658" s="14"/>
    </row>
    <row r="659">
      <c r="A659" s="14"/>
      <c r="B659" s="14"/>
      <c r="C659" s="14"/>
      <c r="D659" s="14"/>
      <c r="E659" s="14"/>
      <c r="F659" s="14"/>
      <c r="G659" s="14"/>
      <c r="H659" s="14"/>
      <c r="I659" s="14"/>
      <c r="J659" s="14"/>
      <c r="K659" s="14"/>
    </row>
    <row r="660">
      <c r="A660" s="14"/>
      <c r="B660" s="14"/>
      <c r="C660" s="14"/>
      <c r="D660" s="14"/>
      <c r="E660" s="14"/>
      <c r="F660" s="14"/>
      <c r="G660" s="14"/>
      <c r="H660" s="14"/>
      <c r="I660" s="14"/>
      <c r="J660" s="14"/>
      <c r="K660" s="14"/>
    </row>
    <row r="661">
      <c r="A661" s="14"/>
      <c r="B661" s="14"/>
      <c r="C661" s="14"/>
      <c r="D661" s="14"/>
      <c r="E661" s="14"/>
      <c r="F661" s="14"/>
      <c r="G661" s="14"/>
      <c r="H661" s="14"/>
      <c r="I661" s="14"/>
      <c r="J661" s="14"/>
      <c r="K661" s="14"/>
    </row>
    <row r="662">
      <c r="A662" s="14"/>
      <c r="B662" s="14"/>
      <c r="C662" s="14"/>
      <c r="D662" s="14"/>
      <c r="E662" s="14"/>
      <c r="F662" s="14"/>
      <c r="G662" s="14"/>
      <c r="H662" s="14"/>
      <c r="I662" s="14"/>
      <c r="J662" s="14"/>
      <c r="K662" s="14"/>
    </row>
    <row r="663">
      <c r="A663" s="14"/>
      <c r="B663" s="14"/>
      <c r="C663" s="14"/>
      <c r="D663" s="14"/>
      <c r="E663" s="14"/>
      <c r="F663" s="14"/>
      <c r="G663" s="14"/>
      <c r="H663" s="14"/>
      <c r="I663" s="14"/>
      <c r="J663" s="14"/>
      <c r="K663" s="14"/>
    </row>
    <row r="664">
      <c r="A664" s="14"/>
      <c r="B664" s="14"/>
      <c r="C664" s="14"/>
      <c r="D664" s="14"/>
      <c r="E664" s="14"/>
      <c r="F664" s="14"/>
      <c r="G664" s="14"/>
      <c r="H664" s="14"/>
      <c r="I664" s="14"/>
      <c r="J664" s="14"/>
      <c r="K664" s="14"/>
    </row>
    <row r="665">
      <c r="A665" s="14"/>
      <c r="B665" s="14"/>
      <c r="C665" s="14"/>
      <c r="D665" s="14"/>
      <c r="E665" s="14"/>
      <c r="F665" s="14"/>
      <c r="G665" s="14"/>
      <c r="H665" s="14"/>
      <c r="I665" s="14"/>
      <c r="J665" s="14"/>
      <c r="K665" s="14"/>
    </row>
    <row r="666">
      <c r="A666" s="14"/>
      <c r="B666" s="14"/>
      <c r="C666" s="14"/>
      <c r="D666" s="14"/>
      <c r="E666" s="14"/>
      <c r="F666" s="14"/>
      <c r="G666" s="14"/>
      <c r="H666" s="14"/>
      <c r="I666" s="14"/>
      <c r="J666" s="14"/>
      <c r="K666" s="14"/>
    </row>
    <row r="667">
      <c r="A667" s="14"/>
      <c r="B667" s="14"/>
      <c r="C667" s="14"/>
      <c r="D667" s="14"/>
      <c r="E667" s="14"/>
      <c r="F667" s="14"/>
      <c r="G667" s="14"/>
      <c r="H667" s="14"/>
      <c r="I667" s="14"/>
      <c r="J667" s="14"/>
      <c r="K667" s="14"/>
    </row>
    <row r="668">
      <c r="A668" s="14"/>
      <c r="B668" s="14"/>
      <c r="C668" s="14"/>
      <c r="D668" s="14"/>
      <c r="E668" s="14"/>
      <c r="F668" s="14"/>
      <c r="G668" s="14"/>
      <c r="H668" s="14"/>
      <c r="I668" s="14"/>
      <c r="J668" s="14"/>
      <c r="K668" s="14"/>
    </row>
    <row r="669">
      <c r="A669" s="14"/>
      <c r="B669" s="14"/>
      <c r="C669" s="14"/>
      <c r="D669" s="14"/>
      <c r="E669" s="14"/>
      <c r="F669" s="14"/>
      <c r="G669" s="14"/>
      <c r="H669" s="14"/>
      <c r="I669" s="14"/>
      <c r="J669" s="14"/>
      <c r="K669" s="14"/>
    </row>
    <row r="670">
      <c r="A670" s="14"/>
      <c r="B670" s="14"/>
      <c r="C670" s="14"/>
      <c r="D670" s="14"/>
      <c r="E670" s="14"/>
      <c r="F670" s="14"/>
      <c r="G670" s="14"/>
      <c r="H670" s="14"/>
      <c r="I670" s="14"/>
      <c r="J670" s="14"/>
      <c r="K670" s="14"/>
    </row>
    <row r="671">
      <c r="A671" s="14"/>
      <c r="B671" s="14"/>
      <c r="C671" s="14"/>
      <c r="D671" s="14"/>
      <c r="E671" s="14"/>
      <c r="F671" s="14"/>
      <c r="G671" s="14"/>
      <c r="H671" s="14"/>
      <c r="I671" s="14"/>
      <c r="J671" s="14"/>
      <c r="K671" s="14"/>
    </row>
    <row r="672">
      <c r="A672" s="14"/>
      <c r="B672" s="14"/>
      <c r="C672" s="14"/>
      <c r="D672" s="14"/>
      <c r="E672" s="14"/>
      <c r="F672" s="14"/>
      <c r="G672" s="14"/>
      <c r="H672" s="14"/>
      <c r="I672" s="14"/>
      <c r="J672" s="14"/>
      <c r="K672" s="14"/>
    </row>
    <row r="673">
      <c r="A673" s="14"/>
      <c r="B673" s="14"/>
      <c r="C673" s="14"/>
      <c r="D673" s="14"/>
      <c r="E673" s="14"/>
      <c r="F673" s="14"/>
      <c r="G673" s="14"/>
      <c r="H673" s="14"/>
      <c r="I673" s="14"/>
      <c r="J673" s="14"/>
      <c r="K673" s="14"/>
    </row>
    <row r="674">
      <c r="A674" s="14"/>
      <c r="B674" s="14"/>
      <c r="C674" s="14"/>
      <c r="D674" s="14"/>
      <c r="E674" s="14"/>
      <c r="F674" s="14"/>
      <c r="G674" s="14"/>
      <c r="H674" s="14"/>
      <c r="I674" s="14"/>
      <c r="J674" s="14"/>
      <c r="K674" s="14"/>
    </row>
    <row r="675">
      <c r="A675" s="14"/>
      <c r="B675" s="14"/>
      <c r="C675" s="14"/>
      <c r="D675" s="14"/>
      <c r="E675" s="14"/>
      <c r="F675" s="14"/>
      <c r="G675" s="14"/>
      <c r="H675" s="14"/>
      <c r="I675" s="14"/>
      <c r="J675" s="14"/>
      <c r="K675" s="14"/>
    </row>
    <row r="676">
      <c r="A676" s="14"/>
      <c r="B676" s="14"/>
      <c r="C676" s="14"/>
      <c r="D676" s="14"/>
      <c r="E676" s="14"/>
      <c r="F676" s="14"/>
      <c r="G676" s="14"/>
      <c r="H676" s="14"/>
      <c r="I676" s="14"/>
      <c r="J676" s="14"/>
      <c r="K676" s="14"/>
    </row>
    <row r="677">
      <c r="A677" s="14"/>
      <c r="B677" s="14"/>
      <c r="C677" s="14"/>
      <c r="D677" s="14"/>
      <c r="E677" s="14"/>
      <c r="F677" s="14"/>
      <c r="G677" s="14"/>
      <c r="H677" s="14"/>
      <c r="I677" s="14"/>
      <c r="J677" s="14"/>
      <c r="K677" s="14"/>
    </row>
    <row r="678">
      <c r="A678" s="14"/>
      <c r="B678" s="14"/>
      <c r="C678" s="14"/>
      <c r="D678" s="14"/>
      <c r="E678" s="14"/>
      <c r="F678" s="14"/>
      <c r="G678" s="14"/>
      <c r="H678" s="14"/>
      <c r="I678" s="14"/>
      <c r="J678" s="14"/>
      <c r="K678" s="14"/>
    </row>
    <row r="679">
      <c r="A679" s="14"/>
      <c r="B679" s="14"/>
      <c r="C679" s="14"/>
      <c r="D679" s="14"/>
      <c r="E679" s="14"/>
      <c r="F679" s="14"/>
      <c r="G679" s="14"/>
      <c r="H679" s="14"/>
      <c r="I679" s="14"/>
      <c r="J679" s="14"/>
      <c r="K679" s="14"/>
    </row>
    <row r="680">
      <c r="A680" s="14"/>
      <c r="B680" s="14"/>
      <c r="C680" s="14"/>
      <c r="D680" s="14"/>
      <c r="E680" s="14"/>
      <c r="F680" s="14"/>
      <c r="G680" s="14"/>
      <c r="H680" s="14"/>
      <c r="I680" s="14"/>
      <c r="J680" s="14"/>
      <c r="K680" s="14"/>
    </row>
    <row r="681">
      <c r="A681" s="14"/>
      <c r="B681" s="14"/>
      <c r="C681" s="14"/>
      <c r="D681" s="14"/>
      <c r="E681" s="14"/>
      <c r="F681" s="14"/>
      <c r="G681" s="14"/>
      <c r="H681" s="14"/>
      <c r="I681" s="14"/>
      <c r="J681" s="14"/>
      <c r="K681" s="14"/>
    </row>
    <row r="682">
      <c r="A682" s="14"/>
      <c r="B682" s="14"/>
      <c r="C682" s="14"/>
      <c r="D682" s="14"/>
      <c r="E682" s="14"/>
      <c r="F682" s="14"/>
      <c r="G682" s="14"/>
      <c r="H682" s="14"/>
      <c r="I682" s="14"/>
      <c r="J682" s="14"/>
      <c r="K682" s="14"/>
    </row>
    <row r="683">
      <c r="A683" s="14"/>
      <c r="B683" s="14"/>
      <c r="C683" s="14"/>
      <c r="D683" s="14"/>
      <c r="E683" s="14"/>
      <c r="F683" s="14"/>
      <c r="G683" s="14"/>
      <c r="H683" s="14"/>
      <c r="I683" s="14"/>
      <c r="J683" s="14"/>
      <c r="K683" s="14"/>
    </row>
    <row r="684">
      <c r="A684" s="14"/>
      <c r="B684" s="14"/>
      <c r="C684" s="14"/>
      <c r="D684" s="14"/>
      <c r="E684" s="14"/>
      <c r="F684" s="14"/>
      <c r="G684" s="14"/>
      <c r="H684" s="14"/>
      <c r="I684" s="14"/>
      <c r="J684" s="14"/>
      <c r="K684" s="14"/>
    </row>
    <row r="685">
      <c r="A685" s="14"/>
      <c r="B685" s="14"/>
      <c r="C685" s="14"/>
      <c r="D685" s="14"/>
      <c r="E685" s="14"/>
      <c r="F685" s="14"/>
      <c r="G685" s="14"/>
      <c r="H685" s="14"/>
      <c r="I685" s="14"/>
      <c r="J685" s="14"/>
      <c r="K685" s="14"/>
    </row>
    <row r="686">
      <c r="A686" s="14"/>
      <c r="B686" s="14"/>
      <c r="C686" s="14"/>
      <c r="D686" s="14"/>
      <c r="E686" s="14"/>
      <c r="F686" s="14"/>
      <c r="G686" s="14"/>
      <c r="H686" s="14"/>
      <c r="I686" s="14"/>
      <c r="J686" s="14"/>
      <c r="K686" s="14"/>
    </row>
    <row r="687">
      <c r="A687" s="14"/>
      <c r="B687" s="14"/>
      <c r="C687" s="14"/>
      <c r="D687" s="14"/>
      <c r="E687" s="14"/>
      <c r="F687" s="14"/>
      <c r="G687" s="14"/>
      <c r="H687" s="14"/>
      <c r="I687" s="14"/>
      <c r="J687" s="14"/>
      <c r="K687" s="14"/>
    </row>
    <row r="688">
      <c r="A688" s="14"/>
      <c r="B688" s="14"/>
      <c r="C688" s="14"/>
      <c r="D688" s="14"/>
      <c r="E688" s="14"/>
      <c r="F688" s="14"/>
      <c r="G688" s="14"/>
      <c r="H688" s="14"/>
      <c r="I688" s="14"/>
      <c r="J688" s="14"/>
      <c r="K688" s="14"/>
    </row>
    <row r="689">
      <c r="A689" s="14"/>
      <c r="B689" s="14"/>
      <c r="C689" s="14"/>
      <c r="D689" s="14"/>
      <c r="E689" s="14"/>
      <c r="F689" s="14"/>
      <c r="G689" s="14"/>
      <c r="H689" s="14"/>
      <c r="I689" s="14"/>
      <c r="J689" s="14"/>
      <c r="K689" s="14"/>
    </row>
    <row r="690">
      <c r="A690" s="14"/>
      <c r="B690" s="14"/>
      <c r="C690" s="14"/>
      <c r="D690" s="14"/>
      <c r="E690" s="14"/>
      <c r="F690" s="14"/>
      <c r="G690" s="14"/>
      <c r="H690" s="14"/>
      <c r="I690" s="14"/>
      <c r="J690" s="14"/>
      <c r="K690" s="14"/>
    </row>
    <row r="691">
      <c r="A691" s="14"/>
      <c r="B691" s="14"/>
      <c r="C691" s="14"/>
      <c r="D691" s="14"/>
      <c r="E691" s="14"/>
      <c r="F691" s="14"/>
      <c r="G691" s="14"/>
      <c r="H691" s="14"/>
      <c r="I691" s="14"/>
      <c r="J691" s="14"/>
      <c r="K691" s="14"/>
    </row>
    <row r="692">
      <c r="A692" s="14"/>
      <c r="B692" s="14"/>
      <c r="C692" s="14"/>
      <c r="D692" s="14"/>
      <c r="E692" s="14"/>
      <c r="F692" s="14"/>
      <c r="G692" s="14"/>
      <c r="H692" s="14"/>
      <c r="I692" s="14"/>
      <c r="J692" s="14"/>
      <c r="K692" s="14"/>
    </row>
    <row r="693">
      <c r="A693" s="14"/>
      <c r="B693" s="14"/>
      <c r="C693" s="14"/>
      <c r="D693" s="14"/>
      <c r="E693" s="14"/>
      <c r="F693" s="14"/>
      <c r="G693" s="14"/>
      <c r="H693" s="14"/>
      <c r="I693" s="14"/>
      <c r="J693" s="14"/>
      <c r="K693" s="14"/>
    </row>
    <row r="694">
      <c r="A694" s="14"/>
      <c r="B694" s="14"/>
      <c r="C694" s="14"/>
      <c r="D694" s="14"/>
      <c r="E694" s="14"/>
      <c r="F694" s="14"/>
      <c r="G694" s="14"/>
      <c r="H694" s="14"/>
      <c r="I694" s="14"/>
      <c r="J694" s="14"/>
      <c r="K694" s="14"/>
    </row>
    <row r="695">
      <c r="A695" s="14"/>
      <c r="B695" s="14"/>
      <c r="C695" s="14"/>
      <c r="D695" s="14"/>
      <c r="E695" s="14"/>
      <c r="F695" s="14"/>
      <c r="G695" s="14"/>
      <c r="H695" s="14"/>
      <c r="I695" s="14"/>
      <c r="J695" s="14"/>
      <c r="K695" s="14"/>
    </row>
    <row r="696">
      <c r="A696" s="14"/>
      <c r="B696" s="14"/>
      <c r="C696" s="14"/>
      <c r="D696" s="14"/>
      <c r="E696" s="14"/>
      <c r="F696" s="14"/>
      <c r="G696" s="14"/>
      <c r="H696" s="14"/>
      <c r="I696" s="14"/>
      <c r="J696" s="14"/>
      <c r="K696" s="14"/>
    </row>
    <row r="697">
      <c r="A697" s="14"/>
      <c r="B697" s="14"/>
      <c r="C697" s="14"/>
      <c r="D697" s="14"/>
      <c r="E697" s="14"/>
      <c r="F697" s="14"/>
      <c r="G697" s="14"/>
      <c r="H697" s="14"/>
      <c r="I697" s="14"/>
      <c r="J697" s="14"/>
      <c r="K697" s="14"/>
    </row>
    <row r="698">
      <c r="A698" s="14"/>
      <c r="B698" s="14"/>
      <c r="C698" s="14"/>
      <c r="D698" s="14"/>
      <c r="E698" s="14"/>
      <c r="F698" s="14"/>
      <c r="G698" s="14"/>
      <c r="H698" s="14"/>
      <c r="I698" s="14"/>
      <c r="J698" s="14"/>
      <c r="K698" s="14"/>
    </row>
    <row r="699">
      <c r="A699" s="14"/>
      <c r="B699" s="14"/>
      <c r="C699" s="14"/>
      <c r="D699" s="14"/>
      <c r="E699" s="14"/>
      <c r="F699" s="14"/>
      <c r="G699" s="14"/>
      <c r="H699" s="14"/>
      <c r="I699" s="14"/>
      <c r="J699" s="14"/>
      <c r="K699" s="14"/>
    </row>
    <row r="700">
      <c r="A700" s="14"/>
      <c r="B700" s="14"/>
      <c r="C700" s="14"/>
      <c r="D700" s="14"/>
      <c r="E700" s="14"/>
      <c r="F700" s="14"/>
      <c r="G700" s="14"/>
      <c r="H700" s="14"/>
      <c r="I700" s="14"/>
      <c r="J700" s="14"/>
      <c r="K700" s="14"/>
    </row>
    <row r="701">
      <c r="A701" s="14"/>
      <c r="B701" s="14"/>
      <c r="C701" s="14"/>
      <c r="D701" s="14"/>
      <c r="E701" s="14"/>
      <c r="F701" s="14"/>
      <c r="G701" s="14"/>
      <c r="H701" s="14"/>
      <c r="I701" s="14"/>
      <c r="J701" s="14"/>
      <c r="K701" s="14"/>
    </row>
    <row r="702">
      <c r="A702" s="14"/>
      <c r="B702" s="14"/>
      <c r="C702" s="14"/>
      <c r="D702" s="14"/>
      <c r="E702" s="14"/>
      <c r="F702" s="14"/>
      <c r="G702" s="14"/>
      <c r="H702" s="14"/>
      <c r="I702" s="14"/>
      <c r="J702" s="14"/>
      <c r="K702" s="14"/>
    </row>
    <row r="703">
      <c r="A703" s="14"/>
      <c r="B703" s="14"/>
      <c r="C703" s="14"/>
      <c r="D703" s="14"/>
      <c r="E703" s="14"/>
      <c r="F703" s="14"/>
      <c r="G703" s="14"/>
      <c r="H703" s="14"/>
      <c r="I703" s="14"/>
      <c r="J703" s="14"/>
      <c r="K703" s="14"/>
    </row>
    <row r="704">
      <c r="A704" s="14"/>
      <c r="B704" s="14"/>
      <c r="C704" s="14"/>
      <c r="D704" s="14"/>
      <c r="E704" s="14"/>
      <c r="F704" s="14"/>
      <c r="G704" s="14"/>
      <c r="H704" s="14"/>
      <c r="I704" s="14"/>
      <c r="J704" s="14"/>
      <c r="K704" s="14"/>
    </row>
    <row r="705">
      <c r="A705" s="14"/>
      <c r="B705" s="14"/>
      <c r="C705" s="14"/>
      <c r="D705" s="14"/>
      <c r="E705" s="14"/>
      <c r="F705" s="14"/>
      <c r="G705" s="14"/>
      <c r="H705" s="14"/>
      <c r="I705" s="14"/>
      <c r="J705" s="14"/>
      <c r="K705" s="14"/>
    </row>
    <row r="706">
      <c r="A706" s="14"/>
      <c r="B706" s="14"/>
      <c r="C706" s="14"/>
      <c r="D706" s="14"/>
      <c r="E706" s="14"/>
      <c r="F706" s="14"/>
      <c r="G706" s="14"/>
      <c r="H706" s="14"/>
      <c r="I706" s="14"/>
      <c r="J706" s="14"/>
      <c r="K706" s="14"/>
    </row>
    <row r="707">
      <c r="A707" s="14"/>
      <c r="B707" s="14"/>
      <c r="C707" s="14"/>
      <c r="D707" s="14"/>
      <c r="E707" s="14"/>
      <c r="F707" s="14"/>
      <c r="G707" s="14"/>
      <c r="H707" s="14"/>
      <c r="I707" s="14"/>
      <c r="J707" s="14"/>
      <c r="K707" s="14"/>
    </row>
    <row r="708">
      <c r="A708" s="14"/>
      <c r="B708" s="14"/>
      <c r="C708" s="14"/>
      <c r="D708" s="14"/>
      <c r="E708" s="14"/>
      <c r="F708" s="14"/>
      <c r="G708" s="14"/>
      <c r="H708" s="14"/>
      <c r="I708" s="14"/>
      <c r="J708" s="14"/>
      <c r="K708" s="14"/>
    </row>
    <row r="709">
      <c r="A709" s="14"/>
      <c r="B709" s="14"/>
      <c r="C709" s="14"/>
      <c r="D709" s="14"/>
      <c r="E709" s="14"/>
      <c r="F709" s="14"/>
      <c r="G709" s="14"/>
      <c r="H709" s="14"/>
      <c r="I709" s="14"/>
      <c r="J709" s="14"/>
      <c r="K709" s="14"/>
    </row>
    <row r="710">
      <c r="A710" s="14"/>
      <c r="B710" s="14"/>
      <c r="C710" s="14"/>
      <c r="D710" s="14"/>
      <c r="E710" s="14"/>
      <c r="F710" s="14"/>
      <c r="G710" s="14"/>
      <c r="H710" s="14"/>
      <c r="I710" s="14"/>
      <c r="J710" s="14"/>
      <c r="K710" s="14"/>
    </row>
    <row r="711">
      <c r="A711" s="14"/>
      <c r="B711" s="14"/>
      <c r="C711" s="14"/>
      <c r="D711" s="14"/>
      <c r="E711" s="14"/>
      <c r="F711" s="14"/>
      <c r="G711" s="14"/>
      <c r="H711" s="14"/>
      <c r="I711" s="14"/>
      <c r="J711" s="14"/>
      <c r="K711" s="14"/>
    </row>
    <row r="712">
      <c r="A712" s="14"/>
      <c r="B712" s="14"/>
      <c r="C712" s="14"/>
      <c r="D712" s="14"/>
      <c r="E712" s="14"/>
      <c r="F712" s="14"/>
      <c r="G712" s="14"/>
      <c r="H712" s="14"/>
      <c r="I712" s="14"/>
      <c r="J712" s="14"/>
      <c r="K712" s="14"/>
    </row>
    <row r="713">
      <c r="A713" s="14"/>
      <c r="B713" s="14"/>
      <c r="C713" s="14"/>
      <c r="D713" s="14"/>
      <c r="E713" s="14"/>
      <c r="F713" s="14"/>
      <c r="G713" s="14"/>
      <c r="H713" s="14"/>
      <c r="I713" s="14"/>
      <c r="J713" s="14"/>
      <c r="K713" s="14"/>
    </row>
    <row r="714">
      <c r="A714" s="14"/>
      <c r="B714" s="14"/>
      <c r="C714" s="14"/>
      <c r="D714" s="14"/>
      <c r="E714" s="14"/>
      <c r="F714" s="14"/>
      <c r="G714" s="14"/>
      <c r="H714" s="14"/>
      <c r="I714" s="14"/>
      <c r="J714" s="14"/>
      <c r="K714" s="14"/>
    </row>
    <row r="715">
      <c r="A715" s="14"/>
      <c r="B715" s="14"/>
      <c r="C715" s="14"/>
      <c r="D715" s="14"/>
      <c r="E715" s="14"/>
      <c r="F715" s="14"/>
      <c r="G715" s="14"/>
      <c r="H715" s="14"/>
      <c r="I715" s="14"/>
      <c r="J715" s="14"/>
      <c r="K715" s="14"/>
    </row>
    <row r="716">
      <c r="A716" s="14"/>
      <c r="B716" s="14"/>
      <c r="C716" s="14"/>
      <c r="D716" s="14"/>
      <c r="E716" s="14"/>
      <c r="F716" s="14"/>
      <c r="G716" s="14"/>
      <c r="H716" s="14"/>
      <c r="I716" s="14"/>
      <c r="J716" s="14"/>
      <c r="K716" s="14"/>
    </row>
    <row r="717">
      <c r="A717" s="14"/>
      <c r="B717" s="14"/>
      <c r="C717" s="14"/>
      <c r="D717" s="14"/>
      <c r="E717" s="14"/>
      <c r="F717" s="14"/>
      <c r="G717" s="14"/>
      <c r="H717" s="14"/>
      <c r="I717" s="14"/>
      <c r="J717" s="14"/>
      <c r="K717" s="14"/>
    </row>
    <row r="718">
      <c r="A718" s="14"/>
      <c r="B718" s="14"/>
      <c r="C718" s="14"/>
      <c r="D718" s="14"/>
      <c r="E718" s="14"/>
      <c r="F718" s="14"/>
      <c r="G718" s="14"/>
      <c r="H718" s="14"/>
      <c r="I718" s="14"/>
      <c r="J718" s="14"/>
      <c r="K718" s="14"/>
    </row>
    <row r="719">
      <c r="A719" s="14"/>
      <c r="B719" s="14"/>
      <c r="C719" s="14"/>
      <c r="D719" s="14"/>
      <c r="E719" s="14"/>
      <c r="F719" s="14"/>
      <c r="G719" s="14"/>
      <c r="H719" s="14"/>
      <c r="I719" s="14"/>
      <c r="J719" s="14"/>
      <c r="K719" s="14"/>
    </row>
    <row r="720">
      <c r="A720" s="14"/>
      <c r="B720" s="14"/>
      <c r="C720" s="14"/>
      <c r="D720" s="14"/>
      <c r="E720" s="14"/>
      <c r="F720" s="14"/>
      <c r="G720" s="14"/>
      <c r="H720" s="14"/>
      <c r="I720" s="14"/>
      <c r="J720" s="14"/>
      <c r="K720" s="14"/>
    </row>
    <row r="721">
      <c r="A721" s="14"/>
      <c r="B721" s="14"/>
      <c r="C721" s="14"/>
      <c r="D721" s="14"/>
      <c r="E721" s="14"/>
      <c r="F721" s="14"/>
      <c r="G721" s="14"/>
      <c r="H721" s="14"/>
      <c r="I721" s="14"/>
      <c r="J721" s="14"/>
      <c r="K721" s="14"/>
    </row>
    <row r="722">
      <c r="A722" s="14"/>
      <c r="B722" s="14"/>
      <c r="C722" s="14"/>
      <c r="D722" s="14"/>
      <c r="E722" s="14"/>
      <c r="F722" s="14"/>
      <c r="G722" s="14"/>
      <c r="H722" s="14"/>
      <c r="I722" s="14"/>
      <c r="J722" s="14"/>
      <c r="K722" s="14"/>
    </row>
    <row r="723">
      <c r="A723" s="14"/>
      <c r="B723" s="14"/>
      <c r="C723" s="14"/>
      <c r="D723" s="14"/>
      <c r="E723" s="14"/>
      <c r="F723" s="14"/>
      <c r="G723" s="14"/>
      <c r="H723" s="14"/>
      <c r="I723" s="14"/>
      <c r="J723" s="14"/>
      <c r="K723" s="14"/>
    </row>
    <row r="724">
      <c r="A724" s="14"/>
      <c r="B724" s="14"/>
      <c r="C724" s="14"/>
      <c r="D724" s="14"/>
      <c r="E724" s="14"/>
      <c r="F724" s="14"/>
      <c r="G724" s="14"/>
      <c r="H724" s="14"/>
      <c r="I724" s="14"/>
      <c r="J724" s="14"/>
      <c r="K724" s="14"/>
    </row>
    <row r="725">
      <c r="A725" s="14"/>
      <c r="B725" s="14"/>
      <c r="C725" s="14"/>
      <c r="D725" s="14"/>
      <c r="E725" s="14"/>
      <c r="F725" s="14"/>
      <c r="G725" s="14"/>
      <c r="H725" s="14"/>
      <c r="I725" s="14"/>
      <c r="J725" s="14"/>
      <c r="K725" s="14"/>
    </row>
    <row r="726">
      <c r="A726" s="14"/>
      <c r="B726" s="14"/>
      <c r="C726" s="14"/>
      <c r="D726" s="14"/>
      <c r="E726" s="14"/>
      <c r="F726" s="14"/>
      <c r="G726" s="14"/>
      <c r="H726" s="14"/>
      <c r="I726" s="14"/>
      <c r="J726" s="14"/>
      <c r="K726" s="14"/>
    </row>
    <row r="727">
      <c r="A727" s="14"/>
      <c r="B727" s="14"/>
      <c r="C727" s="14"/>
      <c r="D727" s="14"/>
      <c r="E727" s="14"/>
      <c r="F727" s="14"/>
      <c r="G727" s="14"/>
      <c r="H727" s="14"/>
      <c r="I727" s="14"/>
      <c r="J727" s="14"/>
      <c r="K727" s="14"/>
    </row>
    <row r="728">
      <c r="A728" s="14"/>
      <c r="B728" s="14"/>
      <c r="C728" s="14"/>
      <c r="D728" s="14"/>
      <c r="E728" s="14"/>
      <c r="F728" s="14"/>
      <c r="G728" s="14"/>
      <c r="H728" s="14"/>
      <c r="I728" s="14"/>
      <c r="J728" s="14"/>
      <c r="K728" s="14"/>
    </row>
    <row r="729">
      <c r="A729" s="14"/>
      <c r="B729" s="14"/>
      <c r="C729" s="14"/>
      <c r="D729" s="14"/>
      <c r="E729" s="14"/>
      <c r="F729" s="14"/>
      <c r="G729" s="14"/>
      <c r="H729" s="14"/>
      <c r="I729" s="14"/>
      <c r="J729" s="14"/>
      <c r="K729" s="14"/>
    </row>
    <row r="730">
      <c r="A730" s="14"/>
      <c r="B730" s="14"/>
      <c r="C730" s="14"/>
      <c r="D730" s="14"/>
      <c r="E730" s="14"/>
      <c r="F730" s="14"/>
      <c r="G730" s="14"/>
      <c r="H730" s="14"/>
      <c r="I730" s="14"/>
      <c r="J730" s="14"/>
      <c r="K730" s="14"/>
    </row>
    <row r="731">
      <c r="A731" s="14"/>
      <c r="B731" s="14"/>
      <c r="C731" s="14"/>
      <c r="D731" s="14"/>
      <c r="E731" s="14"/>
      <c r="F731" s="14"/>
      <c r="G731" s="14"/>
      <c r="H731" s="14"/>
      <c r="I731" s="14"/>
      <c r="J731" s="14"/>
      <c r="K731" s="14"/>
    </row>
    <row r="732">
      <c r="A732" s="14"/>
      <c r="B732" s="14"/>
      <c r="C732" s="14"/>
      <c r="D732" s="14"/>
      <c r="E732" s="14"/>
      <c r="F732" s="14"/>
      <c r="G732" s="14"/>
      <c r="H732" s="14"/>
      <c r="I732" s="14"/>
      <c r="J732" s="14"/>
      <c r="K732" s="14"/>
    </row>
    <row r="733">
      <c r="A733" s="14"/>
      <c r="B733" s="14"/>
      <c r="C733" s="14"/>
      <c r="D733" s="14"/>
      <c r="E733" s="14"/>
      <c r="F733" s="14"/>
      <c r="G733" s="14"/>
      <c r="H733" s="14"/>
      <c r="I733" s="14"/>
      <c r="J733" s="14"/>
      <c r="K733" s="14"/>
    </row>
    <row r="734">
      <c r="A734" s="14"/>
      <c r="B734" s="14"/>
      <c r="C734" s="14"/>
      <c r="D734" s="14"/>
      <c r="E734" s="14"/>
      <c r="F734" s="14"/>
      <c r="G734" s="14"/>
      <c r="H734" s="14"/>
      <c r="I734" s="14"/>
      <c r="J734" s="14"/>
      <c r="K734" s="14"/>
    </row>
    <row r="735">
      <c r="A735" s="14"/>
      <c r="B735" s="14"/>
      <c r="C735" s="14"/>
      <c r="D735" s="14"/>
      <c r="E735" s="14"/>
      <c r="F735" s="14"/>
      <c r="G735" s="14"/>
      <c r="H735" s="14"/>
      <c r="I735" s="14"/>
      <c r="J735" s="14"/>
      <c r="K735" s="14"/>
    </row>
    <row r="736">
      <c r="A736" s="14"/>
      <c r="B736" s="14"/>
      <c r="C736" s="14"/>
      <c r="D736" s="14"/>
      <c r="E736" s="14"/>
      <c r="F736" s="14"/>
      <c r="G736" s="14"/>
      <c r="H736" s="14"/>
      <c r="I736" s="14"/>
      <c r="J736" s="14"/>
      <c r="K736" s="14"/>
    </row>
    <row r="737">
      <c r="A737" s="14"/>
      <c r="B737" s="14"/>
      <c r="C737" s="14"/>
      <c r="D737" s="14"/>
      <c r="E737" s="14"/>
      <c r="F737" s="14"/>
      <c r="G737" s="14"/>
      <c r="H737" s="14"/>
      <c r="I737" s="14"/>
      <c r="J737" s="14"/>
      <c r="K737" s="14"/>
    </row>
    <row r="738">
      <c r="A738" s="14"/>
      <c r="B738" s="14"/>
      <c r="C738" s="14"/>
      <c r="D738" s="14"/>
      <c r="E738" s="14"/>
      <c r="F738" s="14"/>
      <c r="G738" s="14"/>
      <c r="H738" s="14"/>
      <c r="I738" s="14"/>
      <c r="J738" s="14"/>
      <c r="K738" s="14"/>
    </row>
    <row r="739">
      <c r="A739" s="14"/>
      <c r="B739" s="14"/>
      <c r="C739" s="14"/>
      <c r="D739" s="14"/>
      <c r="E739" s="14"/>
      <c r="F739" s="14"/>
      <c r="G739" s="14"/>
      <c r="H739" s="14"/>
      <c r="I739" s="14"/>
      <c r="J739" s="14"/>
      <c r="K739" s="14"/>
    </row>
    <row r="740">
      <c r="A740" s="14"/>
      <c r="B740" s="14"/>
      <c r="C740" s="14"/>
      <c r="D740" s="14"/>
      <c r="E740" s="14"/>
      <c r="F740" s="14"/>
      <c r="G740" s="14"/>
      <c r="H740" s="14"/>
      <c r="I740" s="14"/>
      <c r="J740" s="14"/>
      <c r="K740" s="14"/>
    </row>
    <row r="741">
      <c r="A741" s="14"/>
      <c r="B741" s="14"/>
      <c r="C741" s="14"/>
      <c r="D741" s="14"/>
      <c r="E741" s="14"/>
      <c r="F741" s="14"/>
      <c r="G741" s="14"/>
      <c r="H741" s="14"/>
      <c r="I741" s="14"/>
      <c r="J741" s="14"/>
      <c r="K741" s="14"/>
    </row>
    <row r="742">
      <c r="A742" s="14"/>
      <c r="B742" s="14"/>
      <c r="C742" s="14"/>
      <c r="D742" s="14"/>
      <c r="E742" s="14"/>
      <c r="F742" s="14"/>
      <c r="G742" s="14"/>
      <c r="H742" s="14"/>
      <c r="I742" s="14"/>
      <c r="J742" s="14"/>
      <c r="K742" s="14"/>
    </row>
    <row r="743">
      <c r="A743" s="14"/>
      <c r="B743" s="14"/>
      <c r="C743" s="14"/>
      <c r="D743" s="14"/>
      <c r="E743" s="14"/>
      <c r="F743" s="14"/>
      <c r="G743" s="14"/>
      <c r="H743" s="14"/>
      <c r="I743" s="14"/>
      <c r="J743" s="14"/>
      <c r="K743" s="14"/>
    </row>
    <row r="744">
      <c r="A744" s="14"/>
      <c r="B744" s="14"/>
      <c r="C744" s="14"/>
      <c r="D744" s="14"/>
      <c r="E744" s="14"/>
      <c r="F744" s="14"/>
      <c r="G744" s="14"/>
      <c r="H744" s="14"/>
      <c r="I744" s="14"/>
      <c r="J744" s="14"/>
      <c r="K744" s="14"/>
    </row>
    <row r="745">
      <c r="A745" s="14"/>
      <c r="B745" s="14"/>
      <c r="C745" s="14"/>
      <c r="D745" s="14"/>
      <c r="E745" s="14"/>
      <c r="F745" s="14"/>
      <c r="G745" s="14"/>
      <c r="H745" s="14"/>
      <c r="I745" s="14"/>
      <c r="J745" s="14"/>
      <c r="K745" s="14"/>
    </row>
    <row r="746">
      <c r="A746" s="14"/>
      <c r="B746" s="14"/>
      <c r="C746" s="14"/>
      <c r="D746" s="14"/>
      <c r="E746" s="14"/>
      <c r="F746" s="14"/>
      <c r="G746" s="14"/>
      <c r="H746" s="14"/>
      <c r="I746" s="14"/>
      <c r="J746" s="14"/>
      <c r="K746" s="14"/>
    </row>
    <row r="747">
      <c r="A747" s="14"/>
      <c r="B747" s="14"/>
      <c r="C747" s="14"/>
      <c r="D747" s="14"/>
      <c r="E747" s="14"/>
      <c r="F747" s="14"/>
      <c r="G747" s="14"/>
      <c r="H747" s="14"/>
      <c r="I747" s="14"/>
      <c r="J747" s="14"/>
      <c r="K747" s="14"/>
    </row>
    <row r="748">
      <c r="A748" s="14"/>
      <c r="B748" s="14"/>
      <c r="C748" s="14"/>
      <c r="D748" s="14"/>
      <c r="E748" s="14"/>
      <c r="F748" s="14"/>
      <c r="G748" s="14"/>
      <c r="H748" s="14"/>
      <c r="I748" s="14"/>
      <c r="J748" s="14"/>
      <c r="K748" s="14"/>
    </row>
    <row r="749">
      <c r="A749" s="14"/>
      <c r="B749" s="14"/>
      <c r="C749" s="14"/>
      <c r="D749" s="14"/>
      <c r="E749" s="14"/>
      <c r="F749" s="14"/>
      <c r="G749" s="14"/>
      <c r="H749" s="14"/>
      <c r="I749" s="14"/>
      <c r="J749" s="14"/>
      <c r="K749" s="14"/>
    </row>
    <row r="750">
      <c r="A750" s="14"/>
      <c r="B750" s="14"/>
      <c r="C750" s="14"/>
      <c r="D750" s="14"/>
      <c r="E750" s="14"/>
      <c r="F750" s="14"/>
      <c r="G750" s="14"/>
      <c r="H750" s="14"/>
      <c r="I750" s="14"/>
      <c r="J750" s="14"/>
      <c r="K750" s="14"/>
    </row>
    <row r="751">
      <c r="A751" s="14"/>
      <c r="B751" s="14"/>
      <c r="C751" s="14"/>
      <c r="D751" s="14"/>
      <c r="E751" s="14"/>
      <c r="F751" s="14"/>
      <c r="G751" s="14"/>
      <c r="H751" s="14"/>
      <c r="I751" s="14"/>
      <c r="J751" s="14"/>
      <c r="K751" s="14"/>
    </row>
    <row r="752">
      <c r="A752" s="14"/>
      <c r="B752" s="14"/>
      <c r="C752" s="14"/>
      <c r="D752" s="14"/>
      <c r="E752" s="14"/>
      <c r="F752" s="14"/>
      <c r="G752" s="14"/>
      <c r="H752" s="14"/>
      <c r="I752" s="14"/>
      <c r="J752" s="14"/>
      <c r="K752" s="14"/>
    </row>
    <row r="753">
      <c r="A753" s="14"/>
      <c r="B753" s="14"/>
      <c r="C753" s="14"/>
      <c r="D753" s="14"/>
      <c r="E753" s="14"/>
      <c r="F753" s="14"/>
      <c r="G753" s="14"/>
      <c r="H753" s="14"/>
      <c r="I753" s="14"/>
      <c r="J753" s="14"/>
      <c r="K753" s="14"/>
    </row>
    <row r="754">
      <c r="A754" s="14"/>
      <c r="B754" s="14"/>
      <c r="C754" s="14"/>
      <c r="D754" s="14"/>
      <c r="E754" s="14"/>
      <c r="F754" s="14"/>
      <c r="G754" s="14"/>
      <c r="H754" s="14"/>
      <c r="I754" s="14"/>
      <c r="J754" s="14"/>
      <c r="K754" s="14"/>
    </row>
    <row r="755">
      <c r="A755" s="14"/>
      <c r="B755" s="14"/>
      <c r="C755" s="14"/>
      <c r="D755" s="14"/>
      <c r="E755" s="14"/>
      <c r="F755" s="14"/>
      <c r="G755" s="14"/>
      <c r="H755" s="14"/>
      <c r="I755" s="14"/>
      <c r="J755" s="14"/>
      <c r="K755" s="14"/>
    </row>
    <row r="756">
      <c r="A756" s="14"/>
      <c r="B756" s="14"/>
      <c r="C756" s="14"/>
      <c r="D756" s="14"/>
      <c r="E756" s="14"/>
      <c r="F756" s="14"/>
      <c r="G756" s="14"/>
      <c r="H756" s="14"/>
      <c r="I756" s="14"/>
      <c r="J756" s="14"/>
      <c r="K756" s="14"/>
    </row>
    <row r="757">
      <c r="A757" s="14"/>
      <c r="B757" s="14"/>
      <c r="C757" s="14"/>
      <c r="D757" s="14"/>
      <c r="E757" s="14"/>
      <c r="F757" s="14"/>
      <c r="G757" s="14"/>
      <c r="H757" s="14"/>
      <c r="I757" s="14"/>
      <c r="J757" s="14"/>
      <c r="K757" s="14"/>
    </row>
    <row r="758">
      <c r="A758" s="14"/>
      <c r="B758" s="14"/>
      <c r="C758" s="14"/>
      <c r="D758" s="14"/>
      <c r="E758" s="14"/>
      <c r="F758" s="14"/>
      <c r="G758" s="14"/>
      <c r="H758" s="14"/>
      <c r="I758" s="14"/>
      <c r="J758" s="14"/>
      <c r="K758" s="14"/>
    </row>
    <row r="759">
      <c r="A759" s="14"/>
      <c r="B759" s="14"/>
      <c r="C759" s="14"/>
      <c r="D759" s="14"/>
      <c r="E759" s="14"/>
      <c r="F759" s="14"/>
      <c r="G759" s="14"/>
      <c r="H759" s="14"/>
      <c r="I759" s="14"/>
      <c r="J759" s="14"/>
      <c r="K759" s="14"/>
    </row>
    <row r="760">
      <c r="A760" s="14"/>
      <c r="B760" s="14"/>
      <c r="C760" s="14"/>
      <c r="D760" s="14"/>
      <c r="E760" s="14"/>
      <c r="F760" s="14"/>
      <c r="G760" s="14"/>
      <c r="H760" s="14"/>
      <c r="I760" s="14"/>
      <c r="J760" s="14"/>
      <c r="K760" s="14"/>
    </row>
    <row r="761">
      <c r="A761" s="14"/>
      <c r="B761" s="14"/>
      <c r="C761" s="14"/>
      <c r="D761" s="14"/>
      <c r="E761" s="14"/>
      <c r="F761" s="14"/>
      <c r="G761" s="14"/>
      <c r="H761" s="14"/>
      <c r="I761" s="14"/>
      <c r="J761" s="14"/>
      <c r="K761" s="14"/>
    </row>
    <row r="762">
      <c r="A762" s="14"/>
      <c r="B762" s="14"/>
      <c r="C762" s="14"/>
      <c r="D762" s="14"/>
      <c r="E762" s="14"/>
      <c r="F762" s="14"/>
      <c r="G762" s="14"/>
      <c r="H762" s="14"/>
      <c r="I762" s="14"/>
      <c r="J762" s="14"/>
      <c r="K762" s="14"/>
    </row>
    <row r="763">
      <c r="A763" s="14"/>
      <c r="B763" s="14"/>
      <c r="C763" s="14"/>
      <c r="D763" s="14"/>
      <c r="E763" s="14"/>
      <c r="F763" s="14"/>
      <c r="G763" s="14"/>
      <c r="H763" s="14"/>
      <c r="I763" s="14"/>
      <c r="J763" s="14"/>
      <c r="K763" s="14"/>
    </row>
    <row r="764">
      <c r="A764" s="14"/>
      <c r="B764" s="14"/>
      <c r="C764" s="14"/>
      <c r="D764" s="14"/>
      <c r="E764" s="14"/>
      <c r="F764" s="14"/>
      <c r="G764" s="14"/>
      <c r="H764" s="14"/>
      <c r="I764" s="14"/>
      <c r="J764" s="14"/>
      <c r="K764" s="14"/>
    </row>
    <row r="765">
      <c r="A765" s="14"/>
      <c r="B765" s="14"/>
      <c r="C765" s="14"/>
      <c r="D765" s="14"/>
      <c r="E765" s="14"/>
      <c r="F765" s="14"/>
      <c r="G765" s="14"/>
      <c r="H765" s="14"/>
      <c r="I765" s="14"/>
      <c r="J765" s="14"/>
      <c r="K765" s="14"/>
    </row>
    <row r="766">
      <c r="A766" s="14"/>
      <c r="B766" s="14"/>
      <c r="C766" s="14"/>
      <c r="D766" s="14"/>
      <c r="E766" s="14"/>
      <c r="F766" s="14"/>
      <c r="G766" s="14"/>
      <c r="H766" s="14"/>
      <c r="I766" s="14"/>
      <c r="J766" s="14"/>
      <c r="K766" s="14"/>
    </row>
    <row r="767">
      <c r="A767" s="14"/>
      <c r="B767" s="14"/>
      <c r="C767" s="14"/>
      <c r="D767" s="14"/>
      <c r="E767" s="14"/>
      <c r="F767" s="14"/>
      <c r="G767" s="14"/>
      <c r="H767" s="14"/>
      <c r="I767" s="14"/>
      <c r="J767" s="14"/>
      <c r="K767" s="14"/>
    </row>
    <row r="768">
      <c r="A768" s="14"/>
      <c r="B768" s="14"/>
      <c r="C768" s="14"/>
      <c r="D768" s="14"/>
      <c r="E768" s="14"/>
      <c r="F768" s="14"/>
      <c r="G768" s="14"/>
      <c r="H768" s="14"/>
      <c r="I768" s="14"/>
      <c r="J768" s="14"/>
      <c r="K768" s="14"/>
    </row>
    <row r="769">
      <c r="A769" s="14"/>
      <c r="B769" s="14"/>
      <c r="C769" s="14"/>
      <c r="D769" s="14"/>
      <c r="E769" s="14"/>
      <c r="F769" s="14"/>
      <c r="G769" s="14"/>
      <c r="H769" s="14"/>
      <c r="I769" s="14"/>
      <c r="J769" s="14"/>
      <c r="K769" s="14"/>
    </row>
    <row r="770">
      <c r="A770" s="14"/>
      <c r="B770" s="14"/>
      <c r="C770" s="14"/>
      <c r="D770" s="14"/>
      <c r="E770" s="14"/>
      <c r="F770" s="14"/>
      <c r="G770" s="14"/>
      <c r="H770" s="14"/>
      <c r="I770" s="14"/>
      <c r="J770" s="14"/>
      <c r="K770" s="14"/>
    </row>
    <row r="771">
      <c r="A771" s="14"/>
      <c r="B771" s="14"/>
      <c r="C771" s="14"/>
      <c r="D771" s="14"/>
      <c r="E771" s="14"/>
      <c r="F771" s="14"/>
      <c r="G771" s="14"/>
      <c r="H771" s="14"/>
      <c r="I771" s="14"/>
      <c r="J771" s="14"/>
      <c r="K771" s="14"/>
    </row>
    <row r="772">
      <c r="A772" s="14"/>
      <c r="B772" s="14"/>
      <c r="C772" s="14"/>
      <c r="D772" s="14"/>
      <c r="E772" s="14"/>
      <c r="F772" s="14"/>
      <c r="G772" s="14"/>
      <c r="H772" s="14"/>
      <c r="I772" s="14"/>
      <c r="J772" s="14"/>
      <c r="K772" s="14"/>
    </row>
    <row r="773">
      <c r="A773" s="14"/>
      <c r="B773" s="14"/>
      <c r="C773" s="14"/>
      <c r="D773" s="14"/>
      <c r="E773" s="14"/>
      <c r="F773" s="14"/>
      <c r="G773" s="14"/>
      <c r="H773" s="14"/>
      <c r="I773" s="14"/>
      <c r="J773" s="14"/>
      <c r="K773" s="14"/>
    </row>
    <row r="774">
      <c r="A774" s="14"/>
      <c r="B774" s="14"/>
      <c r="C774" s="14"/>
      <c r="D774" s="14"/>
      <c r="E774" s="14"/>
      <c r="F774" s="14"/>
      <c r="G774" s="14"/>
      <c r="H774" s="14"/>
      <c r="I774" s="14"/>
      <c r="J774" s="14"/>
      <c r="K774" s="14"/>
    </row>
    <row r="775">
      <c r="A775" s="14"/>
      <c r="B775" s="14"/>
      <c r="C775" s="14"/>
      <c r="D775" s="14"/>
      <c r="E775" s="14"/>
      <c r="F775" s="14"/>
      <c r="G775" s="14"/>
      <c r="H775" s="14"/>
      <c r="I775" s="14"/>
      <c r="J775" s="14"/>
      <c r="K775" s="14"/>
    </row>
    <row r="776">
      <c r="A776" s="14"/>
      <c r="B776" s="14"/>
      <c r="C776" s="14"/>
      <c r="D776" s="14"/>
      <c r="E776" s="14"/>
      <c r="F776" s="14"/>
      <c r="G776" s="14"/>
      <c r="H776" s="14"/>
      <c r="I776" s="14"/>
      <c r="J776" s="14"/>
      <c r="K776" s="14"/>
    </row>
    <row r="777">
      <c r="A777" s="14"/>
      <c r="B777" s="14"/>
      <c r="C777" s="14"/>
      <c r="D777" s="14"/>
      <c r="E777" s="14"/>
      <c r="F777" s="14"/>
      <c r="G777" s="14"/>
      <c r="H777" s="14"/>
      <c r="I777" s="14"/>
      <c r="J777" s="14"/>
      <c r="K777" s="14"/>
    </row>
    <row r="778">
      <c r="A778" s="14"/>
      <c r="B778" s="14"/>
      <c r="C778" s="14"/>
      <c r="D778" s="14"/>
      <c r="E778" s="14"/>
      <c r="F778" s="14"/>
      <c r="G778" s="14"/>
      <c r="H778" s="14"/>
      <c r="I778" s="14"/>
      <c r="J778" s="14"/>
      <c r="K778" s="14"/>
    </row>
    <row r="779">
      <c r="A779" s="14"/>
      <c r="B779" s="14"/>
      <c r="C779" s="14"/>
      <c r="D779" s="14"/>
      <c r="E779" s="14"/>
      <c r="F779" s="14"/>
      <c r="G779" s="14"/>
      <c r="H779" s="14"/>
      <c r="I779" s="14"/>
      <c r="J779" s="14"/>
      <c r="K779" s="14"/>
    </row>
    <row r="780">
      <c r="A780" s="14"/>
      <c r="B780" s="14"/>
      <c r="C780" s="14"/>
      <c r="D780" s="14"/>
      <c r="E780" s="14"/>
      <c r="F780" s="14"/>
      <c r="G780" s="14"/>
      <c r="H780" s="14"/>
      <c r="I780" s="14"/>
      <c r="J780" s="14"/>
      <c r="K780" s="14"/>
    </row>
    <row r="781">
      <c r="A781" s="14"/>
      <c r="B781" s="14"/>
      <c r="C781" s="14"/>
      <c r="D781" s="14"/>
      <c r="E781" s="14"/>
      <c r="F781" s="14"/>
      <c r="G781" s="14"/>
      <c r="H781" s="14"/>
      <c r="I781" s="14"/>
      <c r="J781" s="14"/>
      <c r="K781" s="14"/>
    </row>
    <row r="782">
      <c r="A782" s="14"/>
      <c r="B782" s="14"/>
      <c r="C782" s="14"/>
      <c r="D782" s="14"/>
      <c r="E782" s="14"/>
      <c r="F782" s="14"/>
      <c r="G782" s="14"/>
      <c r="H782" s="14"/>
      <c r="I782" s="14"/>
      <c r="J782" s="14"/>
      <c r="K782" s="14"/>
    </row>
    <row r="783">
      <c r="A783" s="14"/>
      <c r="B783" s="14"/>
      <c r="C783" s="14"/>
      <c r="D783" s="14"/>
      <c r="E783" s="14"/>
      <c r="F783" s="14"/>
      <c r="G783" s="14"/>
      <c r="H783" s="14"/>
      <c r="I783" s="14"/>
      <c r="J783" s="14"/>
      <c r="K783" s="14"/>
    </row>
    <row r="784">
      <c r="A784" s="14"/>
      <c r="B784" s="14"/>
      <c r="C784" s="14"/>
      <c r="D784" s="14"/>
      <c r="E784" s="14"/>
      <c r="F784" s="14"/>
      <c r="G784" s="14"/>
      <c r="H784" s="14"/>
      <c r="I784" s="14"/>
      <c r="J784" s="14"/>
      <c r="K784" s="14"/>
    </row>
    <row r="785">
      <c r="A785" s="14"/>
      <c r="B785" s="14"/>
      <c r="C785" s="14"/>
      <c r="D785" s="14"/>
      <c r="E785" s="14"/>
      <c r="F785" s="14"/>
      <c r="G785" s="14"/>
      <c r="H785" s="14"/>
      <c r="I785" s="14"/>
      <c r="J785" s="14"/>
      <c r="K785" s="14"/>
    </row>
    <row r="786">
      <c r="A786" s="14"/>
      <c r="B786" s="14"/>
      <c r="C786" s="14"/>
      <c r="D786" s="14"/>
      <c r="E786" s="14"/>
      <c r="F786" s="14"/>
      <c r="G786" s="14"/>
      <c r="H786" s="14"/>
      <c r="I786" s="14"/>
      <c r="J786" s="14"/>
      <c r="K786" s="14"/>
    </row>
    <row r="787">
      <c r="A787" s="14"/>
      <c r="B787" s="14"/>
      <c r="C787" s="14"/>
      <c r="D787" s="14"/>
      <c r="E787" s="14"/>
      <c r="F787" s="14"/>
      <c r="G787" s="14"/>
      <c r="H787" s="14"/>
      <c r="I787" s="14"/>
      <c r="J787" s="14"/>
      <c r="K787" s="14"/>
    </row>
    <row r="788">
      <c r="A788" s="14"/>
      <c r="B788" s="14"/>
      <c r="C788" s="14"/>
      <c r="D788" s="14"/>
      <c r="E788" s="14"/>
      <c r="F788" s="14"/>
      <c r="G788" s="14"/>
      <c r="H788" s="14"/>
      <c r="I788" s="14"/>
      <c r="J788" s="14"/>
      <c r="K788" s="14"/>
    </row>
    <row r="789">
      <c r="A789" s="14"/>
      <c r="B789" s="14"/>
      <c r="C789" s="14"/>
      <c r="D789" s="14"/>
      <c r="E789" s="14"/>
      <c r="F789" s="14"/>
      <c r="G789" s="14"/>
      <c r="H789" s="14"/>
      <c r="I789" s="14"/>
      <c r="J789" s="14"/>
      <c r="K789" s="14"/>
    </row>
    <row r="790">
      <c r="A790" s="14"/>
      <c r="B790" s="14"/>
      <c r="C790" s="14"/>
      <c r="D790" s="14"/>
      <c r="E790" s="14"/>
      <c r="F790" s="14"/>
      <c r="G790" s="14"/>
      <c r="H790" s="14"/>
      <c r="I790" s="14"/>
      <c r="J790" s="14"/>
      <c r="K790" s="14"/>
    </row>
    <row r="791">
      <c r="A791" s="14"/>
      <c r="B791" s="14"/>
      <c r="C791" s="14"/>
      <c r="D791" s="14"/>
      <c r="E791" s="14"/>
      <c r="F791" s="14"/>
      <c r="G791" s="14"/>
      <c r="H791" s="14"/>
      <c r="I791" s="14"/>
      <c r="J791" s="14"/>
      <c r="K791" s="14"/>
    </row>
    <row r="792">
      <c r="A792" s="14"/>
      <c r="B792" s="14"/>
      <c r="C792" s="14"/>
      <c r="D792" s="14"/>
      <c r="E792" s="14"/>
      <c r="F792" s="14"/>
      <c r="G792" s="14"/>
      <c r="H792" s="14"/>
      <c r="I792" s="14"/>
      <c r="J792" s="14"/>
      <c r="K792" s="14"/>
    </row>
    <row r="793">
      <c r="A793" s="14"/>
      <c r="B793" s="14"/>
      <c r="C793" s="14"/>
      <c r="D793" s="14"/>
      <c r="E793" s="14"/>
      <c r="F793" s="14"/>
      <c r="G793" s="14"/>
      <c r="H793" s="14"/>
      <c r="I793" s="14"/>
      <c r="J793" s="14"/>
      <c r="K793" s="14"/>
    </row>
    <row r="794">
      <c r="A794" s="14"/>
      <c r="B794" s="14"/>
      <c r="C794" s="14"/>
      <c r="D794" s="14"/>
      <c r="E794" s="14"/>
      <c r="F794" s="14"/>
      <c r="G794" s="14"/>
      <c r="H794" s="14"/>
      <c r="I794" s="14"/>
      <c r="J794" s="14"/>
      <c r="K794" s="14"/>
    </row>
    <row r="795">
      <c r="A795" s="14"/>
      <c r="B795" s="14"/>
      <c r="C795" s="14"/>
      <c r="D795" s="14"/>
      <c r="E795" s="14"/>
      <c r="F795" s="14"/>
      <c r="G795" s="14"/>
      <c r="H795" s="14"/>
      <c r="I795" s="14"/>
      <c r="J795" s="14"/>
      <c r="K795" s="14"/>
    </row>
    <row r="796">
      <c r="A796" s="14"/>
      <c r="B796" s="14"/>
      <c r="C796" s="14"/>
      <c r="D796" s="14"/>
      <c r="E796" s="14"/>
      <c r="F796" s="14"/>
      <c r="G796" s="14"/>
      <c r="H796" s="14"/>
      <c r="I796" s="14"/>
      <c r="J796" s="14"/>
      <c r="K796" s="14"/>
    </row>
    <row r="797">
      <c r="A797" s="14"/>
      <c r="B797" s="14"/>
      <c r="C797" s="14"/>
      <c r="D797" s="14"/>
      <c r="E797" s="14"/>
      <c r="F797" s="14"/>
      <c r="G797" s="14"/>
      <c r="H797" s="14"/>
      <c r="I797" s="14"/>
      <c r="J797" s="14"/>
      <c r="K797" s="14"/>
    </row>
    <row r="798">
      <c r="A798" s="14"/>
      <c r="B798" s="14"/>
      <c r="C798" s="14"/>
      <c r="D798" s="14"/>
      <c r="E798" s="14"/>
      <c r="F798" s="14"/>
      <c r="G798" s="14"/>
      <c r="H798" s="14"/>
      <c r="I798" s="14"/>
      <c r="J798" s="14"/>
      <c r="K798" s="14"/>
    </row>
    <row r="799">
      <c r="A799" s="14"/>
      <c r="B799" s="14"/>
      <c r="C799" s="14"/>
      <c r="D799" s="14"/>
      <c r="E799" s="14"/>
      <c r="F799" s="14"/>
      <c r="G799" s="14"/>
      <c r="H799" s="14"/>
      <c r="I799" s="14"/>
      <c r="J799" s="14"/>
      <c r="K799" s="14"/>
    </row>
    <row r="800">
      <c r="A800" s="14"/>
      <c r="B800" s="14"/>
      <c r="C800" s="14"/>
      <c r="D800" s="14"/>
      <c r="E800" s="14"/>
      <c r="F800" s="14"/>
      <c r="G800" s="14"/>
      <c r="H800" s="14"/>
      <c r="I800" s="14"/>
      <c r="J800" s="14"/>
      <c r="K800" s="14"/>
    </row>
    <row r="801">
      <c r="A801" s="14"/>
      <c r="B801" s="14"/>
      <c r="C801" s="14"/>
      <c r="D801" s="14"/>
      <c r="E801" s="14"/>
      <c r="F801" s="14"/>
      <c r="G801" s="14"/>
      <c r="H801" s="14"/>
      <c r="I801" s="14"/>
      <c r="J801" s="14"/>
      <c r="K801" s="14"/>
    </row>
    <row r="802">
      <c r="A802" s="14"/>
      <c r="B802" s="14"/>
      <c r="C802" s="14"/>
      <c r="D802" s="14"/>
      <c r="E802" s="14"/>
      <c r="F802" s="14"/>
      <c r="G802" s="14"/>
      <c r="H802" s="14"/>
      <c r="I802" s="14"/>
      <c r="J802" s="14"/>
      <c r="K802" s="14"/>
    </row>
    <row r="803">
      <c r="A803" s="14"/>
      <c r="B803" s="14"/>
      <c r="C803" s="14"/>
      <c r="D803" s="14"/>
      <c r="E803" s="14"/>
      <c r="F803" s="14"/>
      <c r="G803" s="14"/>
      <c r="H803" s="14"/>
      <c r="I803" s="14"/>
      <c r="J803" s="14"/>
      <c r="K803" s="14"/>
    </row>
    <row r="804">
      <c r="A804" s="14"/>
      <c r="B804" s="14"/>
      <c r="C804" s="14"/>
      <c r="D804" s="14"/>
      <c r="E804" s="14"/>
      <c r="F804" s="14"/>
      <c r="G804" s="14"/>
      <c r="H804" s="14"/>
      <c r="I804" s="14"/>
      <c r="J804" s="14"/>
      <c r="K804" s="14"/>
    </row>
    <row r="805">
      <c r="A805" s="14"/>
      <c r="B805" s="14"/>
      <c r="C805" s="14"/>
      <c r="D805" s="14"/>
      <c r="E805" s="14"/>
      <c r="F805" s="14"/>
      <c r="G805" s="14"/>
      <c r="H805" s="14"/>
      <c r="I805" s="14"/>
      <c r="J805" s="14"/>
      <c r="K805" s="14"/>
    </row>
    <row r="806">
      <c r="A806" s="14"/>
      <c r="B806" s="14"/>
      <c r="C806" s="14"/>
      <c r="D806" s="14"/>
      <c r="E806" s="14"/>
      <c r="F806" s="14"/>
      <c r="G806" s="14"/>
      <c r="H806" s="14"/>
      <c r="I806" s="14"/>
      <c r="J806" s="14"/>
      <c r="K806" s="14"/>
    </row>
    <row r="807">
      <c r="A807" s="14"/>
      <c r="B807" s="14"/>
      <c r="C807" s="14"/>
      <c r="D807" s="14"/>
      <c r="E807" s="14"/>
      <c r="F807" s="14"/>
      <c r="G807" s="14"/>
      <c r="H807" s="14"/>
      <c r="I807" s="14"/>
      <c r="J807" s="14"/>
      <c r="K807" s="14"/>
    </row>
    <row r="808">
      <c r="A808" s="14"/>
      <c r="B808" s="14"/>
      <c r="C808" s="14"/>
      <c r="D808" s="14"/>
      <c r="E808" s="14"/>
      <c r="F808" s="14"/>
      <c r="G808" s="14"/>
      <c r="H808" s="14"/>
      <c r="I808" s="14"/>
      <c r="J808" s="14"/>
      <c r="K808" s="14"/>
    </row>
    <row r="809">
      <c r="A809" s="14"/>
      <c r="B809" s="14"/>
      <c r="C809" s="14"/>
      <c r="D809" s="14"/>
      <c r="E809" s="14"/>
      <c r="F809" s="14"/>
      <c r="G809" s="14"/>
      <c r="H809" s="14"/>
      <c r="I809" s="14"/>
      <c r="J809" s="14"/>
      <c r="K809" s="14"/>
    </row>
    <row r="810">
      <c r="A810" s="14"/>
      <c r="B810" s="14"/>
      <c r="C810" s="14"/>
      <c r="D810" s="14"/>
      <c r="E810" s="14"/>
      <c r="F810" s="14"/>
      <c r="G810" s="14"/>
      <c r="H810" s="14"/>
      <c r="I810" s="14"/>
      <c r="J810" s="14"/>
      <c r="K810" s="14"/>
    </row>
    <row r="811">
      <c r="A811" s="14"/>
      <c r="B811" s="14"/>
      <c r="C811" s="14"/>
      <c r="D811" s="14"/>
      <c r="E811" s="14"/>
      <c r="F811" s="14"/>
      <c r="G811" s="14"/>
      <c r="H811" s="14"/>
      <c r="I811" s="14"/>
      <c r="J811" s="14"/>
      <c r="K811" s="14"/>
    </row>
    <row r="812">
      <c r="A812" s="14"/>
      <c r="B812" s="14"/>
      <c r="C812" s="14"/>
      <c r="D812" s="14"/>
      <c r="E812" s="14"/>
      <c r="F812" s="14"/>
      <c r="G812" s="14"/>
      <c r="H812" s="14"/>
      <c r="I812" s="14"/>
      <c r="J812" s="14"/>
      <c r="K812" s="14"/>
    </row>
    <row r="813">
      <c r="A813" s="14"/>
      <c r="B813" s="14"/>
      <c r="C813" s="14"/>
      <c r="D813" s="14"/>
      <c r="E813" s="14"/>
      <c r="F813" s="14"/>
      <c r="G813" s="14"/>
      <c r="H813" s="14"/>
      <c r="I813" s="14"/>
      <c r="J813" s="14"/>
      <c r="K813" s="14"/>
    </row>
    <row r="814">
      <c r="A814" s="14"/>
      <c r="B814" s="14"/>
      <c r="C814" s="14"/>
      <c r="D814" s="14"/>
      <c r="E814" s="14"/>
      <c r="F814" s="14"/>
      <c r="G814" s="14"/>
      <c r="H814" s="14"/>
      <c r="I814" s="14"/>
      <c r="J814" s="14"/>
      <c r="K814" s="14"/>
    </row>
    <row r="815">
      <c r="A815" s="14"/>
      <c r="B815" s="14"/>
      <c r="C815" s="14"/>
      <c r="D815" s="14"/>
      <c r="E815" s="14"/>
      <c r="F815" s="14"/>
      <c r="G815" s="14"/>
      <c r="H815" s="14"/>
      <c r="I815" s="14"/>
      <c r="J815" s="14"/>
      <c r="K815" s="14"/>
    </row>
    <row r="816">
      <c r="A816" s="14"/>
      <c r="B816" s="14"/>
      <c r="C816" s="14"/>
      <c r="D816" s="14"/>
      <c r="E816" s="14"/>
      <c r="F816" s="14"/>
      <c r="G816" s="14"/>
      <c r="H816" s="14"/>
      <c r="I816" s="14"/>
      <c r="J816" s="14"/>
      <c r="K816" s="14"/>
    </row>
    <row r="817">
      <c r="A817" s="14"/>
      <c r="B817" s="14"/>
      <c r="C817" s="14"/>
      <c r="D817" s="14"/>
      <c r="E817" s="14"/>
      <c r="F817" s="14"/>
      <c r="G817" s="14"/>
      <c r="H817" s="14"/>
      <c r="I817" s="14"/>
      <c r="J817" s="14"/>
      <c r="K817" s="14"/>
    </row>
    <row r="818">
      <c r="A818" s="14"/>
      <c r="B818" s="14"/>
      <c r="C818" s="14"/>
      <c r="D818" s="14"/>
      <c r="E818" s="14"/>
      <c r="F818" s="14"/>
      <c r="G818" s="14"/>
      <c r="H818" s="14"/>
      <c r="I818" s="14"/>
      <c r="J818" s="14"/>
      <c r="K818" s="14"/>
    </row>
    <row r="819">
      <c r="A819" s="14"/>
      <c r="B819" s="14"/>
      <c r="C819" s="14"/>
      <c r="D819" s="14"/>
      <c r="E819" s="14"/>
      <c r="F819" s="14"/>
      <c r="G819" s="14"/>
      <c r="H819" s="14"/>
      <c r="I819" s="14"/>
      <c r="J819" s="14"/>
      <c r="K819" s="14"/>
    </row>
    <row r="820">
      <c r="A820" s="14"/>
      <c r="B820" s="14"/>
      <c r="C820" s="14"/>
      <c r="D820" s="14"/>
      <c r="E820" s="14"/>
      <c r="F820" s="14"/>
      <c r="G820" s="14"/>
      <c r="H820" s="14"/>
      <c r="I820" s="14"/>
      <c r="J820" s="14"/>
      <c r="K820" s="14"/>
    </row>
    <row r="821">
      <c r="A821" s="14"/>
      <c r="B821" s="14"/>
      <c r="C821" s="14"/>
      <c r="D821" s="14"/>
      <c r="E821" s="14"/>
      <c r="F821" s="14"/>
      <c r="G821" s="14"/>
      <c r="H821" s="14"/>
      <c r="I821" s="14"/>
      <c r="J821" s="14"/>
      <c r="K821" s="14"/>
    </row>
    <row r="822">
      <c r="A822" s="14"/>
      <c r="B822" s="14"/>
      <c r="C822" s="14"/>
      <c r="D822" s="14"/>
      <c r="E822" s="14"/>
      <c r="F822" s="14"/>
      <c r="G822" s="14"/>
      <c r="H822" s="14"/>
      <c r="I822" s="14"/>
      <c r="J822" s="14"/>
      <c r="K822" s="14"/>
    </row>
    <row r="823">
      <c r="A823" s="14"/>
      <c r="B823" s="14"/>
      <c r="C823" s="14"/>
      <c r="D823" s="14"/>
      <c r="E823" s="14"/>
      <c r="F823" s="14"/>
      <c r="G823" s="14"/>
      <c r="H823" s="14"/>
      <c r="I823" s="14"/>
      <c r="J823" s="14"/>
      <c r="K823" s="14"/>
    </row>
    <row r="824">
      <c r="A824" s="14"/>
      <c r="B824" s="14"/>
      <c r="C824" s="14"/>
      <c r="D824" s="14"/>
      <c r="E824" s="14"/>
      <c r="F824" s="14"/>
      <c r="G824" s="14"/>
      <c r="H824" s="14"/>
      <c r="I824" s="14"/>
      <c r="J824" s="14"/>
      <c r="K824" s="14"/>
    </row>
    <row r="825">
      <c r="A825" s="14"/>
      <c r="B825" s="14"/>
      <c r="C825" s="14"/>
      <c r="D825" s="14"/>
      <c r="E825" s="14"/>
      <c r="F825" s="14"/>
      <c r="G825" s="14"/>
      <c r="H825" s="14"/>
      <c r="I825" s="14"/>
      <c r="J825" s="14"/>
      <c r="K825" s="14"/>
    </row>
    <row r="826">
      <c r="A826" s="14"/>
      <c r="B826" s="14"/>
      <c r="C826" s="14"/>
      <c r="D826" s="14"/>
      <c r="E826" s="14"/>
      <c r="F826" s="14"/>
      <c r="G826" s="14"/>
      <c r="H826" s="14"/>
      <c r="I826" s="14"/>
      <c r="J826" s="14"/>
      <c r="K826" s="14"/>
    </row>
    <row r="827">
      <c r="A827" s="14"/>
      <c r="B827" s="14"/>
      <c r="C827" s="14"/>
      <c r="D827" s="14"/>
      <c r="E827" s="14"/>
      <c r="F827" s="14"/>
      <c r="G827" s="14"/>
      <c r="H827" s="14"/>
      <c r="I827" s="14"/>
      <c r="J827" s="14"/>
      <c r="K827" s="14"/>
    </row>
    <row r="828">
      <c r="A828" s="14"/>
      <c r="B828" s="14"/>
      <c r="C828" s="14"/>
      <c r="D828" s="14"/>
      <c r="E828" s="14"/>
      <c r="F828" s="14"/>
      <c r="G828" s="14"/>
      <c r="H828" s="14"/>
      <c r="I828" s="14"/>
      <c r="J828" s="14"/>
      <c r="K828" s="14"/>
    </row>
    <row r="829">
      <c r="A829" s="14"/>
      <c r="B829" s="14"/>
      <c r="C829" s="14"/>
      <c r="D829" s="14"/>
      <c r="E829" s="14"/>
      <c r="F829" s="14"/>
      <c r="G829" s="14"/>
      <c r="H829" s="14"/>
      <c r="I829" s="14"/>
      <c r="J829" s="14"/>
      <c r="K829" s="14"/>
    </row>
    <row r="830">
      <c r="A830" s="14"/>
      <c r="B830" s="14"/>
      <c r="C830" s="14"/>
      <c r="D830" s="14"/>
      <c r="E830" s="14"/>
      <c r="F830" s="14"/>
      <c r="G830" s="14"/>
      <c r="H830" s="14"/>
      <c r="I830" s="14"/>
      <c r="J830" s="14"/>
      <c r="K830" s="14"/>
    </row>
    <row r="831">
      <c r="A831" s="14"/>
      <c r="B831" s="14"/>
      <c r="C831" s="14"/>
      <c r="D831" s="14"/>
      <c r="E831" s="14"/>
      <c r="F831" s="14"/>
      <c r="G831" s="14"/>
      <c r="H831" s="14"/>
      <c r="I831" s="14"/>
      <c r="J831" s="14"/>
      <c r="K831" s="14"/>
    </row>
    <row r="832">
      <c r="A832" s="14"/>
      <c r="B832" s="14"/>
      <c r="C832" s="14"/>
      <c r="D832" s="14"/>
      <c r="E832" s="14"/>
      <c r="F832" s="14"/>
      <c r="G832" s="14"/>
      <c r="H832" s="14"/>
      <c r="I832" s="14"/>
      <c r="J832" s="14"/>
      <c r="K832" s="14"/>
    </row>
    <row r="833">
      <c r="A833" s="14"/>
      <c r="B833" s="14"/>
      <c r="C833" s="14"/>
      <c r="D833" s="14"/>
      <c r="E833" s="14"/>
      <c r="F833" s="14"/>
      <c r="G833" s="14"/>
      <c r="H833" s="14"/>
      <c r="I833" s="14"/>
      <c r="J833" s="14"/>
      <c r="K833" s="14"/>
    </row>
    <row r="834">
      <c r="A834" s="14"/>
      <c r="B834" s="14"/>
      <c r="C834" s="14"/>
      <c r="D834" s="14"/>
      <c r="E834" s="14"/>
      <c r="F834" s="14"/>
      <c r="G834" s="14"/>
      <c r="H834" s="14"/>
      <c r="I834" s="14"/>
      <c r="J834" s="14"/>
      <c r="K834" s="14"/>
    </row>
    <row r="835">
      <c r="A835" s="14"/>
      <c r="B835" s="14"/>
      <c r="C835" s="14"/>
      <c r="D835" s="14"/>
      <c r="E835" s="14"/>
      <c r="F835" s="14"/>
      <c r="G835" s="14"/>
      <c r="H835" s="14"/>
      <c r="I835" s="14"/>
      <c r="J835" s="14"/>
      <c r="K835" s="14"/>
    </row>
    <row r="836">
      <c r="A836" s="14"/>
      <c r="B836" s="14"/>
      <c r="C836" s="14"/>
      <c r="D836" s="14"/>
      <c r="E836" s="14"/>
      <c r="F836" s="14"/>
      <c r="G836" s="14"/>
      <c r="H836" s="14"/>
      <c r="I836" s="14"/>
      <c r="J836" s="14"/>
      <c r="K836" s="14"/>
    </row>
    <row r="837">
      <c r="A837" s="14"/>
      <c r="B837" s="14"/>
      <c r="C837" s="14"/>
      <c r="D837" s="14"/>
      <c r="E837" s="14"/>
      <c r="F837" s="14"/>
      <c r="G837" s="14"/>
      <c r="H837" s="14"/>
      <c r="I837" s="14"/>
      <c r="J837" s="14"/>
      <c r="K837" s="14"/>
    </row>
    <row r="838">
      <c r="A838" s="14"/>
      <c r="B838" s="14"/>
      <c r="C838" s="14"/>
      <c r="D838" s="14"/>
      <c r="E838" s="14"/>
      <c r="F838" s="14"/>
      <c r="G838" s="14"/>
      <c r="H838" s="14"/>
      <c r="I838" s="14"/>
      <c r="J838" s="14"/>
      <c r="K838" s="14"/>
    </row>
    <row r="839">
      <c r="A839" s="14"/>
      <c r="B839" s="14"/>
      <c r="C839" s="14"/>
      <c r="D839" s="14"/>
      <c r="E839" s="14"/>
      <c r="F839" s="14"/>
      <c r="G839" s="14"/>
      <c r="H839" s="14"/>
      <c r="I839" s="14"/>
      <c r="J839" s="14"/>
      <c r="K839" s="14"/>
    </row>
    <row r="840">
      <c r="A840" s="14"/>
      <c r="B840" s="14"/>
      <c r="C840" s="14"/>
      <c r="D840" s="14"/>
      <c r="E840" s="14"/>
      <c r="F840" s="14"/>
      <c r="G840" s="14"/>
      <c r="H840" s="14"/>
      <c r="I840" s="14"/>
      <c r="J840" s="14"/>
      <c r="K840" s="14"/>
    </row>
    <row r="841">
      <c r="A841" s="14"/>
      <c r="B841" s="14"/>
      <c r="C841" s="14"/>
      <c r="D841" s="14"/>
      <c r="E841" s="14"/>
      <c r="F841" s="14"/>
      <c r="G841" s="14"/>
      <c r="H841" s="14"/>
      <c r="I841" s="14"/>
      <c r="J841" s="14"/>
      <c r="K841" s="14"/>
    </row>
    <row r="842">
      <c r="A842" s="14"/>
      <c r="B842" s="14"/>
      <c r="C842" s="14"/>
      <c r="D842" s="14"/>
      <c r="E842" s="14"/>
      <c r="F842" s="14"/>
      <c r="G842" s="14"/>
      <c r="H842" s="14"/>
      <c r="I842" s="14"/>
      <c r="J842" s="14"/>
      <c r="K842" s="14"/>
    </row>
    <row r="843">
      <c r="A843" s="14"/>
      <c r="B843" s="14"/>
      <c r="C843" s="14"/>
      <c r="D843" s="14"/>
      <c r="E843" s="14"/>
      <c r="F843" s="14"/>
      <c r="G843" s="14"/>
      <c r="H843" s="14"/>
      <c r="I843" s="14"/>
      <c r="J843" s="14"/>
      <c r="K843" s="14"/>
    </row>
    <row r="844">
      <c r="A844" s="14"/>
      <c r="B844" s="14"/>
      <c r="C844" s="14"/>
      <c r="D844" s="14"/>
      <c r="E844" s="14"/>
      <c r="F844" s="14"/>
      <c r="G844" s="14"/>
      <c r="H844" s="14"/>
      <c r="I844" s="14"/>
      <c r="J844" s="14"/>
      <c r="K844" s="14"/>
    </row>
    <row r="845">
      <c r="A845" s="14"/>
      <c r="B845" s="14"/>
      <c r="C845" s="14"/>
      <c r="D845" s="14"/>
      <c r="E845" s="14"/>
      <c r="F845" s="14"/>
      <c r="G845" s="14"/>
      <c r="H845" s="14"/>
      <c r="I845" s="14"/>
      <c r="J845" s="14"/>
      <c r="K845" s="14"/>
    </row>
    <row r="846">
      <c r="A846" s="14"/>
      <c r="B846" s="14"/>
      <c r="C846" s="14"/>
      <c r="D846" s="14"/>
      <c r="E846" s="14"/>
      <c r="F846" s="14"/>
      <c r="G846" s="14"/>
      <c r="H846" s="14"/>
      <c r="I846" s="14"/>
      <c r="J846" s="14"/>
      <c r="K846" s="14"/>
    </row>
    <row r="847">
      <c r="A847" s="14"/>
      <c r="B847" s="14"/>
      <c r="C847" s="14"/>
      <c r="D847" s="14"/>
      <c r="E847" s="14"/>
      <c r="F847" s="14"/>
      <c r="G847" s="14"/>
      <c r="H847" s="14"/>
      <c r="I847" s="14"/>
      <c r="J847" s="14"/>
      <c r="K847" s="14"/>
    </row>
    <row r="848">
      <c r="A848" s="14"/>
      <c r="B848" s="14"/>
      <c r="C848" s="14"/>
      <c r="D848" s="14"/>
      <c r="E848" s="14"/>
      <c r="F848" s="14"/>
      <c r="G848" s="14"/>
      <c r="H848" s="14"/>
      <c r="I848" s="14"/>
      <c r="J848" s="14"/>
      <c r="K848" s="14"/>
    </row>
    <row r="849">
      <c r="A849" s="14"/>
      <c r="B849" s="14"/>
      <c r="C849" s="14"/>
      <c r="D849" s="14"/>
      <c r="E849" s="14"/>
      <c r="F849" s="14"/>
      <c r="G849" s="14"/>
      <c r="H849" s="14"/>
      <c r="I849" s="14"/>
      <c r="J849" s="14"/>
      <c r="K849" s="14"/>
    </row>
    <row r="850">
      <c r="A850" s="14"/>
      <c r="B850" s="14"/>
      <c r="C850" s="14"/>
      <c r="D850" s="14"/>
      <c r="E850" s="14"/>
      <c r="F850" s="14"/>
      <c r="G850" s="14"/>
      <c r="H850" s="14"/>
      <c r="I850" s="14"/>
      <c r="J850" s="14"/>
      <c r="K850" s="14"/>
    </row>
    <row r="851">
      <c r="A851" s="14"/>
      <c r="B851" s="14"/>
      <c r="C851" s="14"/>
      <c r="D851" s="14"/>
      <c r="E851" s="14"/>
      <c r="F851" s="14"/>
      <c r="G851" s="14"/>
      <c r="H851" s="14"/>
      <c r="I851" s="14"/>
      <c r="J851" s="14"/>
      <c r="K851" s="14"/>
    </row>
    <row r="852">
      <c r="A852" s="14"/>
      <c r="B852" s="14"/>
      <c r="C852" s="14"/>
      <c r="D852" s="14"/>
      <c r="E852" s="14"/>
      <c r="F852" s="14"/>
      <c r="G852" s="14"/>
      <c r="H852" s="14"/>
      <c r="I852" s="14"/>
      <c r="J852" s="14"/>
      <c r="K852" s="14"/>
    </row>
    <row r="853">
      <c r="A853" s="14"/>
      <c r="B853" s="14"/>
      <c r="C853" s="14"/>
      <c r="D853" s="14"/>
      <c r="E853" s="14"/>
      <c r="F853" s="14"/>
      <c r="G853" s="14"/>
      <c r="H853" s="14"/>
      <c r="I853" s="14"/>
      <c r="J853" s="14"/>
      <c r="K853" s="14"/>
    </row>
    <row r="854">
      <c r="A854" s="14"/>
      <c r="B854" s="14"/>
      <c r="C854" s="14"/>
      <c r="D854" s="14"/>
      <c r="E854" s="14"/>
      <c r="F854" s="14"/>
      <c r="G854" s="14"/>
      <c r="H854" s="14"/>
      <c r="I854" s="14"/>
      <c r="J854" s="14"/>
      <c r="K854" s="14"/>
    </row>
    <row r="855">
      <c r="A855" s="14"/>
      <c r="B855" s="14"/>
      <c r="C855" s="14"/>
      <c r="D855" s="14"/>
      <c r="E855" s="14"/>
      <c r="F855" s="14"/>
      <c r="G855" s="14"/>
      <c r="H855" s="14"/>
      <c r="I855" s="14"/>
      <c r="J855" s="14"/>
      <c r="K855" s="14"/>
    </row>
    <row r="856">
      <c r="A856" s="14"/>
      <c r="B856" s="14"/>
      <c r="C856" s="14"/>
      <c r="D856" s="14"/>
      <c r="E856" s="14"/>
      <c r="F856" s="14"/>
      <c r="G856" s="14"/>
      <c r="H856" s="14"/>
      <c r="I856" s="14"/>
      <c r="J856" s="14"/>
      <c r="K856" s="14"/>
    </row>
    <row r="857">
      <c r="A857" s="14"/>
      <c r="B857" s="14"/>
      <c r="C857" s="14"/>
      <c r="D857" s="14"/>
      <c r="E857" s="14"/>
      <c r="F857" s="14"/>
      <c r="G857" s="14"/>
      <c r="H857" s="14"/>
      <c r="I857" s="14"/>
      <c r="J857" s="14"/>
      <c r="K857" s="14"/>
    </row>
    <row r="858">
      <c r="A858" s="14"/>
      <c r="B858" s="14"/>
      <c r="C858" s="14"/>
      <c r="D858" s="14"/>
      <c r="E858" s="14"/>
      <c r="F858" s="14"/>
      <c r="G858" s="14"/>
      <c r="H858" s="14"/>
      <c r="I858" s="14"/>
      <c r="J858" s="14"/>
      <c r="K858" s="14"/>
    </row>
    <row r="859">
      <c r="A859" s="14"/>
      <c r="B859" s="14"/>
      <c r="C859" s="14"/>
      <c r="D859" s="14"/>
      <c r="E859" s="14"/>
      <c r="F859" s="14"/>
      <c r="G859" s="14"/>
      <c r="H859" s="14"/>
      <c r="I859" s="14"/>
      <c r="J859" s="14"/>
      <c r="K859" s="14"/>
    </row>
    <row r="860">
      <c r="A860" s="14"/>
      <c r="B860" s="14"/>
      <c r="C860" s="14"/>
      <c r="D860" s="14"/>
      <c r="E860" s="14"/>
      <c r="F860" s="14"/>
      <c r="G860" s="14"/>
      <c r="H860" s="14"/>
      <c r="I860" s="14"/>
      <c r="J860" s="14"/>
      <c r="K860" s="14"/>
    </row>
    <row r="861">
      <c r="A861" s="14"/>
      <c r="B861" s="14"/>
      <c r="C861" s="14"/>
      <c r="D861" s="14"/>
      <c r="E861" s="14"/>
      <c r="F861" s="14"/>
      <c r="G861" s="14"/>
      <c r="H861" s="14"/>
      <c r="I861" s="14"/>
      <c r="J861" s="14"/>
      <c r="K861" s="14"/>
    </row>
    <row r="862">
      <c r="A862" s="14"/>
      <c r="B862" s="14"/>
      <c r="C862" s="14"/>
      <c r="D862" s="14"/>
      <c r="E862" s="14"/>
      <c r="F862" s="14"/>
      <c r="G862" s="14"/>
      <c r="H862" s="14"/>
      <c r="I862" s="14"/>
      <c r="J862" s="14"/>
      <c r="K862" s="14"/>
    </row>
    <row r="863">
      <c r="A863" s="14"/>
      <c r="B863" s="14"/>
      <c r="C863" s="14"/>
      <c r="D863" s="14"/>
      <c r="E863" s="14"/>
      <c r="F863" s="14"/>
      <c r="G863" s="14"/>
      <c r="H863" s="14"/>
      <c r="I863" s="14"/>
      <c r="J863" s="14"/>
      <c r="K863" s="14"/>
    </row>
    <row r="864">
      <c r="A864" s="14"/>
      <c r="B864" s="14"/>
      <c r="C864" s="14"/>
      <c r="D864" s="14"/>
      <c r="E864" s="14"/>
      <c r="F864" s="14"/>
      <c r="G864" s="14"/>
      <c r="H864" s="14"/>
      <c r="I864" s="14"/>
      <c r="J864" s="14"/>
      <c r="K864" s="14"/>
    </row>
    <row r="865">
      <c r="A865" s="14"/>
      <c r="B865" s="14"/>
      <c r="C865" s="14"/>
      <c r="D865" s="14"/>
      <c r="E865" s="14"/>
      <c r="F865" s="14"/>
      <c r="G865" s="14"/>
      <c r="H865" s="14"/>
      <c r="I865" s="14"/>
      <c r="J865" s="14"/>
      <c r="K865" s="14"/>
    </row>
    <row r="866">
      <c r="A866" s="14"/>
      <c r="B866" s="14"/>
      <c r="C866" s="14"/>
      <c r="D866" s="14"/>
      <c r="E866" s="14"/>
      <c r="F866" s="14"/>
      <c r="G866" s="14"/>
      <c r="H866" s="14"/>
      <c r="I866" s="14"/>
      <c r="J866" s="14"/>
      <c r="K866" s="14"/>
    </row>
    <row r="867">
      <c r="A867" s="14"/>
      <c r="B867" s="14"/>
      <c r="C867" s="14"/>
      <c r="D867" s="14"/>
      <c r="E867" s="14"/>
      <c r="F867" s="14"/>
      <c r="G867" s="14"/>
      <c r="H867" s="14"/>
      <c r="I867" s="14"/>
      <c r="J867" s="14"/>
      <c r="K867" s="14"/>
    </row>
    <row r="868">
      <c r="A868" s="14"/>
      <c r="B868" s="14"/>
      <c r="C868" s="14"/>
      <c r="D868" s="14"/>
      <c r="E868" s="14"/>
      <c r="F868" s="14"/>
      <c r="G868" s="14"/>
      <c r="H868" s="14"/>
      <c r="I868" s="14"/>
      <c r="J868" s="14"/>
      <c r="K868" s="14"/>
    </row>
    <row r="869">
      <c r="A869" s="14"/>
      <c r="B869" s="14"/>
      <c r="C869" s="14"/>
      <c r="D869" s="14"/>
      <c r="E869" s="14"/>
      <c r="F869" s="14"/>
      <c r="G869" s="14"/>
      <c r="H869" s="14"/>
      <c r="I869" s="14"/>
      <c r="J869" s="14"/>
      <c r="K869" s="14"/>
    </row>
    <row r="870">
      <c r="A870" s="14"/>
      <c r="B870" s="14"/>
      <c r="C870" s="14"/>
      <c r="D870" s="14"/>
      <c r="E870" s="14"/>
      <c r="F870" s="14"/>
      <c r="G870" s="14"/>
      <c r="H870" s="14"/>
      <c r="I870" s="14"/>
      <c r="J870" s="14"/>
      <c r="K870" s="14"/>
    </row>
    <row r="871">
      <c r="A871" s="14"/>
      <c r="B871" s="14"/>
      <c r="C871" s="14"/>
      <c r="D871" s="14"/>
      <c r="E871" s="14"/>
      <c r="F871" s="14"/>
      <c r="G871" s="14"/>
      <c r="H871" s="14"/>
      <c r="I871" s="14"/>
      <c r="J871" s="14"/>
      <c r="K871" s="14"/>
    </row>
    <row r="872">
      <c r="A872" s="14"/>
      <c r="B872" s="14"/>
      <c r="C872" s="14"/>
      <c r="D872" s="14"/>
      <c r="E872" s="14"/>
      <c r="F872" s="14"/>
      <c r="G872" s="14"/>
      <c r="H872" s="14"/>
      <c r="I872" s="14"/>
      <c r="J872" s="14"/>
      <c r="K872" s="14"/>
    </row>
    <row r="873">
      <c r="A873" s="14"/>
      <c r="B873" s="14"/>
      <c r="C873" s="14"/>
      <c r="D873" s="14"/>
      <c r="E873" s="14"/>
      <c r="F873" s="14"/>
      <c r="G873" s="14"/>
      <c r="H873" s="14"/>
      <c r="I873" s="14"/>
      <c r="J873" s="14"/>
      <c r="K873" s="14"/>
    </row>
    <row r="874">
      <c r="A874" s="14"/>
      <c r="B874" s="14"/>
      <c r="C874" s="14"/>
      <c r="D874" s="14"/>
      <c r="E874" s="14"/>
      <c r="F874" s="14"/>
      <c r="G874" s="14"/>
      <c r="H874" s="14"/>
      <c r="I874" s="14"/>
      <c r="J874" s="14"/>
      <c r="K874" s="14"/>
    </row>
    <row r="875">
      <c r="A875" s="14"/>
      <c r="B875" s="14"/>
      <c r="C875" s="14"/>
      <c r="D875" s="14"/>
      <c r="E875" s="14"/>
      <c r="F875" s="14"/>
      <c r="G875" s="14"/>
      <c r="H875" s="14"/>
      <c r="I875" s="14"/>
      <c r="J875" s="14"/>
      <c r="K875" s="14"/>
    </row>
    <row r="876">
      <c r="A876" s="14"/>
      <c r="B876" s="14"/>
      <c r="C876" s="14"/>
      <c r="D876" s="14"/>
      <c r="E876" s="14"/>
      <c r="F876" s="14"/>
      <c r="G876" s="14"/>
      <c r="H876" s="14"/>
      <c r="I876" s="14"/>
      <c r="J876" s="14"/>
      <c r="K876" s="14"/>
    </row>
    <row r="877">
      <c r="A877" s="14"/>
      <c r="B877" s="14"/>
      <c r="C877" s="14"/>
      <c r="D877" s="14"/>
      <c r="E877" s="14"/>
      <c r="F877" s="14"/>
      <c r="G877" s="14"/>
      <c r="H877" s="14"/>
      <c r="I877" s="14"/>
      <c r="J877" s="14"/>
      <c r="K877" s="14"/>
    </row>
    <row r="878">
      <c r="A878" s="14"/>
      <c r="B878" s="14"/>
      <c r="C878" s="14"/>
      <c r="D878" s="14"/>
      <c r="E878" s="14"/>
      <c r="F878" s="14"/>
      <c r="G878" s="14"/>
      <c r="H878" s="14"/>
      <c r="I878" s="14"/>
      <c r="J878" s="14"/>
      <c r="K878" s="14"/>
    </row>
    <row r="879">
      <c r="A879" s="14"/>
      <c r="B879" s="14"/>
      <c r="C879" s="14"/>
      <c r="D879" s="14"/>
      <c r="E879" s="14"/>
      <c r="F879" s="14"/>
      <c r="G879" s="14"/>
      <c r="H879" s="14"/>
      <c r="I879" s="14"/>
      <c r="J879" s="14"/>
      <c r="K879" s="14"/>
    </row>
    <row r="880">
      <c r="A880" s="14"/>
      <c r="B880" s="14"/>
      <c r="C880" s="14"/>
      <c r="D880" s="14"/>
      <c r="E880" s="14"/>
      <c r="F880" s="14"/>
      <c r="G880" s="14"/>
      <c r="H880" s="14"/>
      <c r="I880" s="14"/>
      <c r="J880" s="14"/>
      <c r="K880" s="14"/>
    </row>
    <row r="881">
      <c r="A881" s="14"/>
      <c r="B881" s="14"/>
      <c r="C881" s="14"/>
      <c r="D881" s="14"/>
      <c r="E881" s="14"/>
      <c r="F881" s="14"/>
      <c r="G881" s="14"/>
      <c r="H881" s="14"/>
      <c r="I881" s="14"/>
      <c r="J881" s="14"/>
      <c r="K881" s="14"/>
    </row>
    <row r="882">
      <c r="A882" s="14"/>
      <c r="B882" s="14"/>
      <c r="C882" s="14"/>
      <c r="D882" s="14"/>
      <c r="E882" s="14"/>
      <c r="F882" s="14"/>
      <c r="G882" s="14"/>
      <c r="H882" s="14"/>
      <c r="I882" s="14"/>
      <c r="J882" s="14"/>
      <c r="K882" s="14"/>
    </row>
    <row r="883">
      <c r="A883" s="14"/>
      <c r="B883" s="14"/>
      <c r="C883" s="14"/>
      <c r="D883" s="14"/>
      <c r="E883" s="14"/>
      <c r="F883" s="14"/>
      <c r="G883" s="14"/>
      <c r="H883" s="14"/>
      <c r="I883" s="14"/>
      <c r="J883" s="14"/>
      <c r="K883" s="14"/>
    </row>
    <row r="884">
      <c r="A884" s="14"/>
      <c r="B884" s="14"/>
      <c r="C884" s="14"/>
      <c r="D884" s="14"/>
      <c r="E884" s="14"/>
      <c r="F884" s="14"/>
      <c r="G884" s="14"/>
      <c r="H884" s="14"/>
      <c r="I884" s="14"/>
      <c r="J884" s="14"/>
      <c r="K884" s="14"/>
    </row>
    <row r="885">
      <c r="A885" s="14"/>
      <c r="B885" s="14"/>
      <c r="C885" s="14"/>
      <c r="D885" s="14"/>
      <c r="E885" s="14"/>
      <c r="F885" s="14"/>
      <c r="G885" s="14"/>
      <c r="H885" s="14"/>
      <c r="I885" s="14"/>
      <c r="J885" s="14"/>
      <c r="K885" s="14"/>
    </row>
    <row r="886">
      <c r="A886" s="14"/>
      <c r="B886" s="14"/>
      <c r="C886" s="14"/>
      <c r="D886" s="14"/>
      <c r="E886" s="14"/>
      <c r="F886" s="14"/>
      <c r="G886" s="14"/>
      <c r="H886" s="14"/>
      <c r="I886" s="14"/>
      <c r="J886" s="14"/>
      <c r="K886" s="14"/>
    </row>
    <row r="887">
      <c r="A887" s="14"/>
      <c r="B887" s="14"/>
      <c r="C887" s="14"/>
      <c r="D887" s="14"/>
      <c r="E887" s="14"/>
      <c r="F887" s="14"/>
      <c r="G887" s="14"/>
      <c r="H887" s="14"/>
      <c r="I887" s="14"/>
      <c r="J887" s="14"/>
      <c r="K887" s="14"/>
    </row>
    <row r="888">
      <c r="A888" s="14"/>
      <c r="B888" s="14"/>
      <c r="C888" s="14"/>
      <c r="D888" s="14"/>
      <c r="E888" s="14"/>
      <c r="F888" s="14"/>
      <c r="G888" s="14"/>
      <c r="H888" s="14"/>
      <c r="I888" s="14"/>
      <c r="J888" s="14"/>
      <c r="K888" s="14"/>
    </row>
    <row r="889">
      <c r="A889" s="14"/>
      <c r="B889" s="14"/>
      <c r="C889" s="14"/>
      <c r="D889" s="14"/>
      <c r="E889" s="14"/>
      <c r="F889" s="14"/>
      <c r="G889" s="14"/>
      <c r="H889" s="14"/>
      <c r="I889" s="14"/>
      <c r="J889" s="14"/>
      <c r="K889" s="14"/>
    </row>
    <row r="890">
      <c r="A890" s="14"/>
      <c r="B890" s="14"/>
      <c r="C890" s="14"/>
      <c r="D890" s="14"/>
      <c r="E890" s="14"/>
      <c r="F890" s="14"/>
      <c r="G890" s="14"/>
      <c r="H890" s="14"/>
      <c r="I890" s="14"/>
      <c r="J890" s="14"/>
      <c r="K890" s="14"/>
    </row>
    <row r="891">
      <c r="A891" s="14"/>
      <c r="B891" s="14"/>
      <c r="C891" s="14"/>
      <c r="D891" s="14"/>
      <c r="E891" s="14"/>
      <c r="F891" s="14"/>
      <c r="G891" s="14"/>
      <c r="H891" s="14"/>
      <c r="I891" s="14"/>
      <c r="J891" s="14"/>
      <c r="K891" s="14"/>
    </row>
    <row r="892">
      <c r="A892" s="14"/>
      <c r="B892" s="14"/>
      <c r="C892" s="14"/>
      <c r="D892" s="14"/>
      <c r="E892" s="14"/>
      <c r="F892" s="14"/>
      <c r="G892" s="14"/>
      <c r="H892" s="14"/>
      <c r="I892" s="14"/>
      <c r="J892" s="14"/>
      <c r="K892" s="14"/>
    </row>
    <row r="893">
      <c r="A893" s="14"/>
      <c r="B893" s="14"/>
      <c r="C893" s="14"/>
      <c r="D893" s="14"/>
      <c r="E893" s="14"/>
      <c r="F893" s="14"/>
      <c r="G893" s="14"/>
      <c r="H893" s="14"/>
      <c r="I893" s="14"/>
      <c r="J893" s="14"/>
      <c r="K893" s="14"/>
    </row>
    <row r="894">
      <c r="A894" s="14"/>
      <c r="B894" s="14"/>
      <c r="C894" s="14"/>
      <c r="D894" s="14"/>
      <c r="E894" s="14"/>
      <c r="F894" s="14"/>
      <c r="G894" s="14"/>
      <c r="H894" s="14"/>
      <c r="I894" s="14"/>
      <c r="J894" s="14"/>
      <c r="K894" s="14"/>
    </row>
    <row r="895">
      <c r="A895" s="14"/>
      <c r="B895" s="14"/>
      <c r="C895" s="14"/>
      <c r="D895" s="14"/>
      <c r="E895" s="14"/>
      <c r="F895" s="14"/>
      <c r="G895" s="14"/>
      <c r="H895" s="14"/>
      <c r="I895" s="14"/>
      <c r="J895" s="14"/>
      <c r="K895" s="14"/>
    </row>
    <row r="896">
      <c r="A896" s="14"/>
      <c r="B896" s="14"/>
      <c r="C896" s="14"/>
      <c r="D896" s="14"/>
      <c r="E896" s="14"/>
      <c r="F896" s="14"/>
      <c r="G896" s="14"/>
      <c r="H896" s="14"/>
      <c r="I896" s="14"/>
      <c r="J896" s="14"/>
      <c r="K896" s="14"/>
    </row>
    <row r="897">
      <c r="A897" s="14"/>
      <c r="B897" s="14"/>
      <c r="C897" s="14"/>
      <c r="D897" s="14"/>
      <c r="E897" s="14"/>
      <c r="F897" s="14"/>
      <c r="G897" s="14"/>
      <c r="H897" s="14"/>
      <c r="I897" s="14"/>
      <c r="J897" s="14"/>
      <c r="K897" s="14"/>
    </row>
    <row r="898">
      <c r="A898" s="14"/>
      <c r="B898" s="14"/>
      <c r="C898" s="14"/>
      <c r="D898" s="14"/>
      <c r="E898" s="14"/>
      <c r="F898" s="14"/>
      <c r="G898" s="14"/>
      <c r="H898" s="14"/>
      <c r="I898" s="14"/>
      <c r="J898" s="14"/>
      <c r="K898" s="14"/>
    </row>
    <row r="899">
      <c r="A899" s="14"/>
      <c r="B899" s="14"/>
      <c r="C899" s="14"/>
      <c r="D899" s="14"/>
      <c r="E899" s="14"/>
      <c r="F899" s="14"/>
      <c r="G899" s="14"/>
      <c r="H899" s="14"/>
      <c r="I899" s="14"/>
      <c r="J899" s="14"/>
      <c r="K899" s="14"/>
    </row>
    <row r="900">
      <c r="A900" s="14"/>
      <c r="B900" s="14"/>
      <c r="C900" s="14"/>
      <c r="D900" s="14"/>
      <c r="E900" s="14"/>
      <c r="F900" s="14"/>
      <c r="G900" s="14"/>
      <c r="H900" s="14"/>
      <c r="I900" s="14"/>
      <c r="J900" s="14"/>
      <c r="K900" s="14"/>
    </row>
    <row r="901">
      <c r="A901" s="14"/>
      <c r="B901" s="14"/>
      <c r="C901" s="14"/>
      <c r="D901" s="14"/>
      <c r="E901" s="14"/>
      <c r="F901" s="14"/>
      <c r="G901" s="14"/>
      <c r="H901" s="14"/>
      <c r="I901" s="14"/>
      <c r="J901" s="14"/>
      <c r="K901" s="14"/>
    </row>
    <row r="902">
      <c r="A902" s="14"/>
      <c r="B902" s="14"/>
      <c r="C902" s="14"/>
      <c r="D902" s="14"/>
      <c r="E902" s="14"/>
      <c r="F902" s="14"/>
      <c r="G902" s="14"/>
      <c r="H902" s="14"/>
      <c r="I902" s="14"/>
      <c r="J902" s="14"/>
      <c r="K902" s="14"/>
    </row>
    <row r="903">
      <c r="A903" s="14"/>
      <c r="B903" s="14"/>
      <c r="C903" s="14"/>
      <c r="D903" s="14"/>
      <c r="E903" s="14"/>
      <c r="F903" s="14"/>
      <c r="G903" s="14"/>
      <c r="H903" s="14"/>
      <c r="I903" s="14"/>
      <c r="J903" s="14"/>
      <c r="K903" s="14"/>
    </row>
    <row r="904">
      <c r="A904" s="14"/>
      <c r="B904" s="14"/>
      <c r="C904" s="14"/>
      <c r="D904" s="14"/>
      <c r="E904" s="14"/>
      <c r="F904" s="14"/>
      <c r="G904" s="14"/>
      <c r="H904" s="14"/>
      <c r="I904" s="14"/>
      <c r="J904" s="14"/>
      <c r="K904" s="14"/>
    </row>
    <row r="905">
      <c r="A905" s="14"/>
      <c r="B905" s="14"/>
      <c r="C905" s="14"/>
      <c r="D905" s="14"/>
      <c r="E905" s="14"/>
      <c r="F905" s="14"/>
      <c r="G905" s="14"/>
      <c r="H905" s="14"/>
      <c r="I905" s="14"/>
      <c r="J905" s="14"/>
      <c r="K905" s="14"/>
    </row>
    <row r="906">
      <c r="A906" s="14"/>
      <c r="B906" s="14"/>
      <c r="C906" s="14"/>
      <c r="D906" s="14"/>
      <c r="E906" s="14"/>
      <c r="F906" s="14"/>
      <c r="G906" s="14"/>
      <c r="H906" s="14"/>
      <c r="I906" s="14"/>
      <c r="J906" s="14"/>
      <c r="K906" s="14"/>
    </row>
    <row r="907">
      <c r="A907" s="14"/>
      <c r="B907" s="14"/>
      <c r="C907" s="14"/>
      <c r="D907" s="14"/>
      <c r="E907" s="14"/>
      <c r="F907" s="14"/>
      <c r="G907" s="14"/>
      <c r="H907" s="14"/>
      <c r="I907" s="14"/>
      <c r="J907" s="14"/>
      <c r="K907" s="14"/>
    </row>
    <row r="908">
      <c r="A908" s="14"/>
      <c r="B908" s="14"/>
      <c r="C908" s="14"/>
      <c r="D908" s="14"/>
      <c r="E908" s="14"/>
      <c r="F908" s="14"/>
      <c r="G908" s="14"/>
      <c r="H908" s="14"/>
      <c r="I908" s="14"/>
      <c r="J908" s="14"/>
      <c r="K908" s="14"/>
    </row>
    <row r="909">
      <c r="A909" s="14"/>
      <c r="B909" s="14"/>
      <c r="C909" s="14"/>
      <c r="D909" s="14"/>
      <c r="E909" s="14"/>
      <c r="F909" s="14"/>
      <c r="G909" s="14"/>
      <c r="H909" s="14"/>
      <c r="I909" s="14"/>
      <c r="J909" s="14"/>
      <c r="K909" s="14"/>
    </row>
    <row r="910">
      <c r="A910" s="14"/>
      <c r="B910" s="14"/>
      <c r="C910" s="14"/>
      <c r="D910" s="14"/>
      <c r="E910" s="14"/>
      <c r="F910" s="14"/>
      <c r="G910" s="14"/>
      <c r="H910" s="14"/>
      <c r="I910" s="14"/>
      <c r="J910" s="14"/>
      <c r="K910" s="14"/>
    </row>
    <row r="911">
      <c r="A911" s="14"/>
      <c r="B911" s="14"/>
      <c r="C911" s="14"/>
      <c r="D911" s="14"/>
      <c r="E911" s="14"/>
      <c r="F911" s="14"/>
      <c r="G911" s="14"/>
      <c r="H911" s="14"/>
      <c r="I911" s="14"/>
      <c r="J911" s="14"/>
      <c r="K911" s="14"/>
    </row>
    <row r="912">
      <c r="A912" s="14"/>
      <c r="B912" s="14"/>
      <c r="C912" s="14"/>
      <c r="D912" s="14"/>
      <c r="E912" s="14"/>
      <c r="F912" s="14"/>
      <c r="G912" s="14"/>
      <c r="H912" s="14"/>
      <c r="I912" s="14"/>
      <c r="J912" s="14"/>
      <c r="K912" s="14"/>
    </row>
    <row r="913">
      <c r="A913" s="14"/>
      <c r="B913" s="14"/>
      <c r="C913" s="14"/>
      <c r="D913" s="14"/>
      <c r="E913" s="14"/>
      <c r="F913" s="14"/>
      <c r="G913" s="14"/>
      <c r="H913" s="14"/>
      <c r="I913" s="14"/>
      <c r="J913" s="14"/>
      <c r="K913" s="14"/>
    </row>
    <row r="914">
      <c r="A914" s="14"/>
      <c r="B914" s="14"/>
      <c r="C914" s="14"/>
      <c r="D914" s="14"/>
      <c r="E914" s="14"/>
      <c r="F914" s="14"/>
      <c r="G914" s="14"/>
      <c r="H914" s="14"/>
      <c r="I914" s="14"/>
      <c r="J914" s="14"/>
      <c r="K914" s="14"/>
    </row>
    <row r="915">
      <c r="A915" s="14"/>
      <c r="B915" s="14"/>
      <c r="C915" s="14"/>
      <c r="D915" s="14"/>
      <c r="E915" s="14"/>
      <c r="F915" s="14"/>
      <c r="G915" s="14"/>
      <c r="H915" s="14"/>
      <c r="I915" s="14"/>
      <c r="J915" s="14"/>
      <c r="K915" s="14"/>
    </row>
    <row r="916">
      <c r="A916" s="14"/>
      <c r="B916" s="14"/>
      <c r="C916" s="14"/>
      <c r="D916" s="14"/>
      <c r="E916" s="14"/>
      <c r="F916" s="14"/>
      <c r="G916" s="14"/>
      <c r="H916" s="14"/>
      <c r="I916" s="14"/>
      <c r="J916" s="14"/>
      <c r="K916" s="14"/>
    </row>
    <row r="917">
      <c r="A917" s="14"/>
      <c r="B917" s="14"/>
      <c r="C917" s="14"/>
      <c r="D917" s="14"/>
      <c r="E917" s="14"/>
      <c r="F917" s="14"/>
      <c r="G917" s="14"/>
      <c r="H917" s="14"/>
      <c r="I917" s="14"/>
      <c r="J917" s="14"/>
      <c r="K917" s="14"/>
    </row>
    <row r="918">
      <c r="A918" s="14"/>
      <c r="B918" s="14"/>
      <c r="C918" s="14"/>
      <c r="D918" s="14"/>
      <c r="E918" s="14"/>
      <c r="F918" s="14"/>
      <c r="G918" s="14"/>
      <c r="H918" s="14"/>
      <c r="I918" s="14"/>
      <c r="J918" s="14"/>
      <c r="K918" s="14"/>
    </row>
    <row r="919">
      <c r="A919" s="14"/>
      <c r="B919" s="14"/>
      <c r="C919" s="14"/>
      <c r="D919" s="14"/>
      <c r="E919" s="14"/>
      <c r="F919" s="14"/>
      <c r="G919" s="14"/>
      <c r="H919" s="14"/>
      <c r="I919" s="14"/>
      <c r="J919" s="14"/>
      <c r="K919" s="14"/>
    </row>
    <row r="920">
      <c r="A920" s="14"/>
      <c r="B920" s="14"/>
      <c r="C920" s="14"/>
      <c r="D920" s="14"/>
      <c r="E920" s="14"/>
      <c r="F920" s="14"/>
      <c r="G920" s="14"/>
      <c r="H920" s="14"/>
      <c r="I920" s="14"/>
      <c r="J920" s="14"/>
      <c r="K920" s="14"/>
    </row>
    <row r="921">
      <c r="A921" s="14"/>
      <c r="B921" s="14"/>
      <c r="C921" s="14"/>
      <c r="D921" s="14"/>
      <c r="E921" s="14"/>
      <c r="F921" s="14"/>
      <c r="G921" s="14"/>
      <c r="H921" s="14"/>
      <c r="I921" s="14"/>
      <c r="J921" s="14"/>
      <c r="K921" s="14"/>
    </row>
    <row r="922">
      <c r="A922" s="14"/>
      <c r="B922" s="14"/>
      <c r="C922" s="14"/>
      <c r="D922" s="14"/>
      <c r="E922" s="14"/>
      <c r="F922" s="14"/>
      <c r="G922" s="14"/>
      <c r="H922" s="14"/>
      <c r="I922" s="14"/>
      <c r="J922" s="14"/>
      <c r="K922" s="14"/>
    </row>
    <row r="923">
      <c r="A923" s="14"/>
      <c r="B923" s="14"/>
      <c r="C923" s="14"/>
      <c r="D923" s="14"/>
      <c r="E923" s="14"/>
      <c r="F923" s="14"/>
      <c r="G923" s="14"/>
      <c r="H923" s="14"/>
      <c r="I923" s="14"/>
      <c r="J923" s="14"/>
      <c r="K923" s="14"/>
    </row>
    <row r="924">
      <c r="A924" s="14"/>
      <c r="B924" s="14"/>
      <c r="C924" s="14"/>
      <c r="D924" s="14"/>
      <c r="E924" s="14"/>
      <c r="F924" s="14"/>
      <c r="G924" s="14"/>
      <c r="H924" s="14"/>
      <c r="I924" s="14"/>
      <c r="J924" s="14"/>
      <c r="K924" s="14"/>
    </row>
    <row r="925">
      <c r="A925" s="14"/>
      <c r="B925" s="14"/>
      <c r="C925" s="14"/>
      <c r="D925" s="14"/>
      <c r="E925" s="14"/>
      <c r="F925" s="14"/>
      <c r="G925" s="14"/>
      <c r="H925" s="14"/>
      <c r="I925" s="14"/>
      <c r="J925" s="14"/>
      <c r="K925" s="14"/>
    </row>
    <row r="926">
      <c r="A926" s="14"/>
      <c r="B926" s="14"/>
      <c r="C926" s="14"/>
      <c r="D926" s="14"/>
      <c r="E926" s="14"/>
      <c r="F926" s="14"/>
      <c r="G926" s="14"/>
      <c r="H926" s="14"/>
      <c r="I926" s="14"/>
      <c r="J926" s="14"/>
      <c r="K926" s="14"/>
    </row>
    <row r="927">
      <c r="A927" s="14"/>
      <c r="B927" s="14"/>
      <c r="C927" s="14"/>
      <c r="D927" s="14"/>
      <c r="E927" s="14"/>
      <c r="F927" s="14"/>
      <c r="G927" s="14"/>
      <c r="H927" s="14"/>
      <c r="I927" s="14"/>
      <c r="J927" s="14"/>
      <c r="K927" s="14"/>
    </row>
    <row r="928">
      <c r="A928" s="14"/>
      <c r="B928" s="14"/>
      <c r="C928" s="14"/>
      <c r="D928" s="14"/>
      <c r="E928" s="14"/>
      <c r="F928" s="14"/>
      <c r="G928" s="14"/>
      <c r="H928" s="14"/>
      <c r="I928" s="14"/>
      <c r="J928" s="14"/>
      <c r="K928" s="14"/>
    </row>
    <row r="929">
      <c r="A929" s="14"/>
      <c r="B929" s="14"/>
      <c r="C929" s="14"/>
      <c r="D929" s="14"/>
      <c r="E929" s="14"/>
      <c r="F929" s="14"/>
      <c r="G929" s="14"/>
      <c r="H929" s="14"/>
      <c r="I929" s="14"/>
      <c r="J929" s="14"/>
      <c r="K929" s="14"/>
    </row>
    <row r="930">
      <c r="A930" s="14"/>
      <c r="B930" s="14"/>
      <c r="C930" s="14"/>
      <c r="D930" s="14"/>
      <c r="E930" s="14"/>
      <c r="F930" s="14"/>
      <c r="G930" s="14"/>
      <c r="H930" s="14"/>
      <c r="I930" s="14"/>
      <c r="J930" s="14"/>
      <c r="K930" s="14"/>
    </row>
    <row r="931">
      <c r="A931" s="14"/>
      <c r="B931" s="14"/>
      <c r="C931" s="14"/>
      <c r="D931" s="14"/>
      <c r="E931" s="14"/>
      <c r="F931" s="14"/>
      <c r="G931" s="14"/>
      <c r="H931" s="14"/>
      <c r="I931" s="14"/>
      <c r="J931" s="14"/>
      <c r="K931" s="14"/>
    </row>
    <row r="932">
      <c r="A932" s="14"/>
      <c r="B932" s="14"/>
      <c r="C932" s="14"/>
      <c r="D932" s="14"/>
      <c r="E932" s="14"/>
      <c r="F932" s="14"/>
      <c r="G932" s="14"/>
      <c r="H932" s="14"/>
      <c r="I932" s="14"/>
      <c r="J932" s="14"/>
      <c r="K932" s="14"/>
    </row>
    <row r="933">
      <c r="A933" s="14"/>
      <c r="B933" s="14"/>
      <c r="C933" s="14"/>
      <c r="D933" s="14"/>
      <c r="E933" s="14"/>
      <c r="F933" s="14"/>
      <c r="G933" s="14"/>
      <c r="H933" s="14"/>
      <c r="I933" s="14"/>
      <c r="J933" s="14"/>
      <c r="K933" s="14"/>
    </row>
    <row r="934">
      <c r="A934" s="14"/>
      <c r="B934" s="14"/>
      <c r="C934" s="14"/>
      <c r="D934" s="14"/>
      <c r="E934" s="14"/>
      <c r="F934" s="14"/>
      <c r="G934" s="14"/>
      <c r="H934" s="14"/>
      <c r="I934" s="14"/>
      <c r="J934" s="14"/>
      <c r="K934" s="14"/>
    </row>
    <row r="935">
      <c r="A935" s="14"/>
      <c r="B935" s="14"/>
      <c r="C935" s="14"/>
      <c r="D935" s="14"/>
      <c r="E935" s="14"/>
      <c r="F935" s="14"/>
      <c r="G935" s="14"/>
      <c r="H935" s="14"/>
      <c r="I935" s="14"/>
      <c r="J935" s="14"/>
      <c r="K935" s="14"/>
    </row>
    <row r="936">
      <c r="A936" s="14"/>
      <c r="B936" s="14"/>
      <c r="C936" s="14"/>
      <c r="D936" s="14"/>
      <c r="E936" s="14"/>
      <c r="F936" s="14"/>
      <c r="G936" s="14"/>
      <c r="H936" s="14"/>
      <c r="I936" s="14"/>
      <c r="J936" s="14"/>
      <c r="K936" s="14"/>
    </row>
    <row r="937">
      <c r="A937" s="14"/>
      <c r="B937" s="14"/>
      <c r="C937" s="14"/>
      <c r="D937" s="14"/>
      <c r="E937" s="14"/>
      <c r="F937" s="14"/>
      <c r="G937" s="14"/>
      <c r="H937" s="14"/>
      <c r="I937" s="14"/>
      <c r="J937" s="14"/>
      <c r="K937" s="14"/>
    </row>
    <row r="938">
      <c r="A938" s="14"/>
      <c r="B938" s="14"/>
      <c r="C938" s="14"/>
      <c r="D938" s="14"/>
      <c r="E938" s="14"/>
      <c r="F938" s="14"/>
      <c r="G938" s="14"/>
      <c r="H938" s="14"/>
      <c r="I938" s="14"/>
      <c r="J938" s="14"/>
      <c r="K938" s="14"/>
    </row>
    <row r="939">
      <c r="A939" s="14"/>
      <c r="B939" s="14"/>
      <c r="C939" s="14"/>
      <c r="D939" s="14"/>
      <c r="E939" s="14"/>
      <c r="F939" s="14"/>
      <c r="G939" s="14"/>
      <c r="H939" s="14"/>
      <c r="I939" s="14"/>
      <c r="J939" s="14"/>
      <c r="K939" s="14"/>
    </row>
    <row r="940">
      <c r="A940" s="14"/>
      <c r="B940" s="14"/>
      <c r="C940" s="14"/>
      <c r="D940" s="14"/>
      <c r="E940" s="14"/>
      <c r="F940" s="14"/>
      <c r="G940" s="14"/>
      <c r="H940" s="14"/>
      <c r="I940" s="14"/>
      <c r="J940" s="14"/>
      <c r="K940" s="14"/>
    </row>
    <row r="941">
      <c r="A941" s="14"/>
      <c r="B941" s="14"/>
      <c r="C941" s="14"/>
      <c r="D941" s="14"/>
      <c r="E941" s="14"/>
      <c r="F941" s="14"/>
      <c r="G941" s="14"/>
      <c r="H941" s="14"/>
      <c r="I941" s="14"/>
      <c r="J941" s="14"/>
      <c r="K941" s="14"/>
    </row>
    <row r="942">
      <c r="A942" s="14"/>
      <c r="B942" s="14"/>
      <c r="C942" s="14"/>
      <c r="D942" s="14"/>
      <c r="E942" s="14"/>
      <c r="F942" s="14"/>
      <c r="G942" s="14"/>
      <c r="H942" s="14"/>
      <c r="I942" s="14"/>
      <c r="J942" s="14"/>
      <c r="K942" s="14"/>
    </row>
    <row r="943">
      <c r="A943" s="14"/>
      <c r="B943" s="14"/>
      <c r="C943" s="14"/>
      <c r="D943" s="14"/>
      <c r="E943" s="14"/>
      <c r="F943" s="14"/>
      <c r="G943" s="14"/>
      <c r="H943" s="14"/>
      <c r="I943" s="14"/>
      <c r="J943" s="14"/>
      <c r="K943" s="14"/>
    </row>
    <row r="944">
      <c r="A944" s="14"/>
      <c r="B944" s="14"/>
      <c r="C944" s="14"/>
      <c r="D944" s="14"/>
      <c r="E944" s="14"/>
      <c r="F944" s="14"/>
      <c r="G944" s="14"/>
      <c r="H944" s="14"/>
      <c r="I944" s="14"/>
      <c r="J944" s="14"/>
      <c r="K944" s="14"/>
    </row>
    <row r="945">
      <c r="A945" s="14"/>
      <c r="B945" s="14"/>
      <c r="C945" s="14"/>
      <c r="D945" s="14"/>
      <c r="E945" s="14"/>
      <c r="F945" s="14"/>
      <c r="G945" s="14"/>
      <c r="H945" s="14"/>
      <c r="I945" s="14"/>
      <c r="J945" s="14"/>
      <c r="K945" s="14"/>
    </row>
    <row r="946">
      <c r="A946" s="14"/>
      <c r="B946" s="14"/>
      <c r="C946" s="14"/>
      <c r="D946" s="14"/>
      <c r="E946" s="14"/>
      <c r="F946" s="14"/>
      <c r="G946" s="14"/>
      <c r="H946" s="14"/>
      <c r="I946" s="14"/>
      <c r="J946" s="14"/>
      <c r="K946" s="14"/>
    </row>
    <row r="947">
      <c r="A947" s="14"/>
      <c r="B947" s="14"/>
      <c r="C947" s="14"/>
      <c r="D947" s="14"/>
      <c r="E947" s="14"/>
      <c r="F947" s="14"/>
      <c r="G947" s="14"/>
      <c r="H947" s="14"/>
      <c r="I947" s="14"/>
      <c r="J947" s="14"/>
      <c r="K947" s="14"/>
    </row>
    <row r="948">
      <c r="A948" s="14"/>
      <c r="B948" s="14"/>
      <c r="C948" s="14"/>
      <c r="D948" s="14"/>
      <c r="E948" s="14"/>
      <c r="F948" s="14"/>
      <c r="G948" s="14"/>
      <c r="H948" s="14"/>
      <c r="I948" s="14"/>
      <c r="J948" s="14"/>
      <c r="K948" s="14"/>
    </row>
    <row r="949">
      <c r="A949" s="14"/>
      <c r="B949" s="14"/>
      <c r="C949" s="14"/>
      <c r="D949" s="14"/>
      <c r="E949" s="14"/>
      <c r="F949" s="14"/>
      <c r="G949" s="14"/>
      <c r="H949" s="14"/>
      <c r="I949" s="14"/>
      <c r="J949" s="14"/>
      <c r="K949" s="14"/>
    </row>
    <row r="950">
      <c r="A950" s="14"/>
      <c r="B950" s="14"/>
      <c r="C950" s="14"/>
      <c r="D950" s="14"/>
      <c r="E950" s="14"/>
      <c r="F950" s="14"/>
      <c r="G950" s="14"/>
      <c r="H950" s="14"/>
      <c r="I950" s="14"/>
      <c r="J950" s="14"/>
      <c r="K950" s="14"/>
    </row>
    <row r="951">
      <c r="A951" s="14"/>
      <c r="B951" s="14"/>
      <c r="C951" s="14"/>
      <c r="D951" s="14"/>
      <c r="E951" s="14"/>
      <c r="F951" s="14"/>
      <c r="G951" s="14"/>
      <c r="H951" s="14"/>
      <c r="I951" s="14"/>
      <c r="J951" s="14"/>
      <c r="K951" s="14"/>
    </row>
    <row r="952">
      <c r="A952" s="14"/>
      <c r="B952" s="14"/>
      <c r="C952" s="14"/>
      <c r="D952" s="14"/>
      <c r="E952" s="14"/>
      <c r="F952" s="14"/>
      <c r="G952" s="14"/>
      <c r="H952" s="14"/>
      <c r="I952" s="14"/>
      <c r="J952" s="14"/>
      <c r="K952" s="14"/>
    </row>
    <row r="953">
      <c r="A953" s="14"/>
      <c r="B953" s="14"/>
      <c r="C953" s="14"/>
      <c r="D953" s="14"/>
      <c r="E953" s="14"/>
      <c r="F953" s="14"/>
      <c r="G953" s="14"/>
      <c r="H953" s="14"/>
      <c r="I953" s="14"/>
      <c r="J953" s="14"/>
      <c r="K953" s="14"/>
    </row>
    <row r="954">
      <c r="A954" s="14"/>
      <c r="B954" s="14"/>
      <c r="C954" s="14"/>
      <c r="D954" s="14"/>
      <c r="E954" s="14"/>
      <c r="F954" s="14"/>
      <c r="G954" s="14"/>
      <c r="H954" s="14"/>
      <c r="I954" s="14"/>
      <c r="J954" s="14"/>
      <c r="K954" s="14"/>
    </row>
    <row r="955">
      <c r="A955" s="14"/>
      <c r="B955" s="14"/>
      <c r="C955" s="14"/>
      <c r="D955" s="14"/>
      <c r="E955" s="14"/>
      <c r="F955" s="14"/>
      <c r="G955" s="14"/>
      <c r="H955" s="14"/>
      <c r="I955" s="14"/>
      <c r="J955" s="14"/>
      <c r="K955" s="14"/>
    </row>
    <row r="956">
      <c r="A956" s="14"/>
      <c r="B956" s="14"/>
      <c r="C956" s="14"/>
      <c r="D956" s="14"/>
      <c r="E956" s="14"/>
      <c r="F956" s="14"/>
      <c r="G956" s="14"/>
      <c r="H956" s="14"/>
      <c r="I956" s="14"/>
      <c r="J956" s="14"/>
      <c r="K956" s="14"/>
    </row>
    <row r="957">
      <c r="A957" s="14"/>
      <c r="B957" s="14"/>
      <c r="C957" s="14"/>
      <c r="D957" s="14"/>
      <c r="E957" s="14"/>
      <c r="F957" s="14"/>
      <c r="G957" s="14"/>
      <c r="H957" s="14"/>
      <c r="I957" s="14"/>
      <c r="J957" s="14"/>
      <c r="K957" s="14"/>
    </row>
    <row r="958">
      <c r="A958" s="14"/>
      <c r="B958" s="14"/>
      <c r="C958" s="14"/>
      <c r="D958" s="14"/>
      <c r="E958" s="14"/>
      <c r="F958" s="14"/>
      <c r="G958" s="14"/>
      <c r="H958" s="14"/>
      <c r="I958" s="14"/>
      <c r="J958" s="14"/>
      <c r="K958" s="14"/>
    </row>
    <row r="959">
      <c r="A959" s="14"/>
      <c r="B959" s="14"/>
      <c r="C959" s="14"/>
      <c r="D959" s="14"/>
      <c r="E959" s="14"/>
      <c r="F959" s="14"/>
      <c r="G959" s="14"/>
      <c r="H959" s="14"/>
      <c r="I959" s="14"/>
      <c r="J959" s="14"/>
      <c r="K959" s="14"/>
    </row>
    <row r="960">
      <c r="A960" s="14"/>
      <c r="B960" s="14"/>
      <c r="C960" s="14"/>
      <c r="D960" s="14"/>
      <c r="E960" s="14"/>
      <c r="F960" s="14"/>
      <c r="G960" s="14"/>
      <c r="H960" s="14"/>
      <c r="I960" s="14"/>
      <c r="J960" s="14"/>
      <c r="K960" s="14"/>
    </row>
    <row r="961">
      <c r="A961" s="14"/>
      <c r="B961" s="14"/>
      <c r="C961" s="14"/>
      <c r="D961" s="14"/>
      <c r="E961" s="14"/>
      <c r="F961" s="14"/>
      <c r="G961" s="14"/>
      <c r="H961" s="14"/>
      <c r="I961" s="14"/>
      <c r="J961" s="14"/>
      <c r="K961" s="14"/>
    </row>
    <row r="962">
      <c r="A962" s="14"/>
      <c r="B962" s="14"/>
      <c r="C962" s="14"/>
      <c r="D962" s="14"/>
      <c r="E962" s="14"/>
      <c r="F962" s="14"/>
      <c r="G962" s="14"/>
      <c r="H962" s="14"/>
      <c r="I962" s="14"/>
      <c r="J962" s="14"/>
      <c r="K962" s="14"/>
    </row>
    <row r="963">
      <c r="A963" s="14"/>
      <c r="B963" s="14"/>
      <c r="C963" s="14"/>
      <c r="D963" s="14"/>
      <c r="E963" s="14"/>
      <c r="F963" s="14"/>
      <c r="G963" s="14"/>
      <c r="H963" s="14"/>
      <c r="I963" s="14"/>
      <c r="J963" s="14"/>
      <c r="K963" s="14"/>
    </row>
    <row r="964">
      <c r="A964" s="14"/>
      <c r="B964" s="14"/>
      <c r="C964" s="14"/>
      <c r="D964" s="14"/>
      <c r="E964" s="14"/>
      <c r="F964" s="14"/>
      <c r="G964" s="14"/>
      <c r="H964" s="14"/>
      <c r="I964" s="14"/>
      <c r="J964" s="14"/>
      <c r="K964" s="14"/>
    </row>
    <row r="965">
      <c r="A965" s="14"/>
      <c r="B965" s="14"/>
      <c r="C965" s="14"/>
      <c r="D965" s="14"/>
      <c r="E965" s="14"/>
      <c r="F965" s="14"/>
      <c r="G965" s="14"/>
      <c r="H965" s="14"/>
      <c r="I965" s="14"/>
      <c r="J965" s="14"/>
      <c r="K965" s="14"/>
    </row>
    <row r="966">
      <c r="A966" s="14"/>
      <c r="B966" s="14"/>
      <c r="C966" s="14"/>
      <c r="D966" s="14"/>
      <c r="E966" s="14"/>
      <c r="F966" s="14"/>
      <c r="G966" s="14"/>
      <c r="H966" s="14"/>
      <c r="I966" s="14"/>
      <c r="J966" s="14"/>
      <c r="K966" s="14"/>
    </row>
    <row r="967">
      <c r="A967" s="14"/>
      <c r="B967" s="14"/>
      <c r="C967" s="14"/>
      <c r="D967" s="14"/>
      <c r="E967" s="14"/>
      <c r="F967" s="14"/>
      <c r="G967" s="14"/>
      <c r="H967" s="14"/>
      <c r="I967" s="14"/>
      <c r="J967" s="14"/>
      <c r="K967" s="14"/>
    </row>
    <row r="968">
      <c r="A968" s="14"/>
      <c r="B968" s="14"/>
      <c r="C968" s="14"/>
      <c r="D968" s="14"/>
      <c r="E968" s="14"/>
      <c r="F968" s="14"/>
      <c r="G968" s="14"/>
      <c r="H968" s="14"/>
      <c r="I968" s="14"/>
      <c r="J968" s="14"/>
      <c r="K968" s="14"/>
    </row>
    <row r="969">
      <c r="A969" s="14"/>
      <c r="B969" s="14"/>
      <c r="C969" s="14"/>
      <c r="D969" s="14"/>
      <c r="E969" s="14"/>
      <c r="F969" s="14"/>
      <c r="G969" s="14"/>
      <c r="H969" s="14"/>
      <c r="I969" s="14"/>
      <c r="J969" s="14"/>
      <c r="K969" s="14"/>
    </row>
    <row r="970">
      <c r="A970" s="14"/>
      <c r="B970" s="14"/>
      <c r="C970" s="14"/>
      <c r="D970" s="14"/>
      <c r="E970" s="14"/>
      <c r="F970" s="14"/>
      <c r="G970" s="14"/>
      <c r="H970" s="14"/>
      <c r="I970" s="14"/>
      <c r="J970" s="14"/>
      <c r="K970" s="14"/>
    </row>
    <row r="971">
      <c r="A971" s="14"/>
      <c r="B971" s="14"/>
      <c r="C971" s="14"/>
      <c r="D971" s="14"/>
      <c r="E971" s="14"/>
      <c r="F971" s="14"/>
      <c r="G971" s="14"/>
      <c r="H971" s="14"/>
      <c r="I971" s="14"/>
      <c r="J971" s="14"/>
      <c r="K971" s="14"/>
    </row>
    <row r="972">
      <c r="A972" s="14"/>
      <c r="B972" s="14"/>
      <c r="C972" s="14"/>
      <c r="D972" s="14"/>
      <c r="E972" s="14"/>
      <c r="F972" s="14"/>
      <c r="G972" s="14"/>
      <c r="H972" s="14"/>
      <c r="I972" s="14"/>
      <c r="J972" s="14"/>
      <c r="K972" s="14"/>
    </row>
    <row r="973">
      <c r="A973" s="14"/>
      <c r="B973" s="14"/>
      <c r="C973" s="14"/>
      <c r="D973" s="14"/>
      <c r="E973" s="14"/>
      <c r="F973" s="14"/>
      <c r="G973" s="14"/>
      <c r="H973" s="14"/>
      <c r="I973" s="14"/>
      <c r="J973" s="14"/>
      <c r="K973" s="14"/>
    </row>
    <row r="974">
      <c r="A974" s="14"/>
      <c r="B974" s="14"/>
      <c r="C974" s="14"/>
      <c r="D974" s="14"/>
      <c r="E974" s="14"/>
      <c r="F974" s="14"/>
      <c r="G974" s="14"/>
      <c r="H974" s="14"/>
      <c r="I974" s="14"/>
      <c r="J974" s="14"/>
      <c r="K974" s="14"/>
    </row>
    <row r="975">
      <c r="A975" s="14"/>
      <c r="B975" s="14"/>
      <c r="C975" s="14"/>
      <c r="D975" s="14"/>
      <c r="E975" s="14"/>
      <c r="F975" s="14"/>
      <c r="G975" s="14"/>
      <c r="H975" s="14"/>
      <c r="I975" s="14"/>
      <c r="J975" s="14"/>
      <c r="K975" s="14"/>
    </row>
    <row r="976">
      <c r="A976" s="14"/>
      <c r="B976" s="14"/>
      <c r="C976" s="14"/>
      <c r="D976" s="14"/>
      <c r="E976" s="14"/>
      <c r="F976" s="14"/>
      <c r="G976" s="14"/>
      <c r="H976" s="14"/>
      <c r="I976" s="14"/>
      <c r="J976" s="14"/>
      <c r="K976" s="14"/>
    </row>
    <row r="977">
      <c r="A977" s="14"/>
      <c r="B977" s="14"/>
      <c r="C977" s="14"/>
      <c r="D977" s="14"/>
      <c r="E977" s="14"/>
      <c r="F977" s="14"/>
      <c r="G977" s="14"/>
      <c r="H977" s="14"/>
      <c r="I977" s="14"/>
      <c r="J977" s="14"/>
      <c r="K977" s="14"/>
    </row>
    <row r="978">
      <c r="A978" s="14"/>
      <c r="B978" s="14"/>
      <c r="C978" s="14"/>
      <c r="D978" s="14"/>
      <c r="E978" s="14"/>
      <c r="F978" s="14"/>
      <c r="G978" s="14"/>
      <c r="H978" s="14"/>
      <c r="I978" s="14"/>
      <c r="J978" s="14"/>
      <c r="K978" s="14"/>
    </row>
    <row r="979">
      <c r="A979" s="14"/>
      <c r="B979" s="14"/>
      <c r="C979" s="14"/>
      <c r="D979" s="14"/>
      <c r="E979" s="14"/>
      <c r="F979" s="14"/>
      <c r="G979" s="14"/>
      <c r="H979" s="14"/>
      <c r="I979" s="14"/>
      <c r="J979" s="14"/>
      <c r="K979" s="14"/>
    </row>
    <row r="980">
      <c r="A980" s="14"/>
      <c r="B980" s="14"/>
      <c r="C980" s="14"/>
      <c r="D980" s="14"/>
      <c r="E980" s="14"/>
      <c r="F980" s="14"/>
      <c r="G980" s="14"/>
      <c r="H980" s="14"/>
      <c r="I980" s="14"/>
      <c r="J980" s="14"/>
      <c r="K980" s="14"/>
    </row>
    <row r="981">
      <c r="A981" s="14"/>
      <c r="B981" s="14"/>
      <c r="C981" s="14"/>
      <c r="D981" s="14"/>
      <c r="E981" s="14"/>
      <c r="F981" s="14"/>
      <c r="G981" s="14"/>
      <c r="H981" s="14"/>
      <c r="I981" s="14"/>
      <c r="J981" s="14"/>
      <c r="K981" s="14"/>
    </row>
    <row r="982">
      <c r="A982" s="14"/>
      <c r="B982" s="14"/>
      <c r="C982" s="14"/>
      <c r="D982" s="14"/>
      <c r="E982" s="14"/>
      <c r="F982" s="14"/>
      <c r="G982" s="14"/>
      <c r="H982" s="14"/>
      <c r="I982" s="14"/>
      <c r="J982" s="14"/>
      <c r="K982" s="14"/>
    </row>
    <row r="983">
      <c r="A983" s="14"/>
      <c r="B983" s="14"/>
      <c r="C983" s="14"/>
      <c r="D983" s="14"/>
      <c r="E983" s="14"/>
      <c r="F983" s="14"/>
      <c r="G983" s="14"/>
      <c r="H983" s="14"/>
      <c r="I983" s="14"/>
      <c r="J983" s="14"/>
      <c r="K983" s="14"/>
    </row>
    <row r="984">
      <c r="A984" s="14"/>
      <c r="B984" s="14"/>
      <c r="C984" s="14"/>
      <c r="D984" s="14"/>
      <c r="E984" s="14"/>
      <c r="F984" s="14"/>
      <c r="G984" s="14"/>
      <c r="H984" s="14"/>
      <c r="I984" s="14"/>
      <c r="J984" s="14"/>
      <c r="K984" s="14"/>
    </row>
    <row r="985">
      <c r="A985" s="14"/>
      <c r="B985" s="14"/>
      <c r="C985" s="14"/>
      <c r="D985" s="14"/>
      <c r="E985" s="14"/>
      <c r="F985" s="14"/>
      <c r="G985" s="14"/>
      <c r="H985" s="14"/>
      <c r="I985" s="14"/>
      <c r="J985" s="14"/>
      <c r="K985" s="14"/>
    </row>
    <row r="986">
      <c r="A986" s="14"/>
      <c r="B986" s="14"/>
      <c r="C986" s="14"/>
      <c r="D986" s="14"/>
      <c r="E986" s="14"/>
      <c r="F986" s="14"/>
      <c r="G986" s="14"/>
      <c r="H986" s="14"/>
      <c r="I986" s="14"/>
      <c r="J986" s="14"/>
      <c r="K986" s="14"/>
    </row>
    <row r="987">
      <c r="A987" s="14"/>
      <c r="B987" s="14"/>
      <c r="C987" s="14"/>
      <c r="D987" s="14"/>
      <c r="E987" s="14"/>
      <c r="F987" s="14"/>
      <c r="G987" s="14"/>
      <c r="H987" s="14"/>
      <c r="I987" s="14"/>
      <c r="J987" s="14"/>
      <c r="K987" s="14"/>
    </row>
    <row r="988">
      <c r="A988" s="14"/>
      <c r="B988" s="14"/>
      <c r="C988" s="14"/>
      <c r="D988" s="14"/>
      <c r="E988" s="14"/>
      <c r="F988" s="14"/>
      <c r="G988" s="14"/>
      <c r="H988" s="14"/>
      <c r="I988" s="14"/>
      <c r="J988" s="14"/>
      <c r="K988" s="14"/>
    </row>
    <row r="989">
      <c r="A989" s="14"/>
      <c r="B989" s="14"/>
      <c r="C989" s="14"/>
      <c r="D989" s="14"/>
      <c r="E989" s="14"/>
      <c r="F989" s="14"/>
      <c r="G989" s="14"/>
      <c r="H989" s="14"/>
      <c r="I989" s="14"/>
      <c r="J989" s="14"/>
      <c r="K989" s="14"/>
    </row>
    <row r="990">
      <c r="A990" s="14"/>
      <c r="B990" s="14"/>
      <c r="C990" s="14"/>
      <c r="D990" s="14"/>
      <c r="E990" s="14"/>
      <c r="F990" s="14"/>
      <c r="G990" s="14"/>
      <c r="H990" s="14"/>
      <c r="I990" s="14"/>
      <c r="J990" s="14"/>
      <c r="K990" s="14"/>
    </row>
    <row r="991">
      <c r="A991" s="14"/>
      <c r="B991" s="14"/>
      <c r="C991" s="14"/>
      <c r="D991" s="14"/>
      <c r="E991" s="14"/>
      <c r="F991" s="14"/>
      <c r="G991" s="14"/>
      <c r="H991" s="14"/>
      <c r="I991" s="14"/>
      <c r="J991" s="14"/>
      <c r="K991" s="14"/>
    </row>
    <row r="992">
      <c r="A992" s="14"/>
      <c r="B992" s="14"/>
      <c r="C992" s="14"/>
      <c r="D992" s="14"/>
      <c r="E992" s="14"/>
      <c r="F992" s="14"/>
      <c r="G992" s="14"/>
      <c r="H992" s="14"/>
      <c r="I992" s="14"/>
      <c r="J992" s="14"/>
      <c r="K992" s="14"/>
    </row>
    <row r="993">
      <c r="A993" s="14"/>
      <c r="B993" s="14"/>
      <c r="C993" s="14"/>
      <c r="D993" s="14"/>
      <c r="E993" s="14"/>
      <c r="F993" s="14"/>
      <c r="G993" s="14"/>
      <c r="H993" s="14"/>
      <c r="I993" s="14"/>
      <c r="J993" s="14"/>
      <c r="K993" s="14"/>
    </row>
    <row r="994">
      <c r="A994" s="14"/>
      <c r="B994" s="14"/>
      <c r="C994" s="14"/>
      <c r="D994" s="14"/>
      <c r="E994" s="14"/>
      <c r="F994" s="14"/>
      <c r="G994" s="14"/>
      <c r="H994" s="14"/>
      <c r="I994" s="14"/>
      <c r="J994" s="14"/>
      <c r="K994" s="14"/>
    </row>
    <row r="995">
      <c r="A995" s="14"/>
      <c r="B995" s="14"/>
      <c r="C995" s="14"/>
      <c r="D995" s="14"/>
      <c r="E995" s="14"/>
      <c r="F995" s="14"/>
      <c r="G995" s="14"/>
      <c r="H995" s="14"/>
      <c r="I995" s="14"/>
      <c r="J995" s="14"/>
      <c r="K995" s="14"/>
    </row>
    <row r="996">
      <c r="A996" s="14"/>
      <c r="B996" s="14"/>
      <c r="C996" s="14"/>
      <c r="D996" s="14"/>
      <c r="E996" s="14"/>
      <c r="F996" s="14"/>
      <c r="G996" s="14"/>
      <c r="H996" s="14"/>
      <c r="I996" s="14"/>
      <c r="J996" s="14"/>
      <c r="K996" s="14"/>
    </row>
    <row r="997">
      <c r="A997" s="14"/>
      <c r="B997" s="14"/>
      <c r="C997" s="14"/>
      <c r="D997" s="14"/>
      <c r="E997" s="14"/>
      <c r="F997" s="14"/>
      <c r="G997" s="14"/>
      <c r="H997" s="14"/>
      <c r="I997" s="14"/>
      <c r="J997" s="14"/>
      <c r="K997" s="14"/>
    </row>
    <row r="998">
      <c r="A998" s="14"/>
      <c r="B998" s="14"/>
      <c r="C998" s="14"/>
      <c r="D998" s="14"/>
      <c r="E998" s="14"/>
      <c r="F998" s="14"/>
      <c r="G998" s="14"/>
      <c r="H998" s="14"/>
      <c r="I998" s="14"/>
      <c r="J998" s="14"/>
      <c r="K998" s="14"/>
    </row>
    <row r="999">
      <c r="A999" s="14"/>
      <c r="B999" s="14"/>
      <c r="C999" s="14"/>
      <c r="D999" s="14"/>
      <c r="E999" s="14"/>
      <c r="F999" s="14"/>
      <c r="G999" s="14"/>
      <c r="H999" s="14"/>
      <c r="I999" s="14"/>
      <c r="J999" s="14"/>
      <c r="K999" s="14"/>
    </row>
    <row r="1000">
      <c r="A1000" s="14"/>
      <c r="B1000" s="14"/>
      <c r="C1000" s="14"/>
      <c r="D1000" s="14"/>
      <c r="E1000" s="14"/>
      <c r="F1000" s="14"/>
      <c r="G1000" s="14"/>
      <c r="H1000" s="14"/>
      <c r="I1000" s="14"/>
      <c r="J1000" s="14"/>
      <c r="K1000" s="14"/>
    </row>
    <row r="1001">
      <c r="A1001" s="14"/>
      <c r="B1001" s="14"/>
      <c r="C1001" s="14"/>
      <c r="D1001" s="14"/>
      <c r="E1001" s="14"/>
      <c r="F1001" s="14"/>
      <c r="G1001" s="14"/>
      <c r="H1001" s="14"/>
      <c r="I1001" s="14"/>
      <c r="J1001" s="14"/>
      <c r="K1001" s="14"/>
    </row>
    <row r="1002">
      <c r="A1002" s="14"/>
      <c r="B1002" s="14"/>
      <c r="C1002" s="14"/>
      <c r="D1002" s="14"/>
      <c r="E1002" s="14"/>
      <c r="F1002" s="14"/>
      <c r="G1002" s="14"/>
      <c r="H1002" s="14"/>
      <c r="I1002" s="14"/>
      <c r="J1002" s="14"/>
      <c r="K1002" s="14"/>
    </row>
  </sheetData>
  <autoFilter ref="$C$1:$C$1002"/>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2"/>
  <cols>
    <col customWidth="1" min="2" max="2" width="14.88"/>
    <col customWidth="1" min="3" max="3" width="17.75"/>
    <col customWidth="1" min="4" max="4" width="13.63"/>
    <col customWidth="1" min="5" max="5" width="13.5"/>
    <col customWidth="1" min="6" max="6" width="22.5"/>
    <col customWidth="1" min="7" max="7" width="23.5"/>
  </cols>
  <sheetData>
    <row r="1" ht="22.5" customHeight="1">
      <c r="A1" s="516" t="s">
        <v>2367</v>
      </c>
      <c r="B1" s="516" t="s">
        <v>1584</v>
      </c>
      <c r="C1" s="516" t="s">
        <v>2374</v>
      </c>
      <c r="D1" s="516" t="s">
        <v>113</v>
      </c>
      <c r="E1" s="516" t="s">
        <v>2376</v>
      </c>
      <c r="F1" s="517" t="s">
        <v>2378</v>
      </c>
      <c r="G1" s="517" t="s">
        <v>2380</v>
      </c>
      <c r="H1" s="518"/>
      <c r="I1" s="518"/>
      <c r="J1" s="518"/>
      <c r="K1" s="518"/>
      <c r="L1" s="518"/>
      <c r="M1" s="518"/>
      <c r="N1" s="518"/>
      <c r="O1" s="518"/>
      <c r="P1" s="518"/>
      <c r="Q1" s="518"/>
      <c r="R1" s="518"/>
      <c r="S1" s="518"/>
      <c r="T1" s="518"/>
      <c r="U1" s="518"/>
      <c r="V1" s="518"/>
      <c r="W1" s="518"/>
      <c r="X1" s="518"/>
      <c r="Y1" s="518"/>
      <c r="Z1" s="518"/>
    </row>
    <row r="2" ht="22.5" customHeight="1">
      <c r="A2" s="519" t="s">
        <v>978</v>
      </c>
      <c r="B2" s="520">
        <v>200.0</v>
      </c>
      <c r="C2" s="521">
        <v>13.0</v>
      </c>
      <c r="D2" s="521">
        <v>187.0</v>
      </c>
      <c r="E2" s="521">
        <v>187.0</v>
      </c>
      <c r="F2" s="522">
        <f t="shared" ref="F2:F5" si="1">SUM(D2/B2)</f>
        <v>0.935</v>
      </c>
      <c r="G2" s="524">
        <f t="shared" ref="G2:G5" si="2">SUM(D2/E2)</f>
        <v>1</v>
      </c>
      <c r="H2" s="16" t="s">
        <v>2398</v>
      </c>
      <c r="I2" s="16" t="s">
        <v>2399</v>
      </c>
    </row>
    <row r="3" ht="22.5" customHeight="1">
      <c r="A3" s="519">
        <v>2.0</v>
      </c>
      <c r="B3" s="520">
        <v>200.0</v>
      </c>
      <c r="C3" s="521">
        <v>15.0</v>
      </c>
      <c r="D3" s="521">
        <v>171.0</v>
      </c>
      <c r="E3" s="525">
        <f>B2 - (C2+C3)</f>
        <v>172</v>
      </c>
      <c r="F3" s="522">
        <f t="shared" si="1"/>
        <v>0.855</v>
      </c>
      <c r="G3" s="524">
        <f t="shared" si="2"/>
        <v>0.9941860465</v>
      </c>
      <c r="I3" s="16" t="s">
        <v>2411</v>
      </c>
    </row>
    <row r="4" ht="22.5" customHeight="1">
      <c r="A4" s="519">
        <v>3.0</v>
      </c>
      <c r="B4" s="520">
        <v>200.0</v>
      </c>
      <c r="C4" s="521">
        <v>15.0</v>
      </c>
      <c r="D4" s="521">
        <v>123.0</v>
      </c>
      <c r="E4" s="525">
        <f>B2 - (C2+C3+C4)</f>
        <v>157</v>
      </c>
      <c r="F4" s="522">
        <f t="shared" si="1"/>
        <v>0.615</v>
      </c>
      <c r="G4" s="524">
        <f t="shared" si="2"/>
        <v>0.7834394904</v>
      </c>
      <c r="I4" s="16" t="s">
        <v>2421</v>
      </c>
    </row>
    <row r="5" ht="22.5" customHeight="1">
      <c r="A5" s="519">
        <v>4.0</v>
      </c>
      <c r="B5" s="520">
        <v>200.0</v>
      </c>
      <c r="C5" s="521">
        <v>0.0</v>
      </c>
      <c r="D5" s="521">
        <v>28.0</v>
      </c>
      <c r="E5" s="525">
        <f>B2 - (C2+C3+C4+C5)</f>
        <v>157</v>
      </c>
      <c r="F5" s="522">
        <f t="shared" si="1"/>
        <v>0.14</v>
      </c>
      <c r="G5" s="522">
        <f t="shared" si="2"/>
        <v>0.178343949</v>
      </c>
      <c r="I5" s="16" t="s">
        <v>2426</v>
      </c>
    </row>
    <row r="6" ht="22.5" customHeight="1">
      <c r="A6" s="519">
        <v>5.0</v>
      </c>
      <c r="B6" s="520">
        <v>200.0</v>
      </c>
      <c r="F6" s="522"/>
      <c r="G6" s="522"/>
    </row>
    <row r="7" ht="22.5" customHeight="1">
      <c r="A7" s="519"/>
      <c r="B7" s="520">
        <v>200.0</v>
      </c>
      <c r="F7" s="522"/>
      <c r="G7" s="522"/>
    </row>
    <row r="8" ht="22.5" customHeight="1">
      <c r="A8" s="519"/>
      <c r="B8" s="520">
        <v>200.0</v>
      </c>
      <c r="F8" s="522"/>
      <c r="G8" s="522"/>
    </row>
    <row r="9" ht="22.5" customHeight="1">
      <c r="A9" s="519"/>
      <c r="B9" s="520">
        <v>200.0</v>
      </c>
      <c r="F9" s="522"/>
      <c r="G9" s="522"/>
    </row>
    <row r="10" ht="22.5" customHeight="1">
      <c r="A10" s="527"/>
      <c r="B10" s="528"/>
      <c r="C10" s="529"/>
      <c r="D10" s="529"/>
      <c r="E10" s="530" t="s">
        <v>2438</v>
      </c>
      <c r="F10" s="531"/>
      <c r="G10" s="531"/>
    </row>
    <row r="11">
      <c r="A11" s="142"/>
      <c r="F11" s="532"/>
      <c r="G11" s="532"/>
    </row>
    <row r="12">
      <c r="A12" s="142"/>
      <c r="F12" s="532"/>
      <c r="G12" s="532"/>
    </row>
    <row r="13">
      <c r="A13" s="142"/>
      <c r="F13" s="532"/>
      <c r="G13" s="532"/>
    </row>
    <row r="14">
      <c r="A14" s="142"/>
      <c r="F14" s="532"/>
      <c r="G14" s="532"/>
      <c r="H14" s="533"/>
    </row>
    <row r="15">
      <c r="A15" s="142"/>
      <c r="F15" s="532"/>
      <c r="G15" s="532"/>
    </row>
    <row r="16">
      <c r="A16" s="142"/>
      <c r="F16" s="532"/>
      <c r="G16" s="532"/>
    </row>
    <row r="17">
      <c r="A17" s="142"/>
      <c r="F17" s="532"/>
      <c r="G17" s="532"/>
    </row>
    <row r="18">
      <c r="A18" s="142"/>
      <c r="F18" s="532"/>
      <c r="G18" s="532"/>
    </row>
    <row r="19">
      <c r="A19" s="142"/>
      <c r="F19" s="532"/>
      <c r="G19" s="532"/>
    </row>
    <row r="20">
      <c r="A20" s="142"/>
      <c r="F20" s="532"/>
      <c r="G20" s="532"/>
    </row>
    <row r="21">
      <c r="A21" s="142"/>
      <c r="F21" s="532"/>
      <c r="G21" s="532"/>
    </row>
    <row r="22">
      <c r="A22" s="142"/>
      <c r="F22" s="532"/>
      <c r="G22" s="532"/>
    </row>
    <row r="23">
      <c r="A23" s="142"/>
      <c r="F23" s="532"/>
      <c r="G23" s="532"/>
    </row>
    <row r="24">
      <c r="A24" s="142"/>
      <c r="F24" s="532"/>
      <c r="G24" s="532"/>
    </row>
    <row r="25">
      <c r="A25" s="142"/>
      <c r="F25" s="532"/>
      <c r="G25" s="532"/>
    </row>
    <row r="26">
      <c r="A26" s="142"/>
      <c r="F26" s="532"/>
      <c r="G26" s="532"/>
    </row>
    <row r="27">
      <c r="A27" s="142"/>
      <c r="F27" s="532"/>
      <c r="G27" s="532"/>
    </row>
    <row r="28">
      <c r="A28" s="142"/>
      <c r="F28" s="532"/>
      <c r="G28" s="532"/>
    </row>
    <row r="29">
      <c r="A29" s="142"/>
      <c r="F29" s="532"/>
      <c r="G29" s="532"/>
    </row>
    <row r="30">
      <c r="A30" s="142"/>
      <c r="F30" s="532"/>
      <c r="G30" s="532"/>
    </row>
    <row r="31">
      <c r="A31" s="142"/>
      <c r="F31" s="532"/>
      <c r="G31" s="532"/>
    </row>
    <row r="32">
      <c r="A32" s="142"/>
      <c r="F32" s="532"/>
      <c r="G32" s="532"/>
    </row>
    <row r="33">
      <c r="A33" s="142"/>
      <c r="F33" s="532"/>
      <c r="G33" s="532"/>
    </row>
    <row r="34">
      <c r="A34" s="142"/>
      <c r="F34" s="532"/>
      <c r="G34" s="532"/>
    </row>
    <row r="35">
      <c r="A35" s="142"/>
      <c r="F35" s="532"/>
      <c r="G35" s="532"/>
    </row>
    <row r="36">
      <c r="A36" s="142"/>
      <c r="F36" s="532"/>
      <c r="G36" s="532"/>
    </row>
    <row r="37">
      <c r="A37" s="142"/>
      <c r="F37" s="532"/>
      <c r="G37" s="532"/>
    </row>
    <row r="38">
      <c r="A38" s="142"/>
      <c r="F38" s="532"/>
      <c r="G38" s="532"/>
    </row>
    <row r="39">
      <c r="A39" s="142"/>
      <c r="F39" s="532"/>
      <c r="G39" s="532"/>
    </row>
    <row r="40">
      <c r="A40" s="142"/>
      <c r="F40" s="532"/>
      <c r="G40" s="532"/>
    </row>
    <row r="41">
      <c r="A41" s="142"/>
      <c r="F41" s="532"/>
      <c r="G41" s="532"/>
    </row>
    <row r="42">
      <c r="A42" s="142"/>
      <c r="F42" s="532"/>
      <c r="G42" s="532"/>
    </row>
    <row r="43">
      <c r="A43" s="142"/>
      <c r="F43" s="532"/>
      <c r="G43" s="532"/>
    </row>
    <row r="44">
      <c r="A44" s="142"/>
      <c r="F44" s="532"/>
      <c r="G44" s="532"/>
    </row>
    <row r="45">
      <c r="A45" s="142"/>
      <c r="F45" s="532"/>
      <c r="G45" s="532"/>
    </row>
    <row r="46">
      <c r="A46" s="142"/>
      <c r="F46" s="532"/>
      <c r="G46" s="532"/>
    </row>
    <row r="47">
      <c r="A47" s="142"/>
      <c r="F47" s="532"/>
      <c r="G47" s="532"/>
    </row>
    <row r="48">
      <c r="A48" s="142"/>
      <c r="F48" s="532"/>
      <c r="G48" s="532"/>
    </row>
    <row r="49">
      <c r="A49" s="142"/>
      <c r="F49" s="532"/>
      <c r="G49" s="532"/>
    </row>
    <row r="50">
      <c r="A50" s="142"/>
      <c r="F50" s="532"/>
      <c r="G50" s="532"/>
    </row>
    <row r="51">
      <c r="A51" s="142"/>
      <c r="F51" s="532"/>
      <c r="G51" s="532"/>
    </row>
    <row r="52">
      <c r="A52" s="142"/>
      <c r="F52" s="532"/>
      <c r="G52" s="532"/>
    </row>
    <row r="53">
      <c r="A53" s="142"/>
      <c r="F53" s="532"/>
      <c r="G53" s="532"/>
    </row>
    <row r="54">
      <c r="A54" s="142"/>
      <c r="F54" s="532"/>
      <c r="G54" s="532"/>
    </row>
    <row r="55">
      <c r="A55" s="142"/>
      <c r="F55" s="532"/>
      <c r="G55" s="532"/>
    </row>
    <row r="56">
      <c r="A56" s="142"/>
      <c r="F56" s="532"/>
      <c r="G56" s="532"/>
    </row>
    <row r="57">
      <c r="A57" s="142"/>
      <c r="F57" s="532"/>
      <c r="G57" s="532"/>
    </row>
    <row r="58">
      <c r="A58" s="142"/>
      <c r="F58" s="532"/>
      <c r="G58" s="532"/>
    </row>
    <row r="59">
      <c r="A59" s="142"/>
      <c r="F59" s="532"/>
      <c r="G59" s="532"/>
    </row>
    <row r="60">
      <c r="A60" s="142"/>
      <c r="F60" s="532"/>
      <c r="G60" s="532"/>
    </row>
    <row r="61">
      <c r="A61" s="142"/>
      <c r="F61" s="532"/>
      <c r="G61" s="532"/>
    </row>
    <row r="62">
      <c r="A62" s="142"/>
      <c r="F62" s="532"/>
      <c r="G62" s="532"/>
    </row>
    <row r="63">
      <c r="A63" s="142"/>
      <c r="F63" s="532"/>
      <c r="G63" s="532"/>
    </row>
    <row r="64">
      <c r="A64" s="142"/>
      <c r="F64" s="532"/>
      <c r="G64" s="532"/>
    </row>
    <row r="65">
      <c r="A65" s="142"/>
      <c r="F65" s="532"/>
      <c r="G65" s="532"/>
    </row>
    <row r="66">
      <c r="A66" s="142"/>
      <c r="F66" s="532"/>
      <c r="G66" s="532"/>
    </row>
    <row r="67">
      <c r="A67" s="142"/>
      <c r="F67" s="532"/>
      <c r="G67" s="532"/>
    </row>
    <row r="68">
      <c r="A68" s="142"/>
      <c r="F68" s="532"/>
      <c r="G68" s="532"/>
    </row>
    <row r="69">
      <c r="A69" s="142"/>
      <c r="F69" s="532"/>
      <c r="G69" s="532"/>
    </row>
    <row r="70">
      <c r="A70" s="142"/>
      <c r="F70" s="532"/>
      <c r="G70" s="532"/>
    </row>
    <row r="71">
      <c r="A71" s="142"/>
      <c r="F71" s="532"/>
      <c r="G71" s="532"/>
    </row>
    <row r="72">
      <c r="A72" s="142"/>
      <c r="F72" s="532"/>
      <c r="G72" s="532"/>
    </row>
    <row r="73">
      <c r="A73" s="142"/>
      <c r="F73" s="532"/>
      <c r="G73" s="532"/>
    </row>
    <row r="74">
      <c r="A74" s="142"/>
      <c r="F74" s="532"/>
      <c r="G74" s="532"/>
    </row>
    <row r="75">
      <c r="A75" s="142"/>
      <c r="F75" s="532"/>
      <c r="G75" s="532"/>
    </row>
    <row r="76">
      <c r="A76" s="142"/>
      <c r="F76" s="532"/>
      <c r="G76" s="532"/>
    </row>
    <row r="77">
      <c r="A77" s="142"/>
      <c r="F77" s="532"/>
      <c r="G77" s="532"/>
    </row>
    <row r="78">
      <c r="A78" s="142"/>
      <c r="F78" s="532"/>
      <c r="G78" s="532"/>
    </row>
    <row r="79">
      <c r="A79" s="142"/>
      <c r="F79" s="532"/>
      <c r="G79" s="532"/>
    </row>
    <row r="80">
      <c r="A80" s="142"/>
      <c r="F80" s="532"/>
      <c r="G80" s="532"/>
    </row>
    <row r="81">
      <c r="A81" s="142"/>
      <c r="F81" s="532"/>
      <c r="G81" s="532"/>
    </row>
    <row r="82">
      <c r="A82" s="142"/>
      <c r="F82" s="532"/>
      <c r="G82" s="532"/>
    </row>
    <row r="83">
      <c r="A83" s="142"/>
      <c r="F83" s="532"/>
      <c r="G83" s="532"/>
    </row>
    <row r="84">
      <c r="A84" s="142"/>
      <c r="F84" s="532"/>
      <c r="G84" s="532"/>
    </row>
    <row r="85">
      <c r="A85" s="142"/>
      <c r="F85" s="532"/>
      <c r="G85" s="532"/>
    </row>
    <row r="86">
      <c r="A86" s="142"/>
      <c r="F86" s="532"/>
      <c r="G86" s="532"/>
    </row>
    <row r="87">
      <c r="A87" s="142"/>
      <c r="F87" s="532"/>
      <c r="G87" s="532"/>
    </row>
    <row r="88">
      <c r="A88" s="142"/>
      <c r="F88" s="532"/>
      <c r="G88" s="532"/>
    </row>
    <row r="89">
      <c r="A89" s="142"/>
      <c r="F89" s="532"/>
      <c r="G89" s="532"/>
    </row>
    <row r="90">
      <c r="A90" s="142"/>
      <c r="F90" s="532"/>
      <c r="G90" s="532"/>
    </row>
    <row r="91">
      <c r="A91" s="142"/>
      <c r="F91" s="532"/>
      <c r="G91" s="532"/>
    </row>
    <row r="92">
      <c r="A92" s="142"/>
      <c r="F92" s="532"/>
      <c r="G92" s="532"/>
    </row>
    <row r="93">
      <c r="A93" s="142"/>
      <c r="F93" s="532"/>
      <c r="G93" s="532"/>
    </row>
    <row r="94">
      <c r="A94" s="142"/>
      <c r="F94" s="532"/>
      <c r="G94" s="532"/>
    </row>
    <row r="95">
      <c r="A95" s="142"/>
      <c r="F95" s="532"/>
      <c r="G95" s="532"/>
    </row>
    <row r="96">
      <c r="A96" s="142"/>
      <c r="F96" s="532"/>
      <c r="G96" s="532"/>
    </row>
    <row r="97">
      <c r="A97" s="142"/>
      <c r="F97" s="532"/>
      <c r="G97" s="532"/>
    </row>
    <row r="98">
      <c r="A98" s="142"/>
      <c r="F98" s="532"/>
      <c r="G98" s="532"/>
    </row>
    <row r="99">
      <c r="A99" s="142"/>
      <c r="F99" s="532"/>
      <c r="G99" s="532"/>
    </row>
    <row r="100">
      <c r="A100" s="142"/>
      <c r="F100" s="532"/>
      <c r="G100" s="532"/>
    </row>
    <row r="101">
      <c r="A101" s="142"/>
      <c r="F101" s="532"/>
      <c r="G101" s="532"/>
    </row>
    <row r="102">
      <c r="A102" s="142"/>
      <c r="F102" s="532"/>
      <c r="G102" s="532"/>
    </row>
    <row r="103">
      <c r="A103" s="142"/>
      <c r="F103" s="532"/>
      <c r="G103" s="532"/>
    </row>
    <row r="104">
      <c r="A104" s="142"/>
      <c r="F104" s="532"/>
      <c r="G104" s="532"/>
    </row>
    <row r="105">
      <c r="A105" s="142"/>
      <c r="F105" s="532"/>
      <c r="G105" s="532"/>
    </row>
    <row r="106">
      <c r="A106" s="142"/>
      <c r="F106" s="532"/>
      <c r="G106" s="532"/>
    </row>
    <row r="107">
      <c r="A107" s="142"/>
      <c r="F107" s="532"/>
      <c r="G107" s="532"/>
    </row>
    <row r="108">
      <c r="A108" s="142"/>
      <c r="F108" s="532"/>
      <c r="G108" s="532"/>
    </row>
    <row r="109">
      <c r="A109" s="142"/>
      <c r="F109" s="532"/>
      <c r="G109" s="532"/>
    </row>
    <row r="110">
      <c r="A110" s="142"/>
      <c r="F110" s="532"/>
      <c r="G110" s="532"/>
    </row>
    <row r="111">
      <c r="A111" s="142"/>
      <c r="F111" s="532"/>
      <c r="G111" s="532"/>
    </row>
    <row r="112">
      <c r="A112" s="142"/>
      <c r="F112" s="532"/>
      <c r="G112" s="532"/>
    </row>
    <row r="113">
      <c r="A113" s="142"/>
      <c r="F113" s="532"/>
      <c r="G113" s="532"/>
    </row>
    <row r="114">
      <c r="A114" s="142"/>
      <c r="F114" s="532"/>
      <c r="G114" s="532"/>
    </row>
    <row r="115">
      <c r="A115" s="142"/>
      <c r="F115" s="532"/>
      <c r="G115" s="532"/>
    </row>
    <row r="116">
      <c r="A116" s="142"/>
      <c r="F116" s="532"/>
      <c r="G116" s="532"/>
    </row>
    <row r="117">
      <c r="A117" s="142"/>
      <c r="F117" s="532"/>
      <c r="G117" s="532"/>
    </row>
    <row r="118">
      <c r="A118" s="142"/>
      <c r="F118" s="532"/>
      <c r="G118" s="532"/>
    </row>
    <row r="119">
      <c r="A119" s="142"/>
      <c r="F119" s="532"/>
      <c r="G119" s="532"/>
    </row>
    <row r="120">
      <c r="A120" s="142"/>
      <c r="F120" s="532"/>
      <c r="G120" s="532"/>
    </row>
    <row r="121">
      <c r="A121" s="142"/>
      <c r="F121" s="532"/>
      <c r="G121" s="532"/>
    </row>
    <row r="122">
      <c r="A122" s="142"/>
      <c r="F122" s="532"/>
      <c r="G122" s="532"/>
    </row>
    <row r="123">
      <c r="A123" s="142"/>
      <c r="F123" s="532"/>
      <c r="G123" s="532"/>
    </row>
    <row r="124">
      <c r="A124" s="142"/>
      <c r="F124" s="532"/>
      <c r="G124" s="532"/>
    </row>
    <row r="125">
      <c r="A125" s="142"/>
      <c r="F125" s="532"/>
      <c r="G125" s="532"/>
    </row>
    <row r="126">
      <c r="A126" s="142"/>
      <c r="F126" s="532"/>
      <c r="G126" s="532"/>
    </row>
    <row r="127">
      <c r="A127" s="142"/>
      <c r="F127" s="532"/>
      <c r="G127" s="532"/>
    </row>
    <row r="128">
      <c r="A128" s="142"/>
      <c r="F128" s="532"/>
      <c r="G128" s="532"/>
    </row>
    <row r="129">
      <c r="A129" s="142"/>
      <c r="F129" s="532"/>
      <c r="G129" s="532"/>
    </row>
    <row r="130">
      <c r="A130" s="142"/>
      <c r="F130" s="532"/>
      <c r="G130" s="532"/>
    </row>
    <row r="131">
      <c r="A131" s="142"/>
      <c r="F131" s="532"/>
      <c r="G131" s="532"/>
    </row>
    <row r="132">
      <c r="A132" s="142"/>
      <c r="F132" s="532"/>
      <c r="G132" s="532"/>
    </row>
    <row r="133">
      <c r="A133" s="142"/>
      <c r="F133" s="532"/>
      <c r="G133" s="532"/>
    </row>
    <row r="134">
      <c r="A134" s="142"/>
      <c r="F134" s="532"/>
      <c r="G134" s="532"/>
    </row>
    <row r="135">
      <c r="A135" s="142"/>
      <c r="F135" s="532"/>
      <c r="G135" s="532"/>
    </row>
    <row r="136">
      <c r="A136" s="142"/>
      <c r="F136" s="532"/>
      <c r="G136" s="532"/>
    </row>
    <row r="137">
      <c r="A137" s="142"/>
      <c r="F137" s="532"/>
      <c r="G137" s="532"/>
    </row>
    <row r="138">
      <c r="A138" s="142"/>
      <c r="F138" s="532"/>
      <c r="G138" s="532"/>
    </row>
    <row r="139">
      <c r="A139" s="142"/>
      <c r="F139" s="532"/>
      <c r="G139" s="532"/>
    </row>
    <row r="140">
      <c r="A140" s="142"/>
      <c r="F140" s="532"/>
      <c r="G140" s="532"/>
    </row>
    <row r="141">
      <c r="A141" s="142"/>
      <c r="F141" s="532"/>
      <c r="G141" s="532"/>
    </row>
    <row r="142">
      <c r="A142" s="142"/>
      <c r="F142" s="532"/>
      <c r="G142" s="532"/>
    </row>
    <row r="143">
      <c r="A143" s="142"/>
      <c r="F143" s="532"/>
      <c r="G143" s="532"/>
    </row>
    <row r="144">
      <c r="A144" s="142"/>
      <c r="F144" s="532"/>
      <c r="G144" s="532"/>
    </row>
    <row r="145">
      <c r="A145" s="142"/>
      <c r="F145" s="532"/>
      <c r="G145" s="532"/>
    </row>
    <row r="146">
      <c r="A146" s="142"/>
      <c r="F146" s="532"/>
      <c r="G146" s="532"/>
    </row>
    <row r="147">
      <c r="A147" s="142"/>
      <c r="F147" s="532"/>
      <c r="G147" s="532"/>
    </row>
    <row r="148">
      <c r="A148" s="142"/>
      <c r="F148" s="532"/>
      <c r="G148" s="532"/>
    </row>
    <row r="149">
      <c r="A149" s="142"/>
      <c r="F149" s="532"/>
      <c r="G149" s="532"/>
    </row>
    <row r="150">
      <c r="A150" s="142"/>
      <c r="F150" s="532"/>
      <c r="G150" s="532"/>
    </row>
    <row r="151">
      <c r="A151" s="142"/>
      <c r="F151" s="532"/>
      <c r="G151" s="532"/>
    </row>
    <row r="152">
      <c r="A152" s="142"/>
      <c r="F152" s="532"/>
      <c r="G152" s="532"/>
    </row>
    <row r="153">
      <c r="A153" s="142"/>
      <c r="F153" s="532"/>
      <c r="G153" s="532"/>
    </row>
    <row r="154">
      <c r="A154" s="142"/>
      <c r="F154" s="532"/>
      <c r="G154" s="532"/>
    </row>
    <row r="155">
      <c r="A155" s="142"/>
      <c r="F155" s="532"/>
      <c r="G155" s="532"/>
    </row>
    <row r="156">
      <c r="A156" s="142"/>
      <c r="F156" s="532"/>
      <c r="G156" s="532"/>
    </row>
    <row r="157">
      <c r="A157" s="142"/>
      <c r="F157" s="532"/>
      <c r="G157" s="532"/>
    </row>
    <row r="158">
      <c r="A158" s="142"/>
      <c r="F158" s="532"/>
      <c r="G158" s="532"/>
    </row>
    <row r="159">
      <c r="A159" s="142"/>
      <c r="F159" s="532"/>
      <c r="G159" s="532"/>
    </row>
    <row r="160">
      <c r="A160" s="142"/>
      <c r="F160" s="532"/>
      <c r="G160" s="532"/>
    </row>
    <row r="161">
      <c r="A161" s="142"/>
      <c r="F161" s="532"/>
      <c r="G161" s="532"/>
    </row>
    <row r="162">
      <c r="A162" s="142"/>
      <c r="F162" s="532"/>
      <c r="G162" s="532"/>
    </row>
    <row r="163">
      <c r="A163" s="142"/>
      <c r="F163" s="532"/>
      <c r="G163" s="532"/>
    </row>
    <row r="164">
      <c r="A164" s="142"/>
      <c r="F164" s="532"/>
      <c r="G164" s="532"/>
    </row>
    <row r="165">
      <c r="A165" s="142"/>
      <c r="F165" s="532"/>
      <c r="G165" s="532"/>
    </row>
    <row r="166">
      <c r="A166" s="142"/>
      <c r="F166" s="532"/>
      <c r="G166" s="532"/>
    </row>
    <row r="167">
      <c r="A167" s="142"/>
      <c r="F167" s="532"/>
      <c r="G167" s="532"/>
    </row>
    <row r="168">
      <c r="A168" s="142"/>
      <c r="F168" s="532"/>
      <c r="G168" s="532"/>
    </row>
    <row r="169">
      <c r="A169" s="142"/>
      <c r="F169" s="532"/>
      <c r="G169" s="532"/>
    </row>
    <row r="170">
      <c r="A170" s="142"/>
      <c r="F170" s="532"/>
      <c r="G170" s="532"/>
    </row>
    <row r="171">
      <c r="A171" s="142"/>
      <c r="F171" s="532"/>
      <c r="G171" s="532"/>
    </row>
    <row r="172">
      <c r="A172" s="142"/>
      <c r="F172" s="532"/>
      <c r="G172" s="532"/>
    </row>
    <row r="173">
      <c r="A173" s="142"/>
      <c r="F173" s="532"/>
      <c r="G173" s="532"/>
    </row>
    <row r="174">
      <c r="A174" s="142"/>
      <c r="F174" s="532"/>
      <c r="G174" s="532"/>
    </row>
    <row r="175">
      <c r="A175" s="142"/>
      <c r="F175" s="532"/>
      <c r="G175" s="532"/>
    </row>
    <row r="176">
      <c r="A176" s="142"/>
      <c r="F176" s="532"/>
      <c r="G176" s="532"/>
    </row>
    <row r="177">
      <c r="A177" s="142"/>
      <c r="F177" s="532"/>
      <c r="G177" s="532"/>
    </row>
    <row r="178">
      <c r="A178" s="142"/>
      <c r="F178" s="532"/>
      <c r="G178" s="532"/>
    </row>
    <row r="179">
      <c r="A179" s="142"/>
      <c r="F179" s="532"/>
      <c r="G179" s="532"/>
    </row>
    <row r="180">
      <c r="A180" s="142"/>
      <c r="F180" s="532"/>
      <c r="G180" s="532"/>
    </row>
    <row r="181">
      <c r="A181" s="142"/>
      <c r="F181" s="532"/>
      <c r="G181" s="532"/>
    </row>
    <row r="182">
      <c r="A182" s="142"/>
      <c r="F182" s="532"/>
      <c r="G182" s="532"/>
    </row>
    <row r="183">
      <c r="A183" s="142"/>
      <c r="F183" s="532"/>
      <c r="G183" s="532"/>
    </row>
    <row r="184">
      <c r="A184" s="142"/>
      <c r="F184" s="532"/>
      <c r="G184" s="532"/>
    </row>
    <row r="185">
      <c r="A185" s="142"/>
      <c r="F185" s="532"/>
      <c r="G185" s="532"/>
    </row>
    <row r="186">
      <c r="A186" s="142"/>
      <c r="F186" s="532"/>
      <c r="G186" s="532"/>
    </row>
    <row r="187">
      <c r="A187" s="142"/>
      <c r="F187" s="532"/>
      <c r="G187" s="532"/>
    </row>
    <row r="188">
      <c r="A188" s="142"/>
      <c r="F188" s="532"/>
      <c r="G188" s="532"/>
    </row>
    <row r="189">
      <c r="A189" s="142"/>
      <c r="F189" s="532"/>
      <c r="G189" s="532"/>
    </row>
    <row r="190">
      <c r="A190" s="142"/>
      <c r="F190" s="532"/>
      <c r="G190" s="532"/>
    </row>
    <row r="191">
      <c r="A191" s="142"/>
      <c r="F191" s="532"/>
      <c r="G191" s="532"/>
    </row>
    <row r="192">
      <c r="A192" s="142"/>
      <c r="F192" s="532"/>
      <c r="G192" s="532"/>
    </row>
    <row r="193">
      <c r="A193" s="142"/>
      <c r="F193" s="532"/>
      <c r="G193" s="532"/>
    </row>
    <row r="194">
      <c r="A194" s="142"/>
      <c r="F194" s="532"/>
      <c r="G194" s="532"/>
    </row>
    <row r="195">
      <c r="A195" s="142"/>
      <c r="F195" s="532"/>
      <c r="G195" s="532"/>
    </row>
    <row r="196">
      <c r="A196" s="142"/>
      <c r="F196" s="532"/>
      <c r="G196" s="532"/>
    </row>
    <row r="197">
      <c r="A197" s="142"/>
      <c r="F197" s="532"/>
      <c r="G197" s="532"/>
    </row>
    <row r="198">
      <c r="A198" s="142"/>
      <c r="F198" s="532"/>
      <c r="G198" s="532"/>
    </row>
    <row r="199">
      <c r="A199" s="142"/>
      <c r="F199" s="532"/>
      <c r="G199" s="532"/>
    </row>
    <row r="200">
      <c r="A200" s="142"/>
      <c r="F200" s="532"/>
      <c r="G200" s="532"/>
    </row>
    <row r="201">
      <c r="A201" s="142"/>
      <c r="F201" s="532"/>
      <c r="G201" s="532"/>
    </row>
    <row r="202">
      <c r="A202" s="142"/>
      <c r="F202" s="532"/>
      <c r="G202" s="532"/>
    </row>
    <row r="203">
      <c r="A203" s="142"/>
      <c r="F203" s="532"/>
      <c r="G203" s="532"/>
    </row>
    <row r="204">
      <c r="A204" s="142"/>
      <c r="F204" s="532"/>
      <c r="G204" s="532"/>
    </row>
    <row r="205">
      <c r="A205" s="142"/>
      <c r="F205" s="532"/>
      <c r="G205" s="532"/>
    </row>
    <row r="206">
      <c r="A206" s="142"/>
      <c r="F206" s="532"/>
      <c r="G206" s="532"/>
    </row>
    <row r="207">
      <c r="A207" s="142"/>
      <c r="F207" s="532"/>
      <c r="G207" s="532"/>
    </row>
    <row r="208">
      <c r="A208" s="142"/>
      <c r="F208" s="532"/>
      <c r="G208" s="532"/>
    </row>
    <row r="209">
      <c r="A209" s="142"/>
      <c r="F209" s="532"/>
      <c r="G209" s="532"/>
    </row>
    <row r="210">
      <c r="A210" s="142"/>
      <c r="F210" s="532"/>
      <c r="G210" s="532"/>
    </row>
    <row r="211">
      <c r="A211" s="142"/>
      <c r="F211" s="532"/>
      <c r="G211" s="532"/>
    </row>
    <row r="212">
      <c r="A212" s="142"/>
      <c r="F212" s="532"/>
      <c r="G212" s="532"/>
    </row>
    <row r="213">
      <c r="A213" s="142"/>
      <c r="F213" s="532"/>
      <c r="G213" s="532"/>
    </row>
    <row r="214">
      <c r="A214" s="142"/>
      <c r="F214" s="532"/>
      <c r="G214" s="532"/>
    </row>
    <row r="215">
      <c r="A215" s="142"/>
      <c r="F215" s="532"/>
      <c r="G215" s="532"/>
    </row>
    <row r="216">
      <c r="A216" s="142"/>
      <c r="F216" s="532"/>
      <c r="G216" s="532"/>
    </row>
    <row r="217">
      <c r="A217" s="142"/>
      <c r="F217" s="532"/>
      <c r="G217" s="532"/>
    </row>
    <row r="218">
      <c r="A218" s="142"/>
      <c r="F218" s="532"/>
      <c r="G218" s="532"/>
    </row>
    <row r="219">
      <c r="A219" s="142"/>
      <c r="F219" s="532"/>
      <c r="G219" s="532"/>
    </row>
    <row r="220">
      <c r="A220" s="142"/>
      <c r="F220" s="532"/>
      <c r="G220" s="532"/>
    </row>
    <row r="221">
      <c r="A221" s="142"/>
      <c r="F221" s="532"/>
      <c r="G221" s="532"/>
    </row>
    <row r="222">
      <c r="A222" s="142"/>
      <c r="F222" s="532"/>
      <c r="G222" s="532"/>
    </row>
    <row r="223">
      <c r="A223" s="142"/>
      <c r="F223" s="532"/>
      <c r="G223" s="532"/>
    </row>
    <row r="224">
      <c r="A224" s="142"/>
      <c r="F224" s="532"/>
      <c r="G224" s="532"/>
    </row>
    <row r="225">
      <c r="A225" s="142"/>
      <c r="F225" s="532"/>
      <c r="G225" s="532"/>
    </row>
    <row r="226">
      <c r="A226" s="142"/>
      <c r="F226" s="532"/>
      <c r="G226" s="532"/>
    </row>
    <row r="227">
      <c r="A227" s="142"/>
      <c r="F227" s="532"/>
      <c r="G227" s="532"/>
    </row>
    <row r="228">
      <c r="A228" s="142"/>
      <c r="F228" s="532"/>
      <c r="G228" s="532"/>
    </row>
    <row r="229">
      <c r="A229" s="142"/>
      <c r="F229" s="532"/>
      <c r="G229" s="532"/>
    </row>
    <row r="230">
      <c r="A230" s="142"/>
      <c r="F230" s="532"/>
      <c r="G230" s="532"/>
    </row>
    <row r="231">
      <c r="A231" s="142"/>
      <c r="F231" s="532"/>
      <c r="G231" s="532"/>
    </row>
    <row r="232">
      <c r="A232" s="142"/>
      <c r="F232" s="532"/>
      <c r="G232" s="532"/>
    </row>
    <row r="233">
      <c r="A233" s="142"/>
      <c r="F233" s="532"/>
      <c r="G233" s="532"/>
    </row>
    <row r="234">
      <c r="A234" s="142"/>
      <c r="F234" s="532"/>
      <c r="G234" s="532"/>
    </row>
    <row r="235">
      <c r="A235" s="142"/>
      <c r="F235" s="532"/>
      <c r="G235" s="532"/>
    </row>
    <row r="236">
      <c r="A236" s="142"/>
      <c r="F236" s="532"/>
      <c r="G236" s="532"/>
    </row>
    <row r="237">
      <c r="A237" s="142"/>
      <c r="F237" s="532"/>
      <c r="G237" s="532"/>
    </row>
    <row r="238">
      <c r="A238" s="142"/>
      <c r="F238" s="532"/>
      <c r="G238" s="532"/>
    </row>
    <row r="239">
      <c r="A239" s="142"/>
      <c r="F239" s="532"/>
      <c r="G239" s="532"/>
    </row>
    <row r="240">
      <c r="A240" s="142"/>
      <c r="F240" s="532"/>
      <c r="G240" s="532"/>
    </row>
    <row r="241">
      <c r="A241" s="142"/>
      <c r="F241" s="532"/>
      <c r="G241" s="532"/>
    </row>
    <row r="242">
      <c r="A242" s="142"/>
      <c r="F242" s="532"/>
      <c r="G242" s="532"/>
    </row>
    <row r="243">
      <c r="A243" s="142"/>
      <c r="F243" s="532"/>
      <c r="G243" s="532"/>
    </row>
    <row r="244">
      <c r="A244" s="142"/>
      <c r="F244" s="532"/>
      <c r="G244" s="532"/>
    </row>
    <row r="245">
      <c r="A245" s="142"/>
      <c r="F245" s="532"/>
      <c r="G245" s="532"/>
    </row>
    <row r="246">
      <c r="A246" s="142"/>
      <c r="F246" s="532"/>
      <c r="G246" s="532"/>
    </row>
    <row r="247">
      <c r="A247" s="142"/>
      <c r="F247" s="532"/>
      <c r="G247" s="532"/>
    </row>
    <row r="248">
      <c r="A248" s="142"/>
      <c r="F248" s="532"/>
      <c r="G248" s="532"/>
    </row>
    <row r="249">
      <c r="A249" s="142"/>
      <c r="F249" s="532"/>
      <c r="G249" s="532"/>
    </row>
    <row r="250">
      <c r="A250" s="142"/>
      <c r="F250" s="532"/>
      <c r="G250" s="532"/>
    </row>
    <row r="251">
      <c r="A251" s="142"/>
      <c r="F251" s="532"/>
      <c r="G251" s="532"/>
    </row>
    <row r="252">
      <c r="A252" s="142"/>
      <c r="F252" s="532"/>
      <c r="G252" s="532"/>
    </row>
    <row r="253">
      <c r="A253" s="142"/>
      <c r="F253" s="532"/>
      <c r="G253" s="532"/>
    </row>
    <row r="254">
      <c r="A254" s="142"/>
      <c r="F254" s="532"/>
      <c r="G254" s="532"/>
    </row>
    <row r="255">
      <c r="A255" s="142"/>
      <c r="F255" s="532"/>
      <c r="G255" s="532"/>
    </row>
    <row r="256">
      <c r="A256" s="142"/>
      <c r="F256" s="532"/>
      <c r="G256" s="532"/>
    </row>
    <row r="257">
      <c r="A257" s="142"/>
      <c r="F257" s="532"/>
      <c r="G257" s="532"/>
    </row>
    <row r="258">
      <c r="A258" s="142"/>
      <c r="F258" s="532"/>
      <c r="G258" s="532"/>
    </row>
    <row r="259">
      <c r="A259" s="142"/>
      <c r="F259" s="532"/>
      <c r="G259" s="532"/>
    </row>
    <row r="260">
      <c r="A260" s="142"/>
      <c r="F260" s="532"/>
      <c r="G260" s="532"/>
    </row>
    <row r="261">
      <c r="A261" s="142"/>
      <c r="F261" s="532"/>
      <c r="G261" s="532"/>
    </row>
    <row r="262">
      <c r="A262" s="142"/>
      <c r="F262" s="532"/>
      <c r="G262" s="532"/>
    </row>
    <row r="263">
      <c r="A263" s="142"/>
      <c r="F263" s="532"/>
      <c r="G263" s="532"/>
    </row>
    <row r="264">
      <c r="A264" s="142"/>
      <c r="F264" s="532"/>
      <c r="G264" s="532"/>
    </row>
    <row r="265">
      <c r="A265" s="142"/>
      <c r="F265" s="532"/>
      <c r="G265" s="532"/>
    </row>
    <row r="266">
      <c r="A266" s="142"/>
      <c r="F266" s="532"/>
      <c r="G266" s="532"/>
    </row>
    <row r="267">
      <c r="A267" s="142"/>
      <c r="F267" s="532"/>
      <c r="G267" s="532"/>
    </row>
    <row r="268">
      <c r="A268" s="142"/>
      <c r="F268" s="532"/>
      <c r="G268" s="532"/>
    </row>
    <row r="269">
      <c r="A269" s="142"/>
      <c r="F269" s="532"/>
      <c r="G269" s="532"/>
    </row>
    <row r="270">
      <c r="A270" s="142"/>
      <c r="F270" s="532"/>
      <c r="G270" s="532"/>
    </row>
    <row r="271">
      <c r="A271" s="142"/>
      <c r="F271" s="532"/>
      <c r="G271" s="532"/>
    </row>
    <row r="272">
      <c r="A272" s="142"/>
      <c r="F272" s="532"/>
      <c r="G272" s="532"/>
    </row>
    <row r="273">
      <c r="A273" s="142"/>
      <c r="F273" s="532"/>
      <c r="G273" s="532"/>
    </row>
    <row r="274">
      <c r="A274" s="142"/>
      <c r="F274" s="532"/>
      <c r="G274" s="532"/>
    </row>
    <row r="275">
      <c r="A275" s="142"/>
      <c r="F275" s="532"/>
      <c r="G275" s="532"/>
    </row>
    <row r="276">
      <c r="A276" s="142"/>
      <c r="F276" s="532"/>
      <c r="G276" s="532"/>
    </row>
    <row r="277">
      <c r="A277" s="142"/>
      <c r="F277" s="532"/>
      <c r="G277" s="532"/>
    </row>
    <row r="278">
      <c r="A278" s="142"/>
      <c r="F278" s="532"/>
      <c r="G278" s="532"/>
    </row>
    <row r="279">
      <c r="A279" s="142"/>
      <c r="F279" s="532"/>
      <c r="G279" s="532"/>
    </row>
    <row r="280">
      <c r="A280" s="142"/>
      <c r="F280" s="532"/>
      <c r="G280" s="532"/>
    </row>
    <row r="281">
      <c r="A281" s="142"/>
      <c r="F281" s="532"/>
      <c r="G281" s="532"/>
    </row>
    <row r="282">
      <c r="A282" s="142"/>
      <c r="F282" s="532"/>
      <c r="G282" s="532"/>
    </row>
    <row r="283">
      <c r="A283" s="142"/>
      <c r="F283" s="532"/>
      <c r="G283" s="532"/>
    </row>
    <row r="284">
      <c r="A284" s="142"/>
      <c r="F284" s="532"/>
      <c r="G284" s="532"/>
    </row>
    <row r="285">
      <c r="A285" s="142"/>
      <c r="F285" s="532"/>
      <c r="G285" s="532"/>
    </row>
    <row r="286">
      <c r="A286" s="142"/>
      <c r="F286" s="532"/>
      <c r="G286" s="532"/>
    </row>
    <row r="287">
      <c r="A287" s="142"/>
      <c r="F287" s="532"/>
      <c r="G287" s="532"/>
    </row>
    <row r="288">
      <c r="A288" s="142"/>
      <c r="F288" s="532"/>
      <c r="G288" s="532"/>
    </row>
    <row r="289">
      <c r="A289" s="142"/>
      <c r="F289" s="532"/>
      <c r="G289" s="532"/>
    </row>
    <row r="290">
      <c r="A290" s="142"/>
      <c r="F290" s="532"/>
      <c r="G290" s="532"/>
    </row>
    <row r="291">
      <c r="A291" s="142"/>
      <c r="F291" s="532"/>
      <c r="G291" s="532"/>
    </row>
    <row r="292">
      <c r="A292" s="142"/>
      <c r="F292" s="532"/>
      <c r="G292" s="532"/>
    </row>
    <row r="293">
      <c r="A293" s="142"/>
      <c r="F293" s="532"/>
      <c r="G293" s="532"/>
    </row>
    <row r="294">
      <c r="A294" s="142"/>
      <c r="F294" s="532"/>
      <c r="G294" s="532"/>
    </row>
    <row r="295">
      <c r="A295" s="142"/>
      <c r="F295" s="532"/>
      <c r="G295" s="532"/>
    </row>
    <row r="296">
      <c r="A296" s="142"/>
      <c r="F296" s="532"/>
      <c r="G296" s="532"/>
    </row>
    <row r="297">
      <c r="A297" s="142"/>
      <c r="F297" s="532"/>
      <c r="G297" s="532"/>
    </row>
    <row r="298">
      <c r="A298" s="142"/>
      <c r="F298" s="532"/>
      <c r="G298" s="532"/>
    </row>
    <row r="299">
      <c r="A299" s="142"/>
      <c r="F299" s="532"/>
      <c r="G299" s="532"/>
    </row>
    <row r="300">
      <c r="A300" s="142"/>
      <c r="F300" s="532"/>
      <c r="G300" s="532"/>
    </row>
    <row r="301">
      <c r="A301" s="142"/>
      <c r="F301" s="532"/>
      <c r="G301" s="532"/>
    </row>
    <row r="302">
      <c r="A302" s="142"/>
      <c r="F302" s="532"/>
      <c r="G302" s="532"/>
    </row>
    <row r="303">
      <c r="A303" s="142"/>
      <c r="F303" s="532"/>
      <c r="G303" s="532"/>
    </row>
    <row r="304">
      <c r="A304" s="142"/>
      <c r="F304" s="532"/>
      <c r="G304" s="532"/>
    </row>
    <row r="305">
      <c r="A305" s="142"/>
      <c r="F305" s="532"/>
      <c r="G305" s="532"/>
    </row>
    <row r="306">
      <c r="A306" s="142"/>
      <c r="F306" s="532"/>
      <c r="G306" s="532"/>
    </row>
    <row r="307">
      <c r="A307" s="142"/>
      <c r="F307" s="532"/>
      <c r="G307" s="532"/>
    </row>
    <row r="308">
      <c r="A308" s="142"/>
      <c r="F308" s="532"/>
      <c r="G308" s="532"/>
    </row>
    <row r="309">
      <c r="A309" s="142"/>
      <c r="F309" s="532"/>
      <c r="G309" s="532"/>
    </row>
    <row r="310">
      <c r="A310" s="142"/>
      <c r="F310" s="532"/>
      <c r="G310" s="532"/>
    </row>
    <row r="311">
      <c r="A311" s="142"/>
      <c r="F311" s="532"/>
      <c r="G311" s="532"/>
    </row>
    <row r="312">
      <c r="A312" s="142"/>
      <c r="F312" s="532"/>
      <c r="G312" s="532"/>
    </row>
    <row r="313">
      <c r="A313" s="142"/>
      <c r="F313" s="532"/>
      <c r="G313" s="532"/>
    </row>
    <row r="314">
      <c r="A314" s="142"/>
      <c r="F314" s="532"/>
      <c r="G314" s="532"/>
    </row>
    <row r="315">
      <c r="A315" s="142"/>
      <c r="F315" s="532"/>
      <c r="G315" s="532"/>
    </row>
    <row r="316">
      <c r="A316" s="142"/>
      <c r="F316" s="532"/>
      <c r="G316" s="532"/>
    </row>
    <row r="317">
      <c r="A317" s="142"/>
      <c r="F317" s="532"/>
      <c r="G317" s="532"/>
    </row>
    <row r="318">
      <c r="A318" s="142"/>
      <c r="F318" s="532"/>
      <c r="G318" s="532"/>
    </row>
    <row r="319">
      <c r="A319" s="142"/>
      <c r="F319" s="532"/>
      <c r="G319" s="532"/>
    </row>
    <row r="320">
      <c r="A320" s="142"/>
      <c r="F320" s="532"/>
      <c r="G320" s="532"/>
    </row>
    <row r="321">
      <c r="A321" s="142"/>
      <c r="F321" s="532"/>
      <c r="G321" s="532"/>
    </row>
    <row r="322">
      <c r="A322" s="142"/>
      <c r="F322" s="532"/>
      <c r="G322" s="532"/>
    </row>
    <row r="323">
      <c r="A323" s="142"/>
      <c r="F323" s="532"/>
      <c r="G323" s="532"/>
    </row>
    <row r="324">
      <c r="A324" s="142"/>
      <c r="F324" s="532"/>
      <c r="G324" s="532"/>
    </row>
    <row r="325">
      <c r="A325" s="142"/>
      <c r="F325" s="532"/>
      <c r="G325" s="532"/>
    </row>
    <row r="326">
      <c r="A326" s="142"/>
      <c r="F326" s="532"/>
      <c r="G326" s="532"/>
    </row>
    <row r="327">
      <c r="A327" s="142"/>
      <c r="F327" s="532"/>
      <c r="G327" s="532"/>
    </row>
    <row r="328">
      <c r="A328" s="142"/>
      <c r="F328" s="532"/>
      <c r="G328" s="532"/>
    </row>
    <row r="329">
      <c r="A329" s="142"/>
      <c r="F329" s="532"/>
      <c r="G329" s="532"/>
    </row>
    <row r="330">
      <c r="A330" s="142"/>
      <c r="F330" s="532"/>
      <c r="G330" s="532"/>
    </row>
    <row r="331">
      <c r="A331" s="142"/>
      <c r="F331" s="532"/>
      <c r="G331" s="532"/>
    </row>
    <row r="332">
      <c r="A332" s="142"/>
      <c r="F332" s="532"/>
      <c r="G332" s="532"/>
    </row>
    <row r="333">
      <c r="A333" s="142"/>
      <c r="F333" s="532"/>
      <c r="G333" s="532"/>
    </row>
    <row r="334">
      <c r="A334" s="142"/>
      <c r="F334" s="532"/>
      <c r="G334" s="532"/>
    </row>
    <row r="335">
      <c r="A335" s="142"/>
      <c r="F335" s="532"/>
      <c r="G335" s="532"/>
    </row>
    <row r="336">
      <c r="A336" s="142"/>
      <c r="F336" s="532"/>
      <c r="G336" s="532"/>
    </row>
    <row r="337">
      <c r="A337" s="142"/>
      <c r="F337" s="532"/>
      <c r="G337" s="532"/>
    </row>
    <row r="338">
      <c r="A338" s="142"/>
      <c r="F338" s="532"/>
      <c r="G338" s="532"/>
    </row>
    <row r="339">
      <c r="A339" s="142"/>
      <c r="F339" s="532"/>
      <c r="G339" s="532"/>
    </row>
    <row r="340">
      <c r="A340" s="142"/>
      <c r="F340" s="532"/>
      <c r="G340" s="532"/>
    </row>
    <row r="341">
      <c r="A341" s="142"/>
      <c r="F341" s="532"/>
      <c r="G341" s="532"/>
    </row>
    <row r="342">
      <c r="A342" s="142"/>
      <c r="F342" s="532"/>
      <c r="G342" s="532"/>
    </row>
    <row r="343">
      <c r="A343" s="142"/>
      <c r="F343" s="532"/>
      <c r="G343" s="532"/>
    </row>
    <row r="344">
      <c r="A344" s="142"/>
      <c r="F344" s="532"/>
      <c r="G344" s="532"/>
    </row>
    <row r="345">
      <c r="A345" s="142"/>
      <c r="F345" s="532"/>
      <c r="G345" s="532"/>
    </row>
    <row r="346">
      <c r="A346" s="142"/>
      <c r="F346" s="532"/>
      <c r="G346" s="532"/>
    </row>
    <row r="347">
      <c r="A347" s="142"/>
      <c r="F347" s="532"/>
      <c r="G347" s="532"/>
    </row>
    <row r="348">
      <c r="A348" s="142"/>
      <c r="F348" s="532"/>
      <c r="G348" s="532"/>
    </row>
    <row r="349">
      <c r="A349" s="142"/>
      <c r="F349" s="532"/>
      <c r="G349" s="532"/>
    </row>
    <row r="350">
      <c r="A350" s="142"/>
      <c r="F350" s="532"/>
      <c r="G350" s="532"/>
    </row>
    <row r="351">
      <c r="A351" s="142"/>
      <c r="F351" s="532"/>
      <c r="G351" s="532"/>
    </row>
    <row r="352">
      <c r="A352" s="142"/>
      <c r="F352" s="532"/>
      <c r="G352" s="532"/>
    </row>
    <row r="353">
      <c r="A353" s="142"/>
      <c r="F353" s="532"/>
      <c r="G353" s="532"/>
    </row>
    <row r="354">
      <c r="A354" s="142"/>
      <c r="F354" s="532"/>
      <c r="G354" s="532"/>
    </row>
    <row r="355">
      <c r="A355" s="142"/>
      <c r="F355" s="532"/>
      <c r="G355" s="532"/>
    </row>
    <row r="356">
      <c r="A356" s="142"/>
      <c r="F356" s="532"/>
      <c r="G356" s="532"/>
    </row>
    <row r="357">
      <c r="A357" s="142"/>
      <c r="F357" s="532"/>
      <c r="G357" s="532"/>
    </row>
    <row r="358">
      <c r="A358" s="142"/>
      <c r="F358" s="532"/>
      <c r="G358" s="532"/>
    </row>
    <row r="359">
      <c r="A359" s="142"/>
      <c r="F359" s="532"/>
      <c r="G359" s="532"/>
    </row>
    <row r="360">
      <c r="A360" s="142"/>
      <c r="F360" s="532"/>
      <c r="G360" s="532"/>
    </row>
    <row r="361">
      <c r="A361" s="142"/>
      <c r="F361" s="532"/>
      <c r="G361" s="532"/>
    </row>
    <row r="362">
      <c r="A362" s="142"/>
      <c r="F362" s="532"/>
      <c r="G362" s="532"/>
    </row>
    <row r="363">
      <c r="A363" s="142"/>
      <c r="F363" s="532"/>
      <c r="G363" s="532"/>
    </row>
    <row r="364">
      <c r="A364" s="142"/>
      <c r="F364" s="532"/>
      <c r="G364" s="532"/>
    </row>
    <row r="365">
      <c r="A365" s="142"/>
      <c r="F365" s="532"/>
      <c r="G365" s="532"/>
    </row>
    <row r="366">
      <c r="A366" s="142"/>
      <c r="F366" s="532"/>
      <c r="G366" s="532"/>
    </row>
    <row r="367">
      <c r="A367" s="142"/>
      <c r="F367" s="532"/>
      <c r="G367" s="532"/>
    </row>
    <row r="368">
      <c r="A368" s="142"/>
      <c r="F368" s="532"/>
      <c r="G368" s="532"/>
    </row>
    <row r="369">
      <c r="A369" s="142"/>
      <c r="F369" s="532"/>
      <c r="G369" s="532"/>
    </row>
    <row r="370">
      <c r="A370" s="142"/>
      <c r="F370" s="532"/>
      <c r="G370" s="532"/>
    </row>
    <row r="371">
      <c r="A371" s="142"/>
      <c r="F371" s="532"/>
      <c r="G371" s="532"/>
    </row>
    <row r="372">
      <c r="A372" s="142"/>
      <c r="F372" s="532"/>
      <c r="G372" s="532"/>
    </row>
    <row r="373">
      <c r="A373" s="142"/>
      <c r="F373" s="532"/>
      <c r="G373" s="532"/>
    </row>
    <row r="374">
      <c r="A374" s="142"/>
      <c r="F374" s="532"/>
      <c r="G374" s="532"/>
    </row>
    <row r="375">
      <c r="A375" s="142"/>
      <c r="F375" s="532"/>
      <c r="G375" s="532"/>
    </row>
    <row r="376">
      <c r="A376" s="142"/>
      <c r="F376" s="532"/>
      <c r="G376" s="532"/>
    </row>
    <row r="377">
      <c r="A377" s="142"/>
      <c r="F377" s="532"/>
      <c r="G377" s="532"/>
    </row>
    <row r="378">
      <c r="A378" s="142"/>
      <c r="F378" s="532"/>
      <c r="G378" s="532"/>
    </row>
    <row r="379">
      <c r="A379" s="142"/>
      <c r="F379" s="532"/>
      <c r="G379" s="532"/>
    </row>
    <row r="380">
      <c r="A380" s="142"/>
      <c r="F380" s="532"/>
      <c r="G380" s="532"/>
    </row>
    <row r="381">
      <c r="A381" s="142"/>
      <c r="F381" s="532"/>
      <c r="G381" s="532"/>
    </row>
    <row r="382">
      <c r="A382" s="142"/>
      <c r="F382" s="532"/>
      <c r="G382" s="532"/>
    </row>
    <row r="383">
      <c r="A383" s="142"/>
      <c r="F383" s="532"/>
      <c r="G383" s="532"/>
    </row>
    <row r="384">
      <c r="A384" s="142"/>
      <c r="F384" s="532"/>
      <c r="G384" s="532"/>
    </row>
    <row r="385">
      <c r="A385" s="142"/>
      <c r="F385" s="532"/>
      <c r="G385" s="532"/>
    </row>
    <row r="386">
      <c r="A386" s="142"/>
      <c r="F386" s="532"/>
      <c r="G386" s="532"/>
    </row>
    <row r="387">
      <c r="A387" s="142"/>
      <c r="F387" s="532"/>
      <c r="G387" s="532"/>
    </row>
    <row r="388">
      <c r="A388" s="142"/>
      <c r="F388" s="532"/>
      <c r="G388" s="532"/>
    </row>
    <row r="389">
      <c r="A389" s="142"/>
      <c r="F389" s="532"/>
      <c r="G389" s="532"/>
    </row>
    <row r="390">
      <c r="A390" s="142"/>
      <c r="F390" s="532"/>
      <c r="G390" s="532"/>
    </row>
    <row r="391">
      <c r="A391" s="142"/>
      <c r="F391" s="532"/>
      <c r="G391" s="532"/>
    </row>
    <row r="392">
      <c r="A392" s="142"/>
      <c r="F392" s="532"/>
      <c r="G392" s="532"/>
    </row>
    <row r="393">
      <c r="A393" s="142"/>
      <c r="F393" s="532"/>
      <c r="G393" s="532"/>
    </row>
    <row r="394">
      <c r="A394" s="142"/>
      <c r="F394" s="532"/>
      <c r="G394" s="532"/>
    </row>
    <row r="395">
      <c r="A395" s="142"/>
      <c r="F395" s="532"/>
      <c r="G395" s="532"/>
    </row>
    <row r="396">
      <c r="A396" s="142"/>
      <c r="F396" s="532"/>
      <c r="G396" s="532"/>
    </row>
    <row r="397">
      <c r="A397" s="142"/>
      <c r="F397" s="532"/>
      <c r="G397" s="532"/>
    </row>
    <row r="398">
      <c r="A398" s="142"/>
      <c r="F398" s="532"/>
      <c r="G398" s="532"/>
    </row>
    <row r="399">
      <c r="A399" s="142"/>
      <c r="F399" s="532"/>
      <c r="G399" s="532"/>
    </row>
    <row r="400">
      <c r="A400" s="142"/>
      <c r="F400" s="532"/>
      <c r="G400" s="532"/>
    </row>
    <row r="401">
      <c r="A401" s="142"/>
      <c r="F401" s="532"/>
      <c r="G401" s="532"/>
    </row>
    <row r="402">
      <c r="A402" s="142"/>
      <c r="F402" s="532"/>
      <c r="G402" s="532"/>
    </row>
    <row r="403">
      <c r="A403" s="142"/>
      <c r="F403" s="532"/>
      <c r="G403" s="532"/>
    </row>
    <row r="404">
      <c r="A404" s="142"/>
      <c r="F404" s="532"/>
      <c r="G404" s="532"/>
    </row>
    <row r="405">
      <c r="A405" s="142"/>
      <c r="F405" s="532"/>
      <c r="G405" s="532"/>
    </row>
    <row r="406">
      <c r="A406" s="142"/>
      <c r="F406" s="532"/>
      <c r="G406" s="532"/>
    </row>
    <row r="407">
      <c r="A407" s="142"/>
      <c r="F407" s="532"/>
      <c r="G407" s="532"/>
    </row>
    <row r="408">
      <c r="A408" s="142"/>
      <c r="F408" s="532"/>
      <c r="G408" s="532"/>
    </row>
    <row r="409">
      <c r="A409" s="142"/>
      <c r="F409" s="532"/>
      <c r="G409" s="532"/>
    </row>
    <row r="410">
      <c r="A410" s="142"/>
      <c r="F410" s="532"/>
      <c r="G410" s="532"/>
    </row>
    <row r="411">
      <c r="A411" s="142"/>
      <c r="F411" s="532"/>
      <c r="G411" s="532"/>
    </row>
    <row r="412">
      <c r="A412" s="142"/>
      <c r="F412" s="532"/>
      <c r="G412" s="532"/>
    </row>
    <row r="413">
      <c r="A413" s="142"/>
      <c r="F413" s="532"/>
      <c r="G413" s="532"/>
    </row>
    <row r="414">
      <c r="A414" s="142"/>
      <c r="F414" s="532"/>
      <c r="G414" s="532"/>
    </row>
    <row r="415">
      <c r="A415" s="142"/>
      <c r="F415" s="532"/>
      <c r="G415" s="532"/>
    </row>
    <row r="416">
      <c r="A416" s="142"/>
      <c r="F416" s="532"/>
      <c r="G416" s="532"/>
    </row>
    <row r="417">
      <c r="A417" s="142"/>
      <c r="F417" s="532"/>
      <c r="G417" s="532"/>
    </row>
    <row r="418">
      <c r="A418" s="142"/>
      <c r="F418" s="532"/>
      <c r="G418" s="532"/>
    </row>
    <row r="419">
      <c r="A419" s="142"/>
      <c r="F419" s="532"/>
      <c r="G419" s="532"/>
    </row>
    <row r="420">
      <c r="A420" s="142"/>
      <c r="F420" s="532"/>
      <c r="G420" s="532"/>
    </row>
    <row r="421">
      <c r="A421" s="142"/>
      <c r="F421" s="532"/>
      <c r="G421" s="532"/>
    </row>
    <row r="422">
      <c r="A422" s="142"/>
      <c r="F422" s="532"/>
      <c r="G422" s="532"/>
    </row>
    <row r="423">
      <c r="A423" s="142"/>
      <c r="F423" s="532"/>
      <c r="G423" s="532"/>
    </row>
    <row r="424">
      <c r="A424" s="142"/>
      <c r="F424" s="532"/>
      <c r="G424" s="532"/>
    </row>
    <row r="425">
      <c r="A425" s="142"/>
      <c r="F425" s="532"/>
      <c r="G425" s="532"/>
    </row>
    <row r="426">
      <c r="A426" s="142"/>
      <c r="F426" s="532"/>
      <c r="G426" s="532"/>
    </row>
    <row r="427">
      <c r="A427" s="142"/>
      <c r="F427" s="532"/>
      <c r="G427" s="532"/>
    </row>
    <row r="428">
      <c r="A428" s="142"/>
      <c r="F428" s="532"/>
      <c r="G428" s="532"/>
    </row>
    <row r="429">
      <c r="A429" s="142"/>
      <c r="F429" s="532"/>
      <c r="G429" s="532"/>
    </row>
    <row r="430">
      <c r="A430" s="142"/>
      <c r="F430" s="532"/>
      <c r="G430" s="532"/>
    </row>
    <row r="431">
      <c r="A431" s="142"/>
      <c r="F431" s="532"/>
      <c r="G431" s="532"/>
    </row>
    <row r="432">
      <c r="A432" s="142"/>
      <c r="F432" s="532"/>
      <c r="G432" s="532"/>
    </row>
    <row r="433">
      <c r="A433" s="142"/>
      <c r="F433" s="532"/>
      <c r="G433" s="532"/>
    </row>
    <row r="434">
      <c r="A434" s="142"/>
      <c r="F434" s="532"/>
      <c r="G434" s="532"/>
    </row>
    <row r="435">
      <c r="A435" s="142"/>
      <c r="F435" s="532"/>
      <c r="G435" s="532"/>
    </row>
    <row r="436">
      <c r="A436" s="142"/>
      <c r="F436" s="532"/>
      <c r="G436" s="532"/>
    </row>
    <row r="437">
      <c r="A437" s="142"/>
      <c r="F437" s="532"/>
      <c r="G437" s="532"/>
    </row>
    <row r="438">
      <c r="A438" s="142"/>
      <c r="F438" s="532"/>
      <c r="G438" s="532"/>
    </row>
    <row r="439">
      <c r="A439" s="142"/>
      <c r="F439" s="532"/>
      <c r="G439" s="532"/>
    </row>
    <row r="440">
      <c r="A440" s="142"/>
      <c r="F440" s="532"/>
      <c r="G440" s="532"/>
    </row>
    <row r="441">
      <c r="A441" s="142"/>
      <c r="F441" s="532"/>
      <c r="G441" s="532"/>
    </row>
    <row r="442">
      <c r="A442" s="142"/>
      <c r="F442" s="532"/>
      <c r="G442" s="532"/>
    </row>
    <row r="443">
      <c r="A443" s="142"/>
      <c r="F443" s="532"/>
      <c r="G443" s="532"/>
    </row>
    <row r="444">
      <c r="A444" s="142"/>
      <c r="F444" s="532"/>
      <c r="G444" s="532"/>
    </row>
    <row r="445">
      <c r="A445" s="142"/>
      <c r="F445" s="532"/>
      <c r="G445" s="532"/>
    </row>
    <row r="446">
      <c r="A446" s="142"/>
      <c r="F446" s="532"/>
      <c r="G446" s="532"/>
    </row>
    <row r="447">
      <c r="A447" s="142"/>
      <c r="F447" s="532"/>
      <c r="G447" s="532"/>
    </row>
    <row r="448">
      <c r="A448" s="142"/>
      <c r="F448" s="532"/>
      <c r="G448" s="532"/>
    </row>
    <row r="449">
      <c r="A449" s="142"/>
      <c r="F449" s="532"/>
      <c r="G449" s="532"/>
    </row>
    <row r="450">
      <c r="A450" s="142"/>
      <c r="F450" s="532"/>
      <c r="G450" s="532"/>
    </row>
    <row r="451">
      <c r="A451" s="142"/>
      <c r="F451" s="532"/>
      <c r="G451" s="532"/>
    </row>
    <row r="452">
      <c r="A452" s="142"/>
      <c r="F452" s="532"/>
      <c r="G452" s="532"/>
    </row>
    <row r="453">
      <c r="A453" s="142"/>
      <c r="F453" s="532"/>
      <c r="G453" s="532"/>
    </row>
    <row r="454">
      <c r="A454" s="142"/>
      <c r="F454" s="532"/>
      <c r="G454" s="532"/>
    </row>
    <row r="455">
      <c r="A455" s="142"/>
      <c r="F455" s="532"/>
      <c r="G455" s="532"/>
    </row>
    <row r="456">
      <c r="A456" s="142"/>
      <c r="F456" s="532"/>
      <c r="G456" s="532"/>
    </row>
    <row r="457">
      <c r="A457" s="142"/>
      <c r="F457" s="532"/>
      <c r="G457" s="532"/>
    </row>
    <row r="458">
      <c r="A458" s="142"/>
      <c r="F458" s="532"/>
      <c r="G458" s="532"/>
    </row>
    <row r="459">
      <c r="A459" s="142"/>
      <c r="F459" s="532"/>
      <c r="G459" s="532"/>
    </row>
    <row r="460">
      <c r="A460" s="142"/>
      <c r="F460" s="532"/>
      <c r="G460" s="532"/>
    </row>
    <row r="461">
      <c r="A461" s="142"/>
      <c r="F461" s="532"/>
      <c r="G461" s="532"/>
    </row>
    <row r="462">
      <c r="A462" s="142"/>
      <c r="F462" s="532"/>
      <c r="G462" s="532"/>
    </row>
    <row r="463">
      <c r="A463" s="142"/>
      <c r="F463" s="532"/>
      <c r="G463" s="532"/>
    </row>
    <row r="464">
      <c r="A464" s="142"/>
      <c r="F464" s="532"/>
      <c r="G464" s="532"/>
    </row>
    <row r="465">
      <c r="A465" s="142"/>
      <c r="F465" s="532"/>
      <c r="G465" s="532"/>
    </row>
    <row r="466">
      <c r="A466" s="142"/>
      <c r="F466" s="532"/>
      <c r="G466" s="532"/>
    </row>
    <row r="467">
      <c r="A467" s="142"/>
      <c r="F467" s="532"/>
      <c r="G467" s="532"/>
    </row>
    <row r="468">
      <c r="A468" s="142"/>
      <c r="F468" s="532"/>
      <c r="G468" s="532"/>
    </row>
    <row r="469">
      <c r="A469" s="142"/>
      <c r="F469" s="532"/>
      <c r="G469" s="532"/>
    </row>
    <row r="470">
      <c r="A470" s="142"/>
      <c r="F470" s="532"/>
      <c r="G470" s="532"/>
    </row>
    <row r="471">
      <c r="A471" s="142"/>
      <c r="F471" s="532"/>
      <c r="G471" s="532"/>
    </row>
    <row r="472">
      <c r="A472" s="142"/>
      <c r="F472" s="532"/>
      <c r="G472" s="532"/>
    </row>
    <row r="473">
      <c r="A473" s="142"/>
      <c r="F473" s="532"/>
      <c r="G473" s="532"/>
    </row>
    <row r="474">
      <c r="A474" s="142"/>
      <c r="F474" s="532"/>
      <c r="G474" s="532"/>
    </row>
    <row r="475">
      <c r="A475" s="142"/>
      <c r="F475" s="532"/>
      <c r="G475" s="532"/>
    </row>
    <row r="476">
      <c r="A476" s="142"/>
      <c r="F476" s="532"/>
      <c r="G476" s="532"/>
    </row>
    <row r="477">
      <c r="A477" s="142"/>
      <c r="F477" s="532"/>
      <c r="G477" s="532"/>
    </row>
    <row r="478">
      <c r="A478" s="142"/>
      <c r="F478" s="532"/>
      <c r="G478" s="532"/>
    </row>
    <row r="479">
      <c r="A479" s="142"/>
      <c r="F479" s="532"/>
      <c r="G479" s="532"/>
    </row>
    <row r="480">
      <c r="A480" s="142"/>
      <c r="F480" s="532"/>
      <c r="G480" s="532"/>
    </row>
    <row r="481">
      <c r="A481" s="142"/>
      <c r="F481" s="532"/>
      <c r="G481" s="532"/>
    </row>
    <row r="482">
      <c r="A482" s="142"/>
      <c r="F482" s="532"/>
      <c r="G482" s="532"/>
    </row>
    <row r="483">
      <c r="A483" s="142"/>
      <c r="F483" s="532"/>
      <c r="G483" s="532"/>
    </row>
    <row r="484">
      <c r="A484" s="142"/>
      <c r="F484" s="532"/>
      <c r="G484" s="532"/>
    </row>
    <row r="485">
      <c r="A485" s="142"/>
      <c r="F485" s="532"/>
      <c r="G485" s="532"/>
    </row>
    <row r="486">
      <c r="A486" s="142"/>
      <c r="F486" s="532"/>
      <c r="G486" s="532"/>
    </row>
    <row r="487">
      <c r="A487" s="142"/>
      <c r="F487" s="532"/>
      <c r="G487" s="532"/>
    </row>
    <row r="488">
      <c r="A488" s="142"/>
      <c r="F488" s="532"/>
      <c r="G488" s="532"/>
    </row>
    <row r="489">
      <c r="A489" s="142"/>
      <c r="F489" s="532"/>
      <c r="G489" s="532"/>
    </row>
    <row r="490">
      <c r="A490" s="142"/>
      <c r="F490" s="532"/>
      <c r="G490" s="532"/>
    </row>
    <row r="491">
      <c r="A491" s="142"/>
      <c r="F491" s="532"/>
      <c r="G491" s="532"/>
    </row>
    <row r="492">
      <c r="A492" s="142"/>
      <c r="F492" s="532"/>
      <c r="G492" s="532"/>
    </row>
    <row r="493">
      <c r="A493" s="142"/>
      <c r="F493" s="532"/>
      <c r="G493" s="532"/>
    </row>
    <row r="494">
      <c r="A494" s="142"/>
      <c r="F494" s="532"/>
      <c r="G494" s="532"/>
    </row>
    <row r="495">
      <c r="A495" s="142"/>
      <c r="F495" s="532"/>
      <c r="G495" s="532"/>
    </row>
    <row r="496">
      <c r="A496" s="142"/>
      <c r="F496" s="532"/>
      <c r="G496" s="532"/>
    </row>
    <row r="497">
      <c r="A497" s="142"/>
      <c r="F497" s="532"/>
      <c r="G497" s="532"/>
    </row>
    <row r="498">
      <c r="A498" s="142"/>
      <c r="F498" s="532"/>
      <c r="G498" s="532"/>
    </row>
    <row r="499">
      <c r="A499" s="142"/>
      <c r="F499" s="532"/>
      <c r="G499" s="532"/>
    </row>
    <row r="500">
      <c r="A500" s="142"/>
      <c r="F500" s="532"/>
      <c r="G500" s="532"/>
    </row>
    <row r="501">
      <c r="A501" s="142"/>
      <c r="F501" s="532"/>
      <c r="G501" s="532"/>
    </row>
    <row r="502">
      <c r="A502" s="142"/>
      <c r="F502" s="532"/>
      <c r="G502" s="532"/>
    </row>
    <row r="503">
      <c r="A503" s="142"/>
      <c r="F503" s="532"/>
      <c r="G503" s="532"/>
    </row>
    <row r="504">
      <c r="A504" s="142"/>
      <c r="F504" s="532"/>
      <c r="G504" s="532"/>
    </row>
    <row r="505">
      <c r="A505" s="142"/>
      <c r="F505" s="532"/>
      <c r="G505" s="532"/>
    </row>
    <row r="506">
      <c r="A506" s="142"/>
      <c r="F506" s="532"/>
      <c r="G506" s="532"/>
    </row>
    <row r="507">
      <c r="A507" s="142"/>
      <c r="F507" s="532"/>
      <c r="G507" s="532"/>
    </row>
    <row r="508">
      <c r="A508" s="142"/>
      <c r="F508" s="532"/>
      <c r="G508" s="532"/>
    </row>
    <row r="509">
      <c r="A509" s="142"/>
      <c r="F509" s="532"/>
      <c r="G509" s="532"/>
    </row>
    <row r="510">
      <c r="A510" s="142"/>
      <c r="F510" s="532"/>
      <c r="G510" s="532"/>
    </row>
    <row r="511">
      <c r="A511" s="142"/>
      <c r="F511" s="532"/>
      <c r="G511" s="532"/>
    </row>
    <row r="512">
      <c r="A512" s="142"/>
      <c r="F512" s="532"/>
      <c r="G512" s="532"/>
    </row>
    <row r="513">
      <c r="A513" s="142"/>
      <c r="F513" s="532"/>
      <c r="G513" s="532"/>
    </row>
    <row r="514">
      <c r="A514" s="142"/>
      <c r="F514" s="532"/>
      <c r="G514" s="532"/>
    </row>
    <row r="515">
      <c r="A515" s="142"/>
      <c r="F515" s="532"/>
      <c r="G515" s="532"/>
    </row>
    <row r="516">
      <c r="A516" s="142"/>
      <c r="F516" s="532"/>
      <c r="G516" s="532"/>
    </row>
    <row r="517">
      <c r="A517" s="142"/>
      <c r="F517" s="532"/>
      <c r="G517" s="532"/>
    </row>
    <row r="518">
      <c r="A518" s="142"/>
      <c r="F518" s="532"/>
      <c r="G518" s="532"/>
    </row>
    <row r="519">
      <c r="A519" s="142"/>
      <c r="F519" s="532"/>
      <c r="G519" s="532"/>
    </row>
    <row r="520">
      <c r="A520" s="142"/>
      <c r="F520" s="532"/>
      <c r="G520" s="532"/>
    </row>
    <row r="521">
      <c r="A521" s="142"/>
      <c r="F521" s="532"/>
      <c r="G521" s="532"/>
    </row>
    <row r="522">
      <c r="A522" s="142"/>
      <c r="F522" s="532"/>
      <c r="G522" s="532"/>
    </row>
    <row r="523">
      <c r="A523" s="142"/>
      <c r="F523" s="532"/>
      <c r="G523" s="532"/>
    </row>
    <row r="524">
      <c r="A524" s="142"/>
      <c r="F524" s="532"/>
      <c r="G524" s="532"/>
    </row>
    <row r="525">
      <c r="A525" s="142"/>
      <c r="F525" s="532"/>
      <c r="G525" s="532"/>
    </row>
    <row r="526">
      <c r="A526" s="142"/>
      <c r="F526" s="532"/>
      <c r="G526" s="532"/>
    </row>
    <row r="527">
      <c r="A527" s="142"/>
      <c r="F527" s="532"/>
      <c r="G527" s="532"/>
    </row>
    <row r="528">
      <c r="A528" s="142"/>
      <c r="F528" s="532"/>
      <c r="G528" s="532"/>
    </row>
    <row r="529">
      <c r="A529" s="142"/>
      <c r="F529" s="532"/>
      <c r="G529" s="532"/>
    </row>
    <row r="530">
      <c r="A530" s="142"/>
      <c r="F530" s="532"/>
      <c r="G530" s="532"/>
    </row>
    <row r="531">
      <c r="A531" s="142"/>
      <c r="F531" s="532"/>
      <c r="G531" s="532"/>
    </row>
    <row r="532">
      <c r="A532" s="142"/>
      <c r="F532" s="532"/>
      <c r="G532" s="532"/>
    </row>
    <row r="533">
      <c r="A533" s="142"/>
      <c r="F533" s="532"/>
      <c r="G533" s="532"/>
    </row>
    <row r="534">
      <c r="A534" s="142"/>
      <c r="F534" s="532"/>
      <c r="G534" s="532"/>
    </row>
    <row r="535">
      <c r="A535" s="142"/>
      <c r="F535" s="532"/>
      <c r="G535" s="532"/>
    </row>
    <row r="536">
      <c r="A536" s="142"/>
      <c r="F536" s="532"/>
      <c r="G536" s="532"/>
    </row>
    <row r="537">
      <c r="A537" s="142"/>
      <c r="F537" s="532"/>
      <c r="G537" s="532"/>
    </row>
    <row r="538">
      <c r="A538" s="142"/>
      <c r="F538" s="532"/>
      <c r="G538" s="532"/>
    </row>
    <row r="539">
      <c r="A539" s="142"/>
      <c r="F539" s="532"/>
      <c r="G539" s="532"/>
    </row>
    <row r="540">
      <c r="A540" s="142"/>
      <c r="F540" s="532"/>
      <c r="G540" s="532"/>
    </row>
    <row r="541">
      <c r="A541" s="142"/>
      <c r="F541" s="532"/>
      <c r="G541" s="532"/>
    </row>
    <row r="542">
      <c r="A542" s="142"/>
      <c r="F542" s="532"/>
      <c r="G542" s="532"/>
    </row>
    <row r="543">
      <c r="A543" s="142"/>
      <c r="F543" s="532"/>
      <c r="G543" s="532"/>
    </row>
    <row r="544">
      <c r="A544" s="142"/>
      <c r="F544" s="532"/>
      <c r="G544" s="532"/>
    </row>
    <row r="545">
      <c r="A545" s="142"/>
      <c r="F545" s="532"/>
      <c r="G545" s="532"/>
    </row>
    <row r="546">
      <c r="A546" s="142"/>
      <c r="F546" s="532"/>
      <c r="G546" s="532"/>
    </row>
    <row r="547">
      <c r="A547" s="142"/>
      <c r="F547" s="532"/>
      <c r="G547" s="532"/>
    </row>
    <row r="548">
      <c r="A548" s="142"/>
      <c r="F548" s="532"/>
      <c r="G548" s="532"/>
    </row>
    <row r="549">
      <c r="A549" s="142"/>
      <c r="F549" s="532"/>
      <c r="G549" s="532"/>
    </row>
    <row r="550">
      <c r="A550" s="142"/>
      <c r="F550" s="532"/>
      <c r="G550" s="532"/>
    </row>
    <row r="551">
      <c r="A551" s="142"/>
      <c r="F551" s="532"/>
      <c r="G551" s="532"/>
    </row>
    <row r="552">
      <c r="A552" s="142"/>
      <c r="F552" s="532"/>
      <c r="G552" s="532"/>
    </row>
    <row r="553">
      <c r="A553" s="142"/>
      <c r="F553" s="532"/>
      <c r="G553" s="532"/>
    </row>
    <row r="554">
      <c r="A554" s="142"/>
      <c r="F554" s="532"/>
      <c r="G554" s="532"/>
    </row>
    <row r="555">
      <c r="A555" s="142"/>
      <c r="F555" s="532"/>
      <c r="G555" s="532"/>
    </row>
    <row r="556">
      <c r="A556" s="142"/>
      <c r="F556" s="532"/>
      <c r="G556" s="532"/>
    </row>
    <row r="557">
      <c r="A557" s="142"/>
      <c r="F557" s="532"/>
      <c r="G557" s="532"/>
    </row>
    <row r="558">
      <c r="A558" s="142"/>
      <c r="F558" s="532"/>
      <c r="G558" s="532"/>
    </row>
    <row r="559">
      <c r="A559" s="142"/>
      <c r="F559" s="532"/>
      <c r="G559" s="532"/>
    </row>
    <row r="560">
      <c r="A560" s="142"/>
      <c r="F560" s="532"/>
      <c r="G560" s="532"/>
    </row>
    <row r="561">
      <c r="A561" s="142"/>
      <c r="F561" s="532"/>
      <c r="G561" s="532"/>
    </row>
    <row r="562">
      <c r="A562" s="142"/>
      <c r="F562" s="532"/>
      <c r="G562" s="532"/>
    </row>
    <row r="563">
      <c r="A563" s="142"/>
      <c r="F563" s="532"/>
      <c r="G563" s="532"/>
    </row>
    <row r="564">
      <c r="A564" s="142"/>
      <c r="F564" s="532"/>
      <c r="G564" s="532"/>
    </row>
    <row r="565">
      <c r="A565" s="142"/>
      <c r="F565" s="532"/>
      <c r="G565" s="532"/>
    </row>
    <row r="566">
      <c r="A566" s="142"/>
      <c r="F566" s="532"/>
      <c r="G566" s="532"/>
    </row>
    <row r="567">
      <c r="A567" s="142"/>
      <c r="F567" s="532"/>
      <c r="G567" s="532"/>
    </row>
    <row r="568">
      <c r="A568" s="142"/>
      <c r="F568" s="532"/>
      <c r="G568" s="532"/>
    </row>
    <row r="569">
      <c r="A569" s="142"/>
      <c r="F569" s="532"/>
      <c r="G569" s="532"/>
    </row>
    <row r="570">
      <c r="A570" s="142"/>
      <c r="F570" s="532"/>
      <c r="G570" s="532"/>
    </row>
    <row r="571">
      <c r="A571" s="142"/>
      <c r="F571" s="532"/>
      <c r="G571" s="532"/>
    </row>
    <row r="572">
      <c r="A572" s="142"/>
      <c r="F572" s="532"/>
      <c r="G572" s="532"/>
    </row>
    <row r="573">
      <c r="A573" s="142"/>
      <c r="F573" s="532"/>
      <c r="G573" s="532"/>
    </row>
    <row r="574">
      <c r="A574" s="142"/>
      <c r="F574" s="532"/>
      <c r="G574" s="532"/>
    </row>
    <row r="575">
      <c r="A575" s="142"/>
      <c r="F575" s="532"/>
      <c r="G575" s="532"/>
    </row>
    <row r="576">
      <c r="A576" s="142"/>
      <c r="F576" s="532"/>
      <c r="G576" s="532"/>
    </row>
    <row r="577">
      <c r="A577" s="142"/>
      <c r="F577" s="532"/>
      <c r="G577" s="532"/>
    </row>
    <row r="578">
      <c r="A578" s="142"/>
      <c r="F578" s="532"/>
      <c r="G578" s="532"/>
    </row>
    <row r="579">
      <c r="A579" s="142"/>
      <c r="F579" s="532"/>
      <c r="G579" s="532"/>
    </row>
    <row r="580">
      <c r="A580" s="142"/>
      <c r="F580" s="532"/>
      <c r="G580" s="532"/>
    </row>
    <row r="581">
      <c r="A581" s="142"/>
      <c r="F581" s="532"/>
      <c r="G581" s="532"/>
    </row>
    <row r="582">
      <c r="A582" s="142"/>
      <c r="F582" s="532"/>
      <c r="G582" s="532"/>
    </row>
    <row r="583">
      <c r="A583" s="142"/>
      <c r="F583" s="532"/>
      <c r="G583" s="532"/>
    </row>
    <row r="584">
      <c r="A584" s="142"/>
      <c r="F584" s="532"/>
      <c r="G584" s="532"/>
    </row>
    <row r="585">
      <c r="A585" s="142"/>
      <c r="F585" s="532"/>
      <c r="G585" s="532"/>
    </row>
    <row r="586">
      <c r="A586" s="142"/>
      <c r="F586" s="532"/>
      <c r="G586" s="532"/>
    </row>
    <row r="587">
      <c r="A587" s="142"/>
      <c r="F587" s="532"/>
      <c r="G587" s="532"/>
    </row>
    <row r="588">
      <c r="A588" s="142"/>
      <c r="F588" s="532"/>
      <c r="G588" s="532"/>
    </row>
    <row r="589">
      <c r="A589" s="142"/>
      <c r="F589" s="532"/>
      <c r="G589" s="532"/>
    </row>
    <row r="590">
      <c r="A590" s="142"/>
      <c r="F590" s="532"/>
      <c r="G590" s="532"/>
    </row>
    <row r="591">
      <c r="A591" s="142"/>
      <c r="F591" s="532"/>
      <c r="G591" s="532"/>
    </row>
    <row r="592">
      <c r="A592" s="142"/>
      <c r="F592" s="532"/>
      <c r="G592" s="532"/>
    </row>
    <row r="593">
      <c r="A593" s="142"/>
      <c r="F593" s="532"/>
      <c r="G593" s="532"/>
    </row>
    <row r="594">
      <c r="A594" s="142"/>
      <c r="F594" s="532"/>
      <c r="G594" s="532"/>
    </row>
    <row r="595">
      <c r="A595" s="142"/>
      <c r="F595" s="532"/>
      <c r="G595" s="532"/>
    </row>
    <row r="596">
      <c r="A596" s="142"/>
      <c r="F596" s="532"/>
      <c r="G596" s="532"/>
    </row>
    <row r="597">
      <c r="A597" s="142"/>
      <c r="F597" s="532"/>
      <c r="G597" s="532"/>
    </row>
    <row r="598">
      <c r="A598" s="142"/>
      <c r="F598" s="532"/>
      <c r="G598" s="532"/>
    </row>
    <row r="599">
      <c r="A599" s="142"/>
      <c r="F599" s="532"/>
      <c r="G599" s="532"/>
    </row>
    <row r="600">
      <c r="A600" s="142"/>
      <c r="F600" s="532"/>
      <c r="G600" s="532"/>
    </row>
    <row r="601">
      <c r="A601" s="142"/>
      <c r="F601" s="532"/>
      <c r="G601" s="532"/>
    </row>
    <row r="602">
      <c r="A602" s="142"/>
      <c r="F602" s="532"/>
      <c r="G602" s="532"/>
    </row>
    <row r="603">
      <c r="A603" s="142"/>
      <c r="F603" s="532"/>
      <c r="G603" s="532"/>
    </row>
    <row r="604">
      <c r="A604" s="142"/>
      <c r="F604" s="532"/>
      <c r="G604" s="532"/>
    </row>
    <row r="605">
      <c r="A605" s="142"/>
      <c r="F605" s="532"/>
      <c r="G605" s="532"/>
    </row>
    <row r="606">
      <c r="A606" s="142"/>
      <c r="F606" s="532"/>
      <c r="G606" s="532"/>
    </row>
    <row r="607">
      <c r="A607" s="142"/>
      <c r="F607" s="532"/>
      <c r="G607" s="532"/>
    </row>
    <row r="608">
      <c r="A608" s="142"/>
      <c r="F608" s="532"/>
      <c r="G608" s="532"/>
    </row>
    <row r="609">
      <c r="A609" s="142"/>
      <c r="F609" s="532"/>
      <c r="G609" s="532"/>
    </row>
    <row r="610">
      <c r="A610" s="142"/>
      <c r="F610" s="532"/>
      <c r="G610" s="532"/>
    </row>
    <row r="611">
      <c r="A611" s="142"/>
      <c r="F611" s="532"/>
      <c r="G611" s="532"/>
    </row>
    <row r="612">
      <c r="A612" s="142"/>
      <c r="F612" s="532"/>
      <c r="G612" s="532"/>
    </row>
    <row r="613">
      <c r="A613" s="142"/>
      <c r="F613" s="532"/>
      <c r="G613" s="532"/>
    </row>
    <row r="614">
      <c r="A614" s="142"/>
      <c r="F614" s="532"/>
      <c r="G614" s="532"/>
    </row>
    <row r="615">
      <c r="A615" s="142"/>
      <c r="F615" s="532"/>
      <c r="G615" s="532"/>
    </row>
    <row r="616">
      <c r="A616" s="142"/>
      <c r="F616" s="532"/>
      <c r="G616" s="532"/>
    </row>
    <row r="617">
      <c r="A617" s="142"/>
      <c r="F617" s="532"/>
      <c r="G617" s="532"/>
    </row>
    <row r="618">
      <c r="A618" s="142"/>
      <c r="F618" s="532"/>
      <c r="G618" s="532"/>
    </row>
    <row r="619">
      <c r="A619" s="142"/>
      <c r="F619" s="532"/>
      <c r="G619" s="532"/>
    </row>
    <row r="620">
      <c r="A620" s="142"/>
      <c r="F620" s="532"/>
      <c r="G620" s="532"/>
    </row>
    <row r="621">
      <c r="A621" s="142"/>
      <c r="F621" s="532"/>
      <c r="G621" s="532"/>
    </row>
    <row r="622">
      <c r="A622" s="142"/>
      <c r="F622" s="532"/>
      <c r="G622" s="532"/>
    </row>
    <row r="623">
      <c r="A623" s="142"/>
      <c r="F623" s="532"/>
      <c r="G623" s="532"/>
    </row>
    <row r="624">
      <c r="A624" s="142"/>
      <c r="F624" s="532"/>
      <c r="G624" s="532"/>
    </row>
    <row r="625">
      <c r="A625" s="142"/>
      <c r="F625" s="532"/>
      <c r="G625" s="532"/>
    </row>
    <row r="626">
      <c r="A626" s="142"/>
      <c r="F626" s="532"/>
      <c r="G626" s="532"/>
    </row>
    <row r="627">
      <c r="A627" s="142"/>
      <c r="F627" s="532"/>
      <c r="G627" s="532"/>
    </row>
    <row r="628">
      <c r="A628" s="142"/>
      <c r="F628" s="532"/>
      <c r="G628" s="532"/>
    </row>
    <row r="629">
      <c r="A629" s="142"/>
      <c r="F629" s="532"/>
      <c r="G629" s="532"/>
    </row>
    <row r="630">
      <c r="A630" s="142"/>
      <c r="F630" s="532"/>
      <c r="G630" s="532"/>
    </row>
    <row r="631">
      <c r="A631" s="142"/>
      <c r="F631" s="532"/>
      <c r="G631" s="532"/>
    </row>
    <row r="632">
      <c r="A632" s="142"/>
      <c r="F632" s="532"/>
      <c r="G632" s="532"/>
    </row>
    <row r="633">
      <c r="A633" s="142"/>
      <c r="F633" s="532"/>
      <c r="G633" s="532"/>
    </row>
    <row r="634">
      <c r="A634" s="142"/>
      <c r="F634" s="532"/>
      <c r="G634" s="532"/>
    </row>
    <row r="635">
      <c r="A635" s="142"/>
      <c r="F635" s="532"/>
      <c r="G635" s="532"/>
    </row>
    <row r="636">
      <c r="A636" s="142"/>
      <c r="F636" s="532"/>
      <c r="G636" s="532"/>
    </row>
    <row r="637">
      <c r="A637" s="142"/>
      <c r="F637" s="532"/>
      <c r="G637" s="532"/>
    </row>
    <row r="638">
      <c r="A638" s="142"/>
      <c r="F638" s="532"/>
      <c r="G638" s="532"/>
    </row>
    <row r="639">
      <c r="A639" s="142"/>
      <c r="F639" s="532"/>
      <c r="G639" s="532"/>
    </row>
    <row r="640">
      <c r="A640" s="142"/>
      <c r="F640" s="532"/>
      <c r="G640" s="532"/>
    </row>
    <row r="641">
      <c r="A641" s="142"/>
      <c r="F641" s="532"/>
      <c r="G641" s="532"/>
    </row>
    <row r="642">
      <c r="A642" s="142"/>
      <c r="F642" s="532"/>
      <c r="G642" s="532"/>
    </row>
    <row r="643">
      <c r="A643" s="142"/>
      <c r="F643" s="532"/>
      <c r="G643" s="532"/>
    </row>
    <row r="644">
      <c r="A644" s="142"/>
      <c r="F644" s="532"/>
      <c r="G644" s="532"/>
    </row>
    <row r="645">
      <c r="A645" s="142"/>
      <c r="F645" s="532"/>
      <c r="G645" s="532"/>
    </row>
    <row r="646">
      <c r="A646" s="142"/>
      <c r="F646" s="532"/>
      <c r="G646" s="532"/>
    </row>
    <row r="647">
      <c r="A647" s="142"/>
      <c r="F647" s="532"/>
      <c r="G647" s="532"/>
    </row>
    <row r="648">
      <c r="A648" s="142"/>
      <c r="F648" s="532"/>
      <c r="G648" s="532"/>
    </row>
    <row r="649">
      <c r="A649" s="142"/>
      <c r="F649" s="532"/>
      <c r="G649" s="532"/>
    </row>
    <row r="650">
      <c r="A650" s="142"/>
      <c r="F650" s="532"/>
      <c r="G650" s="532"/>
    </row>
    <row r="651">
      <c r="A651" s="142"/>
      <c r="F651" s="532"/>
      <c r="G651" s="532"/>
    </row>
    <row r="652">
      <c r="A652" s="142"/>
      <c r="F652" s="532"/>
      <c r="G652" s="532"/>
    </row>
    <row r="653">
      <c r="A653" s="142"/>
      <c r="F653" s="532"/>
      <c r="G653" s="532"/>
    </row>
    <row r="654">
      <c r="A654" s="142"/>
      <c r="F654" s="532"/>
      <c r="G654" s="532"/>
    </row>
    <row r="655">
      <c r="A655" s="142"/>
      <c r="F655" s="532"/>
      <c r="G655" s="532"/>
    </row>
    <row r="656">
      <c r="A656" s="142"/>
      <c r="F656" s="532"/>
      <c r="G656" s="532"/>
    </row>
    <row r="657">
      <c r="A657" s="142"/>
      <c r="F657" s="532"/>
      <c r="G657" s="532"/>
    </row>
    <row r="658">
      <c r="A658" s="142"/>
      <c r="F658" s="532"/>
      <c r="G658" s="532"/>
    </row>
    <row r="659">
      <c r="A659" s="142"/>
      <c r="F659" s="532"/>
      <c r="G659" s="532"/>
    </row>
    <row r="660">
      <c r="A660" s="142"/>
      <c r="F660" s="532"/>
      <c r="G660" s="532"/>
    </row>
    <row r="661">
      <c r="A661" s="142"/>
      <c r="F661" s="532"/>
      <c r="G661" s="532"/>
    </row>
    <row r="662">
      <c r="A662" s="142"/>
      <c r="F662" s="532"/>
      <c r="G662" s="532"/>
    </row>
    <row r="663">
      <c r="A663" s="142"/>
      <c r="F663" s="532"/>
      <c r="G663" s="532"/>
    </row>
    <row r="664">
      <c r="A664" s="142"/>
      <c r="F664" s="532"/>
      <c r="G664" s="532"/>
    </row>
    <row r="665">
      <c r="A665" s="142"/>
      <c r="F665" s="532"/>
      <c r="G665" s="532"/>
    </row>
    <row r="666">
      <c r="A666" s="142"/>
      <c r="F666" s="532"/>
      <c r="G666" s="532"/>
    </row>
    <row r="667">
      <c r="A667" s="142"/>
      <c r="F667" s="532"/>
      <c r="G667" s="532"/>
    </row>
    <row r="668">
      <c r="A668" s="142"/>
      <c r="F668" s="532"/>
      <c r="G668" s="532"/>
    </row>
    <row r="669">
      <c r="A669" s="142"/>
      <c r="F669" s="532"/>
      <c r="G669" s="532"/>
    </row>
    <row r="670">
      <c r="A670" s="142"/>
      <c r="F670" s="532"/>
      <c r="G670" s="532"/>
    </row>
    <row r="671">
      <c r="A671" s="142"/>
      <c r="F671" s="532"/>
      <c r="G671" s="532"/>
    </row>
    <row r="672">
      <c r="A672" s="142"/>
      <c r="F672" s="532"/>
      <c r="G672" s="532"/>
    </row>
    <row r="673">
      <c r="A673" s="142"/>
      <c r="F673" s="532"/>
      <c r="G673" s="532"/>
    </row>
    <row r="674">
      <c r="A674" s="142"/>
      <c r="F674" s="532"/>
      <c r="G674" s="532"/>
    </row>
    <row r="675">
      <c r="A675" s="142"/>
      <c r="F675" s="532"/>
      <c r="G675" s="532"/>
    </row>
    <row r="676">
      <c r="A676" s="142"/>
      <c r="F676" s="532"/>
      <c r="G676" s="532"/>
    </row>
    <row r="677">
      <c r="A677" s="142"/>
      <c r="F677" s="532"/>
      <c r="G677" s="532"/>
    </row>
    <row r="678">
      <c r="A678" s="142"/>
      <c r="F678" s="532"/>
      <c r="G678" s="532"/>
    </row>
    <row r="679">
      <c r="A679" s="142"/>
      <c r="F679" s="532"/>
      <c r="G679" s="532"/>
    </row>
    <row r="680">
      <c r="A680" s="142"/>
      <c r="F680" s="532"/>
      <c r="G680" s="532"/>
    </row>
    <row r="681">
      <c r="A681" s="142"/>
      <c r="F681" s="532"/>
      <c r="G681" s="532"/>
    </row>
    <row r="682">
      <c r="A682" s="142"/>
      <c r="F682" s="532"/>
      <c r="G682" s="532"/>
    </row>
    <row r="683">
      <c r="A683" s="142"/>
      <c r="F683" s="532"/>
      <c r="G683" s="532"/>
    </row>
    <row r="684">
      <c r="A684" s="142"/>
      <c r="F684" s="532"/>
      <c r="G684" s="532"/>
    </row>
    <row r="685">
      <c r="A685" s="142"/>
      <c r="F685" s="532"/>
      <c r="G685" s="532"/>
    </row>
    <row r="686">
      <c r="A686" s="142"/>
      <c r="F686" s="532"/>
      <c r="G686" s="532"/>
    </row>
    <row r="687">
      <c r="A687" s="142"/>
      <c r="F687" s="532"/>
      <c r="G687" s="532"/>
    </row>
    <row r="688">
      <c r="A688" s="142"/>
      <c r="F688" s="532"/>
      <c r="G688" s="532"/>
    </row>
    <row r="689">
      <c r="A689" s="142"/>
      <c r="F689" s="532"/>
      <c r="G689" s="532"/>
    </row>
    <row r="690">
      <c r="A690" s="142"/>
      <c r="F690" s="532"/>
      <c r="G690" s="532"/>
    </row>
    <row r="691">
      <c r="A691" s="142"/>
      <c r="F691" s="532"/>
      <c r="G691" s="532"/>
    </row>
    <row r="692">
      <c r="A692" s="142"/>
      <c r="F692" s="532"/>
      <c r="G692" s="532"/>
    </row>
    <row r="693">
      <c r="A693" s="142"/>
      <c r="F693" s="532"/>
      <c r="G693" s="532"/>
    </row>
    <row r="694">
      <c r="A694" s="142"/>
      <c r="F694" s="532"/>
      <c r="G694" s="532"/>
    </row>
    <row r="695">
      <c r="A695" s="142"/>
      <c r="F695" s="532"/>
      <c r="G695" s="532"/>
    </row>
    <row r="696">
      <c r="A696" s="142"/>
      <c r="F696" s="532"/>
      <c r="G696" s="532"/>
    </row>
    <row r="697">
      <c r="A697" s="142"/>
      <c r="F697" s="532"/>
      <c r="G697" s="532"/>
    </row>
    <row r="698">
      <c r="A698" s="142"/>
      <c r="F698" s="532"/>
      <c r="G698" s="532"/>
    </row>
    <row r="699">
      <c r="A699" s="142"/>
      <c r="F699" s="532"/>
      <c r="G699" s="532"/>
    </row>
    <row r="700">
      <c r="A700" s="142"/>
      <c r="F700" s="532"/>
      <c r="G700" s="532"/>
    </row>
    <row r="701">
      <c r="A701" s="142"/>
      <c r="F701" s="532"/>
      <c r="G701" s="532"/>
    </row>
    <row r="702">
      <c r="A702" s="142"/>
      <c r="F702" s="532"/>
      <c r="G702" s="532"/>
    </row>
    <row r="703">
      <c r="A703" s="142"/>
      <c r="F703" s="532"/>
      <c r="G703" s="532"/>
    </row>
    <row r="704">
      <c r="A704" s="142"/>
      <c r="F704" s="532"/>
      <c r="G704" s="532"/>
    </row>
    <row r="705">
      <c r="A705" s="142"/>
      <c r="F705" s="532"/>
      <c r="G705" s="532"/>
    </row>
    <row r="706">
      <c r="A706" s="142"/>
      <c r="F706" s="532"/>
      <c r="G706" s="532"/>
    </row>
    <row r="707">
      <c r="A707" s="142"/>
      <c r="F707" s="532"/>
      <c r="G707" s="532"/>
    </row>
    <row r="708">
      <c r="A708" s="142"/>
      <c r="F708" s="532"/>
      <c r="G708" s="532"/>
    </row>
    <row r="709">
      <c r="A709" s="142"/>
      <c r="F709" s="532"/>
      <c r="G709" s="532"/>
    </row>
    <row r="710">
      <c r="A710" s="142"/>
      <c r="F710" s="532"/>
      <c r="G710" s="532"/>
    </row>
    <row r="711">
      <c r="A711" s="142"/>
      <c r="F711" s="532"/>
      <c r="G711" s="532"/>
    </row>
    <row r="712">
      <c r="A712" s="142"/>
      <c r="F712" s="532"/>
      <c r="G712" s="532"/>
    </row>
    <row r="713">
      <c r="A713" s="142"/>
      <c r="F713" s="532"/>
      <c r="G713" s="532"/>
    </row>
    <row r="714">
      <c r="A714" s="142"/>
      <c r="F714" s="532"/>
      <c r="G714" s="532"/>
    </row>
    <row r="715">
      <c r="A715" s="142"/>
      <c r="F715" s="532"/>
      <c r="G715" s="532"/>
    </row>
    <row r="716">
      <c r="A716" s="142"/>
      <c r="F716" s="532"/>
      <c r="G716" s="532"/>
    </row>
    <row r="717">
      <c r="A717" s="142"/>
      <c r="F717" s="532"/>
      <c r="G717" s="532"/>
    </row>
    <row r="718">
      <c r="A718" s="142"/>
      <c r="F718" s="532"/>
      <c r="G718" s="532"/>
    </row>
    <row r="719">
      <c r="A719" s="142"/>
      <c r="F719" s="532"/>
      <c r="G719" s="532"/>
    </row>
    <row r="720">
      <c r="A720" s="142"/>
      <c r="F720" s="532"/>
      <c r="G720" s="532"/>
    </row>
    <row r="721">
      <c r="A721" s="142"/>
      <c r="F721" s="532"/>
      <c r="G721" s="532"/>
    </row>
    <row r="722">
      <c r="A722" s="142"/>
      <c r="F722" s="532"/>
      <c r="G722" s="532"/>
    </row>
    <row r="723">
      <c r="A723" s="142"/>
      <c r="F723" s="532"/>
      <c r="G723" s="532"/>
    </row>
    <row r="724">
      <c r="A724" s="142"/>
      <c r="F724" s="532"/>
      <c r="G724" s="532"/>
    </row>
    <row r="725">
      <c r="A725" s="142"/>
      <c r="F725" s="532"/>
      <c r="G725" s="532"/>
    </row>
    <row r="726">
      <c r="A726" s="142"/>
      <c r="F726" s="532"/>
      <c r="G726" s="532"/>
    </row>
    <row r="727">
      <c r="A727" s="142"/>
      <c r="F727" s="532"/>
      <c r="G727" s="532"/>
    </row>
    <row r="728">
      <c r="A728" s="142"/>
      <c r="F728" s="532"/>
      <c r="G728" s="532"/>
    </row>
    <row r="729">
      <c r="A729" s="142"/>
      <c r="F729" s="532"/>
      <c r="G729" s="532"/>
    </row>
    <row r="730">
      <c r="A730" s="142"/>
      <c r="F730" s="532"/>
      <c r="G730" s="532"/>
    </row>
    <row r="731">
      <c r="A731" s="142"/>
      <c r="F731" s="532"/>
      <c r="G731" s="532"/>
    </row>
    <row r="732">
      <c r="A732" s="142"/>
      <c r="F732" s="532"/>
      <c r="G732" s="532"/>
    </row>
    <row r="733">
      <c r="A733" s="142"/>
      <c r="F733" s="532"/>
      <c r="G733" s="532"/>
    </row>
    <row r="734">
      <c r="A734" s="142"/>
      <c r="F734" s="532"/>
      <c r="G734" s="532"/>
    </row>
    <row r="735">
      <c r="A735" s="142"/>
      <c r="F735" s="532"/>
      <c r="G735" s="532"/>
    </row>
    <row r="736">
      <c r="A736" s="142"/>
      <c r="F736" s="532"/>
      <c r="G736" s="532"/>
    </row>
    <row r="737">
      <c r="A737" s="142"/>
      <c r="F737" s="532"/>
      <c r="G737" s="532"/>
    </row>
    <row r="738">
      <c r="A738" s="142"/>
      <c r="F738" s="532"/>
      <c r="G738" s="532"/>
    </row>
    <row r="739">
      <c r="A739" s="142"/>
      <c r="F739" s="532"/>
      <c r="G739" s="532"/>
    </row>
    <row r="740">
      <c r="A740" s="142"/>
      <c r="F740" s="532"/>
      <c r="G740" s="532"/>
    </row>
    <row r="741">
      <c r="A741" s="142"/>
      <c r="F741" s="532"/>
      <c r="G741" s="532"/>
    </row>
    <row r="742">
      <c r="A742" s="142"/>
      <c r="F742" s="532"/>
      <c r="G742" s="532"/>
    </row>
    <row r="743">
      <c r="A743" s="142"/>
      <c r="F743" s="532"/>
      <c r="G743" s="532"/>
    </row>
    <row r="744">
      <c r="A744" s="142"/>
      <c r="F744" s="532"/>
      <c r="G744" s="532"/>
    </row>
    <row r="745">
      <c r="A745" s="142"/>
      <c r="F745" s="532"/>
      <c r="G745" s="532"/>
    </row>
    <row r="746">
      <c r="A746" s="142"/>
      <c r="F746" s="532"/>
      <c r="G746" s="532"/>
    </row>
    <row r="747">
      <c r="A747" s="142"/>
      <c r="F747" s="532"/>
      <c r="G747" s="532"/>
    </row>
    <row r="748">
      <c r="A748" s="142"/>
      <c r="F748" s="532"/>
      <c r="G748" s="532"/>
    </row>
    <row r="749">
      <c r="A749" s="142"/>
      <c r="F749" s="532"/>
      <c r="G749" s="532"/>
    </row>
    <row r="750">
      <c r="A750" s="142"/>
      <c r="F750" s="532"/>
      <c r="G750" s="532"/>
    </row>
    <row r="751">
      <c r="A751" s="142"/>
      <c r="F751" s="532"/>
      <c r="G751" s="532"/>
    </row>
    <row r="752">
      <c r="A752" s="142"/>
      <c r="F752" s="532"/>
      <c r="G752" s="532"/>
    </row>
    <row r="753">
      <c r="A753" s="142"/>
      <c r="F753" s="532"/>
      <c r="G753" s="532"/>
    </row>
    <row r="754">
      <c r="A754" s="142"/>
      <c r="F754" s="532"/>
      <c r="G754" s="532"/>
    </row>
    <row r="755">
      <c r="A755" s="142"/>
      <c r="F755" s="532"/>
      <c r="G755" s="532"/>
    </row>
    <row r="756">
      <c r="A756" s="142"/>
      <c r="F756" s="532"/>
      <c r="G756" s="532"/>
    </row>
    <row r="757">
      <c r="A757" s="142"/>
      <c r="F757" s="532"/>
      <c r="G757" s="532"/>
    </row>
    <row r="758">
      <c r="A758" s="142"/>
      <c r="F758" s="532"/>
      <c r="G758" s="532"/>
    </row>
    <row r="759">
      <c r="A759" s="142"/>
      <c r="F759" s="532"/>
      <c r="G759" s="532"/>
    </row>
    <row r="760">
      <c r="A760" s="142"/>
      <c r="F760" s="532"/>
      <c r="G760" s="532"/>
    </row>
    <row r="761">
      <c r="A761" s="142"/>
      <c r="F761" s="532"/>
      <c r="G761" s="532"/>
    </row>
    <row r="762">
      <c r="A762" s="142"/>
      <c r="F762" s="532"/>
      <c r="G762" s="532"/>
    </row>
    <row r="763">
      <c r="A763" s="142"/>
      <c r="F763" s="532"/>
      <c r="G763" s="532"/>
    </row>
    <row r="764">
      <c r="A764" s="142"/>
      <c r="F764" s="532"/>
      <c r="G764" s="532"/>
    </row>
    <row r="765">
      <c r="A765" s="142"/>
      <c r="F765" s="532"/>
      <c r="G765" s="532"/>
    </row>
    <row r="766">
      <c r="A766" s="142"/>
      <c r="F766" s="532"/>
      <c r="G766" s="532"/>
    </row>
    <row r="767">
      <c r="A767" s="142"/>
      <c r="F767" s="532"/>
      <c r="G767" s="532"/>
    </row>
    <row r="768">
      <c r="A768" s="142"/>
      <c r="F768" s="532"/>
      <c r="G768" s="532"/>
    </row>
    <row r="769">
      <c r="A769" s="142"/>
      <c r="F769" s="532"/>
      <c r="G769" s="532"/>
    </row>
    <row r="770">
      <c r="A770" s="142"/>
      <c r="F770" s="532"/>
      <c r="G770" s="532"/>
    </row>
    <row r="771">
      <c r="A771" s="142"/>
      <c r="F771" s="532"/>
      <c r="G771" s="532"/>
    </row>
    <row r="772">
      <c r="A772" s="142"/>
      <c r="F772" s="532"/>
      <c r="G772" s="532"/>
    </row>
    <row r="773">
      <c r="A773" s="142"/>
      <c r="F773" s="532"/>
      <c r="G773" s="532"/>
    </row>
    <row r="774">
      <c r="A774" s="142"/>
      <c r="F774" s="532"/>
      <c r="G774" s="532"/>
    </row>
    <row r="775">
      <c r="A775" s="142"/>
      <c r="F775" s="532"/>
      <c r="G775" s="532"/>
    </row>
    <row r="776">
      <c r="A776" s="142"/>
      <c r="F776" s="532"/>
      <c r="G776" s="532"/>
    </row>
    <row r="777">
      <c r="A777" s="142"/>
      <c r="F777" s="532"/>
      <c r="G777" s="532"/>
    </row>
    <row r="778">
      <c r="A778" s="142"/>
      <c r="F778" s="532"/>
      <c r="G778" s="532"/>
    </row>
    <row r="779">
      <c r="A779" s="142"/>
      <c r="F779" s="532"/>
      <c r="G779" s="532"/>
    </row>
    <row r="780">
      <c r="A780" s="142"/>
      <c r="F780" s="532"/>
      <c r="G780" s="532"/>
    </row>
    <row r="781">
      <c r="A781" s="142"/>
      <c r="F781" s="532"/>
      <c r="G781" s="532"/>
    </row>
    <row r="782">
      <c r="A782" s="142"/>
      <c r="F782" s="532"/>
      <c r="G782" s="532"/>
    </row>
    <row r="783">
      <c r="A783" s="142"/>
      <c r="F783" s="532"/>
      <c r="G783" s="532"/>
    </row>
    <row r="784">
      <c r="A784" s="142"/>
      <c r="F784" s="532"/>
      <c r="G784" s="532"/>
    </row>
    <row r="785">
      <c r="A785" s="142"/>
      <c r="F785" s="532"/>
      <c r="G785" s="532"/>
    </row>
    <row r="786">
      <c r="A786" s="142"/>
      <c r="F786" s="532"/>
      <c r="G786" s="532"/>
    </row>
    <row r="787">
      <c r="A787" s="142"/>
      <c r="F787" s="532"/>
      <c r="G787" s="532"/>
    </row>
    <row r="788">
      <c r="A788" s="142"/>
      <c r="F788" s="532"/>
      <c r="G788" s="532"/>
    </row>
    <row r="789">
      <c r="A789" s="142"/>
      <c r="F789" s="532"/>
      <c r="G789" s="532"/>
    </row>
    <row r="790">
      <c r="A790" s="142"/>
      <c r="F790" s="532"/>
      <c r="G790" s="532"/>
    </row>
    <row r="791">
      <c r="A791" s="142"/>
      <c r="F791" s="532"/>
      <c r="G791" s="532"/>
    </row>
    <row r="792">
      <c r="A792" s="142"/>
      <c r="F792" s="532"/>
      <c r="G792" s="532"/>
    </row>
    <row r="793">
      <c r="A793" s="142"/>
      <c r="F793" s="532"/>
      <c r="G793" s="532"/>
    </row>
    <row r="794">
      <c r="A794" s="142"/>
      <c r="F794" s="532"/>
      <c r="G794" s="532"/>
    </row>
    <row r="795">
      <c r="A795" s="142"/>
      <c r="F795" s="532"/>
      <c r="G795" s="532"/>
    </row>
    <row r="796">
      <c r="A796" s="142"/>
      <c r="F796" s="532"/>
      <c r="G796" s="532"/>
    </row>
    <row r="797">
      <c r="A797" s="142"/>
      <c r="F797" s="532"/>
      <c r="G797" s="532"/>
    </row>
    <row r="798">
      <c r="A798" s="142"/>
      <c r="F798" s="532"/>
      <c r="G798" s="532"/>
    </row>
    <row r="799">
      <c r="A799" s="142"/>
      <c r="F799" s="532"/>
      <c r="G799" s="532"/>
    </row>
    <row r="800">
      <c r="A800" s="142"/>
      <c r="F800" s="532"/>
      <c r="G800" s="532"/>
    </row>
    <row r="801">
      <c r="A801" s="142"/>
      <c r="F801" s="532"/>
      <c r="G801" s="532"/>
    </row>
    <row r="802">
      <c r="A802" s="142"/>
      <c r="F802" s="532"/>
      <c r="G802" s="532"/>
    </row>
    <row r="803">
      <c r="A803" s="142"/>
      <c r="F803" s="532"/>
      <c r="G803" s="532"/>
    </row>
    <row r="804">
      <c r="A804" s="142"/>
      <c r="F804" s="532"/>
      <c r="G804" s="532"/>
    </row>
    <row r="805">
      <c r="A805" s="142"/>
      <c r="F805" s="532"/>
      <c r="G805" s="532"/>
    </row>
    <row r="806">
      <c r="A806" s="142"/>
      <c r="F806" s="532"/>
      <c r="G806" s="532"/>
    </row>
    <row r="807">
      <c r="A807" s="142"/>
      <c r="F807" s="532"/>
      <c r="G807" s="532"/>
    </row>
    <row r="808">
      <c r="A808" s="142"/>
      <c r="F808" s="532"/>
      <c r="G808" s="532"/>
    </row>
    <row r="809">
      <c r="A809" s="142"/>
      <c r="F809" s="532"/>
      <c r="G809" s="532"/>
    </row>
    <row r="810">
      <c r="A810" s="142"/>
      <c r="F810" s="532"/>
      <c r="G810" s="532"/>
    </row>
    <row r="811">
      <c r="A811" s="142"/>
      <c r="F811" s="532"/>
      <c r="G811" s="532"/>
    </row>
    <row r="812">
      <c r="A812" s="142"/>
      <c r="F812" s="532"/>
      <c r="G812" s="532"/>
    </row>
    <row r="813">
      <c r="A813" s="142"/>
      <c r="F813" s="532"/>
      <c r="G813" s="532"/>
    </row>
    <row r="814">
      <c r="A814" s="142"/>
      <c r="F814" s="532"/>
      <c r="G814" s="532"/>
    </row>
    <row r="815">
      <c r="A815" s="142"/>
      <c r="F815" s="532"/>
      <c r="G815" s="532"/>
    </row>
    <row r="816">
      <c r="A816" s="142"/>
      <c r="F816" s="532"/>
      <c r="G816" s="532"/>
    </row>
    <row r="817">
      <c r="A817" s="142"/>
      <c r="F817" s="532"/>
      <c r="G817" s="532"/>
    </row>
    <row r="818">
      <c r="A818" s="142"/>
      <c r="F818" s="532"/>
      <c r="G818" s="532"/>
    </row>
    <row r="819">
      <c r="A819" s="142"/>
      <c r="F819" s="532"/>
      <c r="G819" s="532"/>
    </row>
    <row r="820">
      <c r="A820" s="142"/>
      <c r="F820" s="532"/>
      <c r="G820" s="532"/>
    </row>
    <row r="821">
      <c r="A821" s="142"/>
      <c r="F821" s="532"/>
      <c r="G821" s="532"/>
    </row>
    <row r="822">
      <c r="A822" s="142"/>
      <c r="F822" s="532"/>
      <c r="G822" s="532"/>
    </row>
    <row r="823">
      <c r="A823" s="142"/>
      <c r="F823" s="532"/>
      <c r="G823" s="532"/>
    </row>
    <row r="824">
      <c r="A824" s="142"/>
      <c r="F824" s="532"/>
      <c r="G824" s="532"/>
    </row>
    <row r="825">
      <c r="A825" s="142"/>
      <c r="F825" s="532"/>
      <c r="G825" s="532"/>
    </row>
    <row r="826">
      <c r="A826" s="142"/>
      <c r="F826" s="532"/>
      <c r="G826" s="532"/>
    </row>
    <row r="827">
      <c r="A827" s="142"/>
      <c r="F827" s="532"/>
      <c r="G827" s="532"/>
    </row>
    <row r="828">
      <c r="A828" s="142"/>
      <c r="F828" s="532"/>
      <c r="G828" s="532"/>
    </row>
    <row r="829">
      <c r="A829" s="142"/>
      <c r="F829" s="532"/>
      <c r="G829" s="532"/>
    </row>
    <row r="830">
      <c r="A830" s="142"/>
      <c r="F830" s="532"/>
      <c r="G830" s="532"/>
    </row>
    <row r="831">
      <c r="A831" s="142"/>
      <c r="F831" s="532"/>
      <c r="G831" s="532"/>
    </row>
    <row r="832">
      <c r="A832" s="142"/>
      <c r="F832" s="532"/>
      <c r="G832" s="532"/>
    </row>
    <row r="833">
      <c r="A833" s="142"/>
      <c r="F833" s="532"/>
      <c r="G833" s="532"/>
    </row>
    <row r="834">
      <c r="A834" s="142"/>
      <c r="F834" s="532"/>
      <c r="G834" s="532"/>
    </row>
    <row r="835">
      <c r="A835" s="142"/>
      <c r="F835" s="532"/>
      <c r="G835" s="532"/>
    </row>
    <row r="836">
      <c r="A836" s="142"/>
      <c r="F836" s="532"/>
      <c r="G836" s="532"/>
    </row>
    <row r="837">
      <c r="A837" s="142"/>
      <c r="F837" s="532"/>
      <c r="G837" s="532"/>
    </row>
    <row r="838">
      <c r="A838" s="142"/>
      <c r="F838" s="532"/>
      <c r="G838" s="532"/>
    </row>
    <row r="839">
      <c r="A839" s="142"/>
      <c r="F839" s="532"/>
      <c r="G839" s="532"/>
    </row>
    <row r="840">
      <c r="A840" s="142"/>
      <c r="F840" s="532"/>
      <c r="G840" s="532"/>
    </row>
    <row r="841">
      <c r="A841" s="142"/>
      <c r="F841" s="532"/>
      <c r="G841" s="532"/>
    </row>
    <row r="842">
      <c r="A842" s="142"/>
      <c r="F842" s="532"/>
      <c r="G842" s="532"/>
    </row>
    <row r="843">
      <c r="A843" s="142"/>
      <c r="F843" s="532"/>
      <c r="G843" s="532"/>
    </row>
    <row r="844">
      <c r="A844" s="142"/>
      <c r="F844" s="532"/>
      <c r="G844" s="532"/>
    </row>
    <row r="845">
      <c r="A845" s="142"/>
      <c r="F845" s="532"/>
      <c r="G845" s="532"/>
    </row>
    <row r="846">
      <c r="A846" s="142"/>
      <c r="F846" s="532"/>
      <c r="G846" s="532"/>
    </row>
    <row r="847">
      <c r="A847" s="142"/>
      <c r="F847" s="532"/>
      <c r="G847" s="532"/>
    </row>
    <row r="848">
      <c r="A848" s="142"/>
      <c r="F848" s="532"/>
      <c r="G848" s="532"/>
    </row>
    <row r="849">
      <c r="A849" s="142"/>
      <c r="F849" s="532"/>
      <c r="G849" s="532"/>
    </row>
    <row r="850">
      <c r="A850" s="142"/>
      <c r="F850" s="532"/>
      <c r="G850" s="532"/>
    </row>
    <row r="851">
      <c r="A851" s="142"/>
      <c r="F851" s="532"/>
      <c r="G851" s="532"/>
    </row>
    <row r="852">
      <c r="A852" s="142"/>
      <c r="F852" s="532"/>
      <c r="G852" s="532"/>
    </row>
    <row r="853">
      <c r="A853" s="142"/>
      <c r="F853" s="532"/>
      <c r="G853" s="532"/>
    </row>
    <row r="854">
      <c r="A854" s="142"/>
      <c r="F854" s="532"/>
      <c r="G854" s="532"/>
    </row>
    <row r="855">
      <c r="A855" s="142"/>
      <c r="F855" s="532"/>
      <c r="G855" s="532"/>
    </row>
    <row r="856">
      <c r="A856" s="142"/>
      <c r="F856" s="532"/>
      <c r="G856" s="532"/>
    </row>
    <row r="857">
      <c r="A857" s="142"/>
      <c r="F857" s="532"/>
      <c r="G857" s="532"/>
    </row>
    <row r="858">
      <c r="A858" s="142"/>
      <c r="F858" s="532"/>
      <c r="G858" s="532"/>
    </row>
    <row r="859">
      <c r="A859" s="142"/>
      <c r="F859" s="532"/>
      <c r="G859" s="532"/>
    </row>
    <row r="860">
      <c r="A860" s="142"/>
      <c r="F860" s="532"/>
      <c r="G860" s="532"/>
    </row>
    <row r="861">
      <c r="A861" s="142"/>
      <c r="F861" s="532"/>
      <c r="G861" s="532"/>
    </row>
    <row r="862">
      <c r="A862" s="142"/>
      <c r="F862" s="532"/>
      <c r="G862" s="532"/>
    </row>
    <row r="863">
      <c r="A863" s="142"/>
      <c r="F863" s="532"/>
      <c r="G863" s="532"/>
    </row>
    <row r="864">
      <c r="A864" s="142"/>
      <c r="F864" s="532"/>
      <c r="G864" s="532"/>
    </row>
    <row r="865">
      <c r="A865" s="142"/>
      <c r="F865" s="532"/>
      <c r="G865" s="532"/>
    </row>
    <row r="866">
      <c r="A866" s="142"/>
      <c r="F866" s="532"/>
      <c r="G866" s="532"/>
    </row>
    <row r="867">
      <c r="A867" s="142"/>
      <c r="F867" s="532"/>
      <c r="G867" s="532"/>
    </row>
    <row r="868">
      <c r="A868" s="142"/>
      <c r="F868" s="532"/>
      <c r="G868" s="532"/>
    </row>
    <row r="869">
      <c r="A869" s="142"/>
      <c r="F869" s="532"/>
      <c r="G869" s="532"/>
    </row>
    <row r="870">
      <c r="A870" s="142"/>
      <c r="F870" s="532"/>
      <c r="G870" s="532"/>
    </row>
    <row r="871">
      <c r="A871" s="142"/>
      <c r="F871" s="532"/>
      <c r="G871" s="532"/>
    </row>
    <row r="872">
      <c r="A872" s="142"/>
      <c r="F872" s="532"/>
      <c r="G872" s="532"/>
    </row>
    <row r="873">
      <c r="A873" s="142"/>
      <c r="F873" s="532"/>
      <c r="G873" s="532"/>
    </row>
    <row r="874">
      <c r="A874" s="142"/>
      <c r="F874" s="532"/>
      <c r="G874" s="532"/>
    </row>
    <row r="875">
      <c r="A875" s="142"/>
      <c r="F875" s="532"/>
      <c r="G875" s="532"/>
    </row>
    <row r="876">
      <c r="A876" s="142"/>
      <c r="F876" s="532"/>
      <c r="G876" s="532"/>
    </row>
    <row r="877">
      <c r="A877" s="142"/>
      <c r="F877" s="532"/>
      <c r="G877" s="532"/>
    </row>
    <row r="878">
      <c r="A878" s="142"/>
      <c r="F878" s="532"/>
      <c r="G878" s="532"/>
    </row>
    <row r="879">
      <c r="A879" s="142"/>
      <c r="F879" s="532"/>
      <c r="G879" s="532"/>
    </row>
    <row r="880">
      <c r="A880" s="142"/>
      <c r="F880" s="532"/>
      <c r="G880" s="532"/>
    </row>
    <row r="881">
      <c r="A881" s="142"/>
      <c r="F881" s="532"/>
      <c r="G881" s="532"/>
    </row>
    <row r="882">
      <c r="A882" s="142"/>
      <c r="F882" s="532"/>
      <c r="G882" s="532"/>
    </row>
    <row r="883">
      <c r="A883" s="142"/>
      <c r="F883" s="532"/>
      <c r="G883" s="532"/>
    </row>
    <row r="884">
      <c r="A884" s="142"/>
      <c r="F884" s="532"/>
      <c r="G884" s="532"/>
    </row>
    <row r="885">
      <c r="A885" s="142"/>
      <c r="F885" s="532"/>
      <c r="G885" s="532"/>
    </row>
    <row r="886">
      <c r="A886" s="142"/>
      <c r="F886" s="532"/>
      <c r="G886" s="532"/>
    </row>
    <row r="887">
      <c r="A887" s="142"/>
      <c r="F887" s="532"/>
      <c r="G887" s="532"/>
    </row>
    <row r="888">
      <c r="A888" s="142"/>
      <c r="F888" s="532"/>
      <c r="G888" s="532"/>
    </row>
    <row r="889">
      <c r="A889" s="142"/>
      <c r="F889" s="532"/>
      <c r="G889" s="532"/>
    </row>
    <row r="890">
      <c r="A890" s="142"/>
      <c r="F890" s="532"/>
      <c r="G890" s="532"/>
    </row>
    <row r="891">
      <c r="A891" s="142"/>
      <c r="F891" s="532"/>
      <c r="G891" s="532"/>
    </row>
    <row r="892">
      <c r="A892" s="142"/>
      <c r="F892" s="532"/>
      <c r="G892" s="532"/>
    </row>
    <row r="893">
      <c r="A893" s="142"/>
      <c r="F893" s="532"/>
      <c r="G893" s="532"/>
    </row>
    <row r="894">
      <c r="A894" s="142"/>
      <c r="F894" s="532"/>
      <c r="G894" s="532"/>
    </row>
    <row r="895">
      <c r="A895" s="142"/>
      <c r="F895" s="532"/>
      <c r="G895" s="532"/>
    </row>
    <row r="896">
      <c r="A896" s="142"/>
      <c r="F896" s="532"/>
      <c r="G896" s="532"/>
    </row>
    <row r="897">
      <c r="A897" s="142"/>
      <c r="F897" s="532"/>
      <c r="G897" s="532"/>
    </row>
    <row r="898">
      <c r="A898" s="142"/>
      <c r="F898" s="532"/>
      <c r="G898" s="532"/>
    </row>
    <row r="899">
      <c r="A899" s="142"/>
      <c r="F899" s="532"/>
      <c r="G899" s="532"/>
    </row>
    <row r="900">
      <c r="A900" s="142"/>
      <c r="F900" s="532"/>
      <c r="G900" s="532"/>
    </row>
    <row r="901">
      <c r="A901" s="142"/>
      <c r="F901" s="532"/>
      <c r="G901" s="532"/>
    </row>
    <row r="902">
      <c r="A902" s="142"/>
      <c r="F902" s="532"/>
      <c r="G902" s="532"/>
    </row>
    <row r="903">
      <c r="A903" s="142"/>
      <c r="F903" s="532"/>
      <c r="G903" s="532"/>
    </row>
    <row r="904">
      <c r="A904" s="142"/>
      <c r="F904" s="532"/>
      <c r="G904" s="532"/>
    </row>
    <row r="905">
      <c r="A905" s="142"/>
      <c r="F905" s="532"/>
      <c r="G905" s="532"/>
    </row>
    <row r="906">
      <c r="A906" s="142"/>
      <c r="F906" s="532"/>
      <c r="G906" s="532"/>
    </row>
    <row r="907">
      <c r="A907" s="142"/>
      <c r="F907" s="532"/>
      <c r="G907" s="532"/>
    </row>
    <row r="908">
      <c r="A908" s="142"/>
      <c r="F908" s="532"/>
      <c r="G908" s="532"/>
    </row>
    <row r="909">
      <c r="A909" s="142"/>
      <c r="F909" s="532"/>
      <c r="G909" s="532"/>
    </row>
    <row r="910">
      <c r="A910" s="142"/>
      <c r="F910" s="532"/>
      <c r="G910" s="532"/>
    </row>
    <row r="911">
      <c r="A911" s="142"/>
      <c r="F911" s="532"/>
      <c r="G911" s="532"/>
    </row>
    <row r="912">
      <c r="A912" s="142"/>
      <c r="F912" s="532"/>
      <c r="G912" s="532"/>
    </row>
    <row r="913">
      <c r="A913" s="142"/>
      <c r="F913" s="532"/>
      <c r="G913" s="532"/>
    </row>
    <row r="914">
      <c r="A914" s="142"/>
      <c r="F914" s="532"/>
      <c r="G914" s="532"/>
    </row>
    <row r="915">
      <c r="A915" s="142"/>
      <c r="F915" s="532"/>
      <c r="G915" s="532"/>
    </row>
    <row r="916">
      <c r="A916" s="142"/>
      <c r="F916" s="532"/>
      <c r="G916" s="532"/>
    </row>
    <row r="917">
      <c r="A917" s="142"/>
      <c r="F917" s="532"/>
      <c r="G917" s="532"/>
    </row>
    <row r="918">
      <c r="A918" s="142"/>
      <c r="F918" s="532"/>
      <c r="G918" s="532"/>
    </row>
    <row r="919">
      <c r="A919" s="142"/>
      <c r="F919" s="532"/>
      <c r="G919" s="532"/>
    </row>
    <row r="920">
      <c r="A920" s="142"/>
      <c r="F920" s="532"/>
      <c r="G920" s="532"/>
    </row>
    <row r="921">
      <c r="A921" s="142"/>
      <c r="F921" s="532"/>
      <c r="G921" s="532"/>
    </row>
    <row r="922">
      <c r="A922" s="142"/>
      <c r="F922" s="532"/>
      <c r="G922" s="532"/>
    </row>
    <row r="923">
      <c r="A923" s="142"/>
      <c r="F923" s="532"/>
      <c r="G923" s="532"/>
    </row>
    <row r="924">
      <c r="A924" s="142"/>
      <c r="F924" s="532"/>
      <c r="G924" s="532"/>
    </row>
    <row r="925">
      <c r="A925" s="142"/>
      <c r="F925" s="532"/>
      <c r="G925" s="532"/>
    </row>
    <row r="926">
      <c r="A926" s="142"/>
      <c r="F926" s="532"/>
      <c r="G926" s="532"/>
    </row>
    <row r="927">
      <c r="A927" s="142"/>
      <c r="F927" s="532"/>
      <c r="G927" s="532"/>
    </row>
    <row r="928">
      <c r="A928" s="142"/>
      <c r="F928" s="532"/>
      <c r="G928" s="532"/>
    </row>
    <row r="929">
      <c r="A929" s="142"/>
      <c r="F929" s="532"/>
      <c r="G929" s="532"/>
    </row>
    <row r="930">
      <c r="A930" s="142"/>
      <c r="F930" s="532"/>
      <c r="G930" s="532"/>
    </row>
    <row r="931">
      <c r="A931" s="142"/>
      <c r="F931" s="532"/>
      <c r="G931" s="532"/>
    </row>
    <row r="932">
      <c r="A932" s="142"/>
      <c r="F932" s="532"/>
      <c r="G932" s="532"/>
    </row>
    <row r="933">
      <c r="A933" s="142"/>
      <c r="F933" s="532"/>
      <c r="G933" s="532"/>
    </row>
    <row r="934">
      <c r="A934" s="142"/>
      <c r="F934" s="532"/>
      <c r="G934" s="532"/>
    </row>
    <row r="935">
      <c r="A935" s="142"/>
      <c r="F935" s="532"/>
      <c r="G935" s="532"/>
    </row>
    <row r="936">
      <c r="A936" s="142"/>
      <c r="F936" s="532"/>
      <c r="G936" s="532"/>
    </row>
    <row r="937">
      <c r="A937" s="142"/>
      <c r="F937" s="532"/>
      <c r="G937" s="532"/>
    </row>
    <row r="938">
      <c r="A938" s="142"/>
      <c r="F938" s="532"/>
      <c r="G938" s="532"/>
    </row>
    <row r="939">
      <c r="A939" s="142"/>
      <c r="F939" s="532"/>
      <c r="G939" s="532"/>
    </row>
    <row r="940">
      <c r="A940" s="142"/>
      <c r="F940" s="532"/>
      <c r="G940" s="532"/>
    </row>
    <row r="941">
      <c r="A941" s="142"/>
      <c r="F941" s="532"/>
      <c r="G941" s="532"/>
    </row>
    <row r="942">
      <c r="A942" s="142"/>
      <c r="F942" s="532"/>
      <c r="G942" s="532"/>
    </row>
    <row r="943">
      <c r="A943" s="142"/>
      <c r="F943" s="532"/>
      <c r="G943" s="532"/>
    </row>
    <row r="944">
      <c r="A944" s="142"/>
      <c r="F944" s="532"/>
      <c r="G944" s="532"/>
    </row>
    <row r="945">
      <c r="A945" s="142"/>
      <c r="F945" s="532"/>
      <c r="G945" s="532"/>
    </row>
    <row r="946">
      <c r="A946" s="142"/>
      <c r="F946" s="532"/>
      <c r="G946" s="532"/>
    </row>
    <row r="947">
      <c r="A947" s="142"/>
      <c r="F947" s="532"/>
      <c r="G947" s="532"/>
    </row>
    <row r="948">
      <c r="A948" s="142"/>
      <c r="F948" s="532"/>
      <c r="G948" s="532"/>
    </row>
    <row r="949">
      <c r="A949" s="142"/>
      <c r="F949" s="532"/>
      <c r="G949" s="532"/>
    </row>
    <row r="950">
      <c r="A950" s="142"/>
      <c r="F950" s="532"/>
      <c r="G950" s="532"/>
    </row>
    <row r="951">
      <c r="A951" s="142"/>
      <c r="F951" s="532"/>
      <c r="G951" s="532"/>
    </row>
    <row r="952">
      <c r="A952" s="142"/>
      <c r="F952" s="532"/>
      <c r="G952" s="532"/>
    </row>
    <row r="953">
      <c r="A953" s="142"/>
      <c r="F953" s="532"/>
      <c r="G953" s="532"/>
    </row>
    <row r="954">
      <c r="A954" s="142"/>
      <c r="F954" s="532"/>
      <c r="G954" s="532"/>
    </row>
    <row r="955">
      <c r="A955" s="142"/>
      <c r="F955" s="532"/>
      <c r="G955" s="532"/>
    </row>
    <row r="956">
      <c r="A956" s="142"/>
      <c r="F956" s="532"/>
      <c r="G956" s="532"/>
    </row>
    <row r="957">
      <c r="A957" s="142"/>
      <c r="F957" s="532"/>
      <c r="G957" s="532"/>
    </row>
    <row r="958">
      <c r="A958" s="142"/>
      <c r="F958" s="532"/>
      <c r="G958" s="532"/>
    </row>
    <row r="959">
      <c r="A959" s="142"/>
      <c r="F959" s="532"/>
      <c r="G959" s="532"/>
    </row>
    <row r="960">
      <c r="A960" s="142"/>
      <c r="F960" s="532"/>
      <c r="G960" s="532"/>
    </row>
    <row r="961">
      <c r="A961" s="142"/>
      <c r="F961" s="532"/>
      <c r="G961" s="532"/>
    </row>
    <row r="962">
      <c r="A962" s="142"/>
      <c r="F962" s="532"/>
      <c r="G962" s="532"/>
    </row>
    <row r="963">
      <c r="A963" s="142"/>
      <c r="F963" s="532"/>
      <c r="G963" s="532"/>
    </row>
    <row r="964">
      <c r="A964" s="142"/>
      <c r="F964" s="532"/>
      <c r="G964" s="532"/>
    </row>
    <row r="965">
      <c r="A965" s="142"/>
      <c r="F965" s="532"/>
      <c r="G965" s="532"/>
    </row>
    <row r="966">
      <c r="A966" s="142"/>
      <c r="F966" s="532"/>
      <c r="G966" s="532"/>
    </row>
    <row r="967">
      <c r="A967" s="142"/>
      <c r="F967" s="532"/>
      <c r="G967" s="532"/>
    </row>
    <row r="968">
      <c r="A968" s="142"/>
      <c r="F968" s="532"/>
      <c r="G968" s="532"/>
    </row>
    <row r="969">
      <c r="A969" s="142"/>
      <c r="F969" s="532"/>
      <c r="G969" s="532"/>
    </row>
    <row r="970">
      <c r="A970" s="142"/>
      <c r="F970" s="532"/>
      <c r="G970" s="532"/>
    </row>
    <row r="971">
      <c r="A971" s="142"/>
      <c r="F971" s="532"/>
      <c r="G971" s="532"/>
    </row>
    <row r="972">
      <c r="A972" s="142"/>
      <c r="F972" s="532"/>
      <c r="G972" s="532"/>
    </row>
    <row r="973">
      <c r="A973" s="142"/>
      <c r="F973" s="532"/>
      <c r="G973" s="532"/>
    </row>
    <row r="974">
      <c r="A974" s="142"/>
      <c r="F974" s="532"/>
      <c r="G974" s="532"/>
    </row>
    <row r="975">
      <c r="A975" s="142"/>
      <c r="F975" s="532"/>
      <c r="G975" s="532"/>
    </row>
    <row r="976">
      <c r="A976" s="142"/>
      <c r="F976" s="532"/>
      <c r="G976" s="532"/>
    </row>
    <row r="977">
      <c r="A977" s="142"/>
      <c r="F977" s="532"/>
      <c r="G977" s="532"/>
    </row>
    <row r="978">
      <c r="A978" s="142"/>
      <c r="F978" s="532"/>
      <c r="G978" s="532"/>
    </row>
    <row r="979">
      <c r="A979" s="142"/>
      <c r="F979" s="532"/>
      <c r="G979" s="532"/>
    </row>
    <row r="980">
      <c r="A980" s="142"/>
      <c r="F980" s="532"/>
      <c r="G980" s="532"/>
    </row>
    <row r="981">
      <c r="A981" s="142"/>
      <c r="F981" s="532"/>
      <c r="G981" s="532"/>
    </row>
    <row r="982">
      <c r="A982" s="142"/>
      <c r="F982" s="532"/>
      <c r="G982" s="532"/>
    </row>
    <row r="983">
      <c r="A983" s="142"/>
      <c r="F983" s="532"/>
      <c r="G983" s="532"/>
    </row>
    <row r="984">
      <c r="A984" s="142"/>
      <c r="F984" s="532"/>
      <c r="G984" s="532"/>
    </row>
    <row r="985">
      <c r="A985" s="142"/>
      <c r="F985" s="532"/>
      <c r="G985" s="532"/>
    </row>
    <row r="986">
      <c r="A986" s="142"/>
      <c r="F986" s="532"/>
      <c r="G986" s="532"/>
    </row>
    <row r="987">
      <c r="A987" s="142"/>
      <c r="F987" s="532"/>
      <c r="G987" s="532"/>
    </row>
    <row r="988">
      <c r="A988" s="142"/>
      <c r="F988" s="532"/>
      <c r="G988" s="532"/>
    </row>
    <row r="989">
      <c r="A989" s="142"/>
      <c r="F989" s="532"/>
      <c r="G989" s="532"/>
    </row>
    <row r="990">
      <c r="A990" s="142"/>
      <c r="F990" s="532"/>
      <c r="G990" s="532"/>
    </row>
    <row r="991">
      <c r="A991" s="142"/>
      <c r="F991" s="532"/>
      <c r="G991" s="532"/>
    </row>
    <row r="992">
      <c r="A992" s="142"/>
      <c r="F992" s="532"/>
      <c r="G992" s="532"/>
    </row>
    <row r="993">
      <c r="A993" s="142"/>
      <c r="F993" s="532"/>
      <c r="G993" s="532"/>
    </row>
    <row r="994">
      <c r="A994" s="142"/>
      <c r="F994" s="532"/>
      <c r="G994" s="532"/>
    </row>
    <row r="995">
      <c r="A995" s="142"/>
      <c r="F995" s="532"/>
      <c r="G995" s="532"/>
    </row>
    <row r="996">
      <c r="A996" s="142"/>
      <c r="F996" s="532"/>
      <c r="G996" s="532"/>
    </row>
    <row r="997">
      <c r="A997" s="142"/>
      <c r="F997" s="532"/>
      <c r="G997" s="532"/>
    </row>
    <row r="998">
      <c r="A998" s="142"/>
      <c r="F998" s="532"/>
      <c r="G998" s="532"/>
    </row>
    <row r="999">
      <c r="A999" s="142"/>
      <c r="F999" s="532"/>
      <c r="G999" s="532"/>
    </row>
    <row r="1000">
      <c r="A1000" s="142"/>
      <c r="F1000" s="532"/>
      <c r="G1000" s="532"/>
    </row>
  </sheetData>
  <dataValidations>
    <dataValidation type="custom" allowBlank="1" showDropDown="1" sqref="B2:B10">
      <formula1>AND(ISNUMBER(B2),(NOT(OR(NOT(ISERROR(DATEVALUE(B2))), AND(ISNUMBER(B2), LEFT(CELL("format", B2))="D")))))</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2"/>
  <cols>
    <col customWidth="1" min="1" max="1" width="15.38"/>
    <col customWidth="1" min="3" max="3" width="20.0"/>
    <col customWidth="1" min="4" max="4" width="20.88"/>
    <col customWidth="1" min="5" max="6" width="19.13"/>
  </cols>
  <sheetData>
    <row r="1" ht="22.5" customHeight="1">
      <c r="A1" s="242" t="s">
        <v>24</v>
      </c>
      <c r="B1" s="70" t="s">
        <v>0</v>
      </c>
      <c r="C1" s="72" t="s">
        <v>106</v>
      </c>
      <c r="D1" s="534" t="s">
        <v>1562</v>
      </c>
      <c r="E1" s="72" t="s">
        <v>107</v>
      </c>
      <c r="F1" s="72" t="s">
        <v>111</v>
      </c>
    </row>
    <row r="2" ht="22.5" customHeight="1">
      <c r="A2" s="204">
        <v>45413.0</v>
      </c>
      <c r="B2" s="164" t="s">
        <v>27</v>
      </c>
      <c r="C2" s="87">
        <v>45413.0</v>
      </c>
      <c r="D2" s="535" t="s">
        <v>2469</v>
      </c>
      <c r="E2" s="87">
        <v>45413.0</v>
      </c>
      <c r="F2" s="90"/>
    </row>
    <row r="3" ht="22.5" customHeight="1">
      <c r="A3" s="204">
        <v>45413.0</v>
      </c>
      <c r="B3" s="164" t="s">
        <v>50</v>
      </c>
      <c r="C3" s="87">
        <v>45415.0</v>
      </c>
      <c r="D3" s="535" t="s">
        <v>2472</v>
      </c>
      <c r="E3" s="87">
        <v>45422.0</v>
      </c>
      <c r="F3" s="164" t="s">
        <v>2473</v>
      </c>
    </row>
    <row r="4" ht="22.5" customHeight="1">
      <c r="A4" s="204">
        <v>45413.0</v>
      </c>
      <c r="B4" s="164" t="s">
        <v>33</v>
      </c>
      <c r="C4" s="87">
        <v>45415.0</v>
      </c>
      <c r="D4" s="535" t="s">
        <v>2476</v>
      </c>
      <c r="E4" s="87">
        <v>45415.0</v>
      </c>
      <c r="F4" s="90"/>
    </row>
    <row r="5" ht="22.5" customHeight="1">
      <c r="A5" s="204">
        <v>45413.0</v>
      </c>
      <c r="B5" s="164" t="s">
        <v>43</v>
      </c>
      <c r="C5" s="87">
        <v>45418.0</v>
      </c>
      <c r="D5" s="535" t="s">
        <v>2479</v>
      </c>
      <c r="E5" s="87">
        <v>45418.0</v>
      </c>
      <c r="F5" s="90" t="s">
        <v>2479</v>
      </c>
    </row>
    <row r="6" ht="22.5" customHeight="1">
      <c r="A6" s="204">
        <v>45413.0</v>
      </c>
      <c r="B6" s="164" t="s">
        <v>10</v>
      </c>
      <c r="C6" s="87">
        <v>45425.0</v>
      </c>
      <c r="D6" s="535" t="s">
        <v>2480</v>
      </c>
      <c r="E6" s="87">
        <v>45427.0</v>
      </c>
      <c r="F6" s="90"/>
    </row>
    <row r="7" ht="22.5" customHeight="1">
      <c r="A7" s="204">
        <v>45413.0</v>
      </c>
      <c r="B7" s="164" t="s">
        <v>22</v>
      </c>
      <c r="C7" s="87">
        <v>45427.0</v>
      </c>
      <c r="D7" s="535" t="s">
        <v>2482</v>
      </c>
      <c r="E7" s="122">
        <v>45427.0</v>
      </c>
      <c r="F7" s="90"/>
    </row>
    <row r="8" ht="22.5" customHeight="1">
      <c r="A8" s="204">
        <v>45413.0</v>
      </c>
      <c r="B8" s="164" t="s">
        <v>49</v>
      </c>
      <c r="C8" s="87">
        <v>45429.0</v>
      </c>
      <c r="D8" s="535" t="s">
        <v>2485</v>
      </c>
      <c r="E8" s="87">
        <v>45429.0</v>
      </c>
      <c r="F8" s="90"/>
    </row>
    <row r="9" ht="22.5" customHeight="1">
      <c r="A9" s="204">
        <v>45413.0</v>
      </c>
      <c r="B9" s="164" t="s">
        <v>34</v>
      </c>
      <c r="C9" s="87">
        <v>45449.0</v>
      </c>
      <c r="D9" s="535" t="s">
        <v>2487</v>
      </c>
      <c r="E9" s="87">
        <v>45449.0</v>
      </c>
      <c r="F9" s="90"/>
    </row>
    <row r="10" ht="22.5" customHeight="1">
      <c r="A10" s="204">
        <v>45413.0</v>
      </c>
      <c r="B10" s="164" t="s">
        <v>73</v>
      </c>
      <c r="C10" s="87">
        <v>45461.0</v>
      </c>
      <c r="D10" s="535" t="s">
        <v>2490</v>
      </c>
      <c r="E10" s="87">
        <v>45446.0</v>
      </c>
      <c r="F10" s="90" t="s">
        <v>2491</v>
      </c>
    </row>
    <row r="11" ht="22.5" customHeight="1">
      <c r="A11" s="204">
        <v>45413.0</v>
      </c>
      <c r="B11" s="164" t="s">
        <v>58</v>
      </c>
      <c r="C11" s="96">
        <v>45462.0</v>
      </c>
      <c r="D11" s="535" t="s">
        <v>2492</v>
      </c>
      <c r="E11" s="536">
        <v>45462.0</v>
      </c>
      <c r="F11" s="537" t="s">
        <v>2494</v>
      </c>
    </row>
    <row r="12" ht="22.5" customHeight="1">
      <c r="A12" s="204">
        <v>45413.0</v>
      </c>
      <c r="B12" s="89" t="s">
        <v>59</v>
      </c>
      <c r="C12" s="96">
        <v>45462.0</v>
      </c>
      <c r="D12" s="535" t="s">
        <v>2492</v>
      </c>
      <c r="E12" s="536">
        <v>45462.0</v>
      </c>
      <c r="F12" s="537" t="s">
        <v>2494</v>
      </c>
    </row>
    <row r="13" ht="22.5" customHeight="1">
      <c r="A13" s="204">
        <v>45413.0</v>
      </c>
      <c r="B13" s="164" t="s">
        <v>46</v>
      </c>
      <c r="C13" s="87">
        <v>45476.0</v>
      </c>
      <c r="D13" s="535" t="s">
        <v>2498</v>
      </c>
      <c r="E13" s="87">
        <v>45476.0</v>
      </c>
      <c r="F13" s="90"/>
    </row>
    <row r="14" ht="22.5" customHeight="1">
      <c r="A14" s="204">
        <v>45413.0</v>
      </c>
      <c r="B14" s="164" t="s">
        <v>25</v>
      </c>
      <c r="C14" s="170">
        <v>45594.0</v>
      </c>
      <c r="D14" s="538" t="s">
        <v>2500</v>
      </c>
      <c r="E14" s="170">
        <v>45594.0</v>
      </c>
      <c r="F14" s="164"/>
    </row>
    <row r="15" ht="22.5" customHeight="1">
      <c r="A15" s="204">
        <v>45413.0</v>
      </c>
      <c r="B15" s="420" t="s">
        <v>69</v>
      </c>
      <c r="C15" s="38"/>
      <c r="D15" s="539" t="s">
        <v>2502</v>
      </c>
      <c r="E15" s="38"/>
      <c r="F15" s="51"/>
    </row>
    <row r="16" ht="22.5" customHeight="1">
      <c r="A16" s="42">
        <v>45444.0</v>
      </c>
      <c r="B16" s="164" t="s">
        <v>62</v>
      </c>
      <c r="C16" s="87">
        <v>45446.0</v>
      </c>
      <c r="D16" s="540" t="s">
        <v>2505</v>
      </c>
      <c r="E16" s="87">
        <v>45446.0</v>
      </c>
      <c r="F16" s="90"/>
    </row>
    <row r="17" ht="22.5" customHeight="1">
      <c r="A17" s="42">
        <v>45444.0</v>
      </c>
      <c r="B17" s="164" t="s">
        <v>70</v>
      </c>
      <c r="C17" s="96">
        <v>45446.0</v>
      </c>
      <c r="D17" s="540" t="s">
        <v>2508</v>
      </c>
      <c r="E17" s="96">
        <v>45446.0</v>
      </c>
      <c r="F17" s="90"/>
    </row>
    <row r="18" ht="22.5" customHeight="1">
      <c r="A18" s="42">
        <v>45444.0</v>
      </c>
      <c r="B18" s="164" t="s">
        <v>65</v>
      </c>
      <c r="C18" s="87">
        <v>45449.0</v>
      </c>
      <c r="D18" s="535" t="s">
        <v>2509</v>
      </c>
      <c r="E18" s="87">
        <v>45449.0</v>
      </c>
      <c r="F18" s="90"/>
    </row>
    <row r="19" ht="22.5" customHeight="1">
      <c r="A19" s="42">
        <v>45444.0</v>
      </c>
      <c r="B19" s="164" t="s">
        <v>38</v>
      </c>
      <c r="C19" s="96">
        <v>45449.0</v>
      </c>
      <c r="D19" s="540" t="s">
        <v>2510</v>
      </c>
      <c r="E19" s="96">
        <v>45449.0</v>
      </c>
      <c r="F19" s="90"/>
    </row>
    <row r="20" ht="22.5" customHeight="1">
      <c r="A20" s="42">
        <v>45444.0</v>
      </c>
      <c r="B20" s="164" t="s">
        <v>66</v>
      </c>
      <c r="C20" s="96">
        <v>45450.0</v>
      </c>
      <c r="D20" s="540" t="s">
        <v>2510</v>
      </c>
      <c r="E20" s="96">
        <v>45450.0</v>
      </c>
      <c r="F20" s="90"/>
    </row>
    <row r="21" ht="22.5" customHeight="1">
      <c r="A21" s="42">
        <v>45444.0</v>
      </c>
      <c r="B21" s="164" t="s">
        <v>67</v>
      </c>
      <c r="C21" s="87">
        <v>45460.0</v>
      </c>
      <c r="D21" s="540" t="s">
        <v>2513</v>
      </c>
      <c r="E21" s="87">
        <v>45460.0</v>
      </c>
      <c r="F21" s="90"/>
    </row>
    <row r="22" ht="22.5" customHeight="1">
      <c r="A22" s="42">
        <v>45444.0</v>
      </c>
      <c r="B22" s="164" t="s">
        <v>41</v>
      </c>
      <c r="C22" s="87">
        <v>45461.0</v>
      </c>
      <c r="D22" s="540" t="s">
        <v>2515</v>
      </c>
      <c r="E22" s="87">
        <v>45461.0</v>
      </c>
      <c r="F22" s="90"/>
    </row>
    <row r="23" ht="22.5" customHeight="1">
      <c r="A23" s="42">
        <v>45444.0</v>
      </c>
      <c r="B23" s="164" t="s">
        <v>55</v>
      </c>
      <c r="C23" s="87">
        <v>45468.0</v>
      </c>
      <c r="D23" s="540" t="s">
        <v>2517</v>
      </c>
      <c r="E23" s="87">
        <v>45468.0</v>
      </c>
      <c r="F23" s="90"/>
    </row>
    <row r="24" ht="22.5" customHeight="1">
      <c r="A24" s="42">
        <v>45444.0</v>
      </c>
      <c r="B24" s="164" t="s">
        <v>75</v>
      </c>
      <c r="C24" s="87">
        <v>45470.0</v>
      </c>
      <c r="D24" s="535" t="s">
        <v>2519</v>
      </c>
      <c r="E24" s="87">
        <v>45470.0</v>
      </c>
      <c r="F24" s="90"/>
    </row>
    <row r="25" ht="22.5" customHeight="1">
      <c r="A25" s="42">
        <v>45444.0</v>
      </c>
      <c r="B25" s="164" t="s">
        <v>53</v>
      </c>
      <c r="C25" s="87">
        <v>45471.0</v>
      </c>
      <c r="D25" s="540" t="s">
        <v>2520</v>
      </c>
      <c r="E25" s="87">
        <v>45471.0</v>
      </c>
      <c r="F25" s="90"/>
    </row>
    <row r="26" ht="22.5" customHeight="1">
      <c r="A26" s="42">
        <v>45444.0</v>
      </c>
      <c r="B26" s="164" t="s">
        <v>57</v>
      </c>
      <c r="C26" s="87">
        <v>45471.0</v>
      </c>
      <c r="D26" s="540" t="s">
        <v>2522</v>
      </c>
      <c r="E26" s="87">
        <v>45471.0</v>
      </c>
      <c r="F26" s="90"/>
    </row>
    <row r="27" ht="22.5" customHeight="1">
      <c r="A27" s="42">
        <v>45444.0</v>
      </c>
      <c r="B27" s="164" t="s">
        <v>71</v>
      </c>
      <c r="C27" s="87">
        <v>45516.0</v>
      </c>
      <c r="D27" s="540" t="s">
        <v>2505</v>
      </c>
      <c r="E27" s="87">
        <v>45516.0</v>
      </c>
      <c r="F27" s="164" t="s">
        <v>2523</v>
      </c>
    </row>
    <row r="28" ht="22.5" customHeight="1">
      <c r="A28" s="42">
        <v>45444.0</v>
      </c>
      <c r="B28" s="420" t="s">
        <v>82</v>
      </c>
      <c r="C28" s="38"/>
      <c r="D28" s="539" t="s">
        <v>2525</v>
      </c>
      <c r="E28" s="38"/>
      <c r="F28" s="51"/>
    </row>
    <row r="29" ht="22.5" customHeight="1">
      <c r="A29" s="204">
        <v>45474.0</v>
      </c>
      <c r="B29" s="164" t="s">
        <v>88</v>
      </c>
      <c r="C29" s="87">
        <v>45474.0</v>
      </c>
      <c r="D29" s="540" t="s">
        <v>2528</v>
      </c>
      <c r="E29" s="87">
        <v>45474.0</v>
      </c>
      <c r="F29" s="90"/>
    </row>
    <row r="30" ht="22.5" customHeight="1">
      <c r="A30" s="204">
        <v>45474.0</v>
      </c>
      <c r="B30" s="164" t="s">
        <v>91</v>
      </c>
      <c r="C30" s="87">
        <v>45474.0</v>
      </c>
      <c r="D30" s="540" t="s">
        <v>2528</v>
      </c>
      <c r="E30" s="87">
        <v>45474.0</v>
      </c>
      <c r="F30" s="90"/>
    </row>
    <row r="31" ht="22.5" customHeight="1">
      <c r="A31" s="204">
        <v>45474.0</v>
      </c>
      <c r="B31" s="164" t="s">
        <v>32</v>
      </c>
      <c r="C31" s="87">
        <v>45475.0</v>
      </c>
      <c r="D31" s="540" t="s">
        <v>2531</v>
      </c>
      <c r="E31" s="87">
        <v>45475.0</v>
      </c>
      <c r="F31" s="90"/>
    </row>
    <row r="32" ht="22.5" customHeight="1">
      <c r="A32" s="204">
        <v>45474.0</v>
      </c>
      <c r="B32" s="89" t="s">
        <v>51</v>
      </c>
      <c r="C32" s="87">
        <v>45502.0</v>
      </c>
      <c r="D32" s="540" t="s">
        <v>2534</v>
      </c>
      <c r="E32" s="87">
        <v>45502.0</v>
      </c>
      <c r="F32" s="90"/>
    </row>
    <row r="33" ht="22.5" customHeight="1">
      <c r="A33" s="204">
        <v>45474.0</v>
      </c>
      <c r="B33" s="164" t="s">
        <v>78</v>
      </c>
      <c r="C33" s="87">
        <v>45504.0</v>
      </c>
      <c r="D33" s="540" t="s">
        <v>2535</v>
      </c>
      <c r="E33" s="87">
        <v>45504.0</v>
      </c>
      <c r="F33" s="90"/>
    </row>
    <row r="34" ht="22.5" customHeight="1">
      <c r="A34" s="204">
        <v>45474.0</v>
      </c>
      <c r="B34" s="164" t="s">
        <v>93</v>
      </c>
      <c r="C34" s="87">
        <v>45566.0</v>
      </c>
      <c r="D34" s="535" t="s">
        <v>2536</v>
      </c>
      <c r="E34" s="87">
        <v>45566.0</v>
      </c>
      <c r="F34" s="90"/>
    </row>
    <row r="35" ht="22.5" customHeight="1">
      <c r="A35" s="42">
        <v>45505.0</v>
      </c>
      <c r="B35" s="164" t="s">
        <v>85</v>
      </c>
      <c r="C35" s="87">
        <v>45505.0</v>
      </c>
      <c r="D35" s="540" t="s">
        <v>2538</v>
      </c>
      <c r="E35" s="87">
        <v>45505.0</v>
      </c>
      <c r="F35" s="90"/>
    </row>
    <row r="36" ht="22.5" customHeight="1">
      <c r="A36" s="42">
        <v>45505.0</v>
      </c>
      <c r="B36" s="164" t="s">
        <v>74</v>
      </c>
      <c r="C36" s="87">
        <v>45505.0</v>
      </c>
      <c r="D36" s="540" t="s">
        <v>2539</v>
      </c>
      <c r="E36" s="87">
        <v>45505.0</v>
      </c>
      <c r="F36" s="90"/>
    </row>
    <row r="37" ht="22.5" customHeight="1">
      <c r="A37" s="42">
        <v>45505.0</v>
      </c>
      <c r="B37" s="164" t="s">
        <v>89</v>
      </c>
      <c r="C37" s="87">
        <v>45511.0</v>
      </c>
      <c r="D37" s="540" t="s">
        <v>2541</v>
      </c>
      <c r="E37" s="87">
        <v>45511.0</v>
      </c>
      <c r="F37" s="90"/>
    </row>
    <row r="38" ht="22.5" customHeight="1">
      <c r="A38" s="42">
        <v>45505.0</v>
      </c>
      <c r="B38" s="164" t="s">
        <v>90</v>
      </c>
      <c r="C38" s="87">
        <v>45512.0</v>
      </c>
      <c r="D38" s="540" t="s">
        <v>2543</v>
      </c>
      <c r="E38" s="87">
        <v>45512.0</v>
      </c>
      <c r="F38" s="90"/>
    </row>
    <row r="39" ht="22.5" customHeight="1">
      <c r="A39" s="42">
        <v>45505.0</v>
      </c>
      <c r="B39" s="164" t="s">
        <v>81</v>
      </c>
      <c r="C39" s="87">
        <v>45516.0</v>
      </c>
      <c r="D39" s="535" t="s">
        <v>2544</v>
      </c>
      <c r="E39" s="87">
        <v>45516.0</v>
      </c>
      <c r="F39" s="90"/>
    </row>
    <row r="40" ht="22.5" customHeight="1">
      <c r="A40" s="42">
        <v>45505.0</v>
      </c>
      <c r="B40" s="89" t="s">
        <v>87</v>
      </c>
      <c r="C40" s="87">
        <v>45526.0</v>
      </c>
      <c r="D40" s="540"/>
      <c r="E40" s="87">
        <v>45526.0</v>
      </c>
      <c r="F40" s="90"/>
    </row>
    <row r="41" ht="22.5" customHeight="1">
      <c r="A41" s="42">
        <v>45505.0</v>
      </c>
      <c r="B41" s="164" t="s">
        <v>84</v>
      </c>
      <c r="C41" s="87">
        <v>45531.0</v>
      </c>
      <c r="D41" s="540" t="s">
        <v>2547</v>
      </c>
      <c r="E41" s="87">
        <v>45531.0</v>
      </c>
      <c r="F41" s="90"/>
    </row>
    <row r="42" ht="22.5" customHeight="1">
      <c r="A42" s="42">
        <v>45505.0</v>
      </c>
      <c r="B42" s="164" t="s">
        <v>126</v>
      </c>
      <c r="C42" s="168">
        <v>45595.0</v>
      </c>
      <c r="D42" s="538" t="s">
        <v>2550</v>
      </c>
      <c r="E42" s="168">
        <v>45595.0</v>
      </c>
      <c r="F42" s="164"/>
    </row>
    <row r="43" ht="22.5" customHeight="1">
      <c r="A43" s="204">
        <v>45536.0</v>
      </c>
      <c r="B43" s="164" t="s">
        <v>86</v>
      </c>
      <c r="C43" s="96">
        <v>45520.0</v>
      </c>
      <c r="D43" s="540" t="s">
        <v>2551</v>
      </c>
      <c r="E43" s="96">
        <v>45520.0</v>
      </c>
      <c r="F43" s="90"/>
    </row>
    <row r="44" ht="22.5" customHeight="1">
      <c r="A44" s="204">
        <v>45536.0</v>
      </c>
      <c r="B44" s="164" t="s">
        <v>127</v>
      </c>
      <c r="C44" s="96">
        <v>45539.0</v>
      </c>
      <c r="D44" s="540" t="s">
        <v>2553</v>
      </c>
      <c r="E44" s="96">
        <v>45539.0</v>
      </c>
      <c r="F44" s="90"/>
    </row>
    <row r="45" ht="22.5" customHeight="1">
      <c r="A45" s="204">
        <v>45536.0</v>
      </c>
      <c r="B45" s="164" t="s">
        <v>125</v>
      </c>
      <c r="C45" s="87">
        <v>45540.0</v>
      </c>
      <c r="D45" s="540" t="s">
        <v>2555</v>
      </c>
      <c r="E45" s="87">
        <v>45540.0</v>
      </c>
      <c r="F45" s="90"/>
    </row>
    <row r="46" ht="22.5" customHeight="1">
      <c r="A46" s="204">
        <v>45536.0</v>
      </c>
      <c r="B46" s="164" t="s">
        <v>122</v>
      </c>
      <c r="C46" s="87">
        <v>45544.0</v>
      </c>
      <c r="D46" s="540" t="s">
        <v>2557</v>
      </c>
      <c r="E46" s="87">
        <v>45544.0</v>
      </c>
      <c r="F46" s="90"/>
    </row>
    <row r="47" ht="22.5" customHeight="1">
      <c r="A47" s="42">
        <v>45566.0</v>
      </c>
      <c r="B47" s="164" t="s">
        <v>133</v>
      </c>
      <c r="C47" s="87">
        <v>45566.0</v>
      </c>
      <c r="D47" s="540" t="s">
        <v>2558</v>
      </c>
      <c r="E47" s="87">
        <v>45566.0</v>
      </c>
      <c r="F47" s="90"/>
    </row>
    <row r="48" ht="22.5" customHeight="1">
      <c r="A48" s="42">
        <v>45566.0</v>
      </c>
      <c r="B48" s="164" t="s">
        <v>117</v>
      </c>
      <c r="C48" s="87">
        <v>45567.0</v>
      </c>
      <c r="D48" s="540" t="s">
        <v>2560</v>
      </c>
      <c r="E48" s="87">
        <v>45567.0</v>
      </c>
      <c r="F48" s="90"/>
    </row>
    <row r="49" ht="22.5" customHeight="1">
      <c r="A49" s="42">
        <v>45566.0</v>
      </c>
      <c r="B49" s="164" t="s">
        <v>120</v>
      </c>
      <c r="C49" s="87">
        <v>45568.0</v>
      </c>
      <c r="D49" s="540" t="s">
        <v>2558</v>
      </c>
      <c r="E49" s="87">
        <v>45568.0</v>
      </c>
      <c r="F49" s="90"/>
    </row>
    <row r="50" ht="22.5" customHeight="1">
      <c r="A50" s="42">
        <v>45566.0</v>
      </c>
      <c r="B50" s="164" t="s">
        <v>147</v>
      </c>
      <c r="C50" s="87">
        <v>45574.0</v>
      </c>
      <c r="D50" s="540" t="s">
        <v>2562</v>
      </c>
      <c r="E50" s="87">
        <v>45574.0</v>
      </c>
      <c r="F50" s="90"/>
    </row>
    <row r="51" ht="22.5" customHeight="1">
      <c r="A51" s="42">
        <v>45566.0</v>
      </c>
      <c r="B51" s="164" t="s">
        <v>152</v>
      </c>
      <c r="C51" s="96">
        <v>45579.0</v>
      </c>
      <c r="D51" s="540" t="s">
        <v>2560</v>
      </c>
      <c r="E51" s="96">
        <v>45579.0</v>
      </c>
      <c r="F51" s="90"/>
    </row>
    <row r="52" ht="22.5" customHeight="1">
      <c r="A52" s="42">
        <v>45566.0</v>
      </c>
      <c r="B52" s="164" t="s">
        <v>154</v>
      </c>
      <c r="C52" s="96">
        <v>45580.0</v>
      </c>
      <c r="D52" s="540" t="s">
        <v>2560</v>
      </c>
      <c r="E52" s="96">
        <v>45580.0</v>
      </c>
      <c r="F52" s="90"/>
    </row>
    <row r="53" ht="22.5" customHeight="1">
      <c r="A53" s="42">
        <v>45566.0</v>
      </c>
      <c r="B53" s="164" t="s">
        <v>96</v>
      </c>
      <c r="C53" s="170">
        <v>45588.0</v>
      </c>
      <c r="D53" s="542" t="s">
        <v>2565</v>
      </c>
      <c r="E53" s="170">
        <v>45588.0</v>
      </c>
      <c r="F53" s="90"/>
    </row>
    <row r="54" ht="22.5" customHeight="1">
      <c r="A54" s="42">
        <v>45566.0</v>
      </c>
      <c r="B54" s="164" t="s">
        <v>135</v>
      </c>
      <c r="C54" s="170">
        <v>45589.0</v>
      </c>
      <c r="D54" s="542" t="s">
        <v>2567</v>
      </c>
      <c r="E54" s="170">
        <v>45589.0</v>
      </c>
      <c r="F54" s="90"/>
    </row>
    <row r="55" ht="22.5" customHeight="1">
      <c r="A55" s="42">
        <v>45566.0</v>
      </c>
      <c r="B55" s="164" t="s">
        <v>148</v>
      </c>
      <c r="C55" s="168">
        <v>45596.0</v>
      </c>
      <c r="D55" s="542" t="s">
        <v>2568</v>
      </c>
      <c r="E55" s="168">
        <v>45596.0</v>
      </c>
      <c r="F55" s="90"/>
    </row>
    <row r="56" ht="22.5" customHeight="1">
      <c r="A56" s="42">
        <v>45566.0</v>
      </c>
      <c r="B56" s="164" t="s">
        <v>114</v>
      </c>
      <c r="C56" s="543">
        <v>45603.0</v>
      </c>
      <c r="D56" s="544" t="s">
        <v>2571</v>
      </c>
      <c r="E56" s="543">
        <v>45603.0</v>
      </c>
      <c r="F56" s="545"/>
    </row>
    <row r="57" ht="22.5" customHeight="1">
      <c r="A57" s="42">
        <v>45566.0</v>
      </c>
      <c r="B57" s="420" t="s">
        <v>145</v>
      </c>
      <c r="C57" s="148"/>
      <c r="D57" s="539" t="s">
        <v>2572</v>
      </c>
      <c r="E57" s="148"/>
      <c r="F57" s="420"/>
    </row>
    <row r="58" ht="22.5" customHeight="1">
      <c r="A58" s="42">
        <v>45566.0</v>
      </c>
      <c r="B58" s="420" t="s">
        <v>141</v>
      </c>
      <c r="C58" s="423"/>
      <c r="D58" s="546" t="s">
        <v>2575</v>
      </c>
      <c r="E58" s="423"/>
      <c r="F58" s="51"/>
    </row>
    <row r="59" ht="22.5" customHeight="1">
      <c r="A59" s="42">
        <v>45566.0</v>
      </c>
      <c r="B59" s="164" t="s">
        <v>116</v>
      </c>
      <c r="C59" s="170">
        <v>45848.0</v>
      </c>
      <c r="D59" s="538" t="s">
        <v>2578</v>
      </c>
      <c r="E59" s="170">
        <v>45848.0</v>
      </c>
      <c r="F59" s="64" t="s">
        <v>2579</v>
      </c>
    </row>
    <row r="60" ht="22.5" customHeight="1">
      <c r="A60" s="204">
        <v>45597.0</v>
      </c>
      <c r="B60" s="164" t="s">
        <v>178</v>
      </c>
      <c r="C60" s="214">
        <v>45604.0</v>
      </c>
      <c r="D60" s="200" t="s">
        <v>2581</v>
      </c>
      <c r="E60" s="214">
        <v>45604.0</v>
      </c>
      <c r="F60" s="253"/>
    </row>
    <row r="61" ht="22.5" customHeight="1">
      <c r="A61" s="204">
        <v>45597.0</v>
      </c>
      <c r="B61" s="164" t="s">
        <v>162</v>
      </c>
      <c r="C61" s="202">
        <v>45607.0</v>
      </c>
      <c r="D61" s="547" t="s">
        <v>2583</v>
      </c>
      <c r="E61" s="202">
        <v>45607.0</v>
      </c>
      <c r="F61" s="253"/>
    </row>
    <row r="62" ht="22.5" customHeight="1">
      <c r="A62" s="204">
        <v>45597.0</v>
      </c>
      <c r="B62" s="164" t="s">
        <v>153</v>
      </c>
      <c r="C62" s="202">
        <v>45608.0</v>
      </c>
      <c r="D62" s="200" t="s">
        <v>2585</v>
      </c>
      <c r="E62" s="202">
        <v>45608.0</v>
      </c>
      <c r="F62" s="253"/>
    </row>
    <row r="63" ht="22.5" customHeight="1">
      <c r="A63" s="204">
        <v>45597.0</v>
      </c>
      <c r="B63" s="164" t="s">
        <v>180</v>
      </c>
      <c r="C63" s="214">
        <v>45609.0</v>
      </c>
      <c r="D63" s="200" t="s">
        <v>2581</v>
      </c>
      <c r="E63" s="214">
        <v>45609.0</v>
      </c>
      <c r="F63" s="253"/>
    </row>
    <row r="64" ht="22.5" customHeight="1">
      <c r="A64" s="204">
        <v>45597.0</v>
      </c>
      <c r="B64" s="164" t="s">
        <v>157</v>
      </c>
      <c r="C64" s="214">
        <v>45611.0</v>
      </c>
      <c r="D64" s="200" t="s">
        <v>2588</v>
      </c>
      <c r="E64" s="214">
        <v>45611.0</v>
      </c>
      <c r="F64" s="253"/>
    </row>
    <row r="65" ht="22.5" customHeight="1">
      <c r="A65" s="204">
        <v>45597.0</v>
      </c>
      <c r="B65" s="164" t="s">
        <v>193</v>
      </c>
      <c r="C65" s="214">
        <v>45622.0</v>
      </c>
      <c r="D65" s="200" t="s">
        <v>2591</v>
      </c>
      <c r="E65" s="214">
        <v>45622.0</v>
      </c>
      <c r="F65" s="253"/>
    </row>
    <row r="66" ht="22.5" customHeight="1">
      <c r="A66" s="204">
        <v>45597.0</v>
      </c>
      <c r="B66" s="164" t="s">
        <v>151</v>
      </c>
      <c r="C66" s="214">
        <v>45622.0</v>
      </c>
      <c r="D66" s="200" t="s">
        <v>2592</v>
      </c>
      <c r="E66" s="214">
        <v>45622.0</v>
      </c>
      <c r="F66" s="253"/>
    </row>
    <row r="67" ht="22.5" customHeight="1">
      <c r="A67" s="204">
        <v>45597.0</v>
      </c>
      <c r="B67" s="164" t="s">
        <v>216</v>
      </c>
      <c r="C67" s="214">
        <v>45631.0</v>
      </c>
      <c r="D67" s="200" t="s">
        <v>2595</v>
      </c>
      <c r="E67" s="214">
        <v>45631.0</v>
      </c>
      <c r="F67" s="253"/>
    </row>
    <row r="68" ht="22.5" customHeight="1">
      <c r="A68" s="204">
        <v>45597.0</v>
      </c>
      <c r="B68" s="164" t="s">
        <v>192</v>
      </c>
      <c r="C68" s="214">
        <v>45699.0</v>
      </c>
      <c r="D68" s="200" t="s">
        <v>2598</v>
      </c>
      <c r="E68" s="214">
        <v>45699.0</v>
      </c>
      <c r="F68" s="253"/>
    </row>
    <row r="69" ht="22.5" customHeight="1">
      <c r="A69" s="204">
        <v>45597.0</v>
      </c>
      <c r="B69" s="164" t="s">
        <v>164</v>
      </c>
      <c r="C69" s="202">
        <v>45722.0</v>
      </c>
      <c r="D69" s="200" t="s">
        <v>2601</v>
      </c>
      <c r="E69" s="202">
        <v>45722.0</v>
      </c>
      <c r="F69" s="212" t="s">
        <v>2604</v>
      </c>
    </row>
    <row r="70" ht="22.5" customHeight="1">
      <c r="A70" s="42">
        <v>45627.0</v>
      </c>
      <c r="B70" s="89" t="s">
        <v>183</v>
      </c>
      <c r="C70" s="214">
        <v>45617.0</v>
      </c>
      <c r="D70" s="200" t="s">
        <v>2605</v>
      </c>
      <c r="E70" s="214">
        <v>45614.0</v>
      </c>
      <c r="F70" s="253"/>
    </row>
    <row r="71" ht="22.5" customHeight="1">
      <c r="A71" s="42">
        <v>45627.0</v>
      </c>
      <c r="B71" s="89" t="s">
        <v>188</v>
      </c>
      <c r="C71" s="214">
        <v>45629.0</v>
      </c>
      <c r="D71" s="200" t="s">
        <v>2606</v>
      </c>
      <c r="E71" s="214">
        <v>45629.0</v>
      </c>
      <c r="F71" s="253"/>
    </row>
    <row r="72" ht="22.5" customHeight="1">
      <c r="A72" s="42">
        <v>45627.0</v>
      </c>
      <c r="B72" s="89" t="s">
        <v>138</v>
      </c>
      <c r="C72" s="214">
        <v>45629.0</v>
      </c>
      <c r="D72" s="549"/>
      <c r="E72" s="214">
        <v>45629.0</v>
      </c>
      <c r="F72" s="253"/>
    </row>
    <row r="73" ht="22.5" customHeight="1">
      <c r="A73" s="42">
        <v>45627.0</v>
      </c>
      <c r="B73" s="164" t="s">
        <v>190</v>
      </c>
      <c r="C73" s="214">
        <v>45632.0</v>
      </c>
      <c r="D73" s="200" t="s">
        <v>2607</v>
      </c>
      <c r="E73" s="214">
        <v>45632.0</v>
      </c>
      <c r="F73" s="253"/>
    </row>
    <row r="74" ht="22.5" customHeight="1">
      <c r="A74" s="42">
        <v>45627.0</v>
      </c>
      <c r="B74" s="89" t="s">
        <v>184</v>
      </c>
      <c r="C74" s="214">
        <v>45635.0</v>
      </c>
      <c r="D74" s="200" t="s">
        <v>2608</v>
      </c>
      <c r="E74" s="214">
        <v>45635.0</v>
      </c>
      <c r="F74" s="253"/>
    </row>
    <row r="75" ht="22.5" customHeight="1">
      <c r="A75" s="42">
        <v>45627.0</v>
      </c>
      <c r="B75" s="89" t="s">
        <v>196</v>
      </c>
      <c r="C75" s="214">
        <v>45636.0</v>
      </c>
      <c r="D75" s="200" t="s">
        <v>2609</v>
      </c>
      <c r="E75" s="214">
        <v>45636.0</v>
      </c>
      <c r="F75" s="253"/>
    </row>
    <row r="76" ht="22.5" customHeight="1">
      <c r="A76" s="42">
        <v>45627.0</v>
      </c>
      <c r="B76" s="89" t="s">
        <v>215</v>
      </c>
      <c r="C76" s="214">
        <v>45637.0</v>
      </c>
      <c r="D76" s="200" t="s">
        <v>2612</v>
      </c>
      <c r="E76" s="214">
        <v>45637.0</v>
      </c>
      <c r="F76" s="253"/>
    </row>
    <row r="77" ht="22.5" customHeight="1">
      <c r="A77" s="42">
        <v>45627.0</v>
      </c>
      <c r="B77" s="89" t="s">
        <v>211</v>
      </c>
      <c r="C77" s="214">
        <v>45637.0</v>
      </c>
      <c r="D77" s="200" t="s">
        <v>2613</v>
      </c>
      <c r="E77" s="214">
        <v>45637.0</v>
      </c>
      <c r="F77" s="253"/>
    </row>
    <row r="78" ht="22.5" customHeight="1">
      <c r="A78" s="42">
        <v>45627.0</v>
      </c>
      <c r="B78" s="89" t="s">
        <v>195</v>
      </c>
      <c r="C78" s="214">
        <v>45637.0</v>
      </c>
      <c r="D78" s="200" t="s">
        <v>2616</v>
      </c>
      <c r="E78" s="214">
        <v>45637.0</v>
      </c>
      <c r="F78" s="262"/>
    </row>
    <row r="79" ht="22.5" customHeight="1">
      <c r="A79" s="42">
        <v>45627.0</v>
      </c>
      <c r="B79" s="89" t="s">
        <v>228</v>
      </c>
      <c r="C79" s="214">
        <v>45685.0</v>
      </c>
      <c r="D79" s="200" t="s">
        <v>2617</v>
      </c>
      <c r="E79" s="214">
        <v>45685.0</v>
      </c>
      <c r="F79" s="253"/>
    </row>
    <row r="80" ht="22.5" customHeight="1">
      <c r="A80" s="42">
        <v>45627.0</v>
      </c>
      <c r="B80" s="89" t="s">
        <v>176</v>
      </c>
      <c r="C80" s="214">
        <v>45733.0</v>
      </c>
      <c r="D80" s="200" t="s">
        <v>2618</v>
      </c>
      <c r="E80" s="214">
        <v>45733.0</v>
      </c>
      <c r="F80" s="253"/>
    </row>
    <row r="81" ht="22.5" customHeight="1">
      <c r="A81" s="42">
        <v>45627.0</v>
      </c>
      <c r="B81" s="550" t="s">
        <v>128</v>
      </c>
      <c r="C81" s="551" t="s">
        <v>2621</v>
      </c>
      <c r="D81" s="552" t="s">
        <v>2622</v>
      </c>
      <c r="E81" s="551" t="s">
        <v>2621</v>
      </c>
      <c r="F81" s="553" t="s">
        <v>2625</v>
      </c>
    </row>
    <row r="82" ht="22.5" customHeight="1">
      <c r="A82" s="204">
        <v>45658.0</v>
      </c>
      <c r="B82" s="89" t="s">
        <v>186</v>
      </c>
      <c r="C82" s="214">
        <v>45670.0</v>
      </c>
      <c r="D82" s="200" t="s">
        <v>2628</v>
      </c>
      <c r="E82" s="214">
        <v>45670.0</v>
      </c>
      <c r="F82" s="214"/>
    </row>
    <row r="83" ht="22.5" customHeight="1">
      <c r="A83" s="204">
        <v>45658.0</v>
      </c>
      <c r="B83" s="89" t="s">
        <v>207</v>
      </c>
      <c r="C83" s="214">
        <v>45671.0</v>
      </c>
      <c r="D83" s="200" t="s">
        <v>2628</v>
      </c>
      <c r="E83" s="214">
        <v>45671.0</v>
      </c>
      <c r="F83" s="253"/>
    </row>
    <row r="84" ht="22.5" customHeight="1">
      <c r="A84" s="204">
        <v>45658.0</v>
      </c>
      <c r="B84" s="89" t="s">
        <v>229</v>
      </c>
      <c r="C84" s="214">
        <v>45672.0</v>
      </c>
      <c r="D84" s="200" t="s">
        <v>2630</v>
      </c>
      <c r="E84" s="214">
        <v>45672.0</v>
      </c>
      <c r="F84" s="212" t="s">
        <v>2630</v>
      </c>
    </row>
    <row r="85" ht="22.5" customHeight="1">
      <c r="A85" s="204">
        <v>45658.0</v>
      </c>
      <c r="B85" s="89" t="s">
        <v>254</v>
      </c>
      <c r="C85" s="214">
        <v>45674.0</v>
      </c>
      <c r="D85" s="200" t="s">
        <v>2632</v>
      </c>
      <c r="E85" s="214">
        <v>45674.0</v>
      </c>
      <c r="F85" s="253"/>
    </row>
    <row r="86" ht="22.5" customHeight="1">
      <c r="A86" s="204">
        <v>45658.0</v>
      </c>
      <c r="B86" s="89" t="s">
        <v>231</v>
      </c>
      <c r="C86" s="214">
        <v>45678.0</v>
      </c>
      <c r="D86" s="200" t="s">
        <v>2635</v>
      </c>
      <c r="E86" s="214">
        <v>45678.0</v>
      </c>
      <c r="F86" s="253"/>
    </row>
    <row r="87" ht="22.5" customHeight="1">
      <c r="A87" s="204">
        <v>45658.0</v>
      </c>
      <c r="B87" s="89" t="s">
        <v>272</v>
      </c>
      <c r="C87" s="214">
        <v>45680.0</v>
      </c>
      <c r="D87" s="200" t="s">
        <v>2637</v>
      </c>
      <c r="E87" s="214">
        <v>45680.0</v>
      </c>
      <c r="F87" s="253"/>
    </row>
    <row r="88" ht="22.5" customHeight="1">
      <c r="A88" s="204">
        <v>45658.0</v>
      </c>
      <c r="B88" s="164" t="s">
        <v>279</v>
      </c>
      <c r="C88" s="214">
        <v>45686.0</v>
      </c>
      <c r="D88" s="200" t="s">
        <v>2638</v>
      </c>
      <c r="E88" s="214">
        <v>45686.0</v>
      </c>
      <c r="F88" s="253"/>
    </row>
    <row r="89" ht="22.5" customHeight="1">
      <c r="A89" s="204">
        <v>45658.0</v>
      </c>
      <c r="B89" s="164" t="s">
        <v>243</v>
      </c>
      <c r="C89" s="214">
        <v>45687.0</v>
      </c>
      <c r="D89" s="200" t="s">
        <v>2639</v>
      </c>
      <c r="E89" s="214">
        <v>45687.0</v>
      </c>
      <c r="F89" s="253"/>
    </row>
    <row r="90" ht="22.5" customHeight="1">
      <c r="A90" s="204">
        <v>45658.0</v>
      </c>
      <c r="B90" s="89" t="s">
        <v>168</v>
      </c>
      <c r="C90" s="214">
        <v>45687.0</v>
      </c>
      <c r="D90" s="200" t="s">
        <v>2640</v>
      </c>
      <c r="E90" s="214">
        <v>45687.0</v>
      </c>
      <c r="F90" s="214"/>
    </row>
    <row r="91" ht="22.5" customHeight="1">
      <c r="A91" s="204">
        <v>45658.0</v>
      </c>
      <c r="B91" s="89" t="s">
        <v>227</v>
      </c>
      <c r="C91" s="214">
        <v>45688.0</v>
      </c>
      <c r="D91" s="200" t="s">
        <v>2642</v>
      </c>
      <c r="E91" s="214">
        <v>45688.0</v>
      </c>
      <c r="F91" s="253"/>
    </row>
    <row r="92" ht="22.5" customHeight="1">
      <c r="A92" s="204">
        <v>45658.0</v>
      </c>
      <c r="B92" s="164" t="s">
        <v>278</v>
      </c>
      <c r="C92" s="214">
        <v>45709.0</v>
      </c>
      <c r="D92" s="200" t="s">
        <v>2644</v>
      </c>
      <c r="E92" s="214">
        <v>45849.0</v>
      </c>
      <c r="F92" s="203" t="s">
        <v>2646</v>
      </c>
    </row>
    <row r="93" ht="22.5" customHeight="1">
      <c r="A93" s="204">
        <v>45658.0</v>
      </c>
      <c r="B93" s="89" t="s">
        <v>236</v>
      </c>
      <c r="C93" s="214">
        <v>45709.0</v>
      </c>
      <c r="D93" s="200" t="s">
        <v>2647</v>
      </c>
      <c r="E93" s="214">
        <v>45849.0</v>
      </c>
      <c r="F93" s="200" t="s">
        <v>2649</v>
      </c>
    </row>
    <row r="94" ht="22.5" customHeight="1">
      <c r="A94" s="204">
        <v>45658.0</v>
      </c>
      <c r="B94" s="106" t="s">
        <v>169</v>
      </c>
      <c r="C94" s="465"/>
      <c r="D94" s="447" t="s">
        <v>2651</v>
      </c>
      <c r="E94" s="465"/>
      <c r="F94" s="358"/>
    </row>
    <row r="95" ht="22.5" customHeight="1">
      <c r="A95" s="42">
        <v>45689.0</v>
      </c>
      <c r="B95" s="89" t="s">
        <v>209</v>
      </c>
      <c r="C95" s="214">
        <v>45671.0</v>
      </c>
      <c r="D95" s="200" t="s">
        <v>2652</v>
      </c>
      <c r="E95" s="214">
        <v>45671.0</v>
      </c>
      <c r="F95" s="212" t="s">
        <v>2652</v>
      </c>
    </row>
    <row r="96" ht="22.5" customHeight="1">
      <c r="A96" s="42">
        <v>45689.0</v>
      </c>
      <c r="B96" s="89" t="s">
        <v>255</v>
      </c>
      <c r="C96" s="214">
        <v>45701.0</v>
      </c>
      <c r="D96" s="200"/>
      <c r="E96" s="214">
        <v>45701.0</v>
      </c>
      <c r="F96" s="253"/>
    </row>
    <row r="97" ht="22.5" customHeight="1">
      <c r="A97" s="42">
        <v>45689.0</v>
      </c>
      <c r="B97" s="89" t="s">
        <v>244</v>
      </c>
      <c r="C97" s="214">
        <v>45714.0</v>
      </c>
      <c r="D97" s="200" t="s">
        <v>2654</v>
      </c>
      <c r="E97" s="214">
        <v>45714.0</v>
      </c>
      <c r="F97" s="253"/>
    </row>
    <row r="98" ht="22.5" customHeight="1">
      <c r="A98" s="42">
        <v>45689.0</v>
      </c>
      <c r="B98" s="89" t="s">
        <v>287</v>
      </c>
      <c r="C98" s="214">
        <v>45720.0</v>
      </c>
      <c r="D98" s="200" t="s">
        <v>2656</v>
      </c>
      <c r="E98" s="214">
        <v>45720.0</v>
      </c>
      <c r="F98" s="253"/>
    </row>
    <row r="99" ht="22.5" customHeight="1">
      <c r="A99" s="42">
        <v>45689.0</v>
      </c>
      <c r="B99" s="89" t="s">
        <v>263</v>
      </c>
      <c r="C99" s="214">
        <v>45691.0</v>
      </c>
      <c r="D99" s="200" t="s">
        <v>2657</v>
      </c>
      <c r="E99" s="214">
        <v>45691.0</v>
      </c>
      <c r="F99" s="253"/>
    </row>
    <row r="100" ht="22.5" customHeight="1">
      <c r="A100" s="42">
        <v>45689.0</v>
      </c>
      <c r="B100" s="89" t="s">
        <v>217</v>
      </c>
      <c r="C100" s="214">
        <v>45691.0</v>
      </c>
      <c r="D100" s="200" t="s">
        <v>2659</v>
      </c>
      <c r="E100" s="214">
        <v>45691.0</v>
      </c>
      <c r="F100" s="253"/>
    </row>
    <row r="101" ht="22.5" customHeight="1">
      <c r="A101" s="42">
        <v>45689.0</v>
      </c>
      <c r="B101" s="89" t="s">
        <v>260</v>
      </c>
      <c r="C101" s="214">
        <v>45694.0</v>
      </c>
      <c r="D101" s="200" t="s">
        <v>2663</v>
      </c>
      <c r="E101" s="214">
        <v>45694.0</v>
      </c>
      <c r="F101" s="253"/>
    </row>
    <row r="102" ht="22.5" customHeight="1">
      <c r="A102" s="42">
        <v>45689.0</v>
      </c>
      <c r="B102" s="89" t="s">
        <v>259</v>
      </c>
      <c r="C102" s="214">
        <v>45695.0</v>
      </c>
      <c r="D102" s="200" t="s">
        <v>2664</v>
      </c>
      <c r="E102" s="214">
        <v>45695.0</v>
      </c>
      <c r="F102" s="253"/>
    </row>
    <row r="103" ht="22.5" customHeight="1">
      <c r="A103" s="42">
        <v>45689.0</v>
      </c>
      <c r="B103" s="89" t="s">
        <v>256</v>
      </c>
      <c r="C103" s="214">
        <v>45700.0</v>
      </c>
      <c r="D103" s="549"/>
      <c r="E103" s="214">
        <v>45700.0</v>
      </c>
      <c r="F103" s="253"/>
    </row>
    <row r="104" ht="22.5" customHeight="1">
      <c r="A104" s="42">
        <v>45689.0</v>
      </c>
      <c r="B104" s="106" t="s">
        <v>353</v>
      </c>
      <c r="C104" s="464"/>
      <c r="D104" s="447" t="s">
        <v>2669</v>
      </c>
      <c r="E104" s="464"/>
      <c r="F104" s="358"/>
    </row>
    <row r="105" ht="22.5" customHeight="1">
      <c r="A105" s="42">
        <v>45689.0</v>
      </c>
      <c r="B105" s="89" t="s">
        <v>314</v>
      </c>
      <c r="C105" s="214">
        <v>45707.0</v>
      </c>
      <c r="D105" s="547" t="s">
        <v>2670</v>
      </c>
      <c r="E105" s="214">
        <v>45707.0</v>
      </c>
      <c r="F105" s="253"/>
    </row>
    <row r="106" ht="22.5" customHeight="1">
      <c r="A106" s="42">
        <v>45689.0</v>
      </c>
      <c r="B106" s="106" t="s">
        <v>262</v>
      </c>
      <c r="C106" s="464"/>
      <c r="D106" s="354" t="s">
        <v>2672</v>
      </c>
      <c r="E106" s="464"/>
      <c r="F106" s="358"/>
    </row>
    <row r="107" ht="22.5" customHeight="1">
      <c r="A107" s="42">
        <v>45689.0</v>
      </c>
      <c r="B107" s="164" t="s">
        <v>274</v>
      </c>
      <c r="C107" s="214">
        <v>45719.0</v>
      </c>
      <c r="D107" s="547" t="s">
        <v>2673</v>
      </c>
      <c r="E107" s="214">
        <v>45719.0</v>
      </c>
      <c r="F107" s="253"/>
    </row>
    <row r="108" ht="22.5" customHeight="1">
      <c r="A108" s="204">
        <v>45717.0</v>
      </c>
      <c r="B108" s="89" t="s">
        <v>307</v>
      </c>
      <c r="C108" s="214">
        <v>45721.0</v>
      </c>
      <c r="D108" s="200" t="s">
        <v>2675</v>
      </c>
      <c r="E108" s="214">
        <v>45721.0</v>
      </c>
      <c r="F108" s="253"/>
    </row>
    <row r="109" ht="22.5" customHeight="1">
      <c r="A109" s="204">
        <v>45717.0</v>
      </c>
      <c r="B109" s="89" t="s">
        <v>296</v>
      </c>
      <c r="C109" s="214">
        <v>45723.0</v>
      </c>
      <c r="D109" s="547" t="s">
        <v>2677</v>
      </c>
      <c r="E109" s="214">
        <v>45723.0</v>
      </c>
      <c r="F109" s="253"/>
    </row>
    <row r="110" ht="22.5" customHeight="1">
      <c r="A110" s="204">
        <v>45717.0</v>
      </c>
      <c r="B110" s="89" t="s">
        <v>283</v>
      </c>
      <c r="C110" s="214">
        <v>45840.0</v>
      </c>
      <c r="D110" s="200" t="s">
        <v>2680</v>
      </c>
      <c r="E110" s="214">
        <v>45840.0</v>
      </c>
      <c r="F110" s="253"/>
    </row>
    <row r="111" ht="22.5" customHeight="1">
      <c r="A111" s="204">
        <v>45717.0</v>
      </c>
      <c r="B111" s="89" t="s">
        <v>277</v>
      </c>
      <c r="C111" s="214">
        <v>45840.0</v>
      </c>
      <c r="D111" s="200" t="s">
        <v>2681</v>
      </c>
      <c r="E111" s="214">
        <v>45840.0</v>
      </c>
      <c r="F111" s="253"/>
    </row>
    <row r="112" ht="22.5" customHeight="1">
      <c r="A112" s="204">
        <v>45717.0</v>
      </c>
      <c r="B112" s="89" t="s">
        <v>311</v>
      </c>
      <c r="C112" s="214">
        <v>45754.0</v>
      </c>
      <c r="D112" s="547" t="s">
        <v>2682</v>
      </c>
      <c r="E112" s="214">
        <v>45754.0</v>
      </c>
      <c r="F112" s="253"/>
    </row>
    <row r="113" ht="27.0" customHeight="1">
      <c r="A113" s="204">
        <v>45717.0</v>
      </c>
      <c r="B113" s="89" t="s">
        <v>336</v>
      </c>
      <c r="C113" s="214">
        <v>45798.0</v>
      </c>
      <c r="D113" s="547" t="s">
        <v>2684</v>
      </c>
      <c r="E113" s="214">
        <v>45798.0</v>
      </c>
      <c r="F113" s="253"/>
    </row>
    <row r="114" ht="20.25" customHeight="1">
      <c r="A114" s="204">
        <v>45717.0</v>
      </c>
      <c r="B114" s="89" t="s">
        <v>304</v>
      </c>
      <c r="C114" s="214">
        <v>45762.0</v>
      </c>
      <c r="D114" s="547" t="s">
        <v>2686</v>
      </c>
      <c r="E114" s="214">
        <v>45762.0</v>
      </c>
      <c r="F114" s="253"/>
    </row>
    <row r="115" ht="21.75" customHeight="1">
      <c r="A115" s="204">
        <v>45717.0</v>
      </c>
      <c r="B115" s="106" t="s">
        <v>319</v>
      </c>
      <c r="C115" s="465"/>
      <c r="D115" s="447" t="s">
        <v>2688</v>
      </c>
      <c r="E115" s="465"/>
      <c r="F115" s="358"/>
    </row>
    <row r="116" ht="20.25" customHeight="1">
      <c r="A116" s="42">
        <v>45748.0</v>
      </c>
      <c r="B116" s="89" t="s">
        <v>378</v>
      </c>
      <c r="C116" s="214">
        <v>45779.0</v>
      </c>
      <c r="D116" s="200" t="s">
        <v>2691</v>
      </c>
      <c r="E116" s="214">
        <v>45779.0</v>
      </c>
      <c r="F116" s="253"/>
    </row>
    <row r="117" ht="19.5" customHeight="1">
      <c r="A117" s="42">
        <v>45748.0</v>
      </c>
      <c r="B117" s="89" t="s">
        <v>394</v>
      </c>
      <c r="C117" s="214">
        <v>45797.0</v>
      </c>
      <c r="D117" s="200" t="s">
        <v>2693</v>
      </c>
      <c r="E117" s="214">
        <v>45797.0</v>
      </c>
      <c r="F117" s="253"/>
    </row>
    <row r="118" ht="21.0" customHeight="1">
      <c r="A118" s="42">
        <v>45748.0</v>
      </c>
      <c r="B118" s="89" t="s">
        <v>364</v>
      </c>
      <c r="C118" s="214">
        <v>45756.0</v>
      </c>
      <c r="D118" s="200" t="s">
        <v>2694</v>
      </c>
      <c r="E118" s="214">
        <v>45756.0</v>
      </c>
      <c r="F118" s="253"/>
    </row>
    <row r="119" ht="21.0" customHeight="1">
      <c r="A119" s="42">
        <v>45748.0</v>
      </c>
      <c r="B119" s="89" t="s">
        <v>340</v>
      </c>
      <c r="C119" s="214">
        <v>45756.0</v>
      </c>
      <c r="D119" s="549"/>
      <c r="E119" s="214">
        <v>45756.0</v>
      </c>
      <c r="F119" s="253"/>
    </row>
    <row r="120" ht="19.5" customHeight="1">
      <c r="A120" s="42">
        <v>45748.0</v>
      </c>
      <c r="B120" s="420" t="s">
        <v>286</v>
      </c>
      <c r="C120" s="465"/>
      <c r="D120" s="447" t="s">
        <v>2697</v>
      </c>
      <c r="E120" s="465"/>
      <c r="F120" s="358"/>
    </row>
    <row r="121" ht="18.75" customHeight="1">
      <c r="A121" s="42">
        <v>45748.0</v>
      </c>
      <c r="B121" s="89" t="s">
        <v>315</v>
      </c>
      <c r="C121" s="214">
        <v>45775.0</v>
      </c>
      <c r="D121" s="200" t="s">
        <v>2700</v>
      </c>
      <c r="E121" s="214">
        <v>45775.0</v>
      </c>
      <c r="F121" s="253"/>
    </row>
    <row r="122" ht="22.5" customHeight="1">
      <c r="A122" s="42">
        <v>45748.0</v>
      </c>
      <c r="B122" s="89" t="s">
        <v>317</v>
      </c>
      <c r="C122" s="214">
        <v>45772.0</v>
      </c>
      <c r="D122" s="200" t="s">
        <v>2701</v>
      </c>
      <c r="E122" s="214">
        <v>45772.0</v>
      </c>
      <c r="F122" s="253"/>
    </row>
    <row r="123">
      <c r="A123" s="42">
        <v>45748.0</v>
      </c>
      <c r="B123" s="89" t="s">
        <v>322</v>
      </c>
      <c r="C123" s="214">
        <v>45764.0</v>
      </c>
      <c r="D123" s="200" t="s">
        <v>2703</v>
      </c>
      <c r="E123" s="214">
        <v>45841.0</v>
      </c>
      <c r="F123" s="212" t="s">
        <v>2704</v>
      </c>
    </row>
    <row r="124" ht="21.0" customHeight="1">
      <c r="A124" s="42">
        <v>45748.0</v>
      </c>
      <c r="B124" s="89" t="s">
        <v>368</v>
      </c>
      <c r="C124" s="214">
        <v>45765.0</v>
      </c>
      <c r="D124" s="200" t="s">
        <v>2706</v>
      </c>
      <c r="E124" s="214">
        <v>45765.0</v>
      </c>
      <c r="F124" s="253"/>
    </row>
    <row r="125" ht="18.75" customHeight="1">
      <c r="A125" s="42">
        <v>45748.0</v>
      </c>
      <c r="B125" s="89" t="s">
        <v>335</v>
      </c>
      <c r="C125" s="214">
        <v>45762.0</v>
      </c>
      <c r="D125" s="200" t="s">
        <v>2708</v>
      </c>
      <c r="E125" s="214">
        <v>45762.0</v>
      </c>
      <c r="F125" s="253"/>
    </row>
    <row r="126" ht="20.25" customHeight="1">
      <c r="A126" s="42">
        <v>45748.0</v>
      </c>
      <c r="B126" s="89" t="s">
        <v>301</v>
      </c>
      <c r="C126" s="214">
        <v>45770.0</v>
      </c>
      <c r="D126" s="200" t="s">
        <v>2711</v>
      </c>
      <c r="E126" s="214">
        <v>45770.0</v>
      </c>
      <c r="F126" s="253"/>
    </row>
    <row r="127" ht="20.25" customHeight="1">
      <c r="A127" s="204">
        <v>45778.0</v>
      </c>
      <c r="B127" s="89" t="s">
        <v>358</v>
      </c>
      <c r="C127" s="214">
        <v>45792.0</v>
      </c>
      <c r="D127" s="200" t="s">
        <v>2712</v>
      </c>
      <c r="E127" s="214">
        <v>45792.0</v>
      </c>
      <c r="F127" s="253"/>
    </row>
    <row r="128" ht="20.25" customHeight="1">
      <c r="A128" s="204">
        <v>45778.0</v>
      </c>
      <c r="B128" s="89" t="s">
        <v>375</v>
      </c>
      <c r="C128" s="214">
        <v>45785.0</v>
      </c>
      <c r="D128" s="200" t="s">
        <v>2714</v>
      </c>
      <c r="E128" s="214">
        <v>45785.0</v>
      </c>
      <c r="F128" s="253"/>
    </row>
    <row r="129" ht="19.5" customHeight="1">
      <c r="A129" s="204">
        <v>45778.0</v>
      </c>
      <c r="B129" s="89" t="s">
        <v>341</v>
      </c>
      <c r="C129" s="202">
        <v>45880.0</v>
      </c>
      <c r="D129" s="200" t="s">
        <v>2717</v>
      </c>
      <c r="E129" s="202">
        <v>45880.0</v>
      </c>
      <c r="F129" s="253"/>
    </row>
    <row r="130" ht="18.75" customHeight="1">
      <c r="A130" s="204">
        <v>45778.0</v>
      </c>
      <c r="B130" s="89" t="s">
        <v>362</v>
      </c>
      <c r="C130" s="214">
        <v>45789.0</v>
      </c>
      <c r="D130" s="200" t="s">
        <v>2718</v>
      </c>
      <c r="E130" s="214">
        <v>45789.0</v>
      </c>
      <c r="F130" s="253"/>
    </row>
    <row r="131" ht="19.5" customHeight="1">
      <c r="A131" s="204">
        <v>45778.0</v>
      </c>
      <c r="B131" s="89" t="s">
        <v>415</v>
      </c>
      <c r="C131" s="214">
        <v>45820.0</v>
      </c>
      <c r="D131" s="200" t="s">
        <v>2718</v>
      </c>
      <c r="E131" s="214">
        <v>45820.0</v>
      </c>
      <c r="F131" s="253"/>
    </row>
    <row r="132" ht="21.0" customHeight="1">
      <c r="A132" s="204">
        <v>45778.0</v>
      </c>
      <c r="B132" s="89" t="s">
        <v>372</v>
      </c>
      <c r="C132" s="214">
        <v>45785.0</v>
      </c>
      <c r="D132" s="200" t="s">
        <v>2721</v>
      </c>
      <c r="E132" s="214">
        <v>45785.0</v>
      </c>
      <c r="F132" s="253"/>
    </row>
    <row r="133" ht="20.25" customHeight="1">
      <c r="A133" s="204">
        <v>45778.0</v>
      </c>
      <c r="B133" s="89" t="s">
        <v>391</v>
      </c>
      <c r="C133" s="170">
        <v>45834.0</v>
      </c>
      <c r="D133" s="200" t="s">
        <v>2723</v>
      </c>
      <c r="E133" s="170">
        <v>45834.0</v>
      </c>
      <c r="F133" s="253"/>
    </row>
    <row r="134" ht="18.0" customHeight="1">
      <c r="A134" s="204">
        <v>45778.0</v>
      </c>
      <c r="B134" s="89" t="s">
        <v>337</v>
      </c>
      <c r="C134" s="214">
        <v>45807.0</v>
      </c>
      <c r="D134" s="200" t="s">
        <v>2725</v>
      </c>
      <c r="E134" s="214">
        <v>45807.0</v>
      </c>
      <c r="F134" s="253"/>
    </row>
    <row r="135" ht="19.5" customHeight="1">
      <c r="A135" s="204">
        <v>45778.0</v>
      </c>
      <c r="B135" s="89" t="s">
        <v>327</v>
      </c>
      <c r="C135" s="214">
        <v>45877.0</v>
      </c>
      <c r="D135" s="200" t="s">
        <v>2727</v>
      </c>
      <c r="E135" s="214">
        <v>45877.0</v>
      </c>
      <c r="F135" s="253"/>
    </row>
    <row r="136" ht="20.25" customHeight="1">
      <c r="A136" s="204">
        <v>45778.0</v>
      </c>
      <c r="B136" s="89" t="s">
        <v>345</v>
      </c>
      <c r="C136" s="214">
        <v>45782.0</v>
      </c>
      <c r="D136" s="200" t="s">
        <v>2725</v>
      </c>
      <c r="E136" s="214">
        <v>45782.0</v>
      </c>
      <c r="F136" s="253"/>
    </row>
    <row r="137">
      <c r="A137" s="204">
        <v>45778.0</v>
      </c>
      <c r="B137" s="89" t="s">
        <v>382</v>
      </c>
      <c r="C137" s="87">
        <v>45814.0</v>
      </c>
      <c r="D137" s="200" t="s">
        <v>2729</v>
      </c>
      <c r="E137" s="87">
        <v>45814.0</v>
      </c>
      <c r="F137" s="253"/>
    </row>
    <row r="138">
      <c r="A138" s="36">
        <v>45809.0</v>
      </c>
      <c r="B138" s="89" t="s">
        <v>380</v>
      </c>
      <c r="C138" s="87">
        <v>45814.0</v>
      </c>
      <c r="D138" s="554" t="s">
        <v>2731</v>
      </c>
      <c r="E138" s="87">
        <v>45814.0</v>
      </c>
      <c r="F138" s="90"/>
    </row>
    <row r="139">
      <c r="A139" s="36">
        <v>45809.0</v>
      </c>
      <c r="B139" s="89" t="s">
        <v>385</v>
      </c>
      <c r="C139" s="87">
        <v>45811.0</v>
      </c>
      <c r="D139" s="554" t="s">
        <v>2733</v>
      </c>
      <c r="E139" s="87">
        <v>45811.0</v>
      </c>
      <c r="F139" s="90"/>
    </row>
    <row r="140">
      <c r="A140" s="36">
        <v>45809.0</v>
      </c>
      <c r="B140" s="89" t="s">
        <v>424</v>
      </c>
      <c r="C140" s="170">
        <v>45862.0</v>
      </c>
      <c r="D140" s="542" t="s">
        <v>2734</v>
      </c>
      <c r="E140" s="170">
        <v>45868.0</v>
      </c>
      <c r="F140" s="90"/>
    </row>
    <row r="141">
      <c r="A141" s="36">
        <v>45809.0</v>
      </c>
      <c r="B141" s="89" t="s">
        <v>384</v>
      </c>
      <c r="C141" s="170">
        <v>45825.0</v>
      </c>
      <c r="D141" s="542" t="s">
        <v>2736</v>
      </c>
      <c r="E141" s="170">
        <v>45825.0</v>
      </c>
      <c r="F141" s="90"/>
    </row>
    <row r="142">
      <c r="A142" s="36">
        <v>45809.0</v>
      </c>
      <c r="B142" s="164" t="s">
        <v>448</v>
      </c>
      <c r="C142" s="170">
        <v>45852.0</v>
      </c>
      <c r="D142" s="542" t="s">
        <v>2738</v>
      </c>
      <c r="E142" s="170">
        <v>45852.0</v>
      </c>
      <c r="F142" s="90"/>
    </row>
    <row r="143">
      <c r="A143" s="36">
        <v>45809.0</v>
      </c>
      <c r="B143" s="89" t="s">
        <v>365</v>
      </c>
      <c r="C143" s="170">
        <v>45841.0</v>
      </c>
      <c r="D143" s="542" t="s">
        <v>2739</v>
      </c>
      <c r="E143" s="170">
        <v>45841.0</v>
      </c>
      <c r="F143" s="90"/>
    </row>
    <row r="144">
      <c r="A144" s="36">
        <v>45809.0</v>
      </c>
      <c r="B144" s="106" t="s">
        <v>484</v>
      </c>
      <c r="C144" s="555"/>
      <c r="D144" s="546" t="s">
        <v>2742</v>
      </c>
      <c r="E144" s="556"/>
      <c r="F144" s="51"/>
      <c r="G144" s="176" t="s">
        <v>2743</v>
      </c>
      <c r="H144" s="14"/>
      <c r="I144" s="14"/>
    </row>
    <row r="145">
      <c r="A145" s="204">
        <v>45839.0</v>
      </c>
      <c r="B145" s="89" t="s">
        <v>348</v>
      </c>
      <c r="C145" s="202">
        <v>45896.0</v>
      </c>
      <c r="D145" s="200" t="s">
        <v>2746</v>
      </c>
      <c r="E145" s="202">
        <v>45896.0</v>
      </c>
      <c r="F145" s="253"/>
    </row>
    <row r="146">
      <c r="A146" s="204">
        <v>45839.0</v>
      </c>
      <c r="B146" s="106" t="s">
        <v>446</v>
      </c>
      <c r="C146" s="465"/>
      <c r="D146" s="447" t="s">
        <v>2748</v>
      </c>
      <c r="E146" s="465"/>
      <c r="F146" s="358"/>
    </row>
    <row r="147">
      <c r="A147" s="52">
        <v>45870.0</v>
      </c>
      <c r="B147" s="89" t="s">
        <v>437</v>
      </c>
      <c r="C147" s="202">
        <v>45903.0</v>
      </c>
      <c r="D147" s="200" t="s">
        <v>2749</v>
      </c>
      <c r="E147" s="202">
        <v>45903.0</v>
      </c>
      <c r="F147" s="253"/>
    </row>
    <row r="148">
      <c r="A148" s="52">
        <v>45870.0</v>
      </c>
      <c r="B148" s="89" t="s">
        <v>416</v>
      </c>
      <c r="C148" s="214">
        <v>45882.0</v>
      </c>
      <c r="D148" s="200" t="s">
        <v>2750</v>
      </c>
      <c r="E148" s="214">
        <v>45882.0</v>
      </c>
      <c r="F148" s="253"/>
    </row>
    <row r="149">
      <c r="A149" s="52">
        <v>45870.0</v>
      </c>
      <c r="B149" s="106" t="s">
        <v>456</v>
      </c>
      <c r="C149" s="557"/>
      <c r="D149" s="447" t="s">
        <v>2752</v>
      </c>
      <c r="E149" s="557"/>
      <c r="F149" s="358"/>
    </row>
    <row r="150">
      <c r="A150" s="52">
        <v>45870.0</v>
      </c>
      <c r="B150" s="89" t="s">
        <v>402</v>
      </c>
      <c r="C150" s="202">
        <v>45895.0</v>
      </c>
      <c r="D150" s="200" t="s">
        <v>2754</v>
      </c>
      <c r="E150" s="202">
        <v>45895.0</v>
      </c>
      <c r="F150" s="253"/>
    </row>
    <row r="151">
      <c r="A151" s="52">
        <v>45870.0</v>
      </c>
      <c r="B151" s="89" t="s">
        <v>482</v>
      </c>
      <c r="C151" s="202">
        <v>45922.0</v>
      </c>
      <c r="D151" s="200" t="s">
        <v>2756</v>
      </c>
      <c r="E151" s="202">
        <v>45922.0</v>
      </c>
      <c r="F151" s="253"/>
    </row>
    <row r="152">
      <c r="A152" s="52">
        <v>45870.0</v>
      </c>
      <c r="B152" s="89" t="s">
        <v>428</v>
      </c>
      <c r="C152" s="202">
        <v>45854.0</v>
      </c>
      <c r="D152" s="200" t="s">
        <v>2759</v>
      </c>
      <c r="E152" s="202">
        <v>45854.0</v>
      </c>
      <c r="F152" s="253"/>
    </row>
    <row r="153">
      <c r="A153" s="52">
        <v>45870.0</v>
      </c>
      <c r="B153" s="89" t="s">
        <v>462</v>
      </c>
      <c r="C153" s="214">
        <v>45877.0</v>
      </c>
      <c r="D153" s="200" t="s">
        <v>2760</v>
      </c>
      <c r="E153" s="214">
        <v>45877.0</v>
      </c>
      <c r="F153" s="253"/>
    </row>
    <row r="154">
      <c r="A154" s="52">
        <v>45870.0</v>
      </c>
      <c r="B154" s="89" t="s">
        <v>406</v>
      </c>
      <c r="C154" s="214">
        <v>45881.0</v>
      </c>
      <c r="D154" s="200" t="s">
        <v>2761</v>
      </c>
      <c r="E154" s="214">
        <v>45881.0</v>
      </c>
      <c r="F154" s="253"/>
    </row>
    <row r="155">
      <c r="A155" s="52">
        <v>45870.0</v>
      </c>
      <c r="B155" s="89" t="s">
        <v>475</v>
      </c>
      <c r="C155" s="214">
        <v>45995.0</v>
      </c>
      <c r="D155" s="200" t="s">
        <v>2762</v>
      </c>
      <c r="E155" s="214">
        <v>45995.0</v>
      </c>
      <c r="F155" s="253"/>
    </row>
    <row r="156">
      <c r="A156" s="204">
        <v>45901.0</v>
      </c>
      <c r="B156" s="89" t="s">
        <v>400</v>
      </c>
      <c r="C156" s="214">
        <v>45911.0</v>
      </c>
      <c r="D156" s="200" t="s">
        <v>2763</v>
      </c>
      <c r="E156" s="214">
        <v>45911.0</v>
      </c>
      <c r="F156" s="253"/>
    </row>
    <row r="157">
      <c r="A157" s="204">
        <v>45901.0</v>
      </c>
      <c r="B157" s="89" t="s">
        <v>454</v>
      </c>
      <c r="C157" s="214">
        <v>45926.0</v>
      </c>
      <c r="D157" s="200" t="s">
        <v>2765</v>
      </c>
      <c r="E157" s="558">
        <v>45926.0</v>
      </c>
      <c r="F157" s="253"/>
    </row>
    <row r="158">
      <c r="A158" s="204">
        <v>45901.0</v>
      </c>
      <c r="B158" s="89" t="s">
        <v>431</v>
      </c>
      <c r="C158" s="214">
        <v>45917.0</v>
      </c>
      <c r="D158" s="200" t="s">
        <v>2763</v>
      </c>
      <c r="E158" s="214">
        <v>45917.0</v>
      </c>
      <c r="F158" s="253"/>
    </row>
    <row r="159">
      <c r="A159" s="204">
        <v>45901.0</v>
      </c>
      <c r="B159" s="106" t="s">
        <v>443</v>
      </c>
      <c r="C159" s="465"/>
      <c r="D159" s="447" t="s">
        <v>2768</v>
      </c>
      <c r="E159" s="465"/>
      <c r="F159" s="358"/>
    </row>
    <row r="160">
      <c r="A160" s="204">
        <v>45901.0</v>
      </c>
      <c r="B160" s="89" t="s">
        <v>407</v>
      </c>
      <c r="C160" s="214">
        <v>45903.0</v>
      </c>
      <c r="D160" s="200" t="s">
        <v>2770</v>
      </c>
      <c r="E160" s="214">
        <v>45903.0</v>
      </c>
      <c r="F160" s="253"/>
    </row>
    <row r="161">
      <c r="A161" s="204">
        <v>45901.0</v>
      </c>
      <c r="B161" s="89" t="s">
        <v>493</v>
      </c>
      <c r="C161" s="214">
        <v>45926.0</v>
      </c>
      <c r="D161" s="200" t="s">
        <v>2771</v>
      </c>
      <c r="E161" s="214">
        <v>45933.0</v>
      </c>
      <c r="F161" s="253"/>
    </row>
    <row r="162">
      <c r="A162" s="204">
        <v>45901.0</v>
      </c>
      <c r="B162" s="106" t="s">
        <v>512</v>
      </c>
      <c r="C162" s="465"/>
      <c r="D162" s="447" t="s">
        <v>2773</v>
      </c>
      <c r="E162" s="465"/>
      <c r="F162" s="358"/>
    </row>
    <row r="163">
      <c r="A163" s="204">
        <v>45901.0</v>
      </c>
      <c r="B163" s="89" t="s">
        <v>410</v>
      </c>
      <c r="C163" s="214">
        <v>45919.0</v>
      </c>
      <c r="D163" s="200" t="s">
        <v>2774</v>
      </c>
      <c r="E163" s="214">
        <v>45919.0</v>
      </c>
      <c r="F163" s="253"/>
    </row>
    <row r="164">
      <c r="A164" s="204">
        <v>45901.0</v>
      </c>
      <c r="B164" s="89" t="s">
        <v>434</v>
      </c>
      <c r="C164" s="214">
        <v>45923.0</v>
      </c>
      <c r="D164" s="200" t="s">
        <v>2770</v>
      </c>
      <c r="E164" s="214">
        <v>45923.0</v>
      </c>
      <c r="F164" s="253"/>
    </row>
    <row r="165">
      <c r="A165" s="42">
        <v>45931.0</v>
      </c>
      <c r="B165" s="89" t="s">
        <v>438</v>
      </c>
      <c r="C165" s="202">
        <v>45958.0</v>
      </c>
      <c r="D165" s="200" t="s">
        <v>2776</v>
      </c>
      <c r="E165" s="202">
        <v>45958.0</v>
      </c>
      <c r="F165" s="253"/>
    </row>
    <row r="166">
      <c r="A166" s="42">
        <v>45931.0</v>
      </c>
      <c r="B166" s="89" t="s">
        <v>496</v>
      </c>
      <c r="C166" s="214">
        <v>45932.0</v>
      </c>
      <c r="D166" s="200" t="s">
        <v>2777</v>
      </c>
      <c r="E166" s="214">
        <v>45932.0</v>
      </c>
      <c r="F166" s="253"/>
    </row>
    <row r="167">
      <c r="A167" s="204">
        <v>45962.0</v>
      </c>
      <c r="B167" s="89" t="s">
        <v>485</v>
      </c>
      <c r="C167" s="214">
        <v>45967.0</v>
      </c>
      <c r="D167" s="200" t="s">
        <v>2779</v>
      </c>
      <c r="E167" s="214">
        <v>45967.0</v>
      </c>
      <c r="F167" s="253"/>
    </row>
    <row r="168">
      <c r="A168" s="204">
        <v>45962.0</v>
      </c>
      <c r="B168" s="89" t="s">
        <v>474</v>
      </c>
      <c r="C168" s="202">
        <v>45971.0</v>
      </c>
      <c r="D168" s="200" t="s">
        <v>2781</v>
      </c>
      <c r="E168" s="202">
        <v>45971.0</v>
      </c>
      <c r="F168" s="253"/>
    </row>
    <row r="169">
      <c r="A169" s="204">
        <v>45963.0</v>
      </c>
      <c r="B169" s="106" t="s">
        <v>544</v>
      </c>
      <c r="C169" s="408"/>
      <c r="D169" s="447" t="s">
        <v>2782</v>
      </c>
      <c r="E169" s="465"/>
      <c r="F169" s="358"/>
    </row>
    <row r="170">
      <c r="A170" s="204">
        <v>45964.0</v>
      </c>
      <c r="B170" s="89" t="s">
        <v>517</v>
      </c>
      <c r="C170" s="202">
        <v>45982.0</v>
      </c>
      <c r="D170" s="200" t="s">
        <v>2783</v>
      </c>
      <c r="E170" s="202">
        <v>45982.0</v>
      </c>
      <c r="F170" s="253"/>
    </row>
    <row r="171">
      <c r="A171" s="204">
        <v>45965.0</v>
      </c>
      <c r="B171" s="89" t="s">
        <v>507</v>
      </c>
      <c r="C171" s="202">
        <v>45980.0</v>
      </c>
      <c r="D171" s="200" t="s">
        <v>2785</v>
      </c>
      <c r="E171" s="202">
        <v>45980.0</v>
      </c>
      <c r="F171" s="253"/>
    </row>
    <row r="172">
      <c r="A172" s="204">
        <v>45966.0</v>
      </c>
      <c r="B172" s="89" t="s">
        <v>520</v>
      </c>
      <c r="C172" s="202">
        <v>45985.0</v>
      </c>
      <c r="D172" s="200" t="s">
        <v>2787</v>
      </c>
      <c r="E172" s="202">
        <v>45985.0</v>
      </c>
      <c r="F172" s="253"/>
    </row>
    <row r="173">
      <c r="A173" s="204">
        <v>45967.0</v>
      </c>
      <c r="B173" s="89" t="s">
        <v>509</v>
      </c>
      <c r="C173" s="202">
        <v>45981.0</v>
      </c>
      <c r="D173" s="200" t="s">
        <v>2787</v>
      </c>
      <c r="E173" s="202">
        <v>45981.0</v>
      </c>
      <c r="F173" s="253"/>
    </row>
    <row r="174">
      <c r="A174" s="204">
        <v>45968.0</v>
      </c>
      <c r="B174" s="89" t="s">
        <v>505</v>
      </c>
      <c r="C174" s="202">
        <v>45979.0</v>
      </c>
      <c r="D174" s="200" t="s">
        <v>2788</v>
      </c>
      <c r="E174" s="202">
        <v>45979.0</v>
      </c>
      <c r="F174" s="253"/>
    </row>
    <row r="175">
      <c r="A175" s="204">
        <v>45969.0</v>
      </c>
      <c r="B175" s="89" t="s">
        <v>502</v>
      </c>
      <c r="C175" s="202">
        <v>45968.0</v>
      </c>
      <c r="D175" s="200" t="s">
        <v>2790</v>
      </c>
      <c r="E175" s="202">
        <v>45968.0</v>
      </c>
      <c r="F175" s="253"/>
    </row>
    <row r="176">
      <c r="A176" s="204">
        <v>45970.0</v>
      </c>
      <c r="B176" s="89" t="s">
        <v>538</v>
      </c>
      <c r="C176" s="202">
        <v>46029.0</v>
      </c>
      <c r="D176" s="200" t="s">
        <v>2791</v>
      </c>
      <c r="E176" s="202">
        <v>46029.0</v>
      </c>
      <c r="F176" s="203" t="s">
        <v>649</v>
      </c>
    </row>
    <row r="177">
      <c r="A177" s="42">
        <v>45992.0</v>
      </c>
      <c r="B177" s="89" t="s">
        <v>528</v>
      </c>
      <c r="C177" s="214">
        <v>45993.0</v>
      </c>
      <c r="D177" s="200" t="s">
        <v>2793</v>
      </c>
      <c r="E177" s="214">
        <v>45993.0</v>
      </c>
      <c r="F177" s="253"/>
    </row>
    <row r="178">
      <c r="A178" s="559">
        <v>45992.0</v>
      </c>
      <c r="B178" s="89" t="s">
        <v>530</v>
      </c>
      <c r="C178" s="202">
        <v>45999.0</v>
      </c>
      <c r="D178" s="200" t="s">
        <v>2795</v>
      </c>
      <c r="E178" s="202">
        <v>45999.0</v>
      </c>
      <c r="F178" s="253"/>
    </row>
    <row r="179">
      <c r="A179" s="204">
        <v>46023.0</v>
      </c>
      <c r="B179" s="89" t="s">
        <v>518</v>
      </c>
      <c r="C179" s="202">
        <v>46044.0</v>
      </c>
      <c r="D179" s="542" t="s">
        <v>2796</v>
      </c>
      <c r="E179" s="202">
        <v>46044.0</v>
      </c>
      <c r="F179" s="164" t="s">
        <v>625</v>
      </c>
    </row>
    <row r="180">
      <c r="A180" s="204">
        <v>46023.0</v>
      </c>
      <c r="B180" s="89" t="s">
        <v>533</v>
      </c>
      <c r="C180" s="202">
        <v>46044.0</v>
      </c>
      <c r="D180" s="542" t="s">
        <v>2798</v>
      </c>
      <c r="E180" s="202">
        <v>46044.0</v>
      </c>
      <c r="F180" s="164" t="s">
        <v>625</v>
      </c>
    </row>
    <row r="181">
      <c r="A181" s="204">
        <v>46023.0</v>
      </c>
      <c r="B181" s="89" t="s">
        <v>536</v>
      </c>
      <c r="C181" s="202">
        <v>46029.0</v>
      </c>
      <c r="D181" s="542" t="s">
        <v>2800</v>
      </c>
      <c r="E181" s="202">
        <v>46029.0</v>
      </c>
      <c r="F181" s="164" t="s">
        <v>625</v>
      </c>
    </row>
    <row r="182">
      <c r="A182" s="204">
        <v>46023.0</v>
      </c>
      <c r="B182" s="89" t="s">
        <v>553</v>
      </c>
      <c r="C182" s="202">
        <v>46072.0</v>
      </c>
      <c r="D182" s="542" t="s">
        <v>2803</v>
      </c>
      <c r="E182" s="202">
        <v>46072.0</v>
      </c>
      <c r="F182" s="164" t="s">
        <v>736</v>
      </c>
    </row>
    <row r="183">
      <c r="A183" s="204">
        <v>46023.0</v>
      </c>
      <c r="B183" s="89" t="s">
        <v>537</v>
      </c>
      <c r="C183" s="202">
        <v>46049.0</v>
      </c>
      <c r="D183" s="542" t="s">
        <v>2804</v>
      </c>
      <c r="E183" s="202">
        <v>46049.0</v>
      </c>
      <c r="F183" s="164" t="s">
        <v>736</v>
      </c>
    </row>
    <row r="184">
      <c r="A184" s="204">
        <v>46023.0</v>
      </c>
      <c r="B184" s="89" t="s">
        <v>540</v>
      </c>
      <c r="C184" s="214">
        <v>46034.0</v>
      </c>
      <c r="D184" s="542" t="s">
        <v>2806</v>
      </c>
      <c r="E184" s="214">
        <v>46034.0</v>
      </c>
      <c r="F184" s="203" t="s">
        <v>649</v>
      </c>
    </row>
    <row r="185">
      <c r="A185" s="42">
        <v>46054.0</v>
      </c>
      <c r="B185" s="203" t="s">
        <v>555</v>
      </c>
      <c r="C185" s="202">
        <v>46098.0</v>
      </c>
      <c r="D185" s="542" t="s">
        <v>2808</v>
      </c>
      <c r="E185" s="202">
        <v>46098.0</v>
      </c>
      <c r="F185" s="164" t="s">
        <v>736</v>
      </c>
    </row>
    <row r="186">
      <c r="A186" s="42">
        <v>46054.0</v>
      </c>
      <c r="B186" s="203" t="s">
        <v>542</v>
      </c>
      <c r="C186" s="202">
        <v>46071.0</v>
      </c>
      <c r="D186" s="542" t="s">
        <v>2809</v>
      </c>
      <c r="E186" s="202">
        <v>46072.0</v>
      </c>
      <c r="F186" s="180" t="s">
        <v>736</v>
      </c>
    </row>
    <row r="187">
      <c r="A187" s="42">
        <v>46054.0</v>
      </c>
      <c r="B187" s="203" t="s">
        <v>551</v>
      </c>
      <c r="C187" s="202">
        <v>46071.0</v>
      </c>
      <c r="D187" s="542" t="s">
        <v>2810</v>
      </c>
      <c r="E187" s="202">
        <v>46072.0</v>
      </c>
      <c r="F187" s="164" t="s">
        <v>649</v>
      </c>
    </row>
    <row r="188">
      <c r="A188" s="204">
        <v>46082.0</v>
      </c>
      <c r="B188" s="203" t="s">
        <v>557</v>
      </c>
      <c r="C188" s="202">
        <v>46077.0</v>
      </c>
      <c r="D188" s="200"/>
      <c r="E188" s="202">
        <v>46077.0</v>
      </c>
      <c r="F188" s="203" t="s">
        <v>625</v>
      </c>
    </row>
    <row r="189">
      <c r="A189" s="560" t="s">
        <v>2812</v>
      </c>
      <c r="B189" s="14"/>
      <c r="C189" s="3"/>
      <c r="D189" s="142"/>
      <c r="E189" s="3"/>
    </row>
    <row r="190">
      <c r="B190" s="14"/>
      <c r="C190" s="3"/>
      <c r="D190" s="142"/>
      <c r="E190" s="3"/>
    </row>
    <row r="191">
      <c r="B191" s="14"/>
      <c r="C191" s="3"/>
      <c r="D191" s="142"/>
      <c r="E191" s="3"/>
    </row>
    <row r="192">
      <c r="B192" s="14"/>
      <c r="C192" s="3"/>
      <c r="D192" s="142"/>
      <c r="E192" s="3"/>
    </row>
    <row r="193">
      <c r="B193" s="14"/>
      <c r="C193" s="3"/>
      <c r="D193" s="142"/>
      <c r="E193" s="3"/>
    </row>
    <row r="194">
      <c r="B194" s="14"/>
      <c r="C194" s="3"/>
      <c r="D194" s="142"/>
      <c r="E194" s="3"/>
    </row>
    <row r="195">
      <c r="B195" s="14"/>
      <c r="C195" s="3"/>
      <c r="D195" s="142"/>
      <c r="E195" s="3"/>
    </row>
    <row r="196">
      <c r="B196" s="14"/>
      <c r="C196" s="3"/>
      <c r="D196" s="142"/>
      <c r="E196" s="3"/>
    </row>
    <row r="197">
      <c r="B197" s="14"/>
      <c r="C197" s="3"/>
      <c r="D197" s="142"/>
      <c r="E197" s="3"/>
    </row>
    <row r="198">
      <c r="B198" s="14"/>
      <c r="C198" s="3"/>
      <c r="D198" s="142"/>
      <c r="E198" s="3"/>
    </row>
    <row r="199">
      <c r="B199" s="14"/>
      <c r="C199" s="3"/>
      <c r="D199" s="142"/>
      <c r="E199" s="3"/>
    </row>
    <row r="200">
      <c r="B200" s="14"/>
      <c r="C200" s="3"/>
      <c r="D200" s="142"/>
      <c r="E200" s="3"/>
    </row>
    <row r="201">
      <c r="B201" s="14"/>
      <c r="C201" s="3"/>
      <c r="D201" s="142"/>
      <c r="E201" s="3"/>
    </row>
    <row r="202">
      <c r="B202" s="14"/>
      <c r="C202" s="3"/>
      <c r="D202" s="142"/>
      <c r="E202" s="3"/>
    </row>
    <row r="203">
      <c r="B203" s="14"/>
      <c r="C203" s="3"/>
      <c r="D203" s="142"/>
      <c r="E203" s="3"/>
    </row>
    <row r="204">
      <c r="B204" s="14"/>
      <c r="C204" s="3"/>
      <c r="D204" s="142"/>
      <c r="E204" s="3"/>
    </row>
    <row r="205">
      <c r="B205" s="14"/>
      <c r="C205" s="3"/>
      <c r="D205" s="142"/>
      <c r="E205" s="3"/>
    </row>
    <row r="206">
      <c r="B206" s="14"/>
      <c r="C206" s="3"/>
      <c r="D206" s="142"/>
      <c r="E206" s="3"/>
    </row>
    <row r="207">
      <c r="B207" s="14"/>
      <c r="C207" s="3"/>
      <c r="D207" s="142"/>
      <c r="E207" s="3"/>
    </row>
    <row r="208">
      <c r="B208" s="14"/>
      <c r="C208" s="3"/>
      <c r="D208" s="142"/>
      <c r="E208" s="3"/>
    </row>
    <row r="209">
      <c r="B209" s="14"/>
      <c r="C209" s="3"/>
      <c r="D209" s="142"/>
      <c r="E209" s="3"/>
    </row>
    <row r="210">
      <c r="B210" s="14"/>
      <c r="C210" s="3"/>
      <c r="D210" s="142"/>
      <c r="E210" s="3"/>
    </row>
    <row r="211">
      <c r="B211" s="14"/>
      <c r="C211" s="3"/>
      <c r="D211" s="142"/>
      <c r="E211" s="3"/>
    </row>
    <row r="212">
      <c r="B212" s="14"/>
      <c r="C212" s="3"/>
      <c r="D212" s="142"/>
      <c r="E212" s="3"/>
    </row>
    <row r="213">
      <c r="B213" s="14"/>
      <c r="C213" s="3"/>
      <c r="D213" s="142"/>
      <c r="E213" s="3"/>
    </row>
    <row r="214">
      <c r="B214" s="14"/>
      <c r="C214" s="3"/>
      <c r="D214" s="142"/>
      <c r="E214" s="3"/>
    </row>
    <row r="215">
      <c r="B215" s="14"/>
      <c r="C215" s="3"/>
      <c r="D215" s="142"/>
      <c r="E215" s="3"/>
    </row>
    <row r="216">
      <c r="B216" s="14"/>
      <c r="C216" s="3"/>
      <c r="D216" s="142"/>
      <c r="E216" s="3"/>
    </row>
    <row r="217">
      <c r="B217" s="14"/>
      <c r="C217" s="3"/>
      <c r="D217" s="142"/>
      <c r="E217" s="3"/>
    </row>
    <row r="218">
      <c r="B218" s="14"/>
      <c r="C218" s="3"/>
      <c r="D218" s="142"/>
      <c r="E218" s="3"/>
    </row>
    <row r="219">
      <c r="B219" s="14"/>
      <c r="C219" s="3"/>
      <c r="D219" s="142"/>
      <c r="E219" s="3"/>
    </row>
    <row r="220">
      <c r="B220" s="14"/>
      <c r="C220" s="3"/>
      <c r="D220" s="142"/>
      <c r="E220" s="3"/>
    </row>
    <row r="221">
      <c r="B221" s="14"/>
      <c r="C221" s="3"/>
      <c r="D221" s="142"/>
      <c r="E221" s="3"/>
    </row>
    <row r="222">
      <c r="B222" s="14"/>
      <c r="C222" s="3"/>
      <c r="D222" s="142"/>
      <c r="E222" s="3"/>
    </row>
    <row r="223">
      <c r="B223" s="14"/>
      <c r="C223" s="3"/>
      <c r="D223" s="142"/>
      <c r="E223" s="3"/>
    </row>
    <row r="224">
      <c r="B224" s="14"/>
      <c r="C224" s="3"/>
      <c r="D224" s="142"/>
      <c r="E224" s="3"/>
    </row>
    <row r="225">
      <c r="B225" s="14"/>
      <c r="C225" s="3"/>
      <c r="D225" s="142"/>
      <c r="E225" s="3"/>
    </row>
    <row r="226">
      <c r="B226" s="14"/>
      <c r="C226" s="3"/>
      <c r="D226" s="142"/>
      <c r="E226" s="3"/>
    </row>
    <row r="227">
      <c r="B227" s="14"/>
      <c r="C227" s="3"/>
      <c r="D227" s="142"/>
      <c r="E227" s="3"/>
    </row>
    <row r="228">
      <c r="B228" s="14"/>
      <c r="C228" s="3"/>
      <c r="D228" s="142"/>
      <c r="E228" s="3"/>
    </row>
    <row r="229">
      <c r="B229" s="14"/>
      <c r="C229" s="3"/>
      <c r="D229" s="142"/>
      <c r="E229" s="3"/>
    </row>
    <row r="230">
      <c r="B230" s="14"/>
      <c r="C230" s="3"/>
      <c r="D230" s="142"/>
      <c r="E230" s="3"/>
    </row>
    <row r="231">
      <c r="B231" s="14"/>
      <c r="C231" s="3"/>
      <c r="D231" s="142"/>
      <c r="E231" s="3"/>
    </row>
    <row r="232">
      <c r="B232" s="14"/>
      <c r="C232" s="3"/>
      <c r="D232" s="142"/>
      <c r="E232" s="3"/>
    </row>
    <row r="233">
      <c r="B233" s="14"/>
      <c r="C233" s="3"/>
      <c r="D233" s="142"/>
      <c r="E233" s="3"/>
    </row>
    <row r="234">
      <c r="B234" s="14"/>
      <c r="C234" s="3"/>
      <c r="D234" s="142"/>
      <c r="E234" s="3"/>
    </row>
    <row r="235">
      <c r="B235" s="14"/>
      <c r="C235" s="3"/>
      <c r="D235" s="142"/>
      <c r="E235" s="3"/>
    </row>
    <row r="236">
      <c r="B236" s="14"/>
      <c r="C236" s="3"/>
      <c r="D236" s="142"/>
      <c r="E236" s="3"/>
    </row>
    <row r="237">
      <c r="B237" s="14"/>
      <c r="C237" s="3"/>
      <c r="D237" s="142"/>
      <c r="E237" s="3"/>
    </row>
    <row r="238">
      <c r="B238" s="14"/>
      <c r="C238" s="3"/>
      <c r="D238" s="142"/>
      <c r="E238" s="3"/>
    </row>
    <row r="239">
      <c r="B239" s="14"/>
      <c r="C239" s="3"/>
      <c r="D239" s="142"/>
      <c r="E239" s="3"/>
    </row>
    <row r="240">
      <c r="B240" s="14"/>
      <c r="C240" s="3"/>
      <c r="D240" s="142"/>
      <c r="E240" s="3"/>
    </row>
    <row r="241">
      <c r="B241" s="14"/>
      <c r="C241" s="3"/>
      <c r="D241" s="142"/>
      <c r="E241" s="3"/>
    </row>
    <row r="242">
      <c r="B242" s="14"/>
      <c r="C242" s="3"/>
      <c r="D242" s="142"/>
      <c r="E242" s="3"/>
    </row>
    <row r="243">
      <c r="B243" s="14"/>
      <c r="C243" s="3"/>
      <c r="D243" s="142"/>
      <c r="E243" s="3"/>
    </row>
    <row r="244">
      <c r="B244" s="14"/>
      <c r="C244" s="3"/>
      <c r="D244" s="142"/>
      <c r="E244" s="3"/>
    </row>
    <row r="245">
      <c r="B245" s="14"/>
      <c r="C245" s="3"/>
      <c r="D245" s="142"/>
      <c r="E245" s="3"/>
    </row>
    <row r="246">
      <c r="B246" s="14"/>
      <c r="C246" s="3"/>
      <c r="D246" s="142"/>
      <c r="E246" s="3"/>
    </row>
    <row r="247">
      <c r="B247" s="14"/>
      <c r="C247" s="3"/>
      <c r="D247" s="142"/>
      <c r="E247" s="3"/>
    </row>
    <row r="248">
      <c r="B248" s="14"/>
      <c r="C248" s="3"/>
      <c r="D248" s="142"/>
      <c r="E248" s="3"/>
    </row>
    <row r="249">
      <c r="B249" s="14"/>
      <c r="C249" s="3"/>
      <c r="D249" s="142"/>
      <c r="E249" s="3"/>
    </row>
    <row r="250">
      <c r="B250" s="14"/>
      <c r="C250" s="3"/>
      <c r="D250" s="142"/>
      <c r="E250" s="3"/>
    </row>
    <row r="251">
      <c r="B251" s="14"/>
      <c r="C251" s="3"/>
      <c r="D251" s="142"/>
      <c r="E251" s="3"/>
    </row>
    <row r="252">
      <c r="B252" s="14"/>
      <c r="C252" s="3"/>
      <c r="D252" s="142"/>
      <c r="E252" s="3"/>
    </row>
    <row r="253">
      <c r="B253" s="14"/>
      <c r="C253" s="3"/>
      <c r="D253" s="142"/>
      <c r="E253" s="3"/>
    </row>
    <row r="254">
      <c r="B254" s="14"/>
      <c r="C254" s="3"/>
      <c r="D254" s="142"/>
      <c r="E254" s="3"/>
    </row>
    <row r="255">
      <c r="B255" s="14"/>
      <c r="C255" s="3"/>
      <c r="D255" s="142"/>
      <c r="E255" s="3"/>
    </row>
    <row r="256">
      <c r="B256" s="14"/>
      <c r="C256" s="3"/>
      <c r="D256" s="142"/>
      <c r="E256" s="3"/>
    </row>
    <row r="257">
      <c r="B257" s="14"/>
      <c r="C257" s="3"/>
      <c r="D257" s="142"/>
      <c r="E257" s="3"/>
    </row>
    <row r="258">
      <c r="B258" s="14"/>
      <c r="C258" s="3"/>
      <c r="D258" s="142"/>
      <c r="E258" s="3"/>
    </row>
    <row r="259">
      <c r="B259" s="14"/>
      <c r="C259" s="3"/>
      <c r="D259" s="142"/>
      <c r="E259" s="3"/>
    </row>
    <row r="260">
      <c r="B260" s="14"/>
      <c r="C260" s="3"/>
      <c r="D260" s="142"/>
      <c r="E260" s="3"/>
    </row>
    <row r="261">
      <c r="B261" s="14"/>
      <c r="C261" s="3"/>
      <c r="D261" s="142"/>
      <c r="E261" s="3"/>
    </row>
    <row r="262">
      <c r="B262" s="14"/>
      <c r="C262" s="3"/>
      <c r="D262" s="142"/>
      <c r="E262" s="3"/>
    </row>
    <row r="263">
      <c r="B263" s="14"/>
      <c r="C263" s="3"/>
      <c r="D263" s="142"/>
      <c r="E263" s="3"/>
    </row>
    <row r="264">
      <c r="B264" s="14"/>
      <c r="C264" s="3"/>
      <c r="D264" s="142"/>
      <c r="E264" s="3"/>
    </row>
    <row r="265">
      <c r="B265" s="14"/>
      <c r="C265" s="3"/>
      <c r="D265" s="142"/>
      <c r="E265" s="3"/>
    </row>
    <row r="266">
      <c r="B266" s="14"/>
      <c r="C266" s="3"/>
      <c r="D266" s="142"/>
      <c r="E266" s="3"/>
    </row>
    <row r="267">
      <c r="B267" s="14"/>
      <c r="C267" s="3"/>
      <c r="D267" s="142"/>
      <c r="E267" s="3"/>
    </row>
    <row r="268">
      <c r="B268" s="14"/>
      <c r="C268" s="3"/>
      <c r="D268" s="142"/>
      <c r="E268" s="3"/>
    </row>
    <row r="269">
      <c r="B269" s="14"/>
      <c r="C269" s="3"/>
      <c r="D269" s="142"/>
      <c r="E269" s="3"/>
    </row>
    <row r="270">
      <c r="B270" s="14"/>
      <c r="C270" s="3"/>
      <c r="D270" s="142"/>
      <c r="E270" s="3"/>
    </row>
    <row r="271">
      <c r="B271" s="14"/>
      <c r="C271" s="3"/>
      <c r="D271" s="142"/>
      <c r="E271" s="3"/>
    </row>
    <row r="272">
      <c r="B272" s="14"/>
      <c r="C272" s="3"/>
      <c r="D272" s="142"/>
      <c r="E272" s="3"/>
    </row>
    <row r="273">
      <c r="B273" s="14"/>
      <c r="C273" s="3"/>
      <c r="D273" s="142"/>
      <c r="E273" s="3"/>
    </row>
    <row r="274">
      <c r="B274" s="14"/>
      <c r="C274" s="3"/>
      <c r="D274" s="142"/>
      <c r="E274" s="3"/>
    </row>
    <row r="275">
      <c r="B275" s="14"/>
      <c r="C275" s="3"/>
      <c r="D275" s="142"/>
      <c r="E275" s="3"/>
    </row>
    <row r="276">
      <c r="B276" s="14"/>
      <c r="C276" s="3"/>
      <c r="D276" s="142"/>
      <c r="E276" s="3"/>
    </row>
    <row r="277">
      <c r="B277" s="14"/>
      <c r="C277" s="3"/>
      <c r="D277" s="142"/>
      <c r="E277" s="3"/>
    </row>
    <row r="278">
      <c r="B278" s="14"/>
      <c r="C278" s="3"/>
      <c r="D278" s="142"/>
      <c r="E278" s="3"/>
    </row>
    <row r="279">
      <c r="B279" s="14"/>
      <c r="C279" s="3"/>
      <c r="D279" s="142"/>
      <c r="E279" s="3"/>
    </row>
    <row r="280">
      <c r="B280" s="14"/>
      <c r="C280" s="3"/>
      <c r="D280" s="142"/>
      <c r="E280" s="3"/>
    </row>
    <row r="281">
      <c r="B281" s="14"/>
      <c r="C281" s="3"/>
      <c r="D281" s="142"/>
      <c r="E281" s="3"/>
    </row>
    <row r="282">
      <c r="B282" s="14"/>
      <c r="C282" s="3"/>
      <c r="D282" s="142"/>
      <c r="E282" s="3"/>
    </row>
    <row r="283">
      <c r="B283" s="14"/>
      <c r="C283" s="3"/>
      <c r="D283" s="142"/>
      <c r="E283" s="3"/>
    </row>
    <row r="284">
      <c r="B284" s="14"/>
      <c r="C284" s="3"/>
      <c r="D284" s="142"/>
      <c r="E284" s="3"/>
    </row>
    <row r="285">
      <c r="B285" s="14"/>
      <c r="C285" s="3"/>
      <c r="D285" s="142"/>
      <c r="E285" s="3"/>
    </row>
    <row r="286">
      <c r="B286" s="14"/>
      <c r="C286" s="3"/>
      <c r="D286" s="142"/>
      <c r="E286" s="3"/>
    </row>
    <row r="287">
      <c r="B287" s="14"/>
      <c r="C287" s="3"/>
      <c r="D287" s="142"/>
      <c r="E287" s="3"/>
    </row>
    <row r="288">
      <c r="B288" s="14"/>
      <c r="C288" s="3"/>
      <c r="D288" s="142"/>
      <c r="E288" s="3"/>
    </row>
    <row r="289">
      <c r="B289" s="14"/>
      <c r="C289" s="3"/>
      <c r="D289" s="142"/>
      <c r="E289" s="3"/>
    </row>
    <row r="290">
      <c r="B290" s="14"/>
      <c r="C290" s="3"/>
      <c r="D290" s="142"/>
      <c r="E290" s="3"/>
    </row>
    <row r="291">
      <c r="B291" s="14"/>
      <c r="C291" s="3"/>
      <c r="D291" s="142"/>
      <c r="E291" s="3"/>
    </row>
    <row r="292">
      <c r="B292" s="14"/>
      <c r="C292" s="3"/>
      <c r="D292" s="142"/>
      <c r="E292" s="3"/>
    </row>
    <row r="293">
      <c r="B293" s="14"/>
      <c r="C293" s="3"/>
      <c r="D293" s="142"/>
      <c r="E293" s="3"/>
    </row>
    <row r="294">
      <c r="B294" s="14"/>
      <c r="C294" s="3"/>
      <c r="D294" s="142"/>
      <c r="E294" s="3"/>
    </row>
    <row r="295">
      <c r="B295" s="14"/>
      <c r="C295" s="3"/>
      <c r="D295" s="142"/>
      <c r="E295" s="3"/>
    </row>
    <row r="296">
      <c r="B296" s="14"/>
      <c r="C296" s="3"/>
      <c r="D296" s="142"/>
      <c r="E296" s="3"/>
    </row>
    <row r="297">
      <c r="B297" s="14"/>
      <c r="C297" s="3"/>
      <c r="D297" s="142"/>
      <c r="E297" s="3"/>
    </row>
    <row r="298">
      <c r="B298" s="14"/>
      <c r="C298" s="3"/>
      <c r="D298" s="142"/>
      <c r="E298" s="3"/>
    </row>
    <row r="299">
      <c r="B299" s="14"/>
      <c r="C299" s="3"/>
      <c r="D299" s="142"/>
      <c r="E299" s="3"/>
    </row>
    <row r="300">
      <c r="B300" s="14"/>
      <c r="C300" s="3"/>
      <c r="D300" s="142"/>
      <c r="E300" s="3"/>
    </row>
    <row r="301">
      <c r="B301" s="14"/>
      <c r="C301" s="3"/>
      <c r="D301" s="142"/>
      <c r="E301" s="3"/>
    </row>
    <row r="302">
      <c r="B302" s="14"/>
      <c r="C302" s="3"/>
      <c r="D302" s="142"/>
      <c r="E302" s="3"/>
    </row>
    <row r="303">
      <c r="B303" s="14"/>
      <c r="C303" s="3"/>
      <c r="D303" s="142"/>
      <c r="E303" s="3"/>
    </row>
    <row r="304">
      <c r="B304" s="14"/>
      <c r="C304" s="3"/>
      <c r="D304" s="142"/>
      <c r="E304" s="3"/>
    </row>
    <row r="305">
      <c r="B305" s="14"/>
      <c r="C305" s="3"/>
      <c r="D305" s="142"/>
      <c r="E305" s="3"/>
    </row>
    <row r="306">
      <c r="B306" s="14"/>
      <c r="C306" s="3"/>
      <c r="D306" s="142"/>
      <c r="E306" s="3"/>
    </row>
    <row r="307">
      <c r="B307" s="14"/>
      <c r="C307" s="3"/>
      <c r="D307" s="142"/>
      <c r="E307" s="3"/>
    </row>
    <row r="308">
      <c r="B308" s="14"/>
      <c r="C308" s="3"/>
      <c r="D308" s="142"/>
      <c r="E308" s="3"/>
    </row>
    <row r="309">
      <c r="B309" s="14"/>
      <c r="C309" s="3"/>
      <c r="D309" s="142"/>
      <c r="E309" s="3"/>
    </row>
    <row r="310">
      <c r="B310" s="14"/>
      <c r="C310" s="3"/>
      <c r="D310" s="142"/>
      <c r="E310" s="3"/>
    </row>
    <row r="311">
      <c r="B311" s="14"/>
      <c r="C311" s="3"/>
      <c r="D311" s="142"/>
      <c r="E311" s="3"/>
    </row>
    <row r="312">
      <c r="B312" s="14"/>
      <c r="C312" s="3"/>
      <c r="D312" s="142"/>
      <c r="E312" s="3"/>
    </row>
    <row r="313">
      <c r="B313" s="14"/>
      <c r="C313" s="3"/>
      <c r="D313" s="142"/>
      <c r="E313" s="3"/>
    </row>
    <row r="314">
      <c r="B314" s="14"/>
      <c r="C314" s="3"/>
      <c r="D314" s="142"/>
      <c r="E314" s="3"/>
    </row>
    <row r="315">
      <c r="B315" s="14"/>
      <c r="C315" s="3"/>
      <c r="D315" s="142"/>
      <c r="E315" s="3"/>
    </row>
    <row r="316">
      <c r="B316" s="14"/>
      <c r="C316" s="3"/>
      <c r="D316" s="142"/>
      <c r="E316" s="3"/>
    </row>
    <row r="317">
      <c r="B317" s="14"/>
      <c r="C317" s="3"/>
      <c r="D317" s="142"/>
      <c r="E317" s="3"/>
    </row>
    <row r="318">
      <c r="B318" s="14"/>
      <c r="C318" s="3"/>
      <c r="D318" s="142"/>
      <c r="E318" s="3"/>
    </row>
    <row r="319">
      <c r="B319" s="14"/>
      <c r="C319" s="3"/>
      <c r="D319" s="142"/>
      <c r="E319" s="3"/>
    </row>
    <row r="320">
      <c r="B320" s="14"/>
      <c r="C320" s="3"/>
      <c r="D320" s="142"/>
      <c r="E320" s="3"/>
    </row>
    <row r="321">
      <c r="B321" s="14"/>
      <c r="C321" s="3"/>
      <c r="D321" s="142"/>
      <c r="E321" s="3"/>
    </row>
    <row r="322">
      <c r="B322" s="14"/>
      <c r="C322" s="3"/>
      <c r="D322" s="142"/>
      <c r="E322" s="3"/>
    </row>
    <row r="323">
      <c r="B323" s="14"/>
      <c r="C323" s="3"/>
      <c r="D323" s="142"/>
      <c r="E323" s="3"/>
    </row>
    <row r="324">
      <c r="B324" s="14"/>
      <c r="C324" s="3"/>
      <c r="D324" s="142"/>
      <c r="E324" s="3"/>
    </row>
    <row r="325">
      <c r="B325" s="14"/>
      <c r="C325" s="3"/>
      <c r="D325" s="142"/>
      <c r="E325" s="3"/>
    </row>
    <row r="326">
      <c r="B326" s="14"/>
      <c r="C326" s="3"/>
      <c r="D326" s="142"/>
      <c r="E326" s="3"/>
    </row>
    <row r="327">
      <c r="B327" s="14"/>
      <c r="C327" s="3"/>
      <c r="D327" s="142"/>
      <c r="E327" s="3"/>
    </row>
    <row r="328">
      <c r="B328" s="14"/>
      <c r="C328" s="3"/>
      <c r="D328" s="142"/>
      <c r="E328" s="3"/>
    </row>
    <row r="329">
      <c r="B329" s="14"/>
      <c r="C329" s="3"/>
      <c r="D329" s="142"/>
      <c r="E329" s="3"/>
    </row>
    <row r="330">
      <c r="B330" s="14"/>
      <c r="C330" s="3"/>
      <c r="D330" s="142"/>
      <c r="E330" s="3"/>
    </row>
    <row r="331">
      <c r="B331" s="14"/>
      <c r="C331" s="3"/>
      <c r="D331" s="142"/>
      <c r="E331" s="3"/>
    </row>
    <row r="332">
      <c r="B332" s="14"/>
      <c r="C332" s="3"/>
      <c r="D332" s="142"/>
      <c r="E332" s="3"/>
    </row>
    <row r="333">
      <c r="B333" s="14"/>
      <c r="C333" s="3"/>
      <c r="D333" s="142"/>
      <c r="E333" s="3"/>
    </row>
    <row r="334">
      <c r="B334" s="14"/>
      <c r="C334" s="3"/>
      <c r="D334" s="142"/>
      <c r="E334" s="3"/>
    </row>
    <row r="335">
      <c r="B335" s="14"/>
      <c r="C335" s="3"/>
      <c r="D335" s="142"/>
      <c r="E335" s="3"/>
    </row>
    <row r="336">
      <c r="B336" s="14"/>
      <c r="C336" s="3"/>
      <c r="D336" s="142"/>
      <c r="E336" s="3"/>
    </row>
    <row r="337">
      <c r="B337" s="14"/>
      <c r="C337" s="3"/>
      <c r="D337" s="142"/>
      <c r="E337" s="3"/>
    </row>
    <row r="338">
      <c r="B338" s="14"/>
      <c r="C338" s="3"/>
      <c r="D338" s="142"/>
      <c r="E338" s="3"/>
    </row>
    <row r="339">
      <c r="B339" s="14"/>
      <c r="C339" s="3"/>
      <c r="D339" s="142"/>
      <c r="E339" s="3"/>
    </row>
    <row r="340">
      <c r="B340" s="14"/>
      <c r="C340" s="3"/>
      <c r="D340" s="142"/>
      <c r="E340" s="3"/>
    </row>
    <row r="341">
      <c r="B341" s="14"/>
      <c r="C341" s="3"/>
      <c r="D341" s="142"/>
      <c r="E341" s="3"/>
    </row>
    <row r="342">
      <c r="B342" s="14"/>
      <c r="C342" s="3"/>
      <c r="D342" s="142"/>
      <c r="E342" s="3"/>
    </row>
    <row r="343">
      <c r="B343" s="14"/>
      <c r="C343" s="3"/>
      <c r="D343" s="142"/>
      <c r="E343" s="3"/>
    </row>
    <row r="344">
      <c r="B344" s="14"/>
      <c r="C344" s="3"/>
      <c r="D344" s="142"/>
      <c r="E344" s="3"/>
    </row>
    <row r="345">
      <c r="B345" s="14"/>
      <c r="C345" s="3"/>
      <c r="D345" s="142"/>
      <c r="E345" s="3"/>
    </row>
    <row r="346">
      <c r="B346" s="14"/>
      <c r="C346" s="3"/>
      <c r="D346" s="142"/>
      <c r="E346" s="3"/>
    </row>
    <row r="347">
      <c r="B347" s="14"/>
      <c r="C347" s="3"/>
      <c r="D347" s="142"/>
      <c r="E347" s="3"/>
    </row>
    <row r="348">
      <c r="B348" s="14"/>
      <c r="C348" s="3"/>
      <c r="D348" s="142"/>
      <c r="E348" s="3"/>
    </row>
    <row r="349">
      <c r="B349" s="14"/>
      <c r="C349" s="3"/>
      <c r="D349" s="142"/>
      <c r="E349" s="3"/>
    </row>
    <row r="350">
      <c r="B350" s="14"/>
      <c r="C350" s="3"/>
      <c r="D350" s="142"/>
      <c r="E350" s="3"/>
    </row>
    <row r="351">
      <c r="B351" s="14"/>
      <c r="C351" s="3"/>
      <c r="D351" s="142"/>
      <c r="E351" s="3"/>
    </row>
    <row r="352">
      <c r="B352" s="14"/>
      <c r="C352" s="3"/>
      <c r="D352" s="142"/>
      <c r="E352" s="3"/>
    </row>
    <row r="353">
      <c r="B353" s="14"/>
      <c r="C353" s="3"/>
      <c r="D353" s="142"/>
      <c r="E353" s="3"/>
    </row>
    <row r="354">
      <c r="B354" s="14"/>
      <c r="C354" s="3"/>
      <c r="D354" s="142"/>
      <c r="E354" s="3"/>
    </row>
    <row r="355">
      <c r="B355" s="14"/>
      <c r="C355" s="3"/>
      <c r="D355" s="142"/>
      <c r="E355" s="3"/>
    </row>
    <row r="356">
      <c r="B356" s="14"/>
      <c r="C356" s="3"/>
      <c r="D356" s="142"/>
      <c r="E356" s="3"/>
    </row>
    <row r="357">
      <c r="B357" s="14"/>
      <c r="C357" s="3"/>
      <c r="D357" s="142"/>
      <c r="E357" s="3"/>
    </row>
    <row r="358">
      <c r="B358" s="14"/>
      <c r="C358" s="3"/>
      <c r="D358" s="142"/>
      <c r="E358" s="3"/>
    </row>
    <row r="359">
      <c r="B359" s="14"/>
      <c r="C359" s="3"/>
      <c r="D359" s="142"/>
      <c r="E359" s="3"/>
    </row>
    <row r="360">
      <c r="B360" s="14"/>
      <c r="C360" s="3"/>
      <c r="D360" s="142"/>
      <c r="E360" s="3"/>
    </row>
    <row r="361">
      <c r="B361" s="14"/>
      <c r="C361" s="3"/>
      <c r="D361" s="142"/>
      <c r="E361" s="3"/>
    </row>
    <row r="362">
      <c r="B362" s="14"/>
      <c r="C362" s="3"/>
      <c r="D362" s="142"/>
      <c r="E362" s="3"/>
    </row>
    <row r="363">
      <c r="B363" s="14"/>
      <c r="C363" s="3"/>
      <c r="D363" s="142"/>
      <c r="E363" s="3"/>
    </row>
    <row r="364">
      <c r="B364" s="14"/>
      <c r="C364" s="3"/>
      <c r="D364" s="142"/>
      <c r="E364" s="3"/>
    </row>
    <row r="365">
      <c r="B365" s="14"/>
      <c r="C365" s="3"/>
      <c r="D365" s="142"/>
      <c r="E365" s="3"/>
    </row>
    <row r="366">
      <c r="B366" s="14"/>
      <c r="C366" s="3"/>
      <c r="D366" s="142"/>
      <c r="E366" s="3"/>
    </row>
    <row r="367">
      <c r="B367" s="14"/>
      <c r="C367" s="3"/>
      <c r="D367" s="142"/>
      <c r="E367" s="3"/>
    </row>
    <row r="368">
      <c r="B368" s="14"/>
      <c r="C368" s="3"/>
      <c r="D368" s="142"/>
      <c r="E368" s="3"/>
    </row>
    <row r="369">
      <c r="B369" s="14"/>
      <c r="C369" s="3"/>
      <c r="D369" s="142"/>
      <c r="E369" s="3"/>
    </row>
    <row r="370">
      <c r="B370" s="14"/>
      <c r="C370" s="3"/>
      <c r="D370" s="142"/>
      <c r="E370" s="3"/>
    </row>
    <row r="371">
      <c r="B371" s="14"/>
      <c r="C371" s="3"/>
      <c r="D371" s="142"/>
      <c r="E371" s="3"/>
    </row>
    <row r="372">
      <c r="B372" s="14"/>
      <c r="C372" s="3"/>
      <c r="D372" s="142"/>
      <c r="E372" s="3"/>
    </row>
    <row r="373">
      <c r="B373" s="14"/>
      <c r="C373" s="3"/>
      <c r="D373" s="142"/>
      <c r="E373" s="3"/>
    </row>
    <row r="374">
      <c r="B374" s="14"/>
      <c r="C374" s="3"/>
      <c r="D374" s="142"/>
      <c r="E374" s="3"/>
    </row>
    <row r="375">
      <c r="B375" s="14"/>
      <c r="C375" s="3"/>
      <c r="D375" s="142"/>
      <c r="E375" s="3"/>
    </row>
    <row r="376">
      <c r="B376" s="14"/>
      <c r="C376" s="3"/>
      <c r="D376" s="142"/>
      <c r="E376" s="3"/>
    </row>
    <row r="377">
      <c r="B377" s="14"/>
      <c r="C377" s="3"/>
      <c r="D377" s="142"/>
      <c r="E377" s="3"/>
    </row>
    <row r="378">
      <c r="B378" s="14"/>
      <c r="C378" s="3"/>
      <c r="D378" s="142"/>
      <c r="E378" s="3"/>
    </row>
    <row r="379">
      <c r="B379" s="14"/>
      <c r="C379" s="3"/>
      <c r="D379" s="142"/>
      <c r="E379" s="3"/>
    </row>
    <row r="380">
      <c r="B380" s="14"/>
      <c r="C380" s="3"/>
      <c r="D380" s="142"/>
      <c r="E380" s="3"/>
    </row>
    <row r="381">
      <c r="B381" s="14"/>
      <c r="C381" s="3"/>
      <c r="D381" s="142"/>
      <c r="E381" s="3"/>
    </row>
    <row r="382">
      <c r="B382" s="14"/>
      <c r="C382" s="3"/>
      <c r="D382" s="142"/>
      <c r="E382" s="3"/>
    </row>
    <row r="383">
      <c r="B383" s="14"/>
      <c r="C383" s="3"/>
      <c r="D383" s="142"/>
      <c r="E383" s="3"/>
    </row>
    <row r="384">
      <c r="B384" s="14"/>
      <c r="C384" s="3"/>
      <c r="D384" s="142"/>
      <c r="E384" s="3"/>
    </row>
    <row r="385">
      <c r="B385" s="14"/>
      <c r="C385" s="3"/>
      <c r="D385" s="142"/>
      <c r="E385" s="3"/>
    </row>
    <row r="386">
      <c r="B386" s="14"/>
      <c r="C386" s="3"/>
      <c r="D386" s="142"/>
      <c r="E386" s="3"/>
    </row>
    <row r="387">
      <c r="B387" s="14"/>
      <c r="C387" s="3"/>
      <c r="D387" s="142"/>
      <c r="E387" s="3"/>
    </row>
    <row r="388">
      <c r="B388" s="14"/>
      <c r="C388" s="3"/>
      <c r="D388" s="142"/>
      <c r="E388" s="3"/>
    </row>
    <row r="389">
      <c r="B389" s="14"/>
      <c r="C389" s="3"/>
      <c r="D389" s="142"/>
      <c r="E389" s="3"/>
    </row>
    <row r="390">
      <c r="B390" s="14"/>
      <c r="C390" s="3"/>
      <c r="D390" s="142"/>
      <c r="E390" s="3"/>
    </row>
    <row r="391">
      <c r="B391" s="14"/>
      <c r="C391" s="3"/>
      <c r="D391" s="142"/>
      <c r="E391" s="3"/>
    </row>
    <row r="392">
      <c r="B392" s="14"/>
      <c r="C392" s="3"/>
      <c r="D392" s="142"/>
      <c r="E392" s="3"/>
    </row>
    <row r="393">
      <c r="B393" s="14"/>
      <c r="C393" s="3"/>
      <c r="D393" s="142"/>
      <c r="E393" s="3"/>
    </row>
    <row r="394">
      <c r="B394" s="14"/>
      <c r="C394" s="3"/>
      <c r="D394" s="142"/>
      <c r="E394" s="3"/>
    </row>
    <row r="395">
      <c r="B395" s="14"/>
      <c r="C395" s="3"/>
      <c r="D395" s="142"/>
      <c r="E395" s="3"/>
    </row>
    <row r="396">
      <c r="B396" s="14"/>
      <c r="C396" s="3"/>
      <c r="D396" s="142"/>
      <c r="E396" s="3"/>
    </row>
    <row r="397">
      <c r="B397" s="14"/>
      <c r="C397" s="3"/>
      <c r="D397" s="142"/>
      <c r="E397" s="3"/>
    </row>
    <row r="398">
      <c r="B398" s="14"/>
      <c r="C398" s="3"/>
      <c r="D398" s="142"/>
      <c r="E398" s="3"/>
    </row>
    <row r="399">
      <c r="B399" s="14"/>
      <c r="C399" s="3"/>
      <c r="D399" s="142"/>
      <c r="E399" s="3"/>
    </row>
    <row r="400">
      <c r="B400" s="14"/>
      <c r="C400" s="3"/>
      <c r="D400" s="142"/>
      <c r="E400" s="3"/>
    </row>
    <row r="401">
      <c r="B401" s="14"/>
      <c r="C401" s="3"/>
      <c r="D401" s="142"/>
      <c r="E401" s="3"/>
    </row>
    <row r="402">
      <c r="B402" s="14"/>
      <c r="C402" s="3"/>
      <c r="D402" s="142"/>
      <c r="E402" s="3"/>
    </row>
    <row r="403">
      <c r="B403" s="14"/>
      <c r="C403" s="3"/>
      <c r="D403" s="142"/>
      <c r="E403" s="3"/>
    </row>
    <row r="404">
      <c r="B404" s="14"/>
      <c r="C404" s="3"/>
      <c r="D404" s="142"/>
      <c r="E404" s="3"/>
    </row>
    <row r="405">
      <c r="B405" s="14"/>
      <c r="C405" s="3"/>
      <c r="D405" s="142"/>
      <c r="E405" s="3"/>
    </row>
    <row r="406">
      <c r="B406" s="14"/>
      <c r="C406" s="3"/>
      <c r="D406" s="142"/>
      <c r="E406" s="3"/>
    </row>
    <row r="407">
      <c r="B407" s="14"/>
      <c r="C407" s="3"/>
      <c r="D407" s="142"/>
      <c r="E407" s="3"/>
    </row>
    <row r="408">
      <c r="B408" s="14"/>
      <c r="C408" s="3"/>
      <c r="D408" s="142"/>
      <c r="E408" s="3"/>
    </row>
    <row r="409">
      <c r="B409" s="14"/>
      <c r="C409" s="3"/>
      <c r="D409" s="142"/>
      <c r="E409" s="3"/>
    </row>
    <row r="410">
      <c r="B410" s="14"/>
      <c r="C410" s="3"/>
      <c r="D410" s="142"/>
      <c r="E410" s="3"/>
    </row>
    <row r="411">
      <c r="B411" s="14"/>
      <c r="C411" s="3"/>
      <c r="D411" s="142"/>
      <c r="E411" s="3"/>
    </row>
    <row r="412">
      <c r="B412" s="14"/>
      <c r="C412" s="3"/>
      <c r="D412" s="142"/>
      <c r="E412" s="3"/>
    </row>
    <row r="413">
      <c r="B413" s="14"/>
      <c r="C413" s="3"/>
      <c r="D413" s="142"/>
      <c r="E413" s="3"/>
    </row>
    <row r="414">
      <c r="B414" s="14"/>
      <c r="C414" s="3"/>
      <c r="D414" s="142"/>
      <c r="E414" s="3"/>
    </row>
    <row r="415">
      <c r="B415" s="14"/>
      <c r="C415" s="3"/>
      <c r="D415" s="142"/>
      <c r="E415" s="3"/>
    </row>
    <row r="416">
      <c r="B416" s="14"/>
      <c r="C416" s="3"/>
      <c r="D416" s="142"/>
      <c r="E416" s="3"/>
    </row>
    <row r="417">
      <c r="B417" s="14"/>
      <c r="C417" s="3"/>
      <c r="D417" s="142"/>
      <c r="E417" s="3"/>
    </row>
    <row r="418">
      <c r="B418" s="14"/>
      <c r="C418" s="3"/>
      <c r="D418" s="142"/>
      <c r="E418" s="3"/>
    </row>
    <row r="419">
      <c r="B419" s="14"/>
      <c r="C419" s="3"/>
      <c r="D419" s="142"/>
      <c r="E419" s="3"/>
    </row>
    <row r="420">
      <c r="B420" s="14"/>
      <c r="C420" s="3"/>
      <c r="D420" s="142"/>
      <c r="E420" s="3"/>
    </row>
    <row r="421">
      <c r="B421" s="14"/>
      <c r="C421" s="3"/>
      <c r="D421" s="142"/>
      <c r="E421" s="3"/>
    </row>
    <row r="422">
      <c r="B422" s="14"/>
      <c r="C422" s="3"/>
      <c r="D422" s="142"/>
      <c r="E422" s="3"/>
    </row>
    <row r="423">
      <c r="B423" s="14"/>
      <c r="C423" s="3"/>
      <c r="D423" s="142"/>
      <c r="E423" s="3"/>
    </row>
    <row r="424">
      <c r="B424" s="14"/>
      <c r="C424" s="3"/>
      <c r="D424" s="142"/>
      <c r="E424" s="3"/>
    </row>
    <row r="425">
      <c r="B425" s="14"/>
      <c r="C425" s="3"/>
      <c r="D425" s="142"/>
      <c r="E425" s="3"/>
    </row>
    <row r="426">
      <c r="B426" s="14"/>
      <c r="C426" s="3"/>
      <c r="D426" s="142"/>
      <c r="E426" s="3"/>
    </row>
    <row r="427">
      <c r="B427" s="14"/>
      <c r="C427" s="3"/>
      <c r="D427" s="142"/>
      <c r="E427" s="3"/>
    </row>
    <row r="428">
      <c r="B428" s="14"/>
      <c r="C428" s="3"/>
      <c r="D428" s="142"/>
      <c r="E428" s="3"/>
    </row>
    <row r="429">
      <c r="B429" s="14"/>
      <c r="C429" s="3"/>
      <c r="D429" s="142"/>
      <c r="E429" s="3"/>
    </row>
    <row r="430">
      <c r="B430" s="14"/>
      <c r="C430" s="3"/>
      <c r="D430" s="142"/>
      <c r="E430" s="3"/>
    </row>
    <row r="431">
      <c r="B431" s="14"/>
      <c r="C431" s="3"/>
      <c r="D431" s="142"/>
      <c r="E431" s="3"/>
    </row>
    <row r="432">
      <c r="B432" s="14"/>
      <c r="C432" s="3"/>
      <c r="D432" s="142"/>
      <c r="E432" s="3"/>
    </row>
    <row r="433">
      <c r="B433" s="14"/>
      <c r="C433" s="3"/>
      <c r="D433" s="142"/>
      <c r="E433" s="3"/>
    </row>
    <row r="434">
      <c r="B434" s="14"/>
      <c r="C434" s="3"/>
      <c r="D434" s="142"/>
      <c r="E434" s="3"/>
    </row>
    <row r="435">
      <c r="B435" s="14"/>
      <c r="C435" s="3"/>
      <c r="D435" s="142"/>
      <c r="E435" s="3"/>
    </row>
    <row r="436">
      <c r="B436" s="14"/>
      <c r="C436" s="3"/>
      <c r="D436" s="142"/>
      <c r="E436" s="3"/>
    </row>
    <row r="437">
      <c r="B437" s="14"/>
      <c r="C437" s="3"/>
      <c r="D437" s="142"/>
      <c r="E437" s="3"/>
    </row>
    <row r="438">
      <c r="B438" s="14"/>
      <c r="C438" s="3"/>
      <c r="D438" s="142"/>
      <c r="E438" s="3"/>
    </row>
    <row r="439">
      <c r="B439" s="14"/>
      <c r="C439" s="3"/>
      <c r="D439" s="142"/>
      <c r="E439" s="3"/>
    </row>
    <row r="440">
      <c r="B440" s="14"/>
      <c r="C440" s="3"/>
      <c r="D440" s="142"/>
      <c r="E440" s="3"/>
    </row>
    <row r="441">
      <c r="B441" s="14"/>
      <c r="C441" s="3"/>
      <c r="D441" s="142"/>
      <c r="E441" s="3"/>
    </row>
    <row r="442">
      <c r="B442" s="14"/>
      <c r="C442" s="3"/>
      <c r="D442" s="142"/>
      <c r="E442" s="3"/>
    </row>
    <row r="443">
      <c r="B443" s="14"/>
      <c r="C443" s="3"/>
      <c r="D443" s="142"/>
      <c r="E443" s="3"/>
    </row>
    <row r="444">
      <c r="B444" s="14"/>
      <c r="C444" s="3"/>
      <c r="D444" s="142"/>
      <c r="E444" s="3"/>
    </row>
    <row r="445">
      <c r="B445" s="14"/>
      <c r="C445" s="3"/>
      <c r="D445" s="142"/>
      <c r="E445" s="3"/>
    </row>
    <row r="446">
      <c r="B446" s="14"/>
      <c r="C446" s="3"/>
      <c r="D446" s="142"/>
      <c r="E446" s="3"/>
    </row>
    <row r="447">
      <c r="B447" s="14"/>
      <c r="C447" s="3"/>
      <c r="D447" s="142"/>
      <c r="E447" s="3"/>
    </row>
    <row r="448">
      <c r="B448" s="14"/>
      <c r="C448" s="3"/>
      <c r="D448" s="142"/>
      <c r="E448" s="3"/>
    </row>
    <row r="449">
      <c r="B449" s="14"/>
      <c r="C449" s="3"/>
      <c r="D449" s="142"/>
      <c r="E449" s="3"/>
    </row>
    <row r="450">
      <c r="B450" s="14"/>
      <c r="C450" s="3"/>
      <c r="D450" s="142"/>
      <c r="E450" s="3"/>
    </row>
    <row r="451">
      <c r="B451" s="14"/>
      <c r="C451" s="3"/>
      <c r="D451" s="142"/>
      <c r="E451" s="3"/>
    </row>
    <row r="452">
      <c r="B452" s="14"/>
      <c r="C452" s="3"/>
      <c r="D452" s="142"/>
      <c r="E452" s="3"/>
    </row>
    <row r="453">
      <c r="B453" s="14"/>
      <c r="C453" s="3"/>
      <c r="D453" s="142"/>
      <c r="E453" s="3"/>
    </row>
    <row r="454">
      <c r="B454" s="14"/>
      <c r="C454" s="3"/>
      <c r="D454" s="142"/>
      <c r="E454" s="3"/>
    </row>
    <row r="455">
      <c r="B455" s="14"/>
      <c r="C455" s="3"/>
      <c r="D455" s="142"/>
      <c r="E455" s="3"/>
    </row>
    <row r="456">
      <c r="B456" s="14"/>
      <c r="C456" s="3"/>
      <c r="D456" s="142"/>
      <c r="E456" s="3"/>
    </row>
    <row r="457">
      <c r="B457" s="14"/>
      <c r="C457" s="3"/>
      <c r="D457" s="142"/>
      <c r="E457" s="3"/>
    </row>
    <row r="458">
      <c r="B458" s="14"/>
      <c r="C458" s="3"/>
      <c r="D458" s="142"/>
      <c r="E458" s="3"/>
    </row>
    <row r="459">
      <c r="B459" s="14"/>
      <c r="C459" s="3"/>
      <c r="D459" s="142"/>
      <c r="E459" s="3"/>
    </row>
    <row r="460">
      <c r="B460" s="14"/>
      <c r="C460" s="3"/>
      <c r="D460" s="142"/>
      <c r="E460" s="3"/>
    </row>
    <row r="461">
      <c r="B461" s="14"/>
      <c r="C461" s="3"/>
      <c r="D461" s="142"/>
      <c r="E461" s="3"/>
    </row>
    <row r="462">
      <c r="B462" s="14"/>
      <c r="C462" s="3"/>
      <c r="D462" s="142"/>
      <c r="E462" s="3"/>
    </row>
    <row r="463">
      <c r="B463" s="14"/>
      <c r="C463" s="3"/>
      <c r="D463" s="142"/>
      <c r="E463" s="3"/>
    </row>
    <row r="464">
      <c r="B464" s="14"/>
      <c r="C464" s="3"/>
      <c r="D464" s="142"/>
      <c r="E464" s="3"/>
    </row>
    <row r="465">
      <c r="B465" s="14"/>
      <c r="C465" s="3"/>
      <c r="D465" s="142"/>
      <c r="E465" s="3"/>
    </row>
    <row r="466">
      <c r="B466" s="14"/>
      <c r="C466" s="3"/>
      <c r="D466" s="142"/>
      <c r="E466" s="3"/>
    </row>
    <row r="467">
      <c r="B467" s="14"/>
      <c r="C467" s="3"/>
      <c r="D467" s="142"/>
      <c r="E467" s="3"/>
    </row>
    <row r="468">
      <c r="B468" s="14"/>
      <c r="C468" s="3"/>
      <c r="D468" s="142"/>
      <c r="E468" s="3"/>
    </row>
    <row r="469">
      <c r="B469" s="14"/>
      <c r="C469" s="3"/>
      <c r="D469" s="142"/>
      <c r="E469" s="3"/>
    </row>
    <row r="470">
      <c r="B470" s="14"/>
      <c r="C470" s="3"/>
      <c r="D470" s="142"/>
      <c r="E470" s="3"/>
    </row>
    <row r="471">
      <c r="B471" s="14"/>
      <c r="C471" s="3"/>
      <c r="D471" s="142"/>
      <c r="E471" s="3"/>
    </row>
    <row r="472">
      <c r="B472" s="14"/>
      <c r="C472" s="3"/>
      <c r="D472" s="142"/>
      <c r="E472" s="3"/>
    </row>
    <row r="473">
      <c r="B473" s="14"/>
      <c r="C473" s="3"/>
      <c r="D473" s="142"/>
      <c r="E473" s="3"/>
    </row>
    <row r="474">
      <c r="B474" s="14"/>
      <c r="C474" s="3"/>
      <c r="D474" s="142"/>
      <c r="E474" s="3"/>
    </row>
    <row r="475">
      <c r="B475" s="14"/>
      <c r="C475" s="3"/>
      <c r="D475" s="142"/>
      <c r="E475" s="3"/>
    </row>
    <row r="476">
      <c r="B476" s="14"/>
      <c r="C476" s="3"/>
      <c r="D476" s="142"/>
      <c r="E476" s="3"/>
    </row>
    <row r="477">
      <c r="B477" s="14"/>
      <c r="C477" s="3"/>
      <c r="D477" s="142"/>
      <c r="E477" s="3"/>
    </row>
    <row r="478">
      <c r="B478" s="14"/>
      <c r="C478" s="3"/>
      <c r="D478" s="142"/>
      <c r="E478" s="3"/>
    </row>
    <row r="479">
      <c r="B479" s="14"/>
      <c r="C479" s="3"/>
      <c r="D479" s="142"/>
      <c r="E479" s="3"/>
    </row>
    <row r="480">
      <c r="B480" s="14"/>
      <c r="C480" s="3"/>
      <c r="D480" s="142"/>
      <c r="E480" s="3"/>
    </row>
    <row r="481">
      <c r="B481" s="14"/>
      <c r="C481" s="3"/>
      <c r="D481" s="142"/>
      <c r="E481" s="3"/>
    </row>
    <row r="482">
      <c r="B482" s="14"/>
      <c r="C482" s="3"/>
      <c r="D482" s="142"/>
      <c r="E482" s="3"/>
    </row>
    <row r="483">
      <c r="B483" s="14"/>
      <c r="C483" s="3"/>
      <c r="D483" s="142"/>
      <c r="E483" s="3"/>
    </row>
    <row r="484">
      <c r="B484" s="14"/>
      <c r="C484" s="3"/>
      <c r="D484" s="142"/>
      <c r="E484" s="3"/>
    </row>
    <row r="485">
      <c r="B485" s="14"/>
      <c r="C485" s="3"/>
      <c r="D485" s="142"/>
      <c r="E485" s="3"/>
    </row>
    <row r="486">
      <c r="B486" s="14"/>
      <c r="C486" s="3"/>
      <c r="D486" s="142"/>
      <c r="E486" s="3"/>
    </row>
    <row r="487">
      <c r="B487" s="14"/>
      <c r="C487" s="3"/>
      <c r="D487" s="142"/>
      <c r="E487" s="3"/>
    </row>
    <row r="488">
      <c r="B488" s="14"/>
      <c r="C488" s="3"/>
      <c r="D488" s="142"/>
      <c r="E488" s="3"/>
    </row>
    <row r="489">
      <c r="B489" s="14"/>
      <c r="C489" s="3"/>
      <c r="D489" s="142"/>
      <c r="E489" s="3"/>
    </row>
    <row r="490">
      <c r="B490" s="14"/>
      <c r="C490" s="3"/>
      <c r="D490" s="142"/>
      <c r="E490" s="3"/>
    </row>
    <row r="491">
      <c r="B491" s="14"/>
      <c r="C491" s="3"/>
      <c r="D491" s="142"/>
      <c r="E491" s="3"/>
    </row>
    <row r="492">
      <c r="B492" s="14"/>
      <c r="C492" s="3"/>
      <c r="D492" s="142"/>
      <c r="E492" s="3"/>
    </row>
    <row r="493">
      <c r="B493" s="14"/>
      <c r="C493" s="3"/>
      <c r="D493" s="142"/>
      <c r="E493" s="3"/>
    </row>
    <row r="494">
      <c r="B494" s="14"/>
      <c r="C494" s="3"/>
      <c r="D494" s="142"/>
      <c r="E494" s="3"/>
    </row>
    <row r="495">
      <c r="B495" s="14"/>
      <c r="C495" s="3"/>
      <c r="D495" s="142"/>
      <c r="E495" s="3"/>
    </row>
    <row r="496">
      <c r="B496" s="14"/>
      <c r="C496" s="3"/>
      <c r="D496" s="142"/>
      <c r="E496" s="3"/>
    </row>
    <row r="497">
      <c r="B497" s="14"/>
      <c r="C497" s="3"/>
      <c r="D497" s="142"/>
      <c r="E497" s="3"/>
    </row>
    <row r="498">
      <c r="B498" s="14"/>
      <c r="C498" s="3"/>
      <c r="D498" s="142"/>
      <c r="E498" s="3"/>
    </row>
    <row r="499">
      <c r="B499" s="14"/>
      <c r="C499" s="3"/>
      <c r="D499" s="142"/>
      <c r="E499" s="3"/>
    </row>
    <row r="500">
      <c r="B500" s="14"/>
      <c r="C500" s="3"/>
      <c r="D500" s="142"/>
      <c r="E500" s="3"/>
    </row>
    <row r="501">
      <c r="B501" s="14"/>
      <c r="C501" s="3"/>
      <c r="D501" s="142"/>
      <c r="E501" s="3"/>
    </row>
    <row r="502">
      <c r="B502" s="14"/>
      <c r="C502" s="3"/>
      <c r="D502" s="142"/>
      <c r="E502" s="3"/>
    </row>
    <row r="503">
      <c r="B503" s="14"/>
      <c r="C503" s="3"/>
      <c r="D503" s="142"/>
      <c r="E503" s="3"/>
    </row>
    <row r="504">
      <c r="B504" s="14"/>
      <c r="C504" s="3"/>
      <c r="D504" s="142"/>
      <c r="E504" s="3"/>
    </row>
    <row r="505">
      <c r="B505" s="14"/>
      <c r="C505" s="3"/>
      <c r="D505" s="142"/>
      <c r="E505" s="3"/>
    </row>
    <row r="506">
      <c r="B506" s="14"/>
      <c r="C506" s="3"/>
      <c r="D506" s="142"/>
      <c r="E506" s="3"/>
    </row>
    <row r="507">
      <c r="B507" s="14"/>
      <c r="C507" s="3"/>
      <c r="D507" s="142"/>
      <c r="E507" s="3"/>
    </row>
    <row r="508">
      <c r="B508" s="14"/>
      <c r="C508" s="3"/>
      <c r="D508" s="142"/>
      <c r="E508" s="3"/>
    </row>
    <row r="509">
      <c r="B509" s="14"/>
      <c r="C509" s="3"/>
      <c r="D509" s="142"/>
      <c r="E509" s="3"/>
    </row>
    <row r="510">
      <c r="B510" s="14"/>
      <c r="C510" s="3"/>
      <c r="D510" s="142"/>
      <c r="E510" s="3"/>
    </row>
    <row r="511">
      <c r="B511" s="14"/>
      <c r="C511" s="3"/>
      <c r="D511" s="142"/>
      <c r="E511" s="3"/>
    </row>
    <row r="512">
      <c r="B512" s="14"/>
      <c r="C512" s="3"/>
      <c r="D512" s="142"/>
      <c r="E512" s="3"/>
    </row>
    <row r="513">
      <c r="B513" s="14"/>
      <c r="C513" s="3"/>
      <c r="D513" s="142"/>
      <c r="E513" s="3"/>
    </row>
    <row r="514">
      <c r="B514" s="14"/>
      <c r="C514" s="3"/>
      <c r="D514" s="142"/>
      <c r="E514" s="3"/>
    </row>
    <row r="515">
      <c r="B515" s="14"/>
      <c r="C515" s="3"/>
      <c r="D515" s="142"/>
      <c r="E515" s="3"/>
    </row>
    <row r="516">
      <c r="B516" s="14"/>
      <c r="C516" s="3"/>
      <c r="D516" s="142"/>
      <c r="E516" s="3"/>
    </row>
    <row r="517">
      <c r="B517" s="14"/>
      <c r="C517" s="3"/>
      <c r="D517" s="142"/>
      <c r="E517" s="3"/>
    </row>
    <row r="518">
      <c r="B518" s="14"/>
      <c r="C518" s="3"/>
      <c r="D518" s="142"/>
      <c r="E518" s="3"/>
    </row>
    <row r="519">
      <c r="B519" s="14"/>
      <c r="C519" s="3"/>
      <c r="D519" s="142"/>
      <c r="E519" s="3"/>
    </row>
    <row r="520">
      <c r="B520" s="14"/>
      <c r="C520" s="3"/>
      <c r="D520" s="142"/>
      <c r="E520" s="3"/>
    </row>
    <row r="521">
      <c r="B521" s="14"/>
      <c r="C521" s="3"/>
      <c r="D521" s="142"/>
      <c r="E521" s="3"/>
    </row>
    <row r="522">
      <c r="B522" s="14"/>
      <c r="C522" s="3"/>
      <c r="D522" s="142"/>
      <c r="E522" s="3"/>
    </row>
    <row r="523">
      <c r="B523" s="14"/>
      <c r="C523" s="3"/>
      <c r="D523" s="142"/>
      <c r="E523" s="3"/>
    </row>
    <row r="524">
      <c r="B524" s="14"/>
      <c r="C524" s="3"/>
      <c r="D524" s="142"/>
      <c r="E524" s="3"/>
    </row>
    <row r="525">
      <c r="B525" s="14"/>
      <c r="C525" s="3"/>
      <c r="D525" s="142"/>
      <c r="E525" s="3"/>
    </row>
    <row r="526">
      <c r="B526" s="14"/>
      <c r="C526" s="3"/>
      <c r="D526" s="142"/>
      <c r="E526" s="3"/>
    </row>
    <row r="527">
      <c r="B527" s="14"/>
      <c r="C527" s="3"/>
      <c r="D527" s="142"/>
      <c r="E527" s="3"/>
    </row>
    <row r="528">
      <c r="B528" s="14"/>
      <c r="C528" s="3"/>
      <c r="D528" s="142"/>
      <c r="E528" s="3"/>
    </row>
    <row r="529">
      <c r="B529" s="14"/>
      <c r="C529" s="3"/>
      <c r="D529" s="142"/>
      <c r="E529" s="3"/>
    </row>
    <row r="530">
      <c r="B530" s="14"/>
      <c r="C530" s="3"/>
      <c r="D530" s="142"/>
      <c r="E530" s="3"/>
    </row>
    <row r="531">
      <c r="B531" s="14"/>
      <c r="C531" s="3"/>
      <c r="D531" s="142"/>
      <c r="E531" s="3"/>
    </row>
    <row r="532">
      <c r="B532" s="14"/>
      <c r="C532" s="3"/>
      <c r="D532" s="142"/>
      <c r="E532" s="3"/>
    </row>
    <row r="533">
      <c r="B533" s="14"/>
      <c r="C533" s="3"/>
      <c r="D533" s="142"/>
      <c r="E533" s="3"/>
    </row>
    <row r="534">
      <c r="B534" s="14"/>
      <c r="C534" s="3"/>
      <c r="D534" s="142"/>
      <c r="E534" s="3"/>
    </row>
    <row r="535">
      <c r="B535" s="14"/>
      <c r="C535" s="3"/>
      <c r="D535" s="142"/>
      <c r="E535" s="3"/>
    </row>
    <row r="536">
      <c r="B536" s="14"/>
      <c r="C536" s="3"/>
      <c r="D536" s="142"/>
      <c r="E536" s="3"/>
    </row>
    <row r="537">
      <c r="B537" s="14"/>
      <c r="C537" s="3"/>
      <c r="D537" s="142"/>
      <c r="E537" s="3"/>
    </row>
    <row r="538">
      <c r="B538" s="14"/>
      <c r="C538" s="3"/>
      <c r="D538" s="142"/>
      <c r="E538" s="3"/>
    </row>
    <row r="539">
      <c r="B539" s="14"/>
      <c r="C539" s="3"/>
      <c r="D539" s="142"/>
      <c r="E539" s="3"/>
    </row>
    <row r="540">
      <c r="B540" s="14"/>
      <c r="C540" s="3"/>
      <c r="D540" s="142"/>
      <c r="E540" s="3"/>
    </row>
    <row r="541">
      <c r="B541" s="14"/>
      <c r="C541" s="3"/>
      <c r="D541" s="142"/>
      <c r="E541" s="3"/>
    </row>
    <row r="542">
      <c r="B542" s="14"/>
      <c r="C542" s="3"/>
      <c r="D542" s="142"/>
      <c r="E542" s="3"/>
    </row>
    <row r="543">
      <c r="B543" s="14"/>
      <c r="C543" s="3"/>
      <c r="D543" s="142"/>
      <c r="E543" s="3"/>
    </row>
    <row r="544">
      <c r="B544" s="14"/>
      <c r="C544" s="3"/>
      <c r="D544" s="142"/>
      <c r="E544" s="3"/>
    </row>
    <row r="545">
      <c r="B545" s="14"/>
      <c r="C545" s="3"/>
      <c r="D545" s="142"/>
      <c r="E545" s="3"/>
    </row>
    <row r="546">
      <c r="B546" s="14"/>
      <c r="C546" s="3"/>
      <c r="D546" s="142"/>
      <c r="E546" s="3"/>
    </row>
    <row r="547">
      <c r="B547" s="14"/>
      <c r="C547" s="3"/>
      <c r="D547" s="142"/>
      <c r="E547" s="3"/>
    </row>
    <row r="548">
      <c r="B548" s="14"/>
      <c r="C548" s="3"/>
      <c r="D548" s="142"/>
      <c r="E548" s="3"/>
    </row>
    <row r="549">
      <c r="B549" s="14"/>
      <c r="C549" s="3"/>
      <c r="D549" s="142"/>
      <c r="E549" s="3"/>
    </row>
    <row r="550">
      <c r="B550" s="14"/>
      <c r="C550" s="3"/>
      <c r="D550" s="142"/>
      <c r="E550" s="3"/>
    </row>
    <row r="551">
      <c r="B551" s="14"/>
      <c r="C551" s="3"/>
      <c r="D551" s="142"/>
      <c r="E551" s="3"/>
    </row>
    <row r="552">
      <c r="B552" s="14"/>
      <c r="C552" s="3"/>
      <c r="D552" s="142"/>
      <c r="E552" s="3"/>
    </row>
    <row r="553">
      <c r="B553" s="14"/>
      <c r="C553" s="3"/>
      <c r="D553" s="142"/>
      <c r="E553" s="3"/>
    </row>
    <row r="554">
      <c r="B554" s="14"/>
      <c r="C554" s="3"/>
      <c r="D554" s="142"/>
      <c r="E554" s="3"/>
    </row>
    <row r="555">
      <c r="B555" s="14"/>
      <c r="C555" s="3"/>
      <c r="D555" s="142"/>
      <c r="E555" s="3"/>
    </row>
    <row r="556">
      <c r="B556" s="14"/>
      <c r="C556" s="3"/>
      <c r="D556" s="142"/>
      <c r="E556" s="3"/>
    </row>
    <row r="557">
      <c r="B557" s="14"/>
      <c r="C557" s="3"/>
      <c r="D557" s="142"/>
      <c r="E557" s="3"/>
    </row>
    <row r="558">
      <c r="B558" s="14"/>
      <c r="C558" s="3"/>
      <c r="D558" s="142"/>
      <c r="E558" s="3"/>
    </row>
    <row r="559">
      <c r="B559" s="14"/>
      <c r="C559" s="3"/>
      <c r="D559" s="142"/>
      <c r="E559" s="3"/>
    </row>
    <row r="560">
      <c r="B560" s="14"/>
      <c r="C560" s="3"/>
      <c r="D560" s="142"/>
      <c r="E560" s="3"/>
    </row>
    <row r="561">
      <c r="B561" s="14"/>
      <c r="C561" s="3"/>
      <c r="D561" s="142"/>
      <c r="E561" s="3"/>
    </row>
    <row r="562">
      <c r="B562" s="14"/>
      <c r="C562" s="3"/>
      <c r="D562" s="142"/>
      <c r="E562" s="3"/>
    </row>
    <row r="563">
      <c r="B563" s="14"/>
      <c r="C563" s="3"/>
      <c r="D563" s="142"/>
      <c r="E563" s="3"/>
    </row>
    <row r="564">
      <c r="B564" s="14"/>
      <c r="C564" s="3"/>
      <c r="D564" s="142"/>
      <c r="E564" s="3"/>
    </row>
    <row r="565">
      <c r="B565" s="14"/>
      <c r="C565" s="3"/>
      <c r="D565" s="142"/>
      <c r="E565" s="3"/>
    </row>
    <row r="566">
      <c r="B566" s="14"/>
      <c r="C566" s="3"/>
      <c r="D566" s="142"/>
      <c r="E566" s="3"/>
    </row>
    <row r="567">
      <c r="B567" s="14"/>
      <c r="C567" s="3"/>
      <c r="D567" s="142"/>
      <c r="E567" s="3"/>
    </row>
    <row r="568">
      <c r="B568" s="14"/>
      <c r="C568" s="3"/>
      <c r="D568" s="142"/>
      <c r="E568" s="3"/>
    </row>
    <row r="569">
      <c r="B569" s="14"/>
      <c r="C569" s="3"/>
      <c r="D569" s="142"/>
      <c r="E569" s="3"/>
    </row>
    <row r="570">
      <c r="B570" s="14"/>
      <c r="C570" s="3"/>
      <c r="D570" s="142"/>
      <c r="E570" s="3"/>
    </row>
    <row r="571">
      <c r="B571" s="14"/>
      <c r="C571" s="3"/>
      <c r="D571" s="142"/>
      <c r="E571" s="3"/>
    </row>
    <row r="572">
      <c r="B572" s="14"/>
      <c r="C572" s="3"/>
      <c r="D572" s="142"/>
      <c r="E572" s="3"/>
    </row>
    <row r="573">
      <c r="B573" s="14"/>
      <c r="C573" s="3"/>
      <c r="D573" s="142"/>
      <c r="E573" s="3"/>
    </row>
    <row r="574">
      <c r="B574" s="14"/>
      <c r="C574" s="3"/>
      <c r="D574" s="142"/>
      <c r="E574" s="3"/>
    </row>
    <row r="575">
      <c r="B575" s="14"/>
      <c r="C575" s="3"/>
      <c r="D575" s="142"/>
      <c r="E575" s="3"/>
    </row>
    <row r="576">
      <c r="B576" s="14"/>
      <c r="C576" s="3"/>
      <c r="D576" s="142"/>
      <c r="E576" s="3"/>
    </row>
    <row r="577">
      <c r="B577" s="14"/>
      <c r="C577" s="3"/>
      <c r="D577" s="142"/>
      <c r="E577" s="3"/>
    </row>
    <row r="578">
      <c r="B578" s="14"/>
      <c r="C578" s="3"/>
      <c r="D578" s="142"/>
      <c r="E578" s="3"/>
    </row>
    <row r="579">
      <c r="B579" s="14"/>
      <c r="C579" s="3"/>
      <c r="D579" s="142"/>
      <c r="E579" s="3"/>
    </row>
    <row r="580">
      <c r="B580" s="14"/>
      <c r="C580" s="3"/>
      <c r="D580" s="142"/>
      <c r="E580" s="3"/>
    </row>
    <row r="581">
      <c r="B581" s="14"/>
      <c r="C581" s="3"/>
      <c r="D581" s="142"/>
      <c r="E581" s="3"/>
    </row>
    <row r="582">
      <c r="B582" s="14"/>
      <c r="C582" s="3"/>
      <c r="D582" s="142"/>
      <c r="E582" s="3"/>
    </row>
    <row r="583">
      <c r="B583" s="14"/>
      <c r="C583" s="3"/>
      <c r="D583" s="142"/>
      <c r="E583" s="3"/>
    </row>
    <row r="584">
      <c r="B584" s="14"/>
      <c r="C584" s="3"/>
      <c r="D584" s="142"/>
      <c r="E584" s="3"/>
    </row>
    <row r="585">
      <c r="B585" s="14"/>
      <c r="C585" s="3"/>
      <c r="D585" s="142"/>
      <c r="E585" s="3"/>
    </row>
    <row r="586">
      <c r="B586" s="14"/>
      <c r="C586" s="3"/>
      <c r="D586" s="142"/>
      <c r="E586" s="3"/>
    </row>
    <row r="587">
      <c r="B587" s="14"/>
      <c r="C587" s="3"/>
      <c r="D587" s="142"/>
      <c r="E587" s="3"/>
    </row>
    <row r="588">
      <c r="B588" s="14"/>
      <c r="C588" s="3"/>
      <c r="D588" s="142"/>
      <c r="E588" s="3"/>
    </row>
    <row r="589">
      <c r="B589" s="14"/>
      <c r="C589" s="3"/>
      <c r="D589" s="142"/>
      <c r="E589" s="3"/>
    </row>
    <row r="590">
      <c r="B590" s="14"/>
      <c r="C590" s="3"/>
      <c r="D590" s="142"/>
      <c r="E590" s="3"/>
    </row>
    <row r="591">
      <c r="B591" s="14"/>
      <c r="C591" s="3"/>
      <c r="D591" s="142"/>
      <c r="E591" s="3"/>
    </row>
    <row r="592">
      <c r="B592" s="14"/>
      <c r="C592" s="3"/>
      <c r="D592" s="142"/>
      <c r="E592" s="3"/>
    </row>
    <row r="593">
      <c r="B593" s="14"/>
      <c r="C593" s="3"/>
      <c r="D593" s="142"/>
      <c r="E593" s="3"/>
    </row>
    <row r="594">
      <c r="B594" s="14"/>
      <c r="C594" s="3"/>
      <c r="D594" s="142"/>
      <c r="E594" s="3"/>
    </row>
    <row r="595">
      <c r="B595" s="14"/>
      <c r="C595" s="3"/>
      <c r="D595" s="142"/>
      <c r="E595" s="3"/>
    </row>
    <row r="596">
      <c r="B596" s="14"/>
      <c r="C596" s="3"/>
      <c r="D596" s="142"/>
      <c r="E596" s="3"/>
    </row>
    <row r="597">
      <c r="B597" s="14"/>
      <c r="C597" s="3"/>
      <c r="D597" s="142"/>
      <c r="E597" s="3"/>
    </row>
    <row r="598">
      <c r="B598" s="14"/>
      <c r="C598" s="3"/>
      <c r="D598" s="142"/>
      <c r="E598" s="3"/>
    </row>
    <row r="599">
      <c r="B599" s="14"/>
      <c r="C599" s="3"/>
      <c r="D599" s="142"/>
      <c r="E599" s="3"/>
    </row>
    <row r="600">
      <c r="B600" s="14"/>
      <c r="C600" s="3"/>
      <c r="D600" s="142"/>
      <c r="E600" s="3"/>
    </row>
    <row r="601">
      <c r="B601" s="14"/>
      <c r="C601" s="3"/>
      <c r="D601" s="142"/>
      <c r="E601" s="3"/>
    </row>
    <row r="602">
      <c r="B602" s="14"/>
      <c r="C602" s="3"/>
      <c r="D602" s="142"/>
      <c r="E602" s="3"/>
    </row>
    <row r="603">
      <c r="B603" s="14"/>
      <c r="C603" s="3"/>
      <c r="D603" s="142"/>
      <c r="E603" s="3"/>
    </row>
    <row r="604">
      <c r="B604" s="14"/>
      <c r="C604" s="3"/>
      <c r="D604" s="142"/>
      <c r="E604" s="3"/>
    </row>
    <row r="605">
      <c r="B605" s="14"/>
      <c r="C605" s="3"/>
      <c r="D605" s="142"/>
      <c r="E605" s="3"/>
    </row>
    <row r="606">
      <c r="B606" s="14"/>
      <c r="C606" s="3"/>
      <c r="D606" s="142"/>
      <c r="E606" s="3"/>
    </row>
    <row r="607">
      <c r="B607" s="14"/>
      <c r="C607" s="3"/>
      <c r="D607" s="142"/>
      <c r="E607" s="3"/>
    </row>
    <row r="608">
      <c r="B608" s="14"/>
      <c r="C608" s="3"/>
      <c r="D608" s="142"/>
      <c r="E608" s="3"/>
    </row>
    <row r="609">
      <c r="B609" s="14"/>
      <c r="C609" s="3"/>
      <c r="D609" s="142"/>
      <c r="E609" s="3"/>
    </row>
    <row r="610">
      <c r="B610" s="14"/>
      <c r="C610" s="3"/>
      <c r="D610" s="142"/>
      <c r="E610" s="3"/>
    </row>
    <row r="611">
      <c r="B611" s="14"/>
      <c r="C611" s="3"/>
      <c r="D611" s="142"/>
      <c r="E611" s="3"/>
    </row>
    <row r="612">
      <c r="B612" s="14"/>
      <c r="C612" s="3"/>
      <c r="D612" s="142"/>
      <c r="E612" s="3"/>
    </row>
    <row r="613">
      <c r="B613" s="14"/>
      <c r="C613" s="3"/>
      <c r="D613" s="142"/>
      <c r="E613" s="3"/>
    </row>
    <row r="614">
      <c r="B614" s="14"/>
      <c r="C614" s="3"/>
      <c r="D614" s="142"/>
      <c r="E614" s="3"/>
    </row>
    <row r="615">
      <c r="B615" s="14"/>
      <c r="C615" s="3"/>
      <c r="D615" s="142"/>
      <c r="E615" s="3"/>
    </row>
    <row r="616">
      <c r="B616" s="14"/>
      <c r="C616" s="3"/>
      <c r="D616" s="142"/>
      <c r="E616" s="3"/>
    </row>
    <row r="617">
      <c r="B617" s="14"/>
      <c r="C617" s="3"/>
      <c r="D617" s="142"/>
      <c r="E617" s="3"/>
    </row>
    <row r="618">
      <c r="B618" s="14"/>
      <c r="C618" s="3"/>
      <c r="D618" s="142"/>
      <c r="E618" s="3"/>
    </row>
    <row r="619">
      <c r="B619" s="14"/>
      <c r="C619" s="3"/>
      <c r="D619" s="142"/>
      <c r="E619" s="3"/>
    </row>
    <row r="620">
      <c r="B620" s="14"/>
      <c r="C620" s="3"/>
      <c r="D620" s="142"/>
      <c r="E620" s="3"/>
    </row>
    <row r="621">
      <c r="B621" s="14"/>
      <c r="C621" s="3"/>
      <c r="D621" s="142"/>
      <c r="E621" s="3"/>
    </row>
    <row r="622">
      <c r="B622" s="14"/>
      <c r="C622" s="3"/>
      <c r="D622" s="142"/>
      <c r="E622" s="3"/>
    </row>
    <row r="623">
      <c r="B623" s="14"/>
      <c r="C623" s="3"/>
      <c r="D623" s="142"/>
      <c r="E623" s="3"/>
    </row>
    <row r="624">
      <c r="B624" s="14"/>
      <c r="C624" s="3"/>
      <c r="D624" s="142"/>
      <c r="E624" s="3"/>
    </row>
    <row r="625">
      <c r="B625" s="14"/>
      <c r="C625" s="3"/>
      <c r="D625" s="142"/>
      <c r="E625" s="3"/>
    </row>
    <row r="626">
      <c r="B626" s="14"/>
      <c r="C626" s="3"/>
      <c r="D626" s="142"/>
      <c r="E626" s="3"/>
    </row>
    <row r="627">
      <c r="B627" s="14"/>
      <c r="C627" s="3"/>
      <c r="D627" s="142"/>
      <c r="E627" s="3"/>
    </row>
    <row r="628">
      <c r="B628" s="14"/>
      <c r="C628" s="3"/>
      <c r="D628" s="142"/>
      <c r="E628" s="3"/>
    </row>
    <row r="629">
      <c r="B629" s="14"/>
      <c r="C629" s="3"/>
      <c r="D629" s="142"/>
      <c r="E629" s="3"/>
    </row>
    <row r="630">
      <c r="B630" s="14"/>
      <c r="C630" s="3"/>
      <c r="D630" s="142"/>
      <c r="E630" s="3"/>
    </row>
    <row r="631">
      <c r="B631" s="14"/>
      <c r="C631" s="3"/>
      <c r="D631" s="142"/>
      <c r="E631" s="3"/>
    </row>
    <row r="632">
      <c r="B632" s="14"/>
      <c r="C632" s="3"/>
      <c r="D632" s="142"/>
      <c r="E632" s="3"/>
    </row>
    <row r="633">
      <c r="B633" s="14"/>
      <c r="C633" s="3"/>
      <c r="D633" s="142"/>
      <c r="E633" s="3"/>
    </row>
    <row r="634">
      <c r="B634" s="14"/>
      <c r="C634" s="3"/>
      <c r="D634" s="142"/>
      <c r="E634" s="3"/>
    </row>
    <row r="635">
      <c r="B635" s="14"/>
      <c r="C635" s="3"/>
      <c r="D635" s="142"/>
      <c r="E635" s="3"/>
    </row>
    <row r="636">
      <c r="B636" s="14"/>
      <c r="C636" s="3"/>
      <c r="D636" s="142"/>
      <c r="E636" s="3"/>
    </row>
    <row r="637">
      <c r="B637" s="14"/>
      <c r="C637" s="3"/>
      <c r="D637" s="142"/>
      <c r="E637" s="3"/>
    </row>
    <row r="638">
      <c r="B638" s="14"/>
      <c r="C638" s="3"/>
      <c r="D638" s="142"/>
      <c r="E638" s="3"/>
    </row>
    <row r="639">
      <c r="B639" s="14"/>
      <c r="C639" s="3"/>
      <c r="D639" s="142"/>
      <c r="E639" s="3"/>
    </row>
    <row r="640">
      <c r="B640" s="14"/>
      <c r="C640" s="3"/>
      <c r="D640" s="142"/>
      <c r="E640" s="3"/>
    </row>
    <row r="641">
      <c r="B641" s="14"/>
      <c r="C641" s="3"/>
      <c r="D641" s="142"/>
      <c r="E641" s="3"/>
    </row>
    <row r="642">
      <c r="B642" s="14"/>
      <c r="C642" s="3"/>
      <c r="D642" s="142"/>
      <c r="E642" s="3"/>
    </row>
    <row r="643">
      <c r="B643" s="14"/>
      <c r="C643" s="3"/>
      <c r="D643" s="142"/>
      <c r="E643" s="3"/>
    </row>
    <row r="644">
      <c r="B644" s="14"/>
      <c r="C644" s="3"/>
      <c r="D644" s="142"/>
      <c r="E644" s="3"/>
    </row>
    <row r="645">
      <c r="B645" s="14"/>
      <c r="C645" s="3"/>
      <c r="D645" s="142"/>
      <c r="E645" s="3"/>
    </row>
    <row r="646">
      <c r="B646" s="14"/>
      <c r="C646" s="3"/>
      <c r="D646" s="142"/>
      <c r="E646" s="3"/>
    </row>
    <row r="647">
      <c r="B647" s="14"/>
      <c r="C647" s="3"/>
      <c r="D647" s="142"/>
      <c r="E647" s="3"/>
    </row>
    <row r="648">
      <c r="B648" s="14"/>
      <c r="C648" s="3"/>
      <c r="D648" s="142"/>
      <c r="E648" s="3"/>
    </row>
    <row r="649">
      <c r="B649" s="14"/>
      <c r="C649" s="3"/>
      <c r="D649" s="142"/>
      <c r="E649" s="3"/>
    </row>
    <row r="650">
      <c r="B650" s="14"/>
      <c r="C650" s="3"/>
      <c r="D650" s="142"/>
      <c r="E650" s="3"/>
    </row>
    <row r="651">
      <c r="B651" s="14"/>
      <c r="C651" s="3"/>
      <c r="D651" s="142"/>
      <c r="E651" s="3"/>
    </row>
    <row r="652">
      <c r="B652" s="14"/>
      <c r="C652" s="3"/>
      <c r="D652" s="142"/>
      <c r="E652" s="3"/>
    </row>
    <row r="653">
      <c r="B653" s="14"/>
      <c r="C653" s="3"/>
      <c r="D653" s="142"/>
      <c r="E653" s="3"/>
    </row>
    <row r="654">
      <c r="B654" s="14"/>
      <c r="C654" s="3"/>
      <c r="D654" s="142"/>
      <c r="E654" s="3"/>
    </row>
    <row r="655">
      <c r="B655" s="14"/>
      <c r="C655" s="3"/>
      <c r="D655" s="142"/>
      <c r="E655" s="3"/>
    </row>
    <row r="656">
      <c r="B656" s="14"/>
      <c r="C656" s="3"/>
      <c r="D656" s="142"/>
      <c r="E656" s="3"/>
    </row>
    <row r="657">
      <c r="B657" s="14"/>
      <c r="C657" s="3"/>
      <c r="D657" s="142"/>
      <c r="E657" s="3"/>
    </row>
    <row r="658">
      <c r="B658" s="14"/>
      <c r="C658" s="3"/>
      <c r="D658" s="142"/>
      <c r="E658" s="3"/>
    </row>
    <row r="659">
      <c r="B659" s="14"/>
      <c r="C659" s="3"/>
      <c r="D659" s="142"/>
      <c r="E659" s="3"/>
    </row>
    <row r="660">
      <c r="B660" s="14"/>
      <c r="C660" s="3"/>
      <c r="D660" s="142"/>
      <c r="E660" s="3"/>
    </row>
    <row r="661">
      <c r="B661" s="14"/>
      <c r="C661" s="3"/>
      <c r="D661" s="142"/>
      <c r="E661" s="3"/>
    </row>
    <row r="662">
      <c r="B662" s="14"/>
      <c r="C662" s="3"/>
      <c r="D662" s="142"/>
      <c r="E662" s="3"/>
    </row>
    <row r="663">
      <c r="B663" s="14"/>
      <c r="C663" s="3"/>
      <c r="D663" s="142"/>
      <c r="E663" s="3"/>
    </row>
    <row r="664">
      <c r="B664" s="14"/>
      <c r="C664" s="3"/>
      <c r="D664" s="142"/>
      <c r="E664" s="3"/>
    </row>
    <row r="665">
      <c r="B665" s="14"/>
      <c r="C665" s="3"/>
      <c r="D665" s="142"/>
      <c r="E665" s="3"/>
    </row>
    <row r="666">
      <c r="B666" s="14"/>
      <c r="C666" s="3"/>
      <c r="D666" s="142"/>
      <c r="E666" s="3"/>
    </row>
    <row r="667">
      <c r="B667" s="14"/>
      <c r="C667" s="3"/>
      <c r="D667" s="142"/>
      <c r="E667" s="3"/>
    </row>
    <row r="668">
      <c r="B668" s="14"/>
      <c r="C668" s="3"/>
      <c r="D668" s="142"/>
      <c r="E668" s="3"/>
    </row>
    <row r="669">
      <c r="B669" s="14"/>
      <c r="C669" s="3"/>
      <c r="D669" s="142"/>
      <c r="E669" s="3"/>
    </row>
    <row r="670">
      <c r="B670" s="14"/>
      <c r="C670" s="3"/>
      <c r="D670" s="142"/>
      <c r="E670" s="3"/>
    </row>
    <row r="671">
      <c r="B671" s="14"/>
      <c r="C671" s="3"/>
      <c r="D671" s="142"/>
      <c r="E671" s="3"/>
    </row>
    <row r="672">
      <c r="B672" s="14"/>
      <c r="C672" s="3"/>
      <c r="D672" s="142"/>
      <c r="E672" s="3"/>
    </row>
    <row r="673">
      <c r="B673" s="14"/>
      <c r="C673" s="3"/>
      <c r="D673" s="142"/>
      <c r="E673" s="3"/>
    </row>
    <row r="674">
      <c r="B674" s="14"/>
      <c r="C674" s="3"/>
      <c r="D674" s="142"/>
      <c r="E674" s="3"/>
    </row>
    <row r="675">
      <c r="B675" s="14"/>
      <c r="C675" s="3"/>
      <c r="D675" s="142"/>
      <c r="E675" s="3"/>
    </row>
    <row r="676">
      <c r="B676" s="14"/>
      <c r="C676" s="3"/>
      <c r="D676" s="142"/>
      <c r="E676" s="3"/>
    </row>
    <row r="677">
      <c r="B677" s="14"/>
      <c r="C677" s="3"/>
      <c r="D677" s="142"/>
      <c r="E677" s="3"/>
    </row>
    <row r="678">
      <c r="B678" s="14"/>
      <c r="C678" s="3"/>
      <c r="D678" s="142"/>
      <c r="E678" s="3"/>
    </row>
    <row r="679">
      <c r="B679" s="14"/>
      <c r="C679" s="3"/>
      <c r="D679" s="142"/>
      <c r="E679" s="3"/>
    </row>
    <row r="680">
      <c r="B680" s="14"/>
      <c r="C680" s="3"/>
      <c r="D680" s="142"/>
      <c r="E680" s="3"/>
    </row>
    <row r="681">
      <c r="B681" s="14"/>
      <c r="C681" s="3"/>
      <c r="D681" s="142"/>
      <c r="E681" s="3"/>
    </row>
    <row r="682">
      <c r="B682" s="14"/>
      <c r="C682" s="3"/>
      <c r="D682" s="142"/>
      <c r="E682" s="3"/>
    </row>
    <row r="683">
      <c r="B683" s="14"/>
      <c r="C683" s="3"/>
      <c r="D683" s="142"/>
      <c r="E683" s="3"/>
    </row>
    <row r="684">
      <c r="B684" s="14"/>
      <c r="C684" s="3"/>
      <c r="D684" s="142"/>
      <c r="E684" s="3"/>
    </row>
    <row r="685">
      <c r="B685" s="14"/>
      <c r="C685" s="3"/>
      <c r="D685" s="142"/>
      <c r="E685" s="3"/>
    </row>
    <row r="686">
      <c r="B686" s="14"/>
      <c r="C686" s="3"/>
      <c r="D686" s="142"/>
      <c r="E686" s="3"/>
    </row>
    <row r="687">
      <c r="B687" s="14"/>
      <c r="C687" s="3"/>
      <c r="D687" s="142"/>
      <c r="E687" s="3"/>
    </row>
    <row r="688">
      <c r="B688" s="14"/>
      <c r="C688" s="3"/>
      <c r="D688" s="142"/>
      <c r="E688" s="3"/>
    </row>
    <row r="689">
      <c r="B689" s="14"/>
      <c r="C689" s="3"/>
      <c r="D689" s="142"/>
      <c r="E689" s="3"/>
    </row>
    <row r="690">
      <c r="B690" s="14"/>
      <c r="C690" s="3"/>
      <c r="D690" s="142"/>
      <c r="E690" s="3"/>
    </row>
    <row r="691">
      <c r="B691" s="14"/>
      <c r="C691" s="3"/>
      <c r="D691" s="142"/>
      <c r="E691" s="3"/>
    </row>
    <row r="692">
      <c r="B692" s="14"/>
      <c r="C692" s="3"/>
      <c r="D692" s="142"/>
      <c r="E692" s="3"/>
    </row>
    <row r="693">
      <c r="B693" s="14"/>
      <c r="C693" s="3"/>
      <c r="D693" s="142"/>
      <c r="E693" s="3"/>
    </row>
    <row r="694">
      <c r="B694" s="14"/>
      <c r="C694" s="3"/>
      <c r="D694" s="142"/>
      <c r="E694" s="3"/>
    </row>
    <row r="695">
      <c r="B695" s="14"/>
      <c r="C695" s="3"/>
      <c r="D695" s="142"/>
      <c r="E695" s="3"/>
    </row>
    <row r="696">
      <c r="B696" s="14"/>
      <c r="C696" s="3"/>
      <c r="D696" s="142"/>
      <c r="E696" s="3"/>
    </row>
    <row r="697">
      <c r="B697" s="14"/>
      <c r="C697" s="3"/>
      <c r="D697" s="142"/>
      <c r="E697" s="3"/>
    </row>
    <row r="698">
      <c r="B698" s="14"/>
      <c r="C698" s="3"/>
      <c r="D698" s="142"/>
      <c r="E698" s="3"/>
    </row>
    <row r="699">
      <c r="B699" s="14"/>
      <c r="C699" s="3"/>
      <c r="D699" s="142"/>
      <c r="E699" s="3"/>
    </row>
    <row r="700">
      <c r="B700" s="14"/>
      <c r="C700" s="3"/>
      <c r="D700" s="142"/>
      <c r="E700" s="3"/>
    </row>
    <row r="701">
      <c r="B701" s="14"/>
      <c r="C701" s="3"/>
      <c r="D701" s="142"/>
      <c r="E701" s="3"/>
    </row>
    <row r="702">
      <c r="B702" s="14"/>
      <c r="C702" s="3"/>
      <c r="D702" s="142"/>
      <c r="E702" s="3"/>
    </row>
    <row r="703">
      <c r="B703" s="14"/>
      <c r="C703" s="3"/>
      <c r="D703" s="142"/>
      <c r="E703" s="3"/>
    </row>
    <row r="704">
      <c r="B704" s="14"/>
      <c r="C704" s="3"/>
      <c r="D704" s="142"/>
      <c r="E704" s="3"/>
    </row>
    <row r="705">
      <c r="B705" s="14"/>
      <c r="C705" s="3"/>
      <c r="D705" s="142"/>
      <c r="E705" s="3"/>
    </row>
    <row r="706">
      <c r="B706" s="14"/>
      <c r="C706" s="3"/>
      <c r="D706" s="142"/>
      <c r="E706" s="3"/>
    </row>
    <row r="707">
      <c r="B707" s="14"/>
      <c r="C707" s="3"/>
      <c r="D707" s="142"/>
      <c r="E707" s="3"/>
    </row>
    <row r="708">
      <c r="B708" s="14"/>
      <c r="C708" s="3"/>
      <c r="D708" s="142"/>
      <c r="E708" s="3"/>
    </row>
    <row r="709">
      <c r="B709" s="14"/>
      <c r="C709" s="3"/>
      <c r="D709" s="142"/>
      <c r="E709" s="3"/>
    </row>
    <row r="710">
      <c r="B710" s="14"/>
      <c r="C710" s="3"/>
      <c r="D710" s="142"/>
      <c r="E710" s="3"/>
    </row>
    <row r="711">
      <c r="B711" s="14"/>
      <c r="C711" s="3"/>
      <c r="D711" s="142"/>
      <c r="E711" s="3"/>
    </row>
    <row r="712">
      <c r="B712" s="14"/>
      <c r="C712" s="3"/>
      <c r="D712" s="142"/>
      <c r="E712" s="3"/>
    </row>
    <row r="713">
      <c r="B713" s="14"/>
      <c r="C713" s="3"/>
      <c r="D713" s="142"/>
      <c r="E713" s="3"/>
    </row>
    <row r="714">
      <c r="B714" s="14"/>
      <c r="C714" s="3"/>
      <c r="D714" s="142"/>
      <c r="E714" s="3"/>
    </row>
    <row r="715">
      <c r="B715" s="14"/>
      <c r="C715" s="3"/>
      <c r="D715" s="142"/>
      <c r="E715" s="3"/>
    </row>
    <row r="716">
      <c r="B716" s="14"/>
      <c r="C716" s="3"/>
      <c r="D716" s="142"/>
      <c r="E716" s="3"/>
    </row>
    <row r="717">
      <c r="B717" s="14"/>
      <c r="C717" s="3"/>
      <c r="D717" s="142"/>
      <c r="E717" s="3"/>
    </row>
    <row r="718">
      <c r="B718" s="14"/>
      <c r="C718" s="3"/>
      <c r="D718" s="142"/>
      <c r="E718" s="3"/>
    </row>
    <row r="719">
      <c r="B719" s="14"/>
      <c r="C719" s="3"/>
      <c r="D719" s="142"/>
      <c r="E719" s="3"/>
    </row>
    <row r="720">
      <c r="B720" s="14"/>
      <c r="C720" s="3"/>
      <c r="D720" s="142"/>
      <c r="E720" s="3"/>
    </row>
    <row r="721">
      <c r="B721" s="14"/>
      <c r="C721" s="3"/>
      <c r="D721" s="142"/>
      <c r="E721" s="3"/>
    </row>
    <row r="722">
      <c r="B722" s="14"/>
      <c r="C722" s="3"/>
      <c r="D722" s="142"/>
      <c r="E722" s="3"/>
    </row>
    <row r="723">
      <c r="B723" s="14"/>
      <c r="C723" s="3"/>
      <c r="D723" s="142"/>
      <c r="E723" s="3"/>
    </row>
    <row r="724">
      <c r="B724" s="14"/>
      <c r="C724" s="3"/>
      <c r="D724" s="142"/>
      <c r="E724" s="3"/>
    </row>
    <row r="725">
      <c r="B725" s="14"/>
      <c r="C725" s="3"/>
      <c r="D725" s="142"/>
      <c r="E725" s="3"/>
    </row>
    <row r="726">
      <c r="B726" s="14"/>
      <c r="C726" s="3"/>
      <c r="D726" s="142"/>
      <c r="E726" s="3"/>
    </row>
    <row r="727">
      <c r="B727" s="14"/>
      <c r="C727" s="3"/>
      <c r="D727" s="142"/>
      <c r="E727" s="3"/>
    </row>
    <row r="728">
      <c r="B728" s="14"/>
      <c r="C728" s="3"/>
      <c r="D728" s="142"/>
      <c r="E728" s="3"/>
    </row>
    <row r="729">
      <c r="B729" s="14"/>
      <c r="C729" s="3"/>
      <c r="D729" s="142"/>
      <c r="E729" s="3"/>
    </row>
    <row r="730">
      <c r="B730" s="14"/>
      <c r="C730" s="3"/>
      <c r="D730" s="142"/>
      <c r="E730" s="3"/>
    </row>
    <row r="731">
      <c r="B731" s="14"/>
      <c r="C731" s="3"/>
      <c r="D731" s="142"/>
      <c r="E731" s="3"/>
    </row>
    <row r="732">
      <c r="B732" s="14"/>
      <c r="C732" s="3"/>
      <c r="D732" s="142"/>
      <c r="E732" s="3"/>
    </row>
    <row r="733">
      <c r="B733" s="14"/>
      <c r="C733" s="3"/>
      <c r="D733" s="142"/>
      <c r="E733" s="3"/>
    </row>
    <row r="734">
      <c r="B734" s="14"/>
      <c r="C734" s="3"/>
      <c r="D734" s="142"/>
      <c r="E734" s="3"/>
    </row>
    <row r="735">
      <c r="B735" s="14"/>
      <c r="C735" s="3"/>
      <c r="D735" s="142"/>
      <c r="E735" s="3"/>
    </row>
    <row r="736">
      <c r="B736" s="14"/>
      <c r="C736" s="3"/>
      <c r="D736" s="142"/>
      <c r="E736" s="3"/>
    </row>
    <row r="737">
      <c r="B737" s="14"/>
      <c r="C737" s="3"/>
      <c r="D737" s="142"/>
      <c r="E737" s="3"/>
    </row>
    <row r="738">
      <c r="B738" s="14"/>
      <c r="C738" s="3"/>
      <c r="D738" s="142"/>
      <c r="E738" s="3"/>
    </row>
    <row r="739">
      <c r="B739" s="14"/>
      <c r="C739" s="3"/>
      <c r="D739" s="142"/>
      <c r="E739" s="3"/>
    </row>
    <row r="740">
      <c r="B740" s="14"/>
      <c r="C740" s="3"/>
      <c r="D740" s="142"/>
      <c r="E740" s="3"/>
    </row>
    <row r="741">
      <c r="B741" s="14"/>
      <c r="C741" s="3"/>
      <c r="D741" s="142"/>
      <c r="E741" s="3"/>
    </row>
    <row r="742">
      <c r="B742" s="14"/>
      <c r="C742" s="3"/>
      <c r="D742" s="142"/>
      <c r="E742" s="3"/>
    </row>
    <row r="743">
      <c r="B743" s="14"/>
      <c r="C743" s="3"/>
      <c r="D743" s="142"/>
      <c r="E743" s="3"/>
    </row>
    <row r="744">
      <c r="B744" s="14"/>
      <c r="C744" s="3"/>
      <c r="D744" s="142"/>
      <c r="E744" s="3"/>
    </row>
    <row r="745">
      <c r="B745" s="14"/>
      <c r="C745" s="3"/>
      <c r="D745" s="142"/>
      <c r="E745" s="3"/>
    </row>
    <row r="746">
      <c r="B746" s="14"/>
      <c r="C746" s="3"/>
      <c r="D746" s="142"/>
      <c r="E746" s="3"/>
    </row>
    <row r="747">
      <c r="B747" s="14"/>
      <c r="C747" s="3"/>
      <c r="D747" s="142"/>
      <c r="E747" s="3"/>
    </row>
    <row r="748">
      <c r="B748" s="14"/>
      <c r="C748" s="3"/>
      <c r="D748" s="142"/>
      <c r="E748" s="3"/>
    </row>
    <row r="749">
      <c r="B749" s="14"/>
      <c r="C749" s="3"/>
      <c r="D749" s="142"/>
      <c r="E749" s="3"/>
    </row>
    <row r="750">
      <c r="B750" s="14"/>
      <c r="C750" s="3"/>
      <c r="D750" s="142"/>
      <c r="E750" s="3"/>
    </row>
    <row r="751">
      <c r="B751" s="14"/>
      <c r="C751" s="3"/>
      <c r="D751" s="142"/>
      <c r="E751" s="3"/>
    </row>
    <row r="752">
      <c r="B752" s="14"/>
      <c r="C752" s="3"/>
      <c r="D752" s="142"/>
      <c r="E752" s="3"/>
    </row>
    <row r="753">
      <c r="B753" s="14"/>
      <c r="C753" s="3"/>
      <c r="D753" s="142"/>
      <c r="E753" s="3"/>
    </row>
    <row r="754">
      <c r="B754" s="14"/>
      <c r="C754" s="3"/>
      <c r="D754" s="142"/>
      <c r="E754" s="3"/>
    </row>
    <row r="755">
      <c r="B755" s="14"/>
      <c r="C755" s="3"/>
      <c r="D755" s="142"/>
      <c r="E755" s="3"/>
    </row>
    <row r="756">
      <c r="B756" s="14"/>
      <c r="C756" s="3"/>
      <c r="D756" s="142"/>
      <c r="E756" s="3"/>
    </row>
    <row r="757">
      <c r="B757" s="14"/>
      <c r="C757" s="3"/>
      <c r="D757" s="142"/>
      <c r="E757" s="3"/>
    </row>
    <row r="758">
      <c r="B758" s="14"/>
      <c r="C758" s="3"/>
      <c r="D758" s="142"/>
      <c r="E758" s="3"/>
    </row>
    <row r="759">
      <c r="B759" s="14"/>
      <c r="C759" s="3"/>
      <c r="D759" s="142"/>
      <c r="E759" s="3"/>
    </row>
    <row r="760">
      <c r="B760" s="14"/>
      <c r="C760" s="3"/>
      <c r="D760" s="142"/>
      <c r="E760" s="3"/>
    </row>
    <row r="761">
      <c r="B761" s="14"/>
      <c r="C761" s="3"/>
      <c r="D761" s="142"/>
      <c r="E761" s="3"/>
    </row>
    <row r="762">
      <c r="B762" s="14"/>
      <c r="C762" s="3"/>
      <c r="D762" s="142"/>
      <c r="E762" s="3"/>
    </row>
    <row r="763">
      <c r="B763" s="14"/>
      <c r="C763" s="3"/>
      <c r="D763" s="142"/>
      <c r="E763" s="3"/>
    </row>
    <row r="764">
      <c r="B764" s="14"/>
      <c r="C764" s="3"/>
      <c r="D764" s="142"/>
      <c r="E764" s="3"/>
    </row>
    <row r="765">
      <c r="B765" s="14"/>
      <c r="C765" s="3"/>
      <c r="D765" s="142"/>
      <c r="E765" s="3"/>
    </row>
    <row r="766">
      <c r="B766" s="14"/>
      <c r="C766" s="3"/>
      <c r="D766" s="142"/>
      <c r="E766" s="3"/>
    </row>
    <row r="767">
      <c r="B767" s="14"/>
      <c r="C767" s="3"/>
      <c r="D767" s="142"/>
      <c r="E767" s="3"/>
    </row>
    <row r="768">
      <c r="B768" s="14"/>
      <c r="C768" s="3"/>
      <c r="D768" s="142"/>
      <c r="E768" s="3"/>
    </row>
    <row r="769">
      <c r="B769" s="14"/>
      <c r="C769" s="3"/>
      <c r="D769" s="142"/>
      <c r="E769" s="3"/>
    </row>
    <row r="770">
      <c r="B770" s="14"/>
      <c r="C770" s="3"/>
      <c r="D770" s="142"/>
      <c r="E770" s="3"/>
    </row>
    <row r="771">
      <c r="B771" s="14"/>
      <c r="C771" s="3"/>
      <c r="D771" s="142"/>
      <c r="E771" s="3"/>
    </row>
    <row r="772">
      <c r="B772" s="14"/>
      <c r="C772" s="3"/>
      <c r="D772" s="142"/>
      <c r="E772" s="3"/>
    </row>
    <row r="773">
      <c r="B773" s="14"/>
      <c r="C773" s="3"/>
      <c r="D773" s="142"/>
      <c r="E773" s="3"/>
    </row>
    <row r="774">
      <c r="B774" s="14"/>
      <c r="C774" s="3"/>
      <c r="D774" s="142"/>
      <c r="E774" s="3"/>
    </row>
    <row r="775">
      <c r="B775" s="14"/>
      <c r="C775" s="3"/>
      <c r="D775" s="142"/>
      <c r="E775" s="3"/>
    </row>
    <row r="776">
      <c r="B776" s="14"/>
      <c r="C776" s="3"/>
      <c r="D776" s="142"/>
      <c r="E776" s="3"/>
    </row>
    <row r="777">
      <c r="B777" s="14"/>
      <c r="C777" s="3"/>
      <c r="D777" s="142"/>
      <c r="E777" s="3"/>
    </row>
    <row r="778">
      <c r="B778" s="14"/>
      <c r="C778" s="3"/>
      <c r="D778" s="142"/>
      <c r="E778" s="3"/>
    </row>
    <row r="779">
      <c r="B779" s="14"/>
      <c r="C779" s="3"/>
      <c r="D779" s="142"/>
      <c r="E779" s="3"/>
    </row>
    <row r="780">
      <c r="B780" s="14"/>
      <c r="C780" s="3"/>
      <c r="D780" s="142"/>
      <c r="E780" s="3"/>
    </row>
    <row r="781">
      <c r="B781" s="14"/>
      <c r="C781" s="3"/>
      <c r="D781" s="142"/>
      <c r="E781" s="3"/>
    </row>
    <row r="782">
      <c r="B782" s="14"/>
      <c r="C782" s="3"/>
      <c r="D782" s="142"/>
      <c r="E782" s="3"/>
    </row>
    <row r="783">
      <c r="B783" s="14"/>
      <c r="C783" s="3"/>
      <c r="D783" s="142"/>
      <c r="E783" s="3"/>
    </row>
    <row r="784">
      <c r="B784" s="14"/>
      <c r="C784" s="3"/>
      <c r="D784" s="142"/>
      <c r="E784" s="3"/>
    </row>
    <row r="785">
      <c r="B785" s="14"/>
      <c r="C785" s="3"/>
      <c r="D785" s="142"/>
      <c r="E785" s="3"/>
    </row>
    <row r="786">
      <c r="B786" s="14"/>
      <c r="C786" s="3"/>
      <c r="D786" s="142"/>
      <c r="E786" s="3"/>
    </row>
    <row r="787">
      <c r="B787" s="14"/>
      <c r="C787" s="3"/>
      <c r="D787" s="142"/>
      <c r="E787" s="3"/>
    </row>
    <row r="788">
      <c r="B788" s="14"/>
      <c r="C788" s="3"/>
      <c r="D788" s="142"/>
      <c r="E788" s="3"/>
    </row>
    <row r="789">
      <c r="B789" s="14"/>
      <c r="C789" s="3"/>
      <c r="D789" s="142"/>
      <c r="E789" s="3"/>
    </row>
    <row r="790">
      <c r="B790" s="14"/>
      <c r="C790" s="3"/>
      <c r="D790" s="142"/>
      <c r="E790" s="3"/>
    </row>
    <row r="791">
      <c r="B791" s="14"/>
      <c r="C791" s="3"/>
      <c r="D791" s="142"/>
      <c r="E791" s="3"/>
    </row>
    <row r="792">
      <c r="B792" s="14"/>
      <c r="C792" s="3"/>
      <c r="D792" s="142"/>
      <c r="E792" s="3"/>
    </row>
    <row r="793">
      <c r="B793" s="14"/>
      <c r="C793" s="3"/>
      <c r="D793" s="142"/>
      <c r="E793" s="3"/>
    </row>
    <row r="794">
      <c r="B794" s="14"/>
      <c r="C794" s="3"/>
      <c r="D794" s="142"/>
      <c r="E794" s="3"/>
    </row>
    <row r="795">
      <c r="B795" s="14"/>
      <c r="C795" s="3"/>
      <c r="D795" s="142"/>
      <c r="E795" s="3"/>
    </row>
    <row r="796">
      <c r="B796" s="14"/>
      <c r="C796" s="3"/>
      <c r="D796" s="142"/>
      <c r="E796" s="3"/>
    </row>
    <row r="797">
      <c r="B797" s="14"/>
      <c r="C797" s="3"/>
      <c r="D797" s="142"/>
      <c r="E797" s="3"/>
    </row>
    <row r="798">
      <c r="B798" s="14"/>
      <c r="C798" s="3"/>
      <c r="D798" s="142"/>
      <c r="E798" s="3"/>
    </row>
    <row r="799">
      <c r="B799" s="14"/>
      <c r="C799" s="3"/>
      <c r="D799" s="142"/>
      <c r="E799" s="3"/>
    </row>
    <row r="800">
      <c r="B800" s="14"/>
      <c r="C800" s="3"/>
      <c r="D800" s="142"/>
      <c r="E800" s="3"/>
    </row>
    <row r="801">
      <c r="B801" s="14"/>
      <c r="C801" s="3"/>
      <c r="D801" s="142"/>
      <c r="E801" s="3"/>
    </row>
    <row r="802">
      <c r="B802" s="14"/>
      <c r="C802" s="3"/>
      <c r="D802" s="142"/>
      <c r="E802" s="3"/>
    </row>
    <row r="803">
      <c r="B803" s="14"/>
      <c r="C803" s="3"/>
      <c r="D803" s="142"/>
      <c r="E803" s="3"/>
    </row>
    <row r="804">
      <c r="B804" s="14"/>
      <c r="C804" s="3"/>
      <c r="D804" s="142"/>
      <c r="E804" s="3"/>
    </row>
    <row r="805">
      <c r="B805" s="14"/>
      <c r="C805" s="3"/>
      <c r="D805" s="142"/>
      <c r="E805" s="3"/>
    </row>
    <row r="806">
      <c r="B806" s="14"/>
      <c r="C806" s="3"/>
      <c r="D806" s="142"/>
      <c r="E806" s="3"/>
    </row>
    <row r="807">
      <c r="B807" s="14"/>
      <c r="C807" s="3"/>
      <c r="D807" s="142"/>
      <c r="E807" s="3"/>
    </row>
    <row r="808">
      <c r="B808" s="14"/>
      <c r="C808" s="3"/>
      <c r="D808" s="142"/>
      <c r="E808" s="3"/>
    </row>
    <row r="809">
      <c r="B809" s="14"/>
      <c r="C809" s="3"/>
      <c r="D809" s="142"/>
      <c r="E809" s="3"/>
    </row>
    <row r="810">
      <c r="B810" s="14"/>
      <c r="C810" s="3"/>
      <c r="D810" s="142"/>
      <c r="E810" s="3"/>
    </row>
    <row r="811">
      <c r="B811" s="14"/>
      <c r="C811" s="3"/>
      <c r="D811" s="142"/>
      <c r="E811" s="3"/>
    </row>
    <row r="812">
      <c r="B812" s="14"/>
      <c r="C812" s="3"/>
      <c r="D812" s="142"/>
      <c r="E812" s="3"/>
    </row>
    <row r="813">
      <c r="B813" s="14"/>
      <c r="C813" s="3"/>
      <c r="D813" s="142"/>
      <c r="E813" s="3"/>
    </row>
    <row r="814">
      <c r="B814" s="14"/>
      <c r="C814" s="3"/>
      <c r="D814" s="142"/>
      <c r="E814" s="3"/>
    </row>
    <row r="815">
      <c r="B815" s="14"/>
      <c r="C815" s="3"/>
      <c r="D815" s="142"/>
      <c r="E815" s="3"/>
    </row>
    <row r="816">
      <c r="B816" s="14"/>
      <c r="C816" s="3"/>
      <c r="D816" s="142"/>
      <c r="E816" s="3"/>
    </row>
    <row r="817">
      <c r="B817" s="14"/>
      <c r="C817" s="3"/>
      <c r="D817" s="142"/>
      <c r="E817" s="3"/>
    </row>
    <row r="818">
      <c r="B818" s="14"/>
      <c r="C818" s="3"/>
      <c r="D818" s="142"/>
      <c r="E818" s="3"/>
    </row>
    <row r="819">
      <c r="B819" s="14"/>
      <c r="C819" s="3"/>
      <c r="D819" s="142"/>
      <c r="E819" s="3"/>
    </row>
    <row r="820">
      <c r="B820" s="14"/>
      <c r="C820" s="3"/>
      <c r="D820" s="142"/>
      <c r="E820" s="3"/>
    </row>
    <row r="821">
      <c r="B821" s="14"/>
      <c r="C821" s="3"/>
      <c r="D821" s="142"/>
      <c r="E821" s="3"/>
    </row>
    <row r="822">
      <c r="B822" s="14"/>
      <c r="C822" s="3"/>
      <c r="D822" s="142"/>
      <c r="E822" s="3"/>
    </row>
    <row r="823">
      <c r="B823" s="14"/>
      <c r="C823" s="3"/>
      <c r="D823" s="142"/>
      <c r="E823" s="3"/>
    </row>
    <row r="824">
      <c r="B824" s="14"/>
      <c r="C824" s="3"/>
      <c r="D824" s="142"/>
      <c r="E824" s="3"/>
    </row>
    <row r="825">
      <c r="B825" s="14"/>
      <c r="C825" s="3"/>
      <c r="D825" s="142"/>
      <c r="E825" s="3"/>
    </row>
    <row r="826">
      <c r="B826" s="14"/>
      <c r="C826" s="3"/>
      <c r="D826" s="142"/>
      <c r="E826" s="3"/>
    </row>
    <row r="827">
      <c r="B827" s="14"/>
      <c r="C827" s="3"/>
      <c r="D827" s="142"/>
      <c r="E827" s="3"/>
    </row>
    <row r="828">
      <c r="B828" s="14"/>
      <c r="C828" s="3"/>
      <c r="D828" s="142"/>
      <c r="E828" s="3"/>
    </row>
    <row r="829">
      <c r="B829" s="14"/>
      <c r="C829" s="3"/>
      <c r="D829" s="142"/>
      <c r="E829" s="3"/>
    </row>
    <row r="830">
      <c r="B830" s="14"/>
      <c r="C830" s="3"/>
      <c r="D830" s="142"/>
      <c r="E830" s="3"/>
    </row>
    <row r="831">
      <c r="B831" s="14"/>
      <c r="C831" s="3"/>
      <c r="D831" s="142"/>
      <c r="E831" s="3"/>
    </row>
    <row r="832">
      <c r="B832" s="14"/>
      <c r="C832" s="3"/>
      <c r="D832" s="142"/>
      <c r="E832" s="3"/>
    </row>
    <row r="833">
      <c r="B833" s="14"/>
      <c r="C833" s="3"/>
      <c r="D833" s="142"/>
      <c r="E833" s="3"/>
    </row>
    <row r="834">
      <c r="B834" s="14"/>
      <c r="C834" s="3"/>
      <c r="D834" s="142"/>
      <c r="E834" s="3"/>
    </row>
    <row r="835">
      <c r="B835" s="14"/>
      <c r="C835" s="3"/>
      <c r="D835" s="142"/>
      <c r="E835" s="3"/>
    </row>
    <row r="836">
      <c r="B836" s="14"/>
      <c r="C836" s="3"/>
      <c r="D836" s="142"/>
      <c r="E836" s="3"/>
    </row>
    <row r="837">
      <c r="B837" s="14"/>
      <c r="C837" s="3"/>
      <c r="D837" s="142"/>
      <c r="E837" s="3"/>
    </row>
    <row r="838">
      <c r="B838" s="14"/>
      <c r="C838" s="3"/>
      <c r="D838" s="142"/>
      <c r="E838" s="3"/>
    </row>
    <row r="839">
      <c r="B839" s="14"/>
      <c r="C839" s="3"/>
      <c r="D839" s="142"/>
      <c r="E839" s="3"/>
    </row>
    <row r="840">
      <c r="B840" s="14"/>
      <c r="C840" s="3"/>
      <c r="D840" s="142"/>
      <c r="E840" s="3"/>
    </row>
    <row r="841">
      <c r="B841" s="14"/>
      <c r="C841" s="3"/>
      <c r="D841" s="142"/>
      <c r="E841" s="3"/>
    </row>
    <row r="842">
      <c r="B842" s="14"/>
      <c r="C842" s="3"/>
      <c r="D842" s="142"/>
      <c r="E842" s="3"/>
    </row>
    <row r="843">
      <c r="B843" s="14"/>
      <c r="C843" s="3"/>
      <c r="D843" s="142"/>
      <c r="E843" s="3"/>
    </row>
    <row r="844">
      <c r="B844" s="14"/>
      <c r="C844" s="3"/>
      <c r="D844" s="142"/>
      <c r="E844" s="3"/>
    </row>
    <row r="845">
      <c r="B845" s="14"/>
      <c r="C845" s="3"/>
      <c r="D845" s="142"/>
      <c r="E845" s="3"/>
    </row>
    <row r="846">
      <c r="B846" s="14"/>
      <c r="C846" s="3"/>
      <c r="D846" s="142"/>
      <c r="E846" s="3"/>
    </row>
    <row r="847">
      <c r="B847" s="14"/>
      <c r="C847" s="3"/>
      <c r="D847" s="142"/>
      <c r="E847" s="3"/>
    </row>
    <row r="848">
      <c r="B848" s="14"/>
      <c r="C848" s="3"/>
      <c r="D848" s="142"/>
      <c r="E848" s="3"/>
    </row>
    <row r="849">
      <c r="B849" s="14"/>
      <c r="C849" s="3"/>
      <c r="D849" s="142"/>
      <c r="E849" s="3"/>
    </row>
    <row r="850">
      <c r="B850" s="14"/>
      <c r="C850" s="3"/>
      <c r="D850" s="142"/>
      <c r="E850" s="3"/>
    </row>
    <row r="851">
      <c r="B851" s="14"/>
      <c r="C851" s="3"/>
      <c r="D851" s="142"/>
      <c r="E851" s="3"/>
    </row>
    <row r="852">
      <c r="B852" s="14"/>
      <c r="C852" s="3"/>
      <c r="D852" s="142"/>
      <c r="E852" s="3"/>
    </row>
    <row r="853">
      <c r="B853" s="14"/>
      <c r="C853" s="3"/>
      <c r="D853" s="142"/>
      <c r="E853" s="3"/>
    </row>
    <row r="854">
      <c r="B854" s="14"/>
      <c r="C854" s="3"/>
      <c r="D854" s="142"/>
      <c r="E854" s="3"/>
    </row>
    <row r="855">
      <c r="B855" s="14"/>
      <c r="C855" s="3"/>
      <c r="D855" s="142"/>
      <c r="E855" s="3"/>
    </row>
    <row r="856">
      <c r="B856" s="14"/>
      <c r="C856" s="3"/>
      <c r="D856" s="142"/>
      <c r="E856" s="3"/>
    </row>
    <row r="857">
      <c r="B857" s="14"/>
      <c r="C857" s="3"/>
      <c r="D857" s="142"/>
      <c r="E857" s="3"/>
    </row>
    <row r="858">
      <c r="B858" s="14"/>
      <c r="C858" s="3"/>
      <c r="D858" s="142"/>
      <c r="E858" s="3"/>
    </row>
    <row r="859">
      <c r="B859" s="14"/>
      <c r="C859" s="3"/>
      <c r="D859" s="142"/>
      <c r="E859" s="3"/>
    </row>
    <row r="860">
      <c r="B860" s="14"/>
      <c r="C860" s="3"/>
      <c r="D860" s="142"/>
      <c r="E860" s="3"/>
    </row>
    <row r="861">
      <c r="B861" s="14"/>
      <c r="C861" s="3"/>
      <c r="D861" s="142"/>
      <c r="E861" s="3"/>
    </row>
    <row r="862">
      <c r="B862" s="14"/>
      <c r="C862" s="3"/>
      <c r="D862" s="142"/>
      <c r="E862" s="3"/>
    </row>
    <row r="863">
      <c r="B863" s="14"/>
      <c r="C863" s="3"/>
      <c r="D863" s="142"/>
      <c r="E863" s="3"/>
    </row>
    <row r="864">
      <c r="B864" s="14"/>
      <c r="C864" s="3"/>
      <c r="D864" s="142"/>
      <c r="E864" s="3"/>
    </row>
    <row r="865">
      <c r="B865" s="14"/>
      <c r="C865" s="3"/>
      <c r="D865" s="142"/>
      <c r="E865" s="3"/>
    </row>
    <row r="866">
      <c r="B866" s="14"/>
      <c r="C866" s="3"/>
      <c r="D866" s="142"/>
      <c r="E866" s="3"/>
    </row>
    <row r="867">
      <c r="B867" s="14"/>
      <c r="C867" s="3"/>
      <c r="D867" s="142"/>
      <c r="E867" s="3"/>
    </row>
    <row r="868">
      <c r="B868" s="14"/>
      <c r="C868" s="3"/>
      <c r="D868" s="142"/>
      <c r="E868" s="3"/>
    </row>
    <row r="869">
      <c r="B869" s="14"/>
      <c r="C869" s="3"/>
      <c r="D869" s="142"/>
      <c r="E869" s="3"/>
    </row>
    <row r="870">
      <c r="B870" s="14"/>
      <c r="C870" s="3"/>
      <c r="D870" s="142"/>
      <c r="E870" s="3"/>
    </row>
    <row r="871">
      <c r="B871" s="14"/>
      <c r="C871" s="3"/>
      <c r="D871" s="142"/>
      <c r="E871" s="3"/>
    </row>
    <row r="872">
      <c r="B872" s="14"/>
      <c r="C872" s="3"/>
      <c r="D872" s="142"/>
      <c r="E872" s="3"/>
    </row>
    <row r="873">
      <c r="B873" s="14"/>
      <c r="C873" s="3"/>
      <c r="D873" s="142"/>
      <c r="E873" s="3"/>
    </row>
    <row r="874">
      <c r="B874" s="14"/>
      <c r="C874" s="3"/>
      <c r="D874" s="142"/>
      <c r="E874" s="3"/>
    </row>
    <row r="875">
      <c r="B875" s="14"/>
      <c r="C875" s="3"/>
      <c r="D875" s="142"/>
      <c r="E875" s="3"/>
    </row>
    <row r="876">
      <c r="B876" s="14"/>
      <c r="C876" s="3"/>
      <c r="D876" s="142"/>
      <c r="E876" s="3"/>
    </row>
    <row r="877">
      <c r="B877" s="14"/>
      <c r="C877" s="3"/>
      <c r="D877" s="142"/>
      <c r="E877" s="3"/>
    </row>
    <row r="878">
      <c r="B878" s="14"/>
      <c r="C878" s="3"/>
      <c r="D878" s="142"/>
      <c r="E878" s="3"/>
    </row>
    <row r="879">
      <c r="B879" s="14"/>
      <c r="C879" s="3"/>
      <c r="D879" s="142"/>
      <c r="E879" s="3"/>
    </row>
    <row r="880">
      <c r="B880" s="14"/>
      <c r="C880" s="3"/>
      <c r="D880" s="142"/>
      <c r="E880" s="3"/>
    </row>
    <row r="881">
      <c r="B881" s="14"/>
      <c r="C881" s="3"/>
      <c r="D881" s="142"/>
      <c r="E881" s="3"/>
    </row>
    <row r="882">
      <c r="B882" s="14"/>
      <c r="C882" s="3"/>
      <c r="D882" s="142"/>
      <c r="E882" s="3"/>
    </row>
    <row r="883">
      <c r="B883" s="14"/>
      <c r="C883" s="3"/>
      <c r="D883" s="142"/>
      <c r="E883" s="3"/>
    </row>
    <row r="884">
      <c r="B884" s="14"/>
      <c r="C884" s="3"/>
      <c r="D884" s="142"/>
      <c r="E884" s="3"/>
    </row>
    <row r="885">
      <c r="B885" s="14"/>
      <c r="C885" s="3"/>
      <c r="D885" s="142"/>
      <c r="E885" s="3"/>
    </row>
    <row r="886">
      <c r="B886" s="14"/>
      <c r="C886" s="3"/>
      <c r="D886" s="142"/>
      <c r="E886" s="3"/>
    </row>
    <row r="887">
      <c r="B887" s="14"/>
      <c r="C887" s="3"/>
      <c r="D887" s="142"/>
      <c r="E887" s="3"/>
    </row>
    <row r="888">
      <c r="B888" s="14"/>
      <c r="C888" s="3"/>
      <c r="D888" s="142"/>
      <c r="E888" s="3"/>
    </row>
    <row r="889">
      <c r="B889" s="14"/>
      <c r="C889" s="3"/>
      <c r="D889" s="142"/>
      <c r="E889" s="3"/>
    </row>
    <row r="890">
      <c r="B890" s="14"/>
      <c r="C890" s="3"/>
      <c r="D890" s="142"/>
      <c r="E890" s="3"/>
    </row>
    <row r="891">
      <c r="B891" s="14"/>
      <c r="C891" s="3"/>
      <c r="D891" s="142"/>
      <c r="E891" s="3"/>
    </row>
    <row r="892">
      <c r="B892" s="14"/>
      <c r="C892" s="3"/>
      <c r="D892" s="142"/>
      <c r="E892" s="3"/>
    </row>
    <row r="893">
      <c r="B893" s="14"/>
      <c r="C893" s="3"/>
      <c r="D893" s="142"/>
      <c r="E893" s="3"/>
    </row>
    <row r="894">
      <c r="B894" s="14"/>
      <c r="C894" s="3"/>
      <c r="D894" s="142"/>
      <c r="E894" s="3"/>
    </row>
    <row r="895">
      <c r="B895" s="14"/>
      <c r="C895" s="3"/>
      <c r="D895" s="142"/>
      <c r="E895" s="3"/>
    </row>
    <row r="896">
      <c r="B896" s="14"/>
      <c r="C896" s="3"/>
      <c r="D896" s="142"/>
      <c r="E896" s="3"/>
    </row>
    <row r="897">
      <c r="B897" s="14"/>
      <c r="C897" s="3"/>
      <c r="D897" s="142"/>
      <c r="E897" s="3"/>
    </row>
    <row r="898">
      <c r="B898" s="14"/>
      <c r="C898" s="3"/>
      <c r="D898" s="142"/>
      <c r="E898" s="3"/>
    </row>
    <row r="899">
      <c r="B899" s="14"/>
      <c r="C899" s="3"/>
      <c r="D899" s="142"/>
      <c r="E899" s="3"/>
    </row>
    <row r="900">
      <c r="B900" s="14"/>
      <c r="C900" s="3"/>
      <c r="D900" s="142"/>
      <c r="E900" s="3"/>
    </row>
    <row r="901">
      <c r="B901" s="14"/>
      <c r="C901" s="3"/>
      <c r="D901" s="142"/>
      <c r="E901" s="3"/>
    </row>
    <row r="902">
      <c r="B902" s="14"/>
      <c r="C902" s="3"/>
      <c r="D902" s="142"/>
      <c r="E902" s="3"/>
    </row>
    <row r="903">
      <c r="B903" s="14"/>
      <c r="C903" s="3"/>
      <c r="D903" s="142"/>
      <c r="E903" s="3"/>
    </row>
    <row r="904">
      <c r="B904" s="14"/>
      <c r="C904" s="3"/>
      <c r="D904" s="142"/>
      <c r="E904" s="3"/>
    </row>
    <row r="905">
      <c r="B905" s="14"/>
      <c r="C905" s="3"/>
      <c r="D905" s="142"/>
      <c r="E905" s="3"/>
    </row>
    <row r="906">
      <c r="B906" s="14"/>
      <c r="C906" s="3"/>
      <c r="D906" s="142"/>
      <c r="E906" s="3"/>
    </row>
    <row r="907">
      <c r="B907" s="14"/>
      <c r="C907" s="3"/>
      <c r="D907" s="142"/>
      <c r="E907" s="3"/>
    </row>
    <row r="908">
      <c r="B908" s="14"/>
      <c r="C908" s="3"/>
      <c r="D908" s="142"/>
      <c r="E908" s="3"/>
    </row>
    <row r="909">
      <c r="B909" s="14"/>
      <c r="C909" s="3"/>
      <c r="D909" s="142"/>
      <c r="E909" s="3"/>
    </row>
    <row r="910">
      <c r="B910" s="14"/>
      <c r="C910" s="3"/>
      <c r="D910" s="142"/>
      <c r="E910" s="3"/>
    </row>
    <row r="911">
      <c r="B911" s="14"/>
      <c r="C911" s="3"/>
      <c r="D911" s="142"/>
      <c r="E911" s="3"/>
    </row>
    <row r="912">
      <c r="B912" s="14"/>
      <c r="C912" s="3"/>
      <c r="D912" s="142"/>
      <c r="E912" s="3"/>
    </row>
    <row r="913">
      <c r="B913" s="14"/>
      <c r="C913" s="3"/>
      <c r="D913" s="142"/>
      <c r="E913" s="3"/>
    </row>
    <row r="914">
      <c r="B914" s="14"/>
      <c r="C914" s="3"/>
      <c r="D914" s="142"/>
      <c r="E914" s="3"/>
    </row>
    <row r="915">
      <c r="B915" s="14"/>
      <c r="C915" s="3"/>
      <c r="D915" s="142"/>
      <c r="E915" s="3"/>
    </row>
    <row r="916">
      <c r="B916" s="14"/>
      <c r="C916" s="3"/>
      <c r="D916" s="142"/>
      <c r="E916" s="3"/>
    </row>
    <row r="917">
      <c r="B917" s="14"/>
      <c r="C917" s="3"/>
      <c r="D917" s="142"/>
      <c r="E917" s="3"/>
    </row>
    <row r="918">
      <c r="B918" s="14"/>
      <c r="C918" s="3"/>
      <c r="D918" s="142"/>
      <c r="E918" s="3"/>
    </row>
    <row r="919">
      <c r="B919" s="14"/>
      <c r="C919" s="3"/>
      <c r="D919" s="142"/>
      <c r="E919" s="3"/>
    </row>
    <row r="920">
      <c r="B920" s="14"/>
      <c r="C920" s="3"/>
      <c r="D920" s="142"/>
      <c r="E920" s="3"/>
    </row>
    <row r="921">
      <c r="B921" s="14"/>
      <c r="C921" s="3"/>
      <c r="D921" s="142"/>
      <c r="E921" s="3"/>
    </row>
    <row r="922">
      <c r="B922" s="14"/>
      <c r="C922" s="3"/>
      <c r="D922" s="142"/>
      <c r="E922" s="3"/>
    </row>
    <row r="923">
      <c r="B923" s="14"/>
      <c r="C923" s="3"/>
      <c r="D923" s="142"/>
      <c r="E923" s="3"/>
    </row>
    <row r="924">
      <c r="B924" s="14"/>
      <c r="C924" s="3"/>
      <c r="D924" s="142"/>
      <c r="E924" s="3"/>
    </row>
    <row r="925">
      <c r="B925" s="14"/>
      <c r="C925" s="3"/>
      <c r="D925" s="142"/>
      <c r="E925" s="3"/>
    </row>
    <row r="926">
      <c r="B926" s="14"/>
      <c r="C926" s="3"/>
      <c r="D926" s="142"/>
      <c r="E926" s="3"/>
    </row>
    <row r="927">
      <c r="B927" s="14"/>
      <c r="C927" s="3"/>
      <c r="D927" s="142"/>
      <c r="E927" s="3"/>
    </row>
    <row r="928">
      <c r="B928" s="14"/>
      <c r="C928" s="3"/>
      <c r="D928" s="142"/>
      <c r="E928" s="3"/>
    </row>
    <row r="929">
      <c r="B929" s="14"/>
      <c r="C929" s="3"/>
      <c r="D929" s="142"/>
      <c r="E929" s="3"/>
    </row>
    <row r="930">
      <c r="B930" s="14"/>
      <c r="C930" s="3"/>
      <c r="D930" s="142"/>
      <c r="E930" s="3"/>
    </row>
    <row r="931">
      <c r="B931" s="14"/>
      <c r="C931" s="3"/>
      <c r="D931" s="142"/>
      <c r="E931" s="3"/>
    </row>
    <row r="932">
      <c r="B932" s="14"/>
      <c r="C932" s="3"/>
      <c r="D932" s="142"/>
      <c r="E932" s="3"/>
    </row>
    <row r="933">
      <c r="B933" s="14"/>
      <c r="C933" s="3"/>
      <c r="D933" s="142"/>
      <c r="E933" s="3"/>
    </row>
    <row r="934">
      <c r="B934" s="14"/>
      <c r="C934" s="3"/>
      <c r="D934" s="142"/>
      <c r="E934" s="3"/>
    </row>
    <row r="935">
      <c r="B935" s="14"/>
      <c r="C935" s="3"/>
      <c r="D935" s="142"/>
      <c r="E935" s="3"/>
    </row>
    <row r="936">
      <c r="B936" s="14"/>
      <c r="C936" s="3"/>
      <c r="D936" s="142"/>
      <c r="E936" s="3"/>
    </row>
    <row r="937">
      <c r="B937" s="14"/>
      <c r="C937" s="3"/>
      <c r="D937" s="142"/>
      <c r="E937" s="3"/>
    </row>
    <row r="938">
      <c r="B938" s="14"/>
      <c r="C938" s="3"/>
      <c r="D938" s="142"/>
      <c r="E938" s="3"/>
    </row>
    <row r="939">
      <c r="B939" s="14"/>
      <c r="C939" s="3"/>
      <c r="D939" s="142"/>
      <c r="E939" s="3"/>
    </row>
    <row r="940">
      <c r="B940" s="14"/>
      <c r="C940" s="3"/>
      <c r="D940" s="142"/>
      <c r="E940" s="3"/>
    </row>
    <row r="941">
      <c r="B941" s="14"/>
      <c r="C941" s="3"/>
      <c r="D941" s="142"/>
      <c r="E941" s="3"/>
    </row>
    <row r="942">
      <c r="B942" s="14"/>
      <c r="C942" s="3"/>
      <c r="D942" s="142"/>
      <c r="E942" s="3"/>
    </row>
    <row r="943">
      <c r="B943" s="14"/>
      <c r="C943" s="3"/>
      <c r="D943" s="142"/>
      <c r="E943" s="3"/>
    </row>
    <row r="944">
      <c r="B944" s="14"/>
      <c r="C944" s="3"/>
      <c r="D944" s="142"/>
      <c r="E944" s="3"/>
    </row>
    <row r="945">
      <c r="B945" s="14"/>
      <c r="C945" s="3"/>
      <c r="D945" s="142"/>
      <c r="E945" s="3"/>
    </row>
    <row r="946">
      <c r="B946" s="14"/>
      <c r="C946" s="3"/>
      <c r="D946" s="142"/>
      <c r="E946" s="3"/>
    </row>
    <row r="947">
      <c r="B947" s="14"/>
      <c r="C947" s="3"/>
      <c r="D947" s="142"/>
      <c r="E947" s="3"/>
    </row>
    <row r="948">
      <c r="B948" s="14"/>
      <c r="C948" s="3"/>
      <c r="D948" s="142"/>
      <c r="E948" s="3"/>
    </row>
    <row r="949">
      <c r="B949" s="14"/>
      <c r="C949" s="3"/>
      <c r="D949" s="142"/>
      <c r="E949" s="3"/>
    </row>
    <row r="950">
      <c r="B950" s="14"/>
      <c r="C950" s="3"/>
      <c r="D950" s="142"/>
      <c r="E950" s="3"/>
    </row>
    <row r="951">
      <c r="B951" s="14"/>
      <c r="C951" s="3"/>
      <c r="D951" s="142"/>
      <c r="E951" s="3"/>
    </row>
    <row r="952">
      <c r="B952" s="14"/>
      <c r="C952" s="3"/>
      <c r="D952" s="142"/>
      <c r="E952" s="3"/>
    </row>
    <row r="953">
      <c r="B953" s="14"/>
      <c r="C953" s="3"/>
      <c r="D953" s="142"/>
      <c r="E953" s="3"/>
    </row>
    <row r="954">
      <c r="B954" s="14"/>
      <c r="C954" s="3"/>
      <c r="D954" s="142"/>
      <c r="E954" s="3"/>
    </row>
    <row r="955">
      <c r="B955" s="14"/>
      <c r="C955" s="3"/>
      <c r="D955" s="142"/>
      <c r="E955" s="3"/>
    </row>
    <row r="956">
      <c r="B956" s="14"/>
      <c r="C956" s="3"/>
      <c r="D956" s="142"/>
      <c r="E956" s="3"/>
    </row>
    <row r="957">
      <c r="B957" s="14"/>
      <c r="C957" s="3"/>
      <c r="D957" s="142"/>
      <c r="E957" s="3"/>
    </row>
    <row r="958">
      <c r="B958" s="14"/>
      <c r="C958" s="3"/>
      <c r="D958" s="142"/>
      <c r="E958" s="3"/>
    </row>
    <row r="959">
      <c r="B959" s="14"/>
      <c r="C959" s="3"/>
      <c r="D959" s="142"/>
      <c r="E959" s="3"/>
    </row>
    <row r="960">
      <c r="B960" s="14"/>
      <c r="C960" s="3"/>
      <c r="D960" s="142"/>
      <c r="E960" s="3"/>
    </row>
    <row r="961">
      <c r="B961" s="14"/>
      <c r="C961" s="3"/>
      <c r="D961" s="142"/>
      <c r="E961" s="3"/>
    </row>
    <row r="962">
      <c r="B962" s="14"/>
      <c r="C962" s="3"/>
      <c r="D962" s="142"/>
      <c r="E962" s="3"/>
    </row>
    <row r="963">
      <c r="B963" s="14"/>
      <c r="C963" s="3"/>
      <c r="D963" s="142"/>
      <c r="E963" s="3"/>
    </row>
    <row r="964">
      <c r="B964" s="14"/>
      <c r="C964" s="3"/>
      <c r="D964" s="142"/>
      <c r="E964" s="3"/>
    </row>
    <row r="965">
      <c r="B965" s="14"/>
      <c r="C965" s="3"/>
      <c r="D965" s="142"/>
      <c r="E965" s="3"/>
    </row>
    <row r="966">
      <c r="B966" s="14"/>
      <c r="C966" s="3"/>
      <c r="D966" s="142"/>
      <c r="E966" s="3"/>
    </row>
    <row r="967">
      <c r="B967" s="14"/>
      <c r="C967" s="3"/>
      <c r="D967" s="142"/>
      <c r="E967" s="3"/>
    </row>
    <row r="968">
      <c r="B968" s="14"/>
      <c r="C968" s="3"/>
      <c r="D968" s="142"/>
      <c r="E968" s="3"/>
    </row>
    <row r="969">
      <c r="B969" s="14"/>
      <c r="C969" s="3"/>
      <c r="D969" s="142"/>
      <c r="E969" s="3"/>
    </row>
    <row r="970">
      <c r="B970" s="14"/>
      <c r="C970" s="3"/>
      <c r="D970" s="142"/>
      <c r="E970" s="3"/>
    </row>
    <row r="971">
      <c r="B971" s="14"/>
      <c r="C971" s="3"/>
      <c r="D971" s="142"/>
      <c r="E971" s="3"/>
    </row>
    <row r="972">
      <c r="B972" s="14"/>
      <c r="C972" s="3"/>
      <c r="D972" s="142"/>
      <c r="E972" s="3"/>
    </row>
    <row r="973">
      <c r="B973" s="14"/>
      <c r="C973" s="3"/>
      <c r="D973" s="142"/>
      <c r="E973" s="3"/>
    </row>
    <row r="974">
      <c r="B974" s="14"/>
      <c r="C974" s="3"/>
      <c r="D974" s="142"/>
      <c r="E974" s="3"/>
    </row>
    <row r="975">
      <c r="B975" s="14"/>
      <c r="C975" s="3"/>
      <c r="D975" s="142"/>
      <c r="E975" s="3"/>
    </row>
    <row r="976">
      <c r="B976" s="14"/>
      <c r="C976" s="3"/>
      <c r="D976" s="142"/>
      <c r="E976" s="3"/>
    </row>
    <row r="977">
      <c r="B977" s="14"/>
      <c r="C977" s="3"/>
      <c r="D977" s="142"/>
      <c r="E977" s="3"/>
    </row>
    <row r="978">
      <c r="B978" s="14"/>
      <c r="C978" s="3"/>
      <c r="D978" s="142"/>
      <c r="E978" s="3"/>
    </row>
    <row r="979">
      <c r="B979" s="14"/>
      <c r="C979" s="3"/>
      <c r="D979" s="142"/>
      <c r="E979" s="3"/>
    </row>
    <row r="980">
      <c r="B980" s="14"/>
      <c r="C980" s="3"/>
      <c r="D980" s="142"/>
      <c r="E980" s="3"/>
    </row>
    <row r="981">
      <c r="B981" s="14"/>
      <c r="C981" s="3"/>
      <c r="D981" s="142"/>
      <c r="E981" s="3"/>
    </row>
    <row r="982">
      <c r="B982" s="14"/>
      <c r="C982" s="3"/>
      <c r="D982" s="142"/>
      <c r="E982" s="3"/>
    </row>
    <row r="983">
      <c r="B983" s="14"/>
      <c r="C983" s="3"/>
      <c r="D983" s="142"/>
      <c r="E983" s="3"/>
    </row>
    <row r="984">
      <c r="B984" s="14"/>
      <c r="C984" s="3"/>
      <c r="D984" s="142"/>
      <c r="E984" s="3"/>
    </row>
    <row r="985">
      <c r="B985" s="14"/>
      <c r="C985" s="3"/>
      <c r="D985" s="142"/>
      <c r="E985" s="3"/>
    </row>
    <row r="986">
      <c r="B986" s="14"/>
      <c r="C986" s="3"/>
      <c r="D986" s="142"/>
      <c r="E986" s="3"/>
    </row>
    <row r="987">
      <c r="B987" s="14"/>
      <c r="C987" s="3"/>
      <c r="D987" s="142"/>
      <c r="E987" s="3"/>
    </row>
    <row r="988">
      <c r="B988" s="14"/>
      <c r="C988" s="3"/>
      <c r="D988" s="142"/>
      <c r="E988" s="3"/>
    </row>
    <row r="989">
      <c r="B989" s="14"/>
      <c r="C989" s="3"/>
      <c r="D989" s="142"/>
      <c r="E989" s="3"/>
    </row>
    <row r="990">
      <c r="B990" s="14"/>
      <c r="C990" s="3"/>
      <c r="D990" s="142"/>
      <c r="E990" s="3"/>
    </row>
    <row r="991">
      <c r="B991" s="14"/>
      <c r="C991" s="3"/>
      <c r="D991" s="142"/>
      <c r="E991" s="3"/>
    </row>
    <row r="992">
      <c r="B992" s="14"/>
      <c r="C992" s="3"/>
      <c r="D992" s="142"/>
      <c r="E992" s="3"/>
    </row>
    <row r="993">
      <c r="B993" s="14"/>
      <c r="C993" s="3"/>
      <c r="D993" s="142"/>
      <c r="E993" s="3"/>
    </row>
    <row r="994">
      <c r="B994" s="14"/>
      <c r="C994" s="3"/>
      <c r="D994" s="142"/>
      <c r="E994" s="3"/>
    </row>
    <row r="995">
      <c r="B995" s="14"/>
      <c r="C995" s="3"/>
      <c r="D995" s="142"/>
      <c r="E995" s="3"/>
    </row>
    <row r="996">
      <c r="B996" s="14"/>
      <c r="C996" s="3"/>
      <c r="D996" s="142"/>
      <c r="E996" s="3"/>
    </row>
    <row r="997">
      <c r="B997" s="14"/>
      <c r="C997" s="3"/>
      <c r="D997" s="142"/>
      <c r="E997" s="3"/>
    </row>
  </sheetData>
  <autoFilter ref="$A$1:$A$997"/>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2"/>
  <cols>
    <col customWidth="1" min="1" max="1" width="13.38"/>
    <col customWidth="1" min="3" max="3" width="17.75"/>
    <col customWidth="1" min="4" max="4" width="22.25"/>
    <col customWidth="1" min="5" max="6" width="20.88"/>
    <col customWidth="1" min="7" max="7" width="23.88"/>
    <col customWidth="1" min="8" max="8" width="21.63"/>
    <col customWidth="1" min="9" max="9" width="22.25"/>
    <col customWidth="1" min="10" max="10" width="22.75"/>
    <col customWidth="1" min="11" max="12" width="22.5"/>
    <col customWidth="1" min="13" max="14" width="19.38"/>
    <col customWidth="1" min="15" max="15" width="24.38"/>
    <col customWidth="1" min="16" max="16" width="16.0"/>
    <col customWidth="1" min="17" max="17" width="18.25"/>
    <col customWidth="1" min="18" max="18" width="21.0"/>
    <col customWidth="1" min="19" max="19" width="25.0"/>
    <col customWidth="1" min="20" max="20" width="24.63"/>
    <col customWidth="1" min="21" max="21" width="20.38"/>
    <col customWidth="1" min="22" max="22" width="28.88"/>
    <col customWidth="1" min="23" max="23" width="33.5"/>
  </cols>
  <sheetData>
    <row r="1">
      <c r="A1" s="18"/>
      <c r="B1" s="18" t="s">
        <v>1554</v>
      </c>
      <c r="C1" s="18" t="s">
        <v>1557</v>
      </c>
      <c r="D1" s="261" t="s">
        <v>1558</v>
      </c>
      <c r="E1" s="18" t="s">
        <v>2831</v>
      </c>
      <c r="F1" s="18" t="s">
        <v>103</v>
      </c>
      <c r="G1" s="18" t="s">
        <v>1560</v>
      </c>
      <c r="H1" s="18" t="s">
        <v>106</v>
      </c>
      <c r="I1" s="18" t="s">
        <v>1562</v>
      </c>
      <c r="J1" s="18" t="s">
        <v>2833</v>
      </c>
      <c r="K1" s="18" t="s">
        <v>1565</v>
      </c>
      <c r="L1" s="18" t="s">
        <v>1568</v>
      </c>
      <c r="M1" s="18" t="s">
        <v>2834</v>
      </c>
      <c r="N1" s="18" t="s">
        <v>107</v>
      </c>
      <c r="O1" s="18" t="s">
        <v>111</v>
      </c>
      <c r="P1" s="561" t="s">
        <v>2</v>
      </c>
      <c r="Q1" s="561" t="s">
        <v>3</v>
      </c>
      <c r="R1" s="563" t="s">
        <v>4</v>
      </c>
      <c r="S1" s="18"/>
      <c r="T1" s="10"/>
      <c r="U1" s="10"/>
      <c r="V1" s="10"/>
      <c r="W1" s="72"/>
      <c r="X1" s="3"/>
      <c r="Y1" s="3"/>
      <c r="Z1" s="3"/>
      <c r="AA1" s="3"/>
      <c r="AB1" s="3"/>
      <c r="AC1" s="3"/>
    </row>
    <row r="2">
      <c r="A2" s="203" t="s">
        <v>10</v>
      </c>
      <c r="B2" s="203" t="s">
        <v>1578</v>
      </c>
      <c r="C2" s="214">
        <v>45001.0</v>
      </c>
      <c r="D2" s="564"/>
      <c r="E2" s="214">
        <v>45090.0</v>
      </c>
      <c r="F2" s="203" t="s">
        <v>2849</v>
      </c>
      <c r="G2" s="203" t="s">
        <v>2850</v>
      </c>
      <c r="H2" s="214">
        <v>45051.0</v>
      </c>
      <c r="I2" s="262"/>
      <c r="J2" s="214">
        <v>45085.0</v>
      </c>
      <c r="K2" s="203" t="s">
        <v>2852</v>
      </c>
      <c r="L2" s="203" t="s">
        <v>1109</v>
      </c>
      <c r="M2" s="214"/>
      <c r="N2" s="214">
        <v>45037.0</v>
      </c>
      <c r="O2" s="262"/>
      <c r="P2" s="565">
        <v>1.0</v>
      </c>
      <c r="Q2" s="565">
        <v>6.0</v>
      </c>
      <c r="R2" s="566" t="s">
        <v>16</v>
      </c>
      <c r="S2" s="435"/>
      <c r="T2" s="95"/>
      <c r="U2" s="567"/>
      <c r="V2" s="95"/>
      <c r="W2" s="17"/>
      <c r="X2" s="14"/>
      <c r="Y2" s="14"/>
      <c r="Z2" s="14"/>
      <c r="AA2" s="17"/>
      <c r="AB2" s="3"/>
      <c r="AC2" s="3"/>
    </row>
    <row r="3">
      <c r="A3" s="203" t="s">
        <v>22</v>
      </c>
      <c r="B3" s="203" t="s">
        <v>1578</v>
      </c>
      <c r="C3" s="214">
        <v>45005.0</v>
      </c>
      <c r="D3" s="564"/>
      <c r="E3" s="214">
        <v>45091.0</v>
      </c>
      <c r="F3" s="214">
        <v>45005.0</v>
      </c>
      <c r="G3" s="262"/>
      <c r="H3" s="214">
        <v>45064.0</v>
      </c>
      <c r="I3" s="262"/>
      <c r="J3" s="214">
        <v>45089.0</v>
      </c>
      <c r="K3" s="262"/>
      <c r="L3" s="203" t="s">
        <v>1109</v>
      </c>
      <c r="M3" s="214"/>
      <c r="N3" s="214">
        <v>45064.0</v>
      </c>
      <c r="O3" s="200"/>
      <c r="P3" s="565">
        <v>1.0</v>
      </c>
      <c r="Q3" s="565">
        <v>7.0</v>
      </c>
      <c r="R3" s="566" t="s">
        <v>23</v>
      </c>
      <c r="S3" s="435"/>
      <c r="T3" s="95"/>
      <c r="U3" s="567"/>
      <c r="V3" s="95"/>
      <c r="W3" s="17"/>
      <c r="X3" s="14"/>
      <c r="Y3" s="14"/>
      <c r="Z3" s="14"/>
      <c r="AA3" s="14"/>
      <c r="AB3" s="3"/>
      <c r="AC3" s="3"/>
    </row>
    <row r="4">
      <c r="A4" s="203" t="s">
        <v>25</v>
      </c>
      <c r="B4" s="203" t="s">
        <v>1578</v>
      </c>
      <c r="C4" s="250">
        <v>45023.0</v>
      </c>
      <c r="D4" s="547" t="s">
        <v>2859</v>
      </c>
      <c r="E4" s="411" t="s">
        <v>1879</v>
      </c>
      <c r="F4" s="250">
        <v>45023.0</v>
      </c>
      <c r="G4" s="262"/>
      <c r="H4" s="214">
        <v>45055.0</v>
      </c>
      <c r="I4" s="253"/>
      <c r="J4" s="214">
        <v>45114.0</v>
      </c>
      <c r="K4" s="262"/>
      <c r="L4" s="203" t="s">
        <v>1109</v>
      </c>
      <c r="M4" s="214"/>
      <c r="N4" s="214">
        <v>45055.0</v>
      </c>
      <c r="O4" s="253"/>
      <c r="P4" s="565">
        <v>2.0</v>
      </c>
      <c r="Q4" s="565">
        <v>11.0</v>
      </c>
      <c r="R4" s="566" t="s">
        <v>29</v>
      </c>
      <c r="S4" s="435"/>
      <c r="T4" s="95"/>
      <c r="U4" s="567"/>
      <c r="V4" s="95"/>
      <c r="W4" s="14"/>
      <c r="X4" s="14"/>
      <c r="Y4" s="14"/>
      <c r="Z4" s="14"/>
      <c r="AA4" s="14"/>
      <c r="AB4" s="3"/>
      <c r="AC4" s="3"/>
    </row>
    <row r="5">
      <c r="A5" s="203" t="s">
        <v>32</v>
      </c>
      <c r="B5" s="203" t="s">
        <v>1578</v>
      </c>
      <c r="C5" s="214">
        <v>45118.0</v>
      </c>
      <c r="D5" s="564"/>
      <c r="E5" s="214">
        <v>45126.0</v>
      </c>
      <c r="F5" s="214">
        <v>45126.0</v>
      </c>
      <c r="G5" s="262"/>
      <c r="H5" s="214">
        <v>45126.0</v>
      </c>
      <c r="I5" s="262"/>
      <c r="J5" s="214">
        <v>45119.0</v>
      </c>
      <c r="K5" s="262"/>
      <c r="L5" s="203" t="s">
        <v>1109</v>
      </c>
      <c r="M5" s="262"/>
      <c r="N5" s="214">
        <v>45126.0</v>
      </c>
      <c r="O5" s="262"/>
      <c r="P5" s="565">
        <v>2.0</v>
      </c>
      <c r="Q5" s="565">
        <v>17.0</v>
      </c>
      <c r="R5" s="566" t="s">
        <v>23</v>
      </c>
      <c r="S5" s="435"/>
      <c r="T5" s="95"/>
      <c r="U5" s="567"/>
      <c r="V5" s="95"/>
      <c r="W5" s="14"/>
      <c r="X5" s="14"/>
      <c r="Y5" s="14"/>
      <c r="Z5" s="14"/>
      <c r="AA5" s="14"/>
      <c r="AB5" s="3"/>
      <c r="AC5" s="3"/>
    </row>
    <row r="6">
      <c r="A6" s="203" t="s">
        <v>34</v>
      </c>
      <c r="B6" s="203" t="s">
        <v>1578</v>
      </c>
      <c r="C6" s="250">
        <v>45019.0</v>
      </c>
      <c r="D6" s="564"/>
      <c r="E6" s="250">
        <v>45140.0</v>
      </c>
      <c r="F6" s="250">
        <v>45019.0</v>
      </c>
      <c r="G6" s="262"/>
      <c r="H6" s="214">
        <v>45071.0</v>
      </c>
      <c r="I6" s="262"/>
      <c r="J6" s="214">
        <v>45124.0</v>
      </c>
      <c r="K6" s="262"/>
      <c r="L6" s="214">
        <v>45077.0</v>
      </c>
      <c r="M6" s="262"/>
      <c r="N6" s="214">
        <v>45071.0</v>
      </c>
      <c r="O6" s="262"/>
      <c r="P6" s="565">
        <v>1.0</v>
      </c>
      <c r="Q6" s="565">
        <v>3.0</v>
      </c>
      <c r="R6" s="568" t="s">
        <v>68</v>
      </c>
      <c r="S6" s="435"/>
      <c r="T6" s="95"/>
      <c r="U6" s="567"/>
      <c r="V6" s="569"/>
      <c r="W6" s="17"/>
      <c r="X6" s="14"/>
      <c r="Y6" s="14"/>
      <c r="Z6" s="14"/>
      <c r="AA6" s="14"/>
      <c r="AB6" s="3"/>
      <c r="AC6" s="3"/>
    </row>
    <row r="7">
      <c r="A7" s="203" t="s">
        <v>38</v>
      </c>
      <c r="B7" s="203" t="s">
        <v>1640</v>
      </c>
      <c r="C7" s="214">
        <v>45063.0</v>
      </c>
      <c r="D7" s="241" t="s">
        <v>2868</v>
      </c>
      <c r="E7" s="411" t="s">
        <v>2869</v>
      </c>
      <c r="F7" s="250">
        <v>45086.0</v>
      </c>
      <c r="G7" s="203" t="s">
        <v>2871</v>
      </c>
      <c r="H7" s="250">
        <v>45086.0</v>
      </c>
      <c r="I7" s="203" t="s">
        <v>2871</v>
      </c>
      <c r="J7" s="214">
        <v>45124.0</v>
      </c>
      <c r="K7" s="262"/>
      <c r="L7" s="203" t="s">
        <v>1109</v>
      </c>
      <c r="M7" s="262"/>
      <c r="N7" s="250">
        <v>45086.0</v>
      </c>
      <c r="O7" s="203" t="s">
        <v>2871</v>
      </c>
      <c r="P7" s="565">
        <v>2.0</v>
      </c>
      <c r="Q7" s="565">
        <v>15.0</v>
      </c>
      <c r="R7" s="566" t="s">
        <v>23</v>
      </c>
      <c r="S7" s="435"/>
      <c r="T7" s="475"/>
      <c r="U7" s="567"/>
      <c r="V7" s="475"/>
      <c r="W7" s="39"/>
      <c r="X7" s="14"/>
      <c r="Y7" s="14"/>
      <c r="Z7" s="14"/>
      <c r="AA7" s="14"/>
      <c r="AB7" s="3"/>
      <c r="AC7" s="3"/>
    </row>
    <row r="8">
      <c r="A8" s="203" t="s">
        <v>41</v>
      </c>
      <c r="B8" s="203" t="s">
        <v>1640</v>
      </c>
      <c r="C8" s="214">
        <v>45061.0</v>
      </c>
      <c r="D8" s="241" t="s">
        <v>2875</v>
      </c>
      <c r="E8" s="214">
        <v>45162.0</v>
      </c>
      <c r="F8" s="214">
        <v>45071.0</v>
      </c>
      <c r="G8" s="203" t="s">
        <v>2877</v>
      </c>
      <c r="H8" s="214">
        <v>45078.0</v>
      </c>
      <c r="I8" s="203" t="s">
        <v>2877</v>
      </c>
      <c r="J8" s="214">
        <v>45125.0</v>
      </c>
      <c r="K8" s="262"/>
      <c r="L8" s="214">
        <v>45078.0</v>
      </c>
      <c r="M8" s="203" t="s">
        <v>2878</v>
      </c>
      <c r="N8" s="214">
        <v>45071.0</v>
      </c>
      <c r="O8" s="203" t="s">
        <v>2880</v>
      </c>
      <c r="P8" s="565">
        <v>3.0</v>
      </c>
      <c r="Q8" s="565">
        <v>28.0</v>
      </c>
      <c r="R8" s="566" t="s">
        <v>23</v>
      </c>
      <c r="S8" s="435"/>
      <c r="T8" s="95"/>
      <c r="U8" s="567"/>
      <c r="V8" s="95"/>
      <c r="W8" s="39"/>
      <c r="X8" s="14"/>
      <c r="Y8" s="14"/>
      <c r="Z8" s="14"/>
      <c r="AA8" s="14"/>
      <c r="AB8" s="3"/>
      <c r="AC8" s="3"/>
    </row>
    <row r="9" ht="26.25" customHeight="1">
      <c r="A9" s="203" t="s">
        <v>43</v>
      </c>
      <c r="B9" s="203" t="s">
        <v>1640</v>
      </c>
      <c r="C9" s="214">
        <v>45035.0</v>
      </c>
      <c r="D9" s="241" t="s">
        <v>2883</v>
      </c>
      <c r="E9" s="570">
        <v>45354.0</v>
      </c>
      <c r="F9" s="214">
        <v>45063.0</v>
      </c>
      <c r="G9" s="203" t="s">
        <v>2885</v>
      </c>
      <c r="H9" s="571">
        <v>45063.0</v>
      </c>
      <c r="I9" s="203" t="s">
        <v>2885</v>
      </c>
      <c r="J9" s="214">
        <v>45126.0</v>
      </c>
      <c r="K9" s="262"/>
      <c r="L9" s="214">
        <v>45121.0</v>
      </c>
      <c r="M9" s="571"/>
      <c r="N9" s="571">
        <v>45063.0</v>
      </c>
      <c r="O9" s="203" t="s">
        <v>2885</v>
      </c>
      <c r="P9" s="565">
        <v>1.0</v>
      </c>
      <c r="Q9" s="565">
        <v>9.0</v>
      </c>
      <c r="R9" s="566" t="s">
        <v>23</v>
      </c>
      <c r="S9" s="435"/>
      <c r="T9" s="95"/>
      <c r="U9" s="567"/>
      <c r="V9" s="95"/>
      <c r="W9" s="17"/>
      <c r="X9" s="14"/>
      <c r="Y9" s="14"/>
      <c r="Z9" s="51"/>
      <c r="AA9" s="39" t="s">
        <v>2888</v>
      </c>
      <c r="AB9" s="3"/>
      <c r="AC9" s="3"/>
    </row>
    <row r="10" ht="23.25" customHeight="1">
      <c r="A10" s="203" t="s">
        <v>33</v>
      </c>
      <c r="B10" s="203" t="s">
        <v>1640</v>
      </c>
      <c r="C10" s="214">
        <v>45054.0</v>
      </c>
      <c r="D10" s="547" t="s">
        <v>2890</v>
      </c>
      <c r="E10" s="214">
        <v>45065.0</v>
      </c>
      <c r="F10" s="214">
        <v>45065.0</v>
      </c>
      <c r="G10" s="262"/>
      <c r="H10" s="214">
        <v>45065.0</v>
      </c>
      <c r="I10" s="262"/>
      <c r="J10" s="214">
        <v>45128.0</v>
      </c>
      <c r="K10" s="262"/>
      <c r="L10" s="203" t="s">
        <v>2597</v>
      </c>
      <c r="M10" s="214"/>
      <c r="N10" s="214">
        <v>45065.0</v>
      </c>
      <c r="O10" s="262"/>
      <c r="P10" s="565">
        <v>2.0</v>
      </c>
      <c r="Q10" s="565">
        <v>18.0</v>
      </c>
      <c r="R10" s="566" t="s">
        <v>23</v>
      </c>
      <c r="S10" s="435"/>
      <c r="T10" s="20"/>
      <c r="U10" s="567"/>
      <c r="V10" s="20"/>
      <c r="W10" s="14"/>
      <c r="X10" s="14"/>
      <c r="Y10" s="14"/>
      <c r="Z10" s="178"/>
      <c r="AA10" s="39" t="s">
        <v>2893</v>
      </c>
      <c r="AB10" s="3"/>
      <c r="AC10" s="3"/>
    </row>
    <row r="11" ht="21.75" customHeight="1">
      <c r="A11" s="203" t="s">
        <v>51</v>
      </c>
      <c r="B11" s="203" t="s">
        <v>1578</v>
      </c>
      <c r="C11" s="214">
        <v>45096.0</v>
      </c>
      <c r="D11" s="241" t="s">
        <v>2895</v>
      </c>
      <c r="E11" s="411" t="s">
        <v>1925</v>
      </c>
      <c r="F11" s="214">
        <v>45120.0</v>
      </c>
      <c r="G11" s="262"/>
      <c r="H11" s="214">
        <v>45120.0</v>
      </c>
      <c r="I11" s="262"/>
      <c r="J11" s="214">
        <v>45132.0</v>
      </c>
      <c r="K11" s="262"/>
      <c r="L11" s="203" t="s">
        <v>1769</v>
      </c>
      <c r="M11" s="572" t="s">
        <v>2896</v>
      </c>
      <c r="N11" s="214">
        <v>45120.0</v>
      </c>
      <c r="O11" s="262"/>
      <c r="P11" s="565">
        <v>5.0</v>
      </c>
      <c r="Q11" s="565">
        <v>47.0</v>
      </c>
      <c r="R11" s="566" t="s">
        <v>23</v>
      </c>
      <c r="S11" s="9"/>
      <c r="T11" s="20"/>
      <c r="U11" s="567"/>
      <c r="V11" s="20"/>
      <c r="W11" s="14"/>
      <c r="X11" s="14"/>
      <c r="Y11" s="14"/>
      <c r="Z11" s="14"/>
      <c r="AA11" s="14"/>
      <c r="AB11" s="3"/>
      <c r="AC11" s="3"/>
    </row>
    <row r="12" ht="24.75" customHeight="1">
      <c r="A12" s="203" t="s">
        <v>55</v>
      </c>
      <c r="B12" s="203" t="s">
        <v>1640</v>
      </c>
      <c r="C12" s="214">
        <v>45055.0</v>
      </c>
      <c r="D12" s="241" t="s">
        <v>2899</v>
      </c>
      <c r="E12" s="411" t="s">
        <v>2869</v>
      </c>
      <c r="F12" s="214">
        <v>45077.0</v>
      </c>
      <c r="G12" s="203" t="s">
        <v>2900</v>
      </c>
      <c r="H12" s="214">
        <v>45077.0</v>
      </c>
      <c r="I12" s="203" t="s">
        <v>2900</v>
      </c>
      <c r="J12" s="214">
        <v>45133.0</v>
      </c>
      <c r="K12" s="262"/>
      <c r="L12" s="214">
        <v>45191.0</v>
      </c>
      <c r="M12" s="214"/>
      <c r="N12" s="214">
        <v>45077.0</v>
      </c>
      <c r="O12" s="203" t="s">
        <v>2900</v>
      </c>
      <c r="P12" s="565">
        <v>3.0</v>
      </c>
      <c r="Q12" s="565">
        <v>19.0</v>
      </c>
      <c r="R12" s="566" t="s">
        <v>23</v>
      </c>
      <c r="S12" s="435"/>
      <c r="T12" s="95"/>
      <c r="U12" s="567"/>
      <c r="V12" s="95"/>
      <c r="W12" s="14"/>
      <c r="X12" s="14"/>
      <c r="Y12" s="14"/>
      <c r="Z12" s="14"/>
      <c r="AA12" s="14"/>
      <c r="AB12" s="3"/>
      <c r="AC12" s="3"/>
    </row>
    <row r="13" ht="20.25" customHeight="1">
      <c r="A13" s="203" t="s">
        <v>58</v>
      </c>
      <c r="B13" s="203" t="s">
        <v>1640</v>
      </c>
      <c r="C13" s="214">
        <v>45061.0</v>
      </c>
      <c r="D13" s="241" t="s">
        <v>2902</v>
      </c>
      <c r="F13" s="214">
        <v>45076.0</v>
      </c>
      <c r="G13" s="203" t="s">
        <v>2903</v>
      </c>
      <c r="H13" s="214">
        <v>45076.0</v>
      </c>
      <c r="I13" s="203" t="s">
        <v>2903</v>
      </c>
      <c r="J13" s="214">
        <v>45133.0</v>
      </c>
      <c r="K13" s="262"/>
      <c r="L13" s="203" t="s">
        <v>2597</v>
      </c>
      <c r="M13" s="214"/>
      <c r="N13" s="214">
        <v>45076.0</v>
      </c>
      <c r="O13" s="203" t="s">
        <v>2903</v>
      </c>
      <c r="P13" s="565">
        <v>3.0</v>
      </c>
      <c r="Q13" s="565">
        <v>28.0</v>
      </c>
      <c r="R13" s="566" t="s">
        <v>29</v>
      </c>
      <c r="S13" s="435"/>
      <c r="T13" s="95"/>
      <c r="U13" s="567"/>
      <c r="V13" s="95"/>
      <c r="W13" s="14"/>
      <c r="X13" s="14"/>
      <c r="Y13" s="14"/>
      <c r="Z13" s="14"/>
      <c r="AA13" s="14"/>
      <c r="AB13" s="3"/>
      <c r="AC13" s="3"/>
    </row>
    <row r="14" ht="21.0" customHeight="1">
      <c r="A14" s="203" t="s">
        <v>49</v>
      </c>
      <c r="B14" s="203" t="s">
        <v>1578</v>
      </c>
      <c r="C14" s="214">
        <v>44988.0</v>
      </c>
      <c r="D14" s="564"/>
      <c r="E14" s="411" t="s">
        <v>1879</v>
      </c>
      <c r="F14" s="214">
        <v>44988.0</v>
      </c>
      <c r="G14" s="262"/>
      <c r="H14" s="214">
        <v>45051.0</v>
      </c>
      <c r="I14" s="203" t="s">
        <v>2909</v>
      </c>
      <c r="J14" s="214">
        <v>45134.0</v>
      </c>
      <c r="K14" s="262"/>
      <c r="L14" s="203" t="s">
        <v>1109</v>
      </c>
      <c r="M14" s="214"/>
      <c r="N14" s="214">
        <v>45051.0</v>
      </c>
      <c r="O14" s="203" t="s">
        <v>2909</v>
      </c>
      <c r="P14" s="565">
        <v>1.0</v>
      </c>
      <c r="Q14" s="565">
        <v>1.0</v>
      </c>
      <c r="R14" s="566" t="s">
        <v>29</v>
      </c>
      <c r="S14" s="435"/>
      <c r="T14" s="95"/>
      <c r="U14" s="567"/>
      <c r="V14" s="95"/>
      <c r="W14" s="14"/>
      <c r="X14" s="14"/>
      <c r="Y14" s="14"/>
      <c r="Z14" s="14"/>
      <c r="AA14" s="14"/>
      <c r="AB14" s="3"/>
      <c r="AC14" s="3"/>
    </row>
    <row r="15" ht="25.5" customHeight="1">
      <c r="A15" s="203" t="s">
        <v>62</v>
      </c>
      <c r="B15" s="203" t="s">
        <v>1578</v>
      </c>
      <c r="C15" s="214">
        <v>45019.0</v>
      </c>
      <c r="D15" s="547" t="s">
        <v>2911</v>
      </c>
      <c r="E15" s="411" t="s">
        <v>1879</v>
      </c>
      <c r="F15" s="214">
        <v>45019.0</v>
      </c>
      <c r="G15" s="262"/>
      <c r="H15" s="214">
        <v>45078.0</v>
      </c>
      <c r="I15" s="203" t="s">
        <v>2878</v>
      </c>
      <c r="J15" s="214">
        <v>45134.0</v>
      </c>
      <c r="K15" s="262"/>
      <c r="L15" s="203" t="s">
        <v>1109</v>
      </c>
      <c r="M15" s="203" t="s">
        <v>1109</v>
      </c>
      <c r="N15" s="214">
        <v>45047.0</v>
      </c>
      <c r="O15" s="262"/>
      <c r="P15" s="565">
        <v>1.0</v>
      </c>
      <c r="Q15" s="565">
        <v>9.0</v>
      </c>
      <c r="R15" s="566" t="s">
        <v>23</v>
      </c>
      <c r="S15" s="435"/>
      <c r="T15" s="475"/>
      <c r="U15" s="567"/>
      <c r="V15" s="574"/>
      <c r="W15" s="567"/>
      <c r="X15" s="14"/>
      <c r="Y15" s="14"/>
      <c r="Z15" s="90"/>
      <c r="AA15" s="435" t="s">
        <v>1439</v>
      </c>
      <c r="AB15" s="3"/>
      <c r="AC15" s="3"/>
    </row>
    <row r="16">
      <c r="A16" s="203" t="s">
        <v>27</v>
      </c>
      <c r="B16" s="203" t="s">
        <v>1578</v>
      </c>
      <c r="C16" s="214">
        <v>44988.0</v>
      </c>
      <c r="D16" s="564"/>
      <c r="E16" s="411" t="s">
        <v>2869</v>
      </c>
      <c r="F16" s="214">
        <v>44988.0</v>
      </c>
      <c r="G16" s="200" t="s">
        <v>2916</v>
      </c>
      <c r="H16" s="214">
        <v>45058.0</v>
      </c>
      <c r="I16" s="262"/>
      <c r="J16" s="214">
        <v>45135.0</v>
      </c>
      <c r="K16" s="262"/>
      <c r="L16" s="214">
        <v>45058.0</v>
      </c>
      <c r="M16" s="214"/>
      <c r="N16" s="214">
        <v>45040.0</v>
      </c>
      <c r="O16" s="203" t="s">
        <v>2917</v>
      </c>
      <c r="P16" s="565">
        <v>1.0</v>
      </c>
      <c r="Q16" s="565">
        <v>1.0</v>
      </c>
      <c r="R16" s="566" t="s">
        <v>23</v>
      </c>
      <c r="S16" s="435"/>
      <c r="T16" s="95"/>
      <c r="U16" s="435"/>
      <c r="V16" s="95"/>
      <c r="W16" s="435"/>
      <c r="X16" s="14"/>
      <c r="Y16" s="14"/>
      <c r="Z16" s="14"/>
      <c r="AA16" s="14"/>
      <c r="AB16" s="3"/>
      <c r="AC16" s="3"/>
    </row>
    <row r="17">
      <c r="A17" s="203" t="s">
        <v>65</v>
      </c>
      <c r="B17" s="203" t="s">
        <v>1578</v>
      </c>
      <c r="C17" s="214">
        <v>45001.0</v>
      </c>
      <c r="D17" s="564"/>
      <c r="E17" s="214">
        <v>45001.0</v>
      </c>
      <c r="F17" s="214">
        <v>45001.0</v>
      </c>
      <c r="G17" s="262"/>
      <c r="H17" s="214">
        <v>45079.0</v>
      </c>
      <c r="I17" s="262"/>
      <c r="J17" s="214">
        <v>45138.0</v>
      </c>
      <c r="K17" s="262"/>
      <c r="L17" s="214">
        <v>45079.0</v>
      </c>
      <c r="M17" s="214"/>
      <c r="N17" s="214">
        <v>45040.0</v>
      </c>
      <c r="O17" s="262"/>
      <c r="P17" s="565">
        <v>1.0</v>
      </c>
      <c r="Q17" s="565">
        <v>5.0</v>
      </c>
      <c r="R17" s="566" t="s">
        <v>23</v>
      </c>
      <c r="S17" s="435"/>
      <c r="T17" s="95"/>
      <c r="U17" s="435"/>
      <c r="V17" s="95"/>
      <c r="W17" s="14"/>
      <c r="X17" s="14"/>
      <c r="Y17" s="14"/>
      <c r="Z17" s="575"/>
      <c r="AA17" s="435" t="s">
        <v>2923</v>
      </c>
      <c r="AB17" s="3"/>
      <c r="AC17" s="3"/>
    </row>
    <row r="18">
      <c r="A18" s="203" t="s">
        <v>67</v>
      </c>
      <c r="B18" s="203" t="s">
        <v>1578</v>
      </c>
      <c r="C18" s="214">
        <v>45009.0</v>
      </c>
      <c r="D18" s="241" t="s">
        <v>2925</v>
      </c>
      <c r="E18" s="214">
        <v>45139.0</v>
      </c>
      <c r="F18" s="214">
        <v>45009.0</v>
      </c>
      <c r="G18" s="262"/>
      <c r="H18" s="214">
        <v>45083.0</v>
      </c>
      <c r="I18" s="262"/>
      <c r="J18" s="214">
        <v>45139.0</v>
      </c>
      <c r="K18" s="262"/>
      <c r="L18" s="203" t="s">
        <v>1109</v>
      </c>
      <c r="M18" s="262"/>
      <c r="N18" s="214">
        <v>45083.0</v>
      </c>
      <c r="O18" s="262"/>
      <c r="P18" s="565">
        <v>1.0</v>
      </c>
      <c r="Q18" s="565">
        <v>8.0</v>
      </c>
      <c r="R18" s="566" t="s">
        <v>16</v>
      </c>
      <c r="S18" s="435"/>
      <c r="T18" s="95"/>
      <c r="U18" s="567"/>
      <c r="V18" s="95"/>
      <c r="W18" s="14"/>
      <c r="X18" s="14"/>
      <c r="Y18" s="14"/>
      <c r="Z18" s="14"/>
      <c r="AA18" s="14"/>
      <c r="AB18" s="3"/>
      <c r="AC18" s="3"/>
    </row>
    <row r="19">
      <c r="A19" s="203" t="s">
        <v>66</v>
      </c>
      <c r="B19" s="203" t="s">
        <v>1640</v>
      </c>
      <c r="C19" s="214">
        <v>45082.0</v>
      </c>
      <c r="D19" s="547" t="s">
        <v>2929</v>
      </c>
      <c r="E19" s="214">
        <v>45147.0</v>
      </c>
      <c r="F19" s="214">
        <v>45093.0</v>
      </c>
      <c r="G19" s="262"/>
      <c r="H19" s="214">
        <v>45093.0</v>
      </c>
      <c r="I19" s="262"/>
      <c r="J19" s="250">
        <v>45140.0</v>
      </c>
      <c r="K19" s="262"/>
      <c r="L19" s="203" t="s">
        <v>1109</v>
      </c>
      <c r="M19" s="262"/>
      <c r="N19" s="214">
        <v>45093.0</v>
      </c>
      <c r="O19" s="262"/>
      <c r="P19" s="565">
        <v>3.0</v>
      </c>
      <c r="Q19" s="565">
        <v>23.0</v>
      </c>
      <c r="R19" s="568" t="s">
        <v>68</v>
      </c>
      <c r="S19" s="435"/>
      <c r="T19" s="95"/>
      <c r="U19" s="435"/>
      <c r="V19" s="95"/>
      <c r="W19" s="14"/>
      <c r="X19" s="14"/>
      <c r="Y19" s="14"/>
      <c r="Z19" s="14"/>
      <c r="AA19" s="14"/>
      <c r="AB19" s="3"/>
      <c r="AC19" s="3"/>
    </row>
    <row r="20">
      <c r="A20" s="203" t="s">
        <v>71</v>
      </c>
      <c r="B20" s="203" t="s">
        <v>1640</v>
      </c>
      <c r="C20" s="214">
        <v>45063.0</v>
      </c>
      <c r="D20" s="241" t="s">
        <v>2932</v>
      </c>
      <c r="E20" s="411" t="s">
        <v>2869</v>
      </c>
      <c r="F20" s="214">
        <v>45091.0</v>
      </c>
      <c r="G20" s="262"/>
      <c r="H20" s="214">
        <v>45091.0</v>
      </c>
      <c r="I20" s="262"/>
      <c r="J20" s="214">
        <v>45146.0</v>
      </c>
      <c r="K20" s="262"/>
      <c r="L20" s="203" t="s">
        <v>1109</v>
      </c>
      <c r="M20" s="262"/>
      <c r="N20" s="214">
        <v>45091.0</v>
      </c>
      <c r="O20" s="262"/>
      <c r="P20" s="565">
        <v>1.0</v>
      </c>
      <c r="Q20" s="565">
        <v>4.0</v>
      </c>
      <c r="R20" s="566" t="s">
        <v>29</v>
      </c>
      <c r="S20" s="435"/>
      <c r="T20" s="20"/>
      <c r="U20" s="567"/>
      <c r="V20" s="20"/>
      <c r="W20" s="14"/>
      <c r="X20" s="14"/>
      <c r="Y20" s="14"/>
      <c r="Z20" s="14"/>
      <c r="AA20" s="14"/>
      <c r="AB20" s="3"/>
      <c r="AC20" s="3"/>
    </row>
    <row r="21">
      <c r="A21" s="203" t="s">
        <v>74</v>
      </c>
      <c r="B21" s="203" t="s">
        <v>1578</v>
      </c>
      <c r="C21" s="202">
        <v>45121.0</v>
      </c>
      <c r="D21" s="241" t="s">
        <v>2935</v>
      </c>
      <c r="E21" s="411" t="s">
        <v>1925</v>
      </c>
      <c r="F21" s="214">
        <v>45141.0</v>
      </c>
      <c r="G21" s="262"/>
      <c r="H21" s="214">
        <v>45141.0</v>
      </c>
      <c r="I21" s="262"/>
      <c r="J21" s="214">
        <v>45148.0</v>
      </c>
      <c r="K21" s="262"/>
      <c r="L21" s="203" t="s">
        <v>1769</v>
      </c>
      <c r="M21" s="572" t="s">
        <v>2896</v>
      </c>
      <c r="N21" s="214">
        <v>45141.0</v>
      </c>
      <c r="O21" s="262"/>
      <c r="P21" s="565">
        <v>2.0</v>
      </c>
      <c r="Q21" s="565">
        <v>17.0</v>
      </c>
      <c r="R21" s="566" t="s">
        <v>29</v>
      </c>
      <c r="S21" s="435"/>
      <c r="T21" s="95"/>
      <c r="U21" s="435"/>
      <c r="V21" s="95"/>
      <c r="W21" s="14"/>
      <c r="X21" s="14"/>
      <c r="Y21" s="14"/>
      <c r="Z21" s="14"/>
      <c r="AA21" s="14"/>
      <c r="AB21" s="3"/>
      <c r="AC21" s="3"/>
    </row>
    <row r="22">
      <c r="A22" s="203" t="s">
        <v>50</v>
      </c>
      <c r="B22" s="203" t="s">
        <v>1578</v>
      </c>
      <c r="C22" s="214">
        <v>45013.0</v>
      </c>
      <c r="D22" s="241" t="s">
        <v>2940</v>
      </c>
      <c r="E22" s="214">
        <v>45115.0</v>
      </c>
      <c r="F22" s="214">
        <v>45013.0</v>
      </c>
      <c r="G22" s="262"/>
      <c r="H22" s="214">
        <v>45077.0</v>
      </c>
      <c r="I22" s="253"/>
      <c r="J22" s="214">
        <v>45154.0</v>
      </c>
      <c r="K22" s="200" t="s">
        <v>2941</v>
      </c>
      <c r="L22" s="214">
        <v>45077.0</v>
      </c>
      <c r="M22" s="214"/>
      <c r="N22" s="214">
        <v>45099.0</v>
      </c>
      <c r="O22" s="253"/>
      <c r="P22" s="565">
        <v>1.0</v>
      </c>
      <c r="Q22" s="565">
        <v>7.0</v>
      </c>
      <c r="R22" s="566" t="s">
        <v>23</v>
      </c>
      <c r="S22" s="435"/>
      <c r="T22" s="95"/>
      <c r="U22" s="435"/>
      <c r="V22" s="95"/>
      <c r="W22" s="14"/>
      <c r="X22" s="14"/>
      <c r="Y22" s="14"/>
      <c r="Z22" s="14"/>
      <c r="AA22" s="17"/>
      <c r="AB22" s="3"/>
      <c r="AC22" s="3"/>
    </row>
    <row r="23">
      <c r="A23" s="203" t="s">
        <v>70</v>
      </c>
      <c r="B23" s="203" t="s">
        <v>1640</v>
      </c>
      <c r="C23" s="214">
        <v>45099.0</v>
      </c>
      <c r="D23" s="241" t="s">
        <v>2944</v>
      </c>
      <c r="E23" s="214">
        <v>45355.0</v>
      </c>
      <c r="F23" s="214">
        <v>45100.0</v>
      </c>
      <c r="G23" s="262"/>
      <c r="H23" s="214">
        <v>45100.0</v>
      </c>
      <c r="I23" s="262"/>
      <c r="J23" s="214">
        <v>45154.0</v>
      </c>
      <c r="K23" s="200" t="s">
        <v>2945</v>
      </c>
      <c r="L23" s="203" t="s">
        <v>1109</v>
      </c>
      <c r="M23" s="262"/>
      <c r="N23" s="214">
        <v>45100.0</v>
      </c>
      <c r="O23" s="262"/>
      <c r="P23" s="565">
        <v>5.0</v>
      </c>
      <c r="Q23" s="565">
        <v>46.0</v>
      </c>
      <c r="R23" s="566" t="s">
        <v>23</v>
      </c>
      <c r="S23" s="435"/>
      <c r="T23" s="95"/>
      <c r="U23" s="435"/>
      <c r="V23" s="95"/>
      <c r="W23" s="14"/>
      <c r="X23" s="14"/>
      <c r="Y23" s="14"/>
      <c r="Z23" s="14"/>
      <c r="AA23" s="14"/>
      <c r="AB23" s="3"/>
      <c r="AC23" s="3"/>
    </row>
    <row r="24">
      <c r="A24" s="203" t="s">
        <v>59</v>
      </c>
      <c r="B24" s="203" t="s">
        <v>1640</v>
      </c>
      <c r="C24" s="214">
        <v>45041.0</v>
      </c>
      <c r="D24" s="564"/>
      <c r="E24" s="433" t="s">
        <v>2948</v>
      </c>
      <c r="F24" s="214">
        <v>45054.0</v>
      </c>
      <c r="G24" s="203" t="s">
        <v>2950</v>
      </c>
      <c r="H24" s="214">
        <v>45054.0</v>
      </c>
      <c r="I24" s="203" t="s">
        <v>2950</v>
      </c>
      <c r="J24" s="214">
        <v>45162.0</v>
      </c>
      <c r="K24" s="262"/>
      <c r="L24" s="203" t="s">
        <v>1109</v>
      </c>
      <c r="M24" s="214"/>
      <c r="N24" s="214">
        <v>45054.0</v>
      </c>
      <c r="O24" s="203" t="s">
        <v>2950</v>
      </c>
      <c r="P24" s="565">
        <v>1.0</v>
      </c>
      <c r="Q24" s="565">
        <v>5.0</v>
      </c>
      <c r="R24" s="566" t="s">
        <v>52</v>
      </c>
      <c r="S24" s="435"/>
      <c r="T24" s="95"/>
      <c r="U24" s="567"/>
      <c r="V24" s="95"/>
      <c r="W24" s="14"/>
      <c r="X24" s="14"/>
      <c r="Y24" s="14"/>
      <c r="Z24" s="44"/>
      <c r="AA24" s="39" t="s">
        <v>2952</v>
      </c>
      <c r="AB24" s="3"/>
      <c r="AC24" s="3"/>
    </row>
    <row r="25" ht="39.75" customHeight="1">
      <c r="A25" s="203" t="s">
        <v>78</v>
      </c>
      <c r="B25" s="203" t="s">
        <v>1640</v>
      </c>
      <c r="C25" s="214">
        <v>45105.0</v>
      </c>
      <c r="D25" s="241" t="s">
        <v>2955</v>
      </c>
      <c r="E25" s="214">
        <v>45188.0</v>
      </c>
      <c r="F25" s="214">
        <v>45125.0</v>
      </c>
      <c r="G25" s="262"/>
      <c r="H25" s="214">
        <v>45125.0</v>
      </c>
      <c r="I25" s="262"/>
      <c r="J25" s="214">
        <v>45174.0</v>
      </c>
      <c r="K25" s="200" t="s">
        <v>2956</v>
      </c>
      <c r="L25" s="214">
        <v>45149.0</v>
      </c>
      <c r="M25" s="262"/>
      <c r="N25" s="214">
        <v>45125.0</v>
      </c>
      <c r="O25" s="262"/>
      <c r="P25" s="565">
        <v>3.0</v>
      </c>
      <c r="Q25" s="565">
        <v>24.0</v>
      </c>
      <c r="R25" s="566" t="s">
        <v>52</v>
      </c>
      <c r="S25" s="435"/>
      <c r="T25" s="475"/>
      <c r="U25" s="17"/>
      <c r="V25" s="475"/>
      <c r="W25" s="14"/>
      <c r="X25" s="14"/>
      <c r="Y25" s="14"/>
      <c r="Z25" s="14"/>
      <c r="AA25" s="14"/>
      <c r="AB25" s="3"/>
      <c r="AC25" s="3"/>
    </row>
    <row r="26">
      <c r="A26" s="203" t="s">
        <v>75</v>
      </c>
      <c r="B26" s="203" t="s">
        <v>1640</v>
      </c>
      <c r="C26" s="214">
        <v>45070.0</v>
      </c>
      <c r="D26" s="547" t="s">
        <v>2959</v>
      </c>
      <c r="E26" s="214">
        <v>45182.0</v>
      </c>
      <c r="F26" s="214">
        <v>45096.0</v>
      </c>
      <c r="G26" s="262"/>
      <c r="H26" s="214">
        <v>45096.0</v>
      </c>
      <c r="I26" s="262"/>
      <c r="J26" s="214">
        <v>45175.0</v>
      </c>
      <c r="K26" s="262"/>
      <c r="L26" s="203" t="s">
        <v>1109</v>
      </c>
      <c r="M26" s="262"/>
      <c r="N26" s="214">
        <v>45096.0</v>
      </c>
      <c r="O26" s="262"/>
      <c r="P26" s="565">
        <v>4.0</v>
      </c>
      <c r="Q26" s="565">
        <v>30.0</v>
      </c>
      <c r="R26" s="566" t="s">
        <v>29</v>
      </c>
      <c r="S26" s="435"/>
      <c r="T26" s="475"/>
      <c r="U26" s="17"/>
      <c r="V26" s="475"/>
      <c r="W26" s="14"/>
      <c r="X26" s="14"/>
      <c r="Y26" s="14"/>
      <c r="Z26" s="14"/>
      <c r="AA26" s="14"/>
      <c r="AB26" s="3"/>
      <c r="AC26" s="3"/>
    </row>
    <row r="27">
      <c r="A27" s="203" t="s">
        <v>53</v>
      </c>
      <c r="B27" s="203" t="s">
        <v>1578</v>
      </c>
      <c r="C27" s="250">
        <v>45005.0</v>
      </c>
      <c r="D27" s="564"/>
      <c r="E27" s="250">
        <v>45005.0</v>
      </c>
      <c r="F27" s="250">
        <v>45005.0</v>
      </c>
      <c r="G27" s="262"/>
      <c r="H27" s="214">
        <v>45089.0</v>
      </c>
      <c r="I27" s="547" t="s">
        <v>2962</v>
      </c>
      <c r="J27" s="214">
        <v>45177.0</v>
      </c>
      <c r="K27" s="262"/>
      <c r="L27" s="203" t="s">
        <v>1109</v>
      </c>
      <c r="M27" s="214"/>
      <c r="N27" s="214">
        <v>45089.0</v>
      </c>
      <c r="O27" s="547" t="s">
        <v>2963</v>
      </c>
      <c r="P27" s="565">
        <v>1.0</v>
      </c>
      <c r="Q27" s="565">
        <v>8.0</v>
      </c>
      <c r="R27" s="566" t="s">
        <v>23</v>
      </c>
      <c r="S27" s="435"/>
      <c r="T27" s="475"/>
      <c r="U27" s="17"/>
      <c r="V27" s="475"/>
      <c r="W27" s="17"/>
      <c r="X27" s="14"/>
      <c r="Y27" s="14"/>
      <c r="Z27" s="14"/>
      <c r="AA27" s="14"/>
      <c r="AB27" s="3"/>
      <c r="AC27" s="3"/>
    </row>
    <row r="28">
      <c r="A28" s="203" t="s">
        <v>57</v>
      </c>
      <c r="B28" s="203" t="s">
        <v>1578</v>
      </c>
      <c r="C28" s="214">
        <v>45005.0</v>
      </c>
      <c r="D28" s="577" t="s">
        <v>2966</v>
      </c>
      <c r="E28" s="214">
        <v>45005.0</v>
      </c>
      <c r="F28" s="214">
        <v>45005.0</v>
      </c>
      <c r="G28" s="262"/>
      <c r="H28" s="214">
        <v>45089.0</v>
      </c>
      <c r="I28" s="262"/>
      <c r="J28" s="214">
        <v>45177.0</v>
      </c>
      <c r="K28" s="262"/>
      <c r="L28" s="203" t="s">
        <v>1109</v>
      </c>
      <c r="M28" s="262"/>
      <c r="N28" s="214">
        <v>45089.0</v>
      </c>
      <c r="O28" s="262"/>
      <c r="P28" s="565">
        <v>3.0</v>
      </c>
      <c r="Q28" s="565">
        <v>19.0</v>
      </c>
      <c r="R28" s="566" t="s">
        <v>29</v>
      </c>
      <c r="S28" s="435"/>
      <c r="T28" s="95"/>
      <c r="U28" s="435"/>
      <c r="V28" s="95"/>
      <c r="W28" s="14"/>
      <c r="X28" s="14"/>
      <c r="Y28" s="14"/>
      <c r="Z28" s="14"/>
      <c r="AA28" s="17"/>
      <c r="AB28" s="3"/>
      <c r="AC28" s="3"/>
    </row>
    <row r="29">
      <c r="A29" s="203" t="s">
        <v>82</v>
      </c>
      <c r="B29" s="203" t="s">
        <v>1640</v>
      </c>
      <c r="C29" s="214">
        <v>45040.0</v>
      </c>
      <c r="D29" s="564"/>
      <c r="E29" s="411" t="s">
        <v>1879</v>
      </c>
      <c r="F29" s="214">
        <v>45100.0</v>
      </c>
      <c r="G29" s="203" t="s">
        <v>2968</v>
      </c>
      <c r="H29" s="214">
        <v>45100.0</v>
      </c>
      <c r="I29" s="262"/>
      <c r="J29" s="214">
        <v>45181.0</v>
      </c>
      <c r="K29" s="200" t="s">
        <v>2970</v>
      </c>
      <c r="L29" s="214">
        <v>45121.0</v>
      </c>
      <c r="M29" s="214"/>
      <c r="N29" s="214">
        <v>45100.0</v>
      </c>
      <c r="O29" s="203" t="s">
        <v>2968</v>
      </c>
      <c r="P29" s="565">
        <v>2.0</v>
      </c>
      <c r="Q29" s="565">
        <v>13.0</v>
      </c>
      <c r="R29" s="578"/>
      <c r="S29" s="435"/>
      <c r="T29" s="515"/>
      <c r="U29" s="567"/>
      <c r="V29" s="515"/>
      <c r="W29" s="14"/>
      <c r="X29" s="14"/>
      <c r="Y29" s="14"/>
      <c r="Z29" s="14"/>
      <c r="AA29" s="14"/>
      <c r="AB29" s="3"/>
      <c r="AC29" s="3"/>
    </row>
    <row r="30">
      <c r="A30" s="203" t="s">
        <v>85</v>
      </c>
      <c r="B30" s="203" t="s">
        <v>1640</v>
      </c>
      <c r="C30" s="214">
        <v>45138.0</v>
      </c>
      <c r="D30" s="564"/>
      <c r="E30" s="411" t="s">
        <v>1925</v>
      </c>
      <c r="F30" s="214">
        <v>45145.0</v>
      </c>
      <c r="G30" s="262"/>
      <c r="H30" s="214">
        <v>45152.0</v>
      </c>
      <c r="I30" s="262"/>
      <c r="J30" s="214">
        <v>45189.0</v>
      </c>
      <c r="K30" s="262"/>
      <c r="L30" s="203" t="s">
        <v>1109</v>
      </c>
      <c r="M30" s="572" t="s">
        <v>2896</v>
      </c>
      <c r="N30" s="214">
        <v>45145.0</v>
      </c>
      <c r="O30" s="262"/>
      <c r="P30" s="565">
        <v>3.0</v>
      </c>
      <c r="Q30" s="565">
        <v>24.0</v>
      </c>
      <c r="R30" s="566" t="s">
        <v>23</v>
      </c>
      <c r="S30" s="435"/>
      <c r="T30" s="95"/>
      <c r="U30" s="17"/>
      <c r="V30" s="95"/>
      <c r="W30" s="14"/>
      <c r="X30" s="14"/>
      <c r="Y30" s="14"/>
      <c r="Z30" s="14"/>
      <c r="AA30" s="14"/>
      <c r="AB30" s="3"/>
      <c r="AC30" s="3"/>
    </row>
    <row r="31">
      <c r="A31" s="203" t="s">
        <v>88</v>
      </c>
      <c r="B31" s="203" t="s">
        <v>1640</v>
      </c>
      <c r="C31" s="214">
        <v>45093.0</v>
      </c>
      <c r="D31" s="455" t="s">
        <v>2975</v>
      </c>
      <c r="E31" s="214">
        <v>45131.0</v>
      </c>
      <c r="F31" s="214">
        <v>45131.0</v>
      </c>
      <c r="G31" s="262"/>
      <c r="H31" s="214">
        <v>45131.0</v>
      </c>
      <c r="I31" s="262"/>
      <c r="J31" s="214">
        <v>45190.0</v>
      </c>
      <c r="K31" s="262"/>
      <c r="L31" s="203" t="s">
        <v>1109</v>
      </c>
      <c r="M31" s="262"/>
      <c r="N31" s="214">
        <v>45131.0</v>
      </c>
      <c r="O31" s="262"/>
      <c r="P31" s="565">
        <v>3.0</v>
      </c>
      <c r="Q31" s="565">
        <v>25.0</v>
      </c>
      <c r="R31" s="566" t="s">
        <v>29</v>
      </c>
      <c r="S31" s="435"/>
      <c r="T31" s="95"/>
      <c r="U31" s="17"/>
      <c r="V31" s="95"/>
      <c r="W31" s="14"/>
      <c r="X31" s="14"/>
      <c r="Y31" s="14"/>
      <c r="Z31" s="14"/>
      <c r="AA31" s="14"/>
      <c r="AB31" s="3"/>
      <c r="AC31" s="3"/>
    </row>
    <row r="32">
      <c r="A32" s="203" t="s">
        <v>91</v>
      </c>
      <c r="B32" s="203" t="s">
        <v>1640</v>
      </c>
      <c r="C32" s="214">
        <v>45117.0</v>
      </c>
      <c r="D32" s="241" t="s">
        <v>2979</v>
      </c>
      <c r="E32" s="214">
        <v>45131.0</v>
      </c>
      <c r="F32" s="214">
        <v>45131.0</v>
      </c>
      <c r="G32" s="262"/>
      <c r="H32" s="214">
        <v>45131.0</v>
      </c>
      <c r="I32" s="262"/>
      <c r="J32" s="214">
        <v>45190.0</v>
      </c>
      <c r="K32" s="262"/>
      <c r="L32" s="203" t="s">
        <v>1109</v>
      </c>
      <c r="M32" s="262"/>
      <c r="N32" s="214">
        <v>45131.0</v>
      </c>
      <c r="O32" s="262"/>
      <c r="P32" s="565">
        <v>3.0</v>
      </c>
      <c r="Q32" s="565">
        <v>25.0</v>
      </c>
      <c r="R32" s="566" t="s">
        <v>23</v>
      </c>
      <c r="S32" s="435"/>
      <c r="T32" s="95"/>
      <c r="U32" s="17"/>
      <c r="V32" s="95"/>
      <c r="W32" s="14"/>
      <c r="X32" s="14"/>
      <c r="Y32" s="14"/>
      <c r="Z32" s="14"/>
      <c r="AA32" s="14"/>
      <c r="AB32" s="3"/>
      <c r="AC32" s="3"/>
    </row>
    <row r="33">
      <c r="A33" s="203" t="s">
        <v>93</v>
      </c>
      <c r="B33" s="203" t="s">
        <v>1578</v>
      </c>
      <c r="C33" s="214">
        <v>45097.0</v>
      </c>
      <c r="D33" s="241" t="s">
        <v>2984</v>
      </c>
      <c r="E33" s="411" t="s">
        <v>1925</v>
      </c>
      <c r="F33" s="214">
        <v>45138.0</v>
      </c>
      <c r="G33" s="262"/>
      <c r="H33" s="214">
        <v>45138.0</v>
      </c>
      <c r="I33" s="262"/>
      <c r="J33" s="214">
        <v>45191.0</v>
      </c>
      <c r="K33" s="262"/>
      <c r="L33" s="203" t="s">
        <v>1109</v>
      </c>
      <c r="M33" s="572" t="s">
        <v>2896</v>
      </c>
      <c r="N33" s="214">
        <v>45138.0</v>
      </c>
      <c r="O33" s="262"/>
      <c r="P33" s="565">
        <v>5.0</v>
      </c>
      <c r="Q33" s="565">
        <v>47.0</v>
      </c>
      <c r="R33" s="566" t="s">
        <v>23</v>
      </c>
      <c r="S33" s="435"/>
      <c r="T33" s="95"/>
      <c r="U33" s="17"/>
      <c r="V33" s="95"/>
      <c r="W33" s="14"/>
      <c r="X33" s="14"/>
      <c r="Y33" s="14"/>
      <c r="Z33" s="14"/>
      <c r="AA33" s="14"/>
      <c r="AB33" s="3"/>
      <c r="AC33" s="3"/>
    </row>
    <row r="34">
      <c r="A34" s="203" t="s">
        <v>81</v>
      </c>
      <c r="B34" s="203" t="s">
        <v>1578</v>
      </c>
      <c r="C34" s="214">
        <v>45140.0</v>
      </c>
      <c r="D34" s="241" t="s">
        <v>2987</v>
      </c>
      <c r="E34" s="411" t="s">
        <v>1925</v>
      </c>
      <c r="F34" s="214">
        <v>45149.0</v>
      </c>
      <c r="G34" s="262"/>
      <c r="H34" s="214">
        <v>45147.0</v>
      </c>
      <c r="I34" s="262"/>
      <c r="J34" s="214">
        <v>45191.0</v>
      </c>
      <c r="K34" s="262"/>
      <c r="L34" s="203" t="s">
        <v>1109</v>
      </c>
      <c r="M34" s="262"/>
      <c r="N34" s="214">
        <v>45149.0</v>
      </c>
      <c r="O34" s="262"/>
      <c r="P34" s="565">
        <v>3.0</v>
      </c>
      <c r="Q34" s="565">
        <v>27.0</v>
      </c>
      <c r="R34" s="566" t="s">
        <v>23</v>
      </c>
      <c r="S34" s="435"/>
      <c r="T34" s="95"/>
      <c r="U34" s="14"/>
      <c r="V34" s="95"/>
      <c r="W34" s="14"/>
      <c r="X34" s="14"/>
      <c r="Y34" s="14"/>
      <c r="Z34" s="14"/>
      <c r="AA34" s="14"/>
      <c r="AB34" s="3"/>
      <c r="AC34" s="3"/>
    </row>
    <row r="35">
      <c r="A35" s="203" t="s">
        <v>96</v>
      </c>
      <c r="B35" s="203" t="s">
        <v>1578</v>
      </c>
      <c r="C35" s="214">
        <v>45194.0</v>
      </c>
      <c r="D35" s="241" t="s">
        <v>2991</v>
      </c>
      <c r="E35" s="214">
        <v>45380.0</v>
      </c>
      <c r="F35" s="214">
        <v>45203.0</v>
      </c>
      <c r="G35" s="262"/>
      <c r="H35" s="214">
        <v>45194.0</v>
      </c>
      <c r="I35" s="262"/>
      <c r="J35" s="214">
        <v>45196.0</v>
      </c>
      <c r="K35" s="262"/>
      <c r="L35" s="203" t="s">
        <v>1109</v>
      </c>
      <c r="M35" s="200" t="s">
        <v>2993</v>
      </c>
      <c r="N35" s="214">
        <v>45203.0</v>
      </c>
      <c r="O35" s="262"/>
      <c r="P35" s="565">
        <v>6.0</v>
      </c>
      <c r="Q35" s="565">
        <v>55.0</v>
      </c>
      <c r="R35" s="566" t="s">
        <v>23</v>
      </c>
      <c r="S35" s="435"/>
      <c r="T35" s="95"/>
      <c r="U35" s="435"/>
      <c r="V35" s="95"/>
      <c r="W35" s="14"/>
      <c r="X35" s="14"/>
      <c r="Y35" s="14"/>
      <c r="Z35" s="14"/>
      <c r="AA35" s="14"/>
      <c r="AB35" s="3"/>
      <c r="AC35" s="3"/>
    </row>
    <row r="36">
      <c r="A36" s="203" t="s">
        <v>46</v>
      </c>
      <c r="B36" s="203" t="s">
        <v>1578</v>
      </c>
      <c r="C36" s="214">
        <v>44974.0</v>
      </c>
      <c r="D36" s="564"/>
      <c r="E36" s="411" t="s">
        <v>1879</v>
      </c>
      <c r="F36" s="214">
        <v>45050.0</v>
      </c>
      <c r="G36" s="203" t="s">
        <v>2995</v>
      </c>
      <c r="H36" s="214">
        <v>45050.0</v>
      </c>
      <c r="I36" s="262"/>
      <c r="J36" s="214">
        <v>45198.0</v>
      </c>
      <c r="K36" s="547" t="s">
        <v>2997</v>
      </c>
      <c r="L36" s="203" t="s">
        <v>1109</v>
      </c>
      <c r="M36" s="200"/>
      <c r="N36" s="214">
        <v>45050.0</v>
      </c>
      <c r="O36" s="203" t="s">
        <v>2995</v>
      </c>
      <c r="P36" s="565">
        <v>1.0</v>
      </c>
      <c r="Q36" s="565">
        <v>2.0</v>
      </c>
      <c r="R36" s="568" t="s">
        <v>68</v>
      </c>
      <c r="S36" s="435"/>
      <c r="T36" s="579"/>
      <c r="U36" s="567"/>
      <c r="V36" s="45"/>
      <c r="W36" s="14"/>
      <c r="X36" s="14"/>
      <c r="Y36" s="14"/>
      <c r="Z36" s="14"/>
      <c r="AA36" s="14"/>
      <c r="AB36" s="3"/>
      <c r="AC36" s="3"/>
    </row>
    <row r="37">
      <c r="A37" s="203" t="s">
        <v>69</v>
      </c>
      <c r="B37" s="203" t="s">
        <v>1640</v>
      </c>
      <c r="C37" s="214">
        <v>45030.0</v>
      </c>
      <c r="D37" s="580" t="s">
        <v>3003</v>
      </c>
      <c r="E37" s="411" t="s">
        <v>1879</v>
      </c>
      <c r="F37" s="214">
        <v>45036.0</v>
      </c>
      <c r="G37" s="262"/>
      <c r="H37" s="214">
        <v>45056.0</v>
      </c>
      <c r="I37" s="212" t="s">
        <v>3005</v>
      </c>
      <c r="J37" s="214">
        <v>45201.0</v>
      </c>
      <c r="K37" s="200" t="s">
        <v>3006</v>
      </c>
      <c r="L37" s="203" t="s">
        <v>1109</v>
      </c>
      <c r="M37" s="200" t="s">
        <v>3007</v>
      </c>
      <c r="N37" s="214">
        <v>45036.0</v>
      </c>
      <c r="O37" s="262"/>
      <c r="P37" s="565">
        <v>2.0</v>
      </c>
      <c r="Q37" s="565">
        <v>15.0</v>
      </c>
      <c r="R37" s="41"/>
      <c r="S37" s="435"/>
      <c r="T37" s="95"/>
      <c r="U37" s="17"/>
      <c r="V37" s="95"/>
      <c r="W37" s="17"/>
      <c r="X37" s="14"/>
      <c r="Y37" s="14"/>
      <c r="Z37" s="14"/>
      <c r="AA37" s="14"/>
      <c r="AB37" s="3"/>
      <c r="AC37" s="3"/>
    </row>
    <row r="38">
      <c r="A38" s="203" t="s">
        <v>90</v>
      </c>
      <c r="B38" s="203" t="s">
        <v>1578</v>
      </c>
      <c r="C38" s="214">
        <v>45140.0</v>
      </c>
      <c r="D38" s="241" t="s">
        <v>2987</v>
      </c>
      <c r="E38" s="214">
        <v>45205.0</v>
      </c>
      <c r="F38" s="214">
        <v>45140.0</v>
      </c>
      <c r="G38" s="262"/>
      <c r="H38" s="214">
        <v>45161.0</v>
      </c>
      <c r="I38" s="262"/>
      <c r="J38" s="214">
        <v>45203.0</v>
      </c>
      <c r="K38" s="262"/>
      <c r="L38" s="203" t="s">
        <v>1109</v>
      </c>
      <c r="M38" s="262"/>
      <c r="N38" s="214">
        <v>45161.0</v>
      </c>
      <c r="O38" s="262"/>
      <c r="P38" s="565">
        <v>3.0</v>
      </c>
      <c r="Q38" s="565">
        <v>22.0</v>
      </c>
      <c r="R38" s="566" t="s">
        <v>23</v>
      </c>
      <c r="S38" s="435"/>
      <c r="T38" s="95"/>
      <c r="U38" s="435"/>
      <c r="V38" s="95"/>
      <c r="W38" s="14"/>
      <c r="X38" s="14"/>
      <c r="Y38" s="14"/>
      <c r="Z38" s="14"/>
      <c r="AA38" s="14"/>
      <c r="AB38" s="3"/>
      <c r="AC38" s="3"/>
    </row>
    <row r="39">
      <c r="A39" s="203" t="s">
        <v>87</v>
      </c>
      <c r="B39" s="203" t="s">
        <v>1578</v>
      </c>
      <c r="C39" s="214">
        <v>45147.0</v>
      </c>
      <c r="D39" s="564"/>
      <c r="E39" s="214">
        <v>45190.0</v>
      </c>
      <c r="F39" s="214">
        <v>45147.0</v>
      </c>
      <c r="G39" s="262"/>
      <c r="H39" s="214">
        <v>45147.0</v>
      </c>
      <c r="I39" s="262"/>
      <c r="J39" s="214">
        <v>45204.0</v>
      </c>
      <c r="K39" s="262"/>
      <c r="L39" s="214">
        <v>45190.0</v>
      </c>
      <c r="M39" s="262"/>
      <c r="N39" s="214">
        <v>45147.0</v>
      </c>
      <c r="O39" s="262"/>
      <c r="P39" s="565">
        <v>2.0</v>
      </c>
      <c r="Q39" s="565">
        <v>14.0</v>
      </c>
      <c r="R39" s="566" t="s">
        <v>23</v>
      </c>
      <c r="S39" s="435"/>
      <c r="T39" s="95"/>
      <c r="U39" s="17"/>
      <c r="V39" s="95"/>
      <c r="W39" s="14"/>
      <c r="X39" s="14"/>
      <c r="Y39" s="14"/>
      <c r="Z39" s="14"/>
      <c r="AA39" s="14"/>
      <c r="AB39" s="3"/>
      <c r="AC39" s="3"/>
    </row>
    <row r="40">
      <c r="A40" s="203" t="s">
        <v>114</v>
      </c>
      <c r="B40" s="203" t="s">
        <v>1578</v>
      </c>
      <c r="C40" s="214">
        <v>45205.0</v>
      </c>
      <c r="D40" s="241" t="s">
        <v>1675</v>
      </c>
      <c r="E40" s="411" t="s">
        <v>3015</v>
      </c>
      <c r="F40" s="214">
        <v>45205.0</v>
      </c>
      <c r="G40" s="262"/>
      <c r="H40" s="214">
        <v>45205.0</v>
      </c>
      <c r="I40" s="262"/>
      <c r="J40" s="202">
        <v>45209.0</v>
      </c>
      <c r="K40" s="262"/>
      <c r="L40" s="203" t="s">
        <v>1109</v>
      </c>
      <c r="M40" s="203"/>
      <c r="N40" s="214">
        <v>45205.0</v>
      </c>
      <c r="O40" s="262"/>
      <c r="P40" s="565">
        <v>4.0</v>
      </c>
      <c r="Q40" s="565">
        <v>31.0</v>
      </c>
      <c r="R40" s="566" t="s">
        <v>29</v>
      </c>
      <c r="S40" s="435"/>
      <c r="T40" s="95"/>
      <c r="U40" s="435"/>
      <c r="V40" s="95"/>
      <c r="W40" s="14"/>
      <c r="X40" s="14"/>
      <c r="Y40" s="14"/>
      <c r="Z40" s="14"/>
      <c r="AA40" s="14"/>
      <c r="AB40" s="3"/>
      <c r="AC40" s="3"/>
    </row>
    <row r="41">
      <c r="A41" s="203" t="s">
        <v>116</v>
      </c>
      <c r="B41" s="203" t="s">
        <v>1578</v>
      </c>
      <c r="C41" s="214">
        <v>45166.0</v>
      </c>
      <c r="D41" s="564"/>
      <c r="E41" s="411" t="s">
        <v>1925</v>
      </c>
      <c r="F41" s="214">
        <v>45166.0</v>
      </c>
      <c r="G41" s="262"/>
      <c r="H41" s="214">
        <v>45166.0</v>
      </c>
      <c r="I41" s="262"/>
      <c r="J41" s="202">
        <v>45211.0</v>
      </c>
      <c r="K41" s="262"/>
      <c r="L41" s="203" t="s">
        <v>1109</v>
      </c>
      <c r="M41" s="262"/>
      <c r="N41" s="214">
        <v>45166.0</v>
      </c>
      <c r="O41" s="262"/>
      <c r="P41" s="565">
        <v>3.0</v>
      </c>
      <c r="Q41" s="565">
        <v>20.0</v>
      </c>
      <c r="R41" s="581"/>
      <c r="S41" s="39"/>
      <c r="T41" s="95"/>
      <c r="U41" s="435"/>
      <c r="V41" s="95"/>
      <c r="W41" s="14"/>
      <c r="X41" s="14"/>
      <c r="Y41" s="14"/>
      <c r="Z41" s="14"/>
      <c r="AA41" s="14"/>
      <c r="AB41" s="3"/>
      <c r="AC41" s="3"/>
    </row>
    <row r="42">
      <c r="A42" s="203" t="s">
        <v>120</v>
      </c>
      <c r="B42" s="203" t="s">
        <v>1640</v>
      </c>
      <c r="C42" s="214">
        <v>45142.0</v>
      </c>
      <c r="D42" s="564"/>
      <c r="E42" s="214">
        <v>45211.0</v>
      </c>
      <c r="F42" s="214">
        <v>45211.0</v>
      </c>
      <c r="G42" s="253"/>
      <c r="H42" s="214">
        <v>45211.0</v>
      </c>
      <c r="I42" s="262"/>
      <c r="J42" s="202">
        <v>45216.0</v>
      </c>
      <c r="K42" s="262"/>
      <c r="L42" s="203" t="s">
        <v>1109</v>
      </c>
      <c r="M42" s="262"/>
      <c r="N42" s="214">
        <v>45211.0</v>
      </c>
      <c r="O42" s="262"/>
      <c r="P42" s="565">
        <v>3.0</v>
      </c>
      <c r="Q42" s="565">
        <v>22.0</v>
      </c>
      <c r="R42" s="566" t="s">
        <v>29</v>
      </c>
      <c r="S42" s="435"/>
      <c r="T42" s="95"/>
      <c r="U42" s="567"/>
      <c r="V42" s="95"/>
      <c r="W42" s="14"/>
      <c r="X42" s="14"/>
      <c r="Y42" s="17"/>
      <c r="Z42" s="14"/>
      <c r="AA42" s="17"/>
      <c r="AB42" s="3"/>
      <c r="AC42" s="3"/>
    </row>
    <row r="43">
      <c r="A43" s="203" t="s">
        <v>126</v>
      </c>
      <c r="B43" s="203" t="s">
        <v>3025</v>
      </c>
      <c r="C43" s="214">
        <v>45119.0</v>
      </c>
      <c r="D43" s="564"/>
      <c r="E43" s="411" t="s">
        <v>1925</v>
      </c>
      <c r="F43" s="214">
        <v>45148.0</v>
      </c>
      <c r="G43" s="262"/>
      <c r="H43" s="214">
        <v>45152.0</v>
      </c>
      <c r="I43" s="262"/>
      <c r="J43" s="214">
        <v>45224.0</v>
      </c>
      <c r="K43" s="262"/>
      <c r="L43" s="202">
        <v>45219.0</v>
      </c>
      <c r="M43" s="262"/>
      <c r="N43" s="214">
        <v>45148.0</v>
      </c>
      <c r="O43" s="262"/>
      <c r="P43" s="565">
        <v>2.0</v>
      </c>
      <c r="Q43" s="565">
        <v>12.0</v>
      </c>
      <c r="R43" s="566" t="s">
        <v>29</v>
      </c>
      <c r="S43" s="435"/>
      <c r="T43" s="475"/>
      <c r="U43" s="435"/>
      <c r="V43" s="475"/>
      <c r="W43" s="14"/>
      <c r="X43" s="14"/>
      <c r="Y43" s="14"/>
      <c r="Z43" s="14"/>
      <c r="AA43" s="14"/>
      <c r="AB43" s="3"/>
      <c r="AC43" s="3"/>
    </row>
    <row r="44">
      <c r="A44" s="203" t="s">
        <v>127</v>
      </c>
      <c r="B44" s="203" t="s">
        <v>1578</v>
      </c>
      <c r="C44" s="214">
        <v>45196.0</v>
      </c>
      <c r="D44" s="564"/>
      <c r="E44" s="411" t="s">
        <v>3028</v>
      </c>
      <c r="F44" s="214">
        <v>45196.0</v>
      </c>
      <c r="G44" s="262"/>
      <c r="H44" s="214">
        <v>45196.0</v>
      </c>
      <c r="I44" s="262"/>
      <c r="J44" s="214">
        <v>45236.0</v>
      </c>
      <c r="K44" s="262"/>
      <c r="L44" s="203" t="s">
        <v>1109</v>
      </c>
      <c r="M44" s="262"/>
      <c r="N44" s="214">
        <v>45238.0</v>
      </c>
      <c r="O44" s="262"/>
      <c r="P44" s="565">
        <v>4.0</v>
      </c>
      <c r="Q44" s="565">
        <v>29.0</v>
      </c>
      <c r="R44" s="566" t="s">
        <v>29</v>
      </c>
      <c r="S44" s="435"/>
      <c r="T44" s="95"/>
      <c r="U44" s="435"/>
      <c r="V44" s="95"/>
      <c r="W44" s="14"/>
      <c r="X44" s="14"/>
      <c r="Y44" s="14"/>
      <c r="Z44" s="14"/>
      <c r="AA44" s="14"/>
      <c r="AB44" s="3"/>
      <c r="AC44" s="3"/>
    </row>
    <row r="45">
      <c r="A45" s="203" t="s">
        <v>84</v>
      </c>
      <c r="B45" s="203" t="s">
        <v>1578</v>
      </c>
      <c r="C45" s="214">
        <v>45160.0</v>
      </c>
      <c r="D45" s="241" t="s">
        <v>3031</v>
      </c>
      <c r="E45" s="411" t="s">
        <v>1925</v>
      </c>
      <c r="F45" s="214">
        <v>45163.0</v>
      </c>
      <c r="G45" s="262"/>
      <c r="H45" s="214">
        <v>45163.0</v>
      </c>
      <c r="I45" s="262"/>
      <c r="J45" s="202">
        <v>45258.0</v>
      </c>
      <c r="K45" s="262"/>
      <c r="L45" s="203" t="s">
        <v>1109</v>
      </c>
      <c r="M45" s="262"/>
      <c r="N45" s="214">
        <v>45163.0</v>
      </c>
      <c r="O45" s="262"/>
      <c r="P45" s="565">
        <v>2.0</v>
      </c>
      <c r="Q45" s="565">
        <v>10.0</v>
      </c>
      <c r="R45" s="566" t="s">
        <v>29</v>
      </c>
      <c r="S45" s="39"/>
      <c r="T45" s="95"/>
      <c r="U45" s="435"/>
      <c r="V45" s="95"/>
      <c r="W45" s="14"/>
      <c r="X45" s="14"/>
      <c r="Y45" s="14"/>
      <c r="Z45" s="14"/>
      <c r="AA45" s="14"/>
      <c r="AB45" s="3"/>
      <c r="AC45" s="3"/>
    </row>
    <row r="46">
      <c r="A46" s="203" t="s">
        <v>89</v>
      </c>
      <c r="B46" s="203" t="s">
        <v>1578</v>
      </c>
      <c r="C46" s="214">
        <v>45139.0</v>
      </c>
      <c r="D46" s="241" t="s">
        <v>3034</v>
      </c>
      <c r="E46" s="214">
        <v>45352.0</v>
      </c>
      <c r="F46" s="214">
        <v>45139.0</v>
      </c>
      <c r="G46" s="262"/>
      <c r="H46" s="214">
        <v>45139.0</v>
      </c>
      <c r="I46" s="262"/>
      <c r="J46" s="202">
        <v>45260.0</v>
      </c>
      <c r="K46" s="262"/>
      <c r="L46" s="203" t="s">
        <v>1769</v>
      </c>
      <c r="M46" s="262"/>
      <c r="N46" s="214">
        <v>45139.0</v>
      </c>
      <c r="O46" s="262"/>
      <c r="P46" s="565">
        <v>2.0</v>
      </c>
      <c r="Q46" s="565">
        <v>14.0</v>
      </c>
      <c r="R46" s="566" t="s">
        <v>16</v>
      </c>
      <c r="S46" s="435"/>
      <c r="T46" s="475"/>
      <c r="U46" s="435"/>
      <c r="V46" s="475"/>
      <c r="W46" s="14"/>
      <c r="X46" s="14"/>
      <c r="Y46" s="14"/>
      <c r="Z46" s="14"/>
      <c r="AA46" s="14"/>
      <c r="AB46" s="3"/>
      <c r="AC46" s="3"/>
    </row>
    <row r="47" ht="23.25" customHeight="1">
      <c r="A47" s="203" t="s">
        <v>133</v>
      </c>
      <c r="B47" s="203" t="s">
        <v>1578</v>
      </c>
      <c r="C47" s="202">
        <v>45219.0</v>
      </c>
      <c r="D47" s="241" t="s">
        <v>1675</v>
      </c>
      <c r="E47" s="411" t="s">
        <v>3037</v>
      </c>
      <c r="F47" s="202">
        <v>45219.0</v>
      </c>
      <c r="G47" s="262"/>
      <c r="H47" s="202">
        <v>45219.0</v>
      </c>
      <c r="I47" s="262"/>
      <c r="J47" s="214">
        <v>45264.0</v>
      </c>
      <c r="K47" s="253"/>
      <c r="L47" s="202">
        <v>45226.0</v>
      </c>
      <c r="M47" s="262"/>
      <c r="N47" s="202">
        <v>45219.0</v>
      </c>
      <c r="O47" s="262"/>
      <c r="P47" s="565">
        <v>6.0</v>
      </c>
      <c r="Q47" s="565">
        <v>57.0</v>
      </c>
      <c r="R47" s="566" t="s">
        <v>16</v>
      </c>
      <c r="S47" s="39"/>
      <c r="T47" s="45"/>
      <c r="U47" s="39"/>
      <c r="V47" s="45"/>
      <c r="W47" s="14"/>
      <c r="X47" s="14"/>
      <c r="Y47" s="14"/>
      <c r="Z47" s="14"/>
      <c r="AA47" s="14"/>
      <c r="AB47" s="3"/>
      <c r="AC47" s="3"/>
    </row>
    <row r="48">
      <c r="A48" s="203" t="s">
        <v>135</v>
      </c>
      <c r="B48" s="203" t="s">
        <v>1578</v>
      </c>
      <c r="C48" s="214">
        <v>45195.0</v>
      </c>
      <c r="D48" s="241" t="s">
        <v>3040</v>
      </c>
      <c r="E48" s="411" t="s">
        <v>3041</v>
      </c>
      <c r="F48" s="214">
        <v>45195.0</v>
      </c>
      <c r="G48" s="262"/>
      <c r="H48" s="202">
        <v>45209.0</v>
      </c>
      <c r="I48" s="262"/>
      <c r="J48" s="202">
        <v>45266.0</v>
      </c>
      <c r="K48" s="262"/>
      <c r="L48" s="203" t="s">
        <v>1109</v>
      </c>
      <c r="M48" s="203"/>
      <c r="N48" s="202">
        <v>45209.0</v>
      </c>
      <c r="O48" s="262"/>
      <c r="P48" s="565">
        <v>4.0</v>
      </c>
      <c r="Q48" s="565">
        <v>29.0</v>
      </c>
      <c r="R48" s="566" t="s">
        <v>23</v>
      </c>
      <c r="S48" s="435"/>
      <c r="T48" s="95"/>
      <c r="U48" s="435"/>
      <c r="V48" s="95"/>
      <c r="W48" s="14"/>
      <c r="X48" s="14"/>
      <c r="Y48" s="14"/>
      <c r="Z48" s="14"/>
      <c r="AA48" s="14"/>
      <c r="AB48" s="3"/>
      <c r="AC48" s="3"/>
    </row>
    <row r="49">
      <c r="A49" s="203" t="s">
        <v>138</v>
      </c>
      <c r="B49" s="203" t="s">
        <v>1578</v>
      </c>
      <c r="C49" s="214">
        <v>45265.0</v>
      </c>
      <c r="D49" s="564"/>
      <c r="E49" s="214">
        <v>45265.0</v>
      </c>
      <c r="F49" s="214">
        <v>45265.0</v>
      </c>
      <c r="G49" s="262"/>
      <c r="H49" s="214">
        <v>45265.0</v>
      </c>
      <c r="I49" s="262"/>
      <c r="J49" s="214">
        <v>45266.0</v>
      </c>
      <c r="K49" s="262"/>
      <c r="L49" s="202">
        <v>45274.0</v>
      </c>
      <c r="M49" s="262"/>
      <c r="N49" s="214">
        <v>45265.0</v>
      </c>
      <c r="O49" s="262"/>
      <c r="P49" s="565">
        <v>6.0</v>
      </c>
      <c r="Q49" s="565">
        <v>50.0</v>
      </c>
      <c r="R49" s="566" t="s">
        <v>29</v>
      </c>
      <c r="S49" s="39"/>
      <c r="T49" s="583"/>
      <c r="U49" s="14"/>
      <c r="V49" s="14"/>
      <c r="W49" s="14"/>
      <c r="X49" s="14"/>
      <c r="Y49" s="17"/>
      <c r="Z49" s="14"/>
      <c r="AA49" s="17"/>
      <c r="AB49" s="3"/>
      <c r="AC49" s="3"/>
    </row>
    <row r="50">
      <c r="A50" s="203" t="s">
        <v>141</v>
      </c>
      <c r="B50" s="203" t="s">
        <v>1578</v>
      </c>
      <c r="C50" s="214">
        <v>45202.0</v>
      </c>
      <c r="D50" s="241" t="s">
        <v>3046</v>
      </c>
      <c r="E50" s="411" t="s">
        <v>3047</v>
      </c>
      <c r="F50" s="202">
        <v>45210.0</v>
      </c>
      <c r="G50" s="262"/>
      <c r="H50" s="202">
        <v>45210.0</v>
      </c>
      <c r="I50" s="262"/>
      <c r="J50" s="202">
        <v>45268.0</v>
      </c>
      <c r="K50" s="262"/>
      <c r="L50" s="202">
        <v>45226.0</v>
      </c>
      <c r="M50" s="262"/>
      <c r="N50" s="202">
        <v>45210.0</v>
      </c>
      <c r="O50" s="262"/>
      <c r="P50" s="565">
        <v>4.0</v>
      </c>
      <c r="Q50" s="565">
        <v>36.0</v>
      </c>
      <c r="R50" s="51"/>
      <c r="S50" s="435"/>
      <c r="T50" s="515"/>
      <c r="U50" s="435"/>
      <c r="V50" s="515"/>
      <c r="W50" s="14"/>
      <c r="X50" s="14"/>
      <c r="Y50" s="14"/>
      <c r="Z50" s="14"/>
      <c r="AA50" s="14"/>
      <c r="AB50" s="3"/>
      <c r="AC50" s="3"/>
    </row>
    <row r="51" ht="20.25" customHeight="1">
      <c r="A51" s="203" t="s">
        <v>145</v>
      </c>
      <c r="B51" s="203" t="s">
        <v>1578</v>
      </c>
      <c r="C51" s="214">
        <v>45222.0</v>
      </c>
      <c r="D51" s="241" t="s">
        <v>3052</v>
      </c>
      <c r="E51" s="433" t="s">
        <v>3037</v>
      </c>
      <c r="F51" s="202">
        <v>45222.0</v>
      </c>
      <c r="G51" s="262"/>
      <c r="H51" s="202">
        <v>45222.0</v>
      </c>
      <c r="I51" s="262"/>
      <c r="J51" s="214">
        <v>45268.0</v>
      </c>
      <c r="K51" s="262"/>
      <c r="L51" s="203" t="s">
        <v>1109</v>
      </c>
      <c r="M51" s="200" t="s">
        <v>3054</v>
      </c>
      <c r="N51" s="202">
        <v>45222.0</v>
      </c>
      <c r="O51" s="262"/>
      <c r="P51" s="565">
        <v>6.0</v>
      </c>
      <c r="Q51" s="565">
        <v>57.0</v>
      </c>
      <c r="R51" s="51"/>
      <c r="S51" s="39"/>
      <c r="T51" s="95"/>
      <c r="U51" s="39"/>
      <c r="V51" s="95"/>
      <c r="W51" s="14"/>
      <c r="X51" s="14"/>
      <c r="Y51" s="17"/>
      <c r="Z51" s="14"/>
      <c r="AA51" s="17"/>
      <c r="AB51" s="3"/>
      <c r="AC51" s="3"/>
    </row>
    <row r="52" ht="21.75" customHeight="1">
      <c r="A52" s="203" t="s">
        <v>147</v>
      </c>
      <c r="B52" s="203" t="s">
        <v>1732</v>
      </c>
      <c r="C52" s="214">
        <v>45205.0</v>
      </c>
      <c r="D52" s="241" t="s">
        <v>3058</v>
      </c>
      <c r="E52" s="584"/>
      <c r="F52" s="214">
        <v>45205.0</v>
      </c>
      <c r="G52" s="262"/>
      <c r="H52" s="214">
        <v>45205.0</v>
      </c>
      <c r="I52" s="262"/>
      <c r="J52" s="214">
        <v>45278.0</v>
      </c>
      <c r="K52" s="262"/>
      <c r="L52" s="203" t="s">
        <v>1109</v>
      </c>
      <c r="M52" s="200" t="s">
        <v>3060</v>
      </c>
      <c r="N52" s="214">
        <v>45205.0</v>
      </c>
      <c r="O52" s="262"/>
      <c r="P52" s="565">
        <v>3.0</v>
      </c>
      <c r="Q52" s="565">
        <v>20.0</v>
      </c>
      <c r="R52" s="566" t="s">
        <v>29</v>
      </c>
      <c r="S52" s="435"/>
      <c r="T52" s="20"/>
      <c r="U52" s="435"/>
      <c r="V52" s="20"/>
      <c r="W52" s="14"/>
      <c r="X52" s="14"/>
      <c r="Y52" s="14"/>
      <c r="Z52" s="14"/>
      <c r="AA52" s="17"/>
      <c r="AB52" s="3"/>
      <c r="AC52" s="3"/>
    </row>
    <row r="53">
      <c r="A53" s="203" t="s">
        <v>151</v>
      </c>
      <c r="B53" s="203" t="s">
        <v>1578</v>
      </c>
      <c r="C53" s="214">
        <v>45237.0</v>
      </c>
      <c r="D53" s="241" t="s">
        <v>3062</v>
      </c>
      <c r="E53" s="214">
        <v>45237.0</v>
      </c>
      <c r="F53" s="214">
        <v>45237.0</v>
      </c>
      <c r="G53" s="262"/>
      <c r="H53" s="214">
        <v>45237.0</v>
      </c>
      <c r="I53" s="262"/>
      <c r="J53" s="202">
        <v>45280.0</v>
      </c>
      <c r="K53" s="262"/>
      <c r="L53" s="203" t="s">
        <v>1109</v>
      </c>
      <c r="M53" s="262"/>
      <c r="N53" s="214">
        <v>45237.0</v>
      </c>
      <c r="O53" s="262"/>
      <c r="P53" s="565">
        <v>5.0</v>
      </c>
      <c r="Q53" s="565">
        <v>39.0</v>
      </c>
      <c r="R53" s="566" t="s">
        <v>29</v>
      </c>
      <c r="S53" s="39"/>
      <c r="T53" s="95"/>
      <c r="U53" s="39"/>
      <c r="V53" s="95"/>
      <c r="W53" s="14"/>
      <c r="X53" s="14"/>
      <c r="Y53" s="17"/>
      <c r="Z53" s="14"/>
      <c r="AA53" s="17"/>
      <c r="AB53" s="3"/>
      <c r="AC53" s="3"/>
    </row>
    <row r="54">
      <c r="A54" s="203" t="s">
        <v>153</v>
      </c>
      <c r="B54" s="203" t="s">
        <v>1578</v>
      </c>
      <c r="C54" s="214">
        <v>45233.0</v>
      </c>
      <c r="D54" s="262"/>
      <c r="E54" s="411" t="s">
        <v>3037</v>
      </c>
      <c r="F54" s="202">
        <v>45247.0</v>
      </c>
      <c r="G54" s="203"/>
      <c r="H54" s="214">
        <v>45233.0</v>
      </c>
      <c r="I54" s="203"/>
      <c r="J54" s="214">
        <v>45295.0</v>
      </c>
      <c r="K54" s="253"/>
      <c r="L54" s="203" t="s">
        <v>1109</v>
      </c>
      <c r="M54" s="262"/>
      <c r="N54" s="202">
        <v>45247.0</v>
      </c>
      <c r="O54" s="262"/>
      <c r="P54" s="565">
        <v>6.0</v>
      </c>
      <c r="Q54" s="565">
        <v>56.0</v>
      </c>
      <c r="R54" s="566" t="s">
        <v>29</v>
      </c>
      <c r="S54" s="39"/>
      <c r="T54" s="515"/>
      <c r="U54" s="39"/>
      <c r="V54" s="515"/>
      <c r="W54" s="14"/>
      <c r="X54" s="14"/>
      <c r="Y54" s="17"/>
      <c r="Z54" s="14"/>
      <c r="AA54" s="17"/>
      <c r="AB54" s="3"/>
      <c r="AC54" s="3"/>
    </row>
    <row r="55">
      <c r="A55" s="203" t="s">
        <v>122</v>
      </c>
      <c r="B55" s="203" t="s">
        <v>1578</v>
      </c>
      <c r="C55" s="214">
        <v>45194.0</v>
      </c>
      <c r="D55" s="547" t="s">
        <v>3068</v>
      </c>
      <c r="E55" s="411" t="s">
        <v>2948</v>
      </c>
      <c r="F55" s="214">
        <v>45194.0</v>
      </c>
      <c r="G55" s="262"/>
      <c r="H55" s="214">
        <v>45194.0</v>
      </c>
      <c r="I55" s="262"/>
      <c r="J55" s="202">
        <v>45299.0</v>
      </c>
      <c r="K55" s="203" t="s">
        <v>3070</v>
      </c>
      <c r="L55" s="202">
        <v>45260.0</v>
      </c>
      <c r="M55" s="203" t="s">
        <v>3071</v>
      </c>
      <c r="N55" s="214">
        <v>45260.0</v>
      </c>
      <c r="O55" s="203" t="s">
        <v>3072</v>
      </c>
      <c r="P55" s="565">
        <v>7.0</v>
      </c>
      <c r="Q55" s="565">
        <v>60.0</v>
      </c>
      <c r="R55" s="566" t="s">
        <v>52</v>
      </c>
      <c r="S55" s="435"/>
      <c r="T55" s="95"/>
      <c r="U55" s="435"/>
      <c r="V55" s="95"/>
      <c r="W55" s="14"/>
      <c r="X55" s="585"/>
      <c r="Y55" s="586"/>
      <c r="Z55" s="14"/>
      <c r="AA55" s="14"/>
      <c r="AB55" s="3"/>
      <c r="AC55" s="3"/>
    </row>
    <row r="56">
      <c r="A56" s="203" t="s">
        <v>157</v>
      </c>
      <c r="B56" s="203" t="s">
        <v>1578</v>
      </c>
      <c r="C56" s="202">
        <v>45243.0</v>
      </c>
      <c r="D56" s="262"/>
      <c r="E56" s="411" t="s">
        <v>3037</v>
      </c>
      <c r="F56" s="202">
        <v>45243.0</v>
      </c>
      <c r="G56" s="262"/>
      <c r="H56" s="202">
        <v>45243.0</v>
      </c>
      <c r="I56" s="262"/>
      <c r="J56" s="214">
        <v>45300.0</v>
      </c>
      <c r="K56" s="262"/>
      <c r="L56" s="203" t="s">
        <v>1109</v>
      </c>
      <c r="M56" s="262"/>
      <c r="N56" s="202">
        <v>45243.0</v>
      </c>
      <c r="O56" s="262"/>
      <c r="P56" s="565">
        <v>5.0</v>
      </c>
      <c r="Q56" s="565">
        <v>41.0</v>
      </c>
      <c r="R56" s="566" t="s">
        <v>52</v>
      </c>
      <c r="S56" s="39"/>
      <c r="T56" s="95"/>
      <c r="U56" s="39"/>
      <c r="V56" s="95"/>
      <c r="W56" s="14"/>
      <c r="X56" s="587"/>
      <c r="Y56" s="588"/>
      <c r="Z56" s="14"/>
      <c r="AA56" s="14"/>
      <c r="AB56" s="3"/>
      <c r="AC56" s="3"/>
    </row>
    <row r="57">
      <c r="A57" s="203" t="s">
        <v>117</v>
      </c>
      <c r="B57" s="203" t="s">
        <v>1732</v>
      </c>
      <c r="C57" s="202">
        <v>45217.0</v>
      </c>
      <c r="D57" s="564"/>
      <c r="E57" s="214">
        <v>45300.0</v>
      </c>
      <c r="F57" s="202">
        <v>45222.0</v>
      </c>
      <c r="G57" s="262"/>
      <c r="H57" s="202">
        <v>45222.0</v>
      </c>
      <c r="I57" s="262"/>
      <c r="J57" s="214">
        <v>45301.0</v>
      </c>
      <c r="K57" s="262"/>
      <c r="L57" s="203" t="s">
        <v>1109</v>
      </c>
      <c r="M57" s="262"/>
      <c r="N57" s="202">
        <v>45222.0</v>
      </c>
      <c r="O57" s="262"/>
      <c r="P57" s="565">
        <v>4.0</v>
      </c>
      <c r="Q57" s="565">
        <v>33.0</v>
      </c>
      <c r="R57" s="566" t="s">
        <v>29</v>
      </c>
      <c r="S57" s="39"/>
      <c r="T57" s="475"/>
      <c r="U57" s="39"/>
      <c r="V57" s="475"/>
      <c r="W57" s="14"/>
      <c r="X57" s="587"/>
      <c r="Y57" s="589"/>
      <c r="Z57" s="14"/>
      <c r="AA57" s="17"/>
      <c r="AB57" s="3"/>
      <c r="AC57" s="3"/>
    </row>
    <row r="58">
      <c r="A58" s="203" t="s">
        <v>162</v>
      </c>
      <c r="B58" s="203" t="s">
        <v>1578</v>
      </c>
      <c r="C58" s="214">
        <v>45232.0</v>
      </c>
      <c r="D58" s="241" t="s">
        <v>3075</v>
      </c>
      <c r="E58" s="433" t="s">
        <v>3037</v>
      </c>
      <c r="F58" s="214">
        <v>45232.0</v>
      </c>
      <c r="G58" s="262"/>
      <c r="H58" s="202">
        <v>45245.0</v>
      </c>
      <c r="I58" s="262"/>
      <c r="J58" s="214">
        <v>45303.0</v>
      </c>
      <c r="K58" s="262"/>
      <c r="L58" s="203" t="s">
        <v>1109</v>
      </c>
      <c r="M58" s="262"/>
      <c r="N58" s="202">
        <v>45245.0</v>
      </c>
      <c r="O58" s="262"/>
      <c r="P58" s="565">
        <v>5.0</v>
      </c>
      <c r="Q58" s="565">
        <v>40.0</v>
      </c>
      <c r="R58" s="566" t="s">
        <v>23</v>
      </c>
      <c r="S58" s="39"/>
      <c r="T58" s="475"/>
      <c r="U58" s="39"/>
      <c r="V58" s="475"/>
      <c r="W58" s="14"/>
      <c r="X58" s="587"/>
      <c r="Y58" s="588"/>
      <c r="Z58" s="14"/>
      <c r="AA58" s="14"/>
      <c r="AB58" s="3"/>
      <c r="AC58" s="3"/>
    </row>
    <row r="59">
      <c r="A59" s="203" t="s">
        <v>164</v>
      </c>
      <c r="B59" s="203" t="s">
        <v>1578</v>
      </c>
      <c r="C59" s="214">
        <v>45210.0</v>
      </c>
      <c r="D59" s="241" t="s">
        <v>3076</v>
      </c>
      <c r="E59" s="411" t="s">
        <v>2869</v>
      </c>
      <c r="F59" s="202">
        <v>45244.0</v>
      </c>
      <c r="G59" s="262"/>
      <c r="H59" s="202">
        <v>45244.0</v>
      </c>
      <c r="I59" s="262"/>
      <c r="J59" s="202">
        <v>45307.0</v>
      </c>
      <c r="K59" s="262"/>
      <c r="L59" s="203" t="s">
        <v>1109</v>
      </c>
      <c r="M59" s="262"/>
      <c r="N59" s="202">
        <v>45244.0</v>
      </c>
      <c r="O59" s="262"/>
      <c r="P59" s="565">
        <v>6.0</v>
      </c>
      <c r="Q59" s="565">
        <v>56.0</v>
      </c>
      <c r="R59" s="566" t="s">
        <v>23</v>
      </c>
      <c r="S59" s="39"/>
      <c r="T59" s="475"/>
      <c r="U59" s="435"/>
      <c r="V59" s="475"/>
      <c r="W59" s="14"/>
      <c r="X59" s="587"/>
      <c r="Y59" s="589"/>
      <c r="Z59" s="14"/>
      <c r="AA59" s="17"/>
      <c r="AB59" s="3"/>
      <c r="AC59" s="3"/>
    </row>
    <row r="60">
      <c r="A60" s="203" t="s">
        <v>168</v>
      </c>
      <c r="B60" s="203" t="s">
        <v>1578</v>
      </c>
      <c r="C60" s="214">
        <v>45302.0</v>
      </c>
      <c r="D60" s="547" t="s">
        <v>3077</v>
      </c>
      <c r="E60" s="411" t="s">
        <v>3037</v>
      </c>
      <c r="F60" s="214">
        <v>45302.0</v>
      </c>
      <c r="G60" s="262"/>
      <c r="H60" s="214">
        <v>45302.0</v>
      </c>
      <c r="I60" s="262"/>
      <c r="J60" s="214">
        <v>45309.0</v>
      </c>
      <c r="K60" s="200" t="s">
        <v>3078</v>
      </c>
      <c r="L60" s="214">
        <v>45338.0</v>
      </c>
      <c r="M60" s="203" t="s">
        <v>3079</v>
      </c>
      <c r="N60" s="214">
        <v>45302.0</v>
      </c>
      <c r="O60" s="262"/>
      <c r="P60" s="565">
        <v>8.0</v>
      </c>
      <c r="Q60" s="565">
        <v>72.0</v>
      </c>
      <c r="R60" s="566" t="s">
        <v>16</v>
      </c>
      <c r="S60" s="132"/>
      <c r="T60" s="14"/>
      <c r="U60" s="14"/>
      <c r="V60" s="14"/>
      <c r="W60" s="14"/>
      <c r="X60" s="587"/>
      <c r="Y60" s="588"/>
      <c r="Z60" s="14"/>
      <c r="AA60" s="14"/>
      <c r="AB60" s="3"/>
      <c r="AC60" s="3"/>
    </row>
    <row r="61">
      <c r="A61" s="203" t="s">
        <v>169</v>
      </c>
      <c r="B61" s="203" t="s">
        <v>1578</v>
      </c>
      <c r="C61" s="202">
        <v>45271.0</v>
      </c>
      <c r="D61" s="564"/>
      <c r="E61" s="411" t="s">
        <v>1879</v>
      </c>
      <c r="F61" s="202">
        <v>45308.0</v>
      </c>
      <c r="G61" s="241" t="s">
        <v>3081</v>
      </c>
      <c r="H61" s="202">
        <v>45308.0</v>
      </c>
      <c r="I61" s="241" t="s">
        <v>3081</v>
      </c>
      <c r="J61" s="214">
        <v>45310.0</v>
      </c>
      <c r="K61" s="547" t="s">
        <v>3082</v>
      </c>
      <c r="L61" s="203" t="s">
        <v>1109</v>
      </c>
      <c r="M61" s="262"/>
      <c r="N61" s="202">
        <v>45271.0</v>
      </c>
      <c r="O61" s="564"/>
      <c r="P61" s="565">
        <v>4.0</v>
      </c>
      <c r="Q61" s="565">
        <v>34.0</v>
      </c>
      <c r="R61" s="51"/>
      <c r="S61" s="132"/>
      <c r="T61" s="14"/>
      <c r="U61" s="14"/>
      <c r="V61" s="14"/>
      <c r="W61" s="14"/>
      <c r="X61" s="587"/>
      <c r="Y61" s="588"/>
      <c r="Z61" s="14"/>
      <c r="AA61" s="14"/>
      <c r="AB61" s="3"/>
      <c r="AC61" s="3"/>
    </row>
    <row r="62">
      <c r="A62" s="203" t="s">
        <v>148</v>
      </c>
      <c r="B62" s="203" t="s">
        <v>1578</v>
      </c>
      <c r="C62" s="214">
        <v>45210.0</v>
      </c>
      <c r="D62" s="241" t="s">
        <v>1675</v>
      </c>
      <c r="E62" s="411" t="s">
        <v>3084</v>
      </c>
      <c r="F62" s="214">
        <v>45210.0</v>
      </c>
      <c r="G62" s="262"/>
      <c r="H62" s="214">
        <v>45210.0</v>
      </c>
      <c r="I62" s="262"/>
      <c r="J62" s="214">
        <v>45314.0</v>
      </c>
      <c r="K62" s="547" t="s">
        <v>3085</v>
      </c>
      <c r="L62" s="203" t="s">
        <v>1769</v>
      </c>
      <c r="M62" s="262"/>
      <c r="N62" s="214">
        <v>45210.0</v>
      </c>
      <c r="O62" s="262"/>
      <c r="P62" s="565">
        <v>7.0</v>
      </c>
      <c r="Q62" s="565">
        <v>60.0</v>
      </c>
      <c r="R62" s="566" t="s">
        <v>23</v>
      </c>
      <c r="S62" s="132"/>
      <c r="T62" s="95"/>
      <c r="U62" s="39"/>
      <c r="V62" s="95"/>
      <c r="W62" s="14"/>
      <c r="X62" s="587"/>
      <c r="Y62" s="588"/>
      <c r="Z62" s="14"/>
      <c r="AA62" s="14"/>
      <c r="AB62" s="3"/>
      <c r="AC62" s="3"/>
    </row>
    <row r="63">
      <c r="A63" s="203" t="s">
        <v>152</v>
      </c>
      <c r="B63" s="203" t="s">
        <v>1578</v>
      </c>
      <c r="C63" s="202">
        <v>45225.0</v>
      </c>
      <c r="D63" s="241" t="s">
        <v>1675</v>
      </c>
      <c r="E63" s="433" t="s">
        <v>3037</v>
      </c>
      <c r="F63" s="202">
        <v>45225.0</v>
      </c>
      <c r="G63" s="262"/>
      <c r="H63" s="202">
        <v>45225.0</v>
      </c>
      <c r="I63" s="262"/>
      <c r="J63" s="214">
        <v>45315.0</v>
      </c>
      <c r="K63" s="262"/>
      <c r="L63" s="203" t="s">
        <v>1769</v>
      </c>
      <c r="M63" s="262"/>
      <c r="N63" s="202">
        <v>45225.0</v>
      </c>
      <c r="O63" s="262"/>
      <c r="P63" s="565">
        <v>6.0</v>
      </c>
      <c r="Q63" s="565">
        <v>55.0</v>
      </c>
      <c r="R63" s="566" t="s">
        <v>23</v>
      </c>
      <c r="S63" s="132"/>
      <c r="X63" s="587"/>
      <c r="Y63" s="589"/>
      <c r="Z63" s="14"/>
      <c r="AA63" s="17"/>
      <c r="AB63" s="3"/>
      <c r="AC63" s="3"/>
    </row>
    <row r="64">
      <c r="A64" s="203" t="s">
        <v>176</v>
      </c>
      <c r="B64" s="203" t="s">
        <v>1578</v>
      </c>
      <c r="C64" s="214">
        <v>45267.0</v>
      </c>
      <c r="D64" s="241" t="s">
        <v>3088</v>
      </c>
      <c r="E64" s="411" t="s">
        <v>1879</v>
      </c>
      <c r="F64" s="214">
        <v>45267.0</v>
      </c>
      <c r="G64" s="262"/>
      <c r="H64" s="214">
        <v>45267.0</v>
      </c>
      <c r="I64" s="262"/>
      <c r="J64" s="214">
        <v>45315.0</v>
      </c>
      <c r="K64" s="262"/>
      <c r="L64" s="203" t="s">
        <v>1109</v>
      </c>
      <c r="M64" s="262"/>
      <c r="N64" s="214">
        <v>45267.0</v>
      </c>
      <c r="O64" s="262"/>
      <c r="P64" s="565">
        <v>6.0</v>
      </c>
      <c r="Q64" s="565">
        <v>51.0</v>
      </c>
      <c r="R64" s="566" t="s">
        <v>52</v>
      </c>
      <c r="S64" s="132"/>
      <c r="T64" s="14"/>
      <c r="U64" s="14"/>
      <c r="V64" s="14"/>
      <c r="W64" s="14"/>
      <c r="X64" s="587"/>
      <c r="Y64" s="588"/>
      <c r="Z64" s="14"/>
      <c r="AA64" s="14"/>
      <c r="AB64" s="3"/>
      <c r="AC64" s="3"/>
    </row>
    <row r="65">
      <c r="A65" s="203" t="s">
        <v>154</v>
      </c>
      <c r="B65" s="203" t="s">
        <v>1578</v>
      </c>
      <c r="C65" s="202">
        <v>45230.0</v>
      </c>
      <c r="D65" s="241" t="s">
        <v>1675</v>
      </c>
      <c r="E65" s="411" t="s">
        <v>3037</v>
      </c>
      <c r="F65" s="202">
        <v>45230.0</v>
      </c>
      <c r="G65" s="262"/>
      <c r="H65" s="202">
        <v>45230.0</v>
      </c>
      <c r="I65" s="262"/>
      <c r="J65" s="214">
        <v>45316.0</v>
      </c>
      <c r="K65" s="262"/>
      <c r="L65" s="203" t="s">
        <v>1109</v>
      </c>
      <c r="M65" s="547" t="s">
        <v>3091</v>
      </c>
      <c r="N65" s="202">
        <v>45230.0</v>
      </c>
      <c r="O65" s="262"/>
      <c r="P65" s="565">
        <v>4.0</v>
      </c>
      <c r="Q65" s="565">
        <v>31.0</v>
      </c>
      <c r="R65" s="568" t="s">
        <v>68</v>
      </c>
      <c r="S65" s="132"/>
      <c r="X65" s="587"/>
      <c r="Y65" s="589"/>
      <c r="Z65" s="14"/>
      <c r="AA65" s="17"/>
      <c r="AB65" s="3"/>
      <c r="AC65" s="3"/>
    </row>
    <row r="66">
      <c r="A66" s="203" t="s">
        <v>183</v>
      </c>
      <c r="B66" s="203" t="s">
        <v>1578</v>
      </c>
      <c r="C66" s="202">
        <v>45250.0</v>
      </c>
      <c r="D66" s="241" t="s">
        <v>3093</v>
      </c>
      <c r="E66" s="411" t="s">
        <v>3037</v>
      </c>
      <c r="F66" s="202">
        <v>45250.0</v>
      </c>
      <c r="G66" s="262"/>
      <c r="H66" s="202">
        <v>45280.0</v>
      </c>
      <c r="I66" s="262"/>
      <c r="J66" s="214">
        <v>45317.0</v>
      </c>
      <c r="K66" s="262"/>
      <c r="L66" s="202">
        <v>45303.0</v>
      </c>
      <c r="M66" s="262"/>
      <c r="N66" s="202">
        <v>45280.0</v>
      </c>
      <c r="O66" s="262"/>
      <c r="P66" s="565">
        <v>4.0</v>
      </c>
      <c r="Q66" s="565">
        <v>34.0</v>
      </c>
      <c r="R66" s="566" t="s">
        <v>23</v>
      </c>
      <c r="S66" s="132"/>
      <c r="T66" s="14"/>
      <c r="U66" s="14"/>
      <c r="V66" s="14"/>
      <c r="W66" s="14"/>
      <c r="X66" s="587"/>
      <c r="Y66" s="588"/>
      <c r="Z66" s="14"/>
      <c r="AA66" s="14"/>
      <c r="AB66" s="3"/>
      <c r="AC66" s="3"/>
    </row>
    <row r="67">
      <c r="A67" s="203" t="s">
        <v>186</v>
      </c>
      <c r="B67" s="203" t="s">
        <v>1578</v>
      </c>
      <c r="C67" s="214">
        <v>45307.0</v>
      </c>
      <c r="D67" s="564"/>
      <c r="E67" s="590">
        <v>45315.0</v>
      </c>
      <c r="F67" s="214">
        <v>45316.0</v>
      </c>
      <c r="G67" s="262"/>
      <c r="H67" s="214">
        <v>45307.0</v>
      </c>
      <c r="I67" s="262"/>
      <c r="J67" s="214">
        <v>45322.0</v>
      </c>
      <c r="K67" s="200" t="s">
        <v>3096</v>
      </c>
      <c r="L67" s="203" t="s">
        <v>1109</v>
      </c>
      <c r="M67" s="262"/>
      <c r="N67" s="214">
        <v>45316.0</v>
      </c>
      <c r="O67" s="262"/>
      <c r="P67" s="565">
        <v>7.0</v>
      </c>
      <c r="Q67" s="565">
        <v>62.0</v>
      </c>
      <c r="R67" s="566" t="s">
        <v>23</v>
      </c>
      <c r="S67" s="132"/>
      <c r="T67" s="14"/>
      <c r="U67" s="14"/>
      <c r="V67" s="14"/>
      <c r="W67" s="14"/>
      <c r="X67" s="587"/>
      <c r="Y67" s="588"/>
      <c r="Z67" s="14"/>
      <c r="AA67" s="14"/>
      <c r="AB67" s="3"/>
      <c r="AC67" s="3"/>
    </row>
    <row r="68">
      <c r="A68" s="203" t="s">
        <v>125</v>
      </c>
      <c r="B68" s="203" t="s">
        <v>1578</v>
      </c>
      <c r="C68" s="214">
        <v>45195.0</v>
      </c>
      <c r="D68" s="564"/>
      <c r="E68" s="411" t="s">
        <v>3098</v>
      </c>
      <c r="F68" s="214">
        <v>45195.0</v>
      </c>
      <c r="G68" s="262"/>
      <c r="H68" s="214">
        <v>45195.0</v>
      </c>
      <c r="I68" s="262"/>
      <c r="J68" s="214">
        <v>45323.0</v>
      </c>
      <c r="K68" s="547" t="s">
        <v>3099</v>
      </c>
      <c r="L68" s="203" t="s">
        <v>1109</v>
      </c>
      <c r="M68" s="262"/>
      <c r="N68" s="214">
        <v>45223.0</v>
      </c>
      <c r="O68" s="262"/>
      <c r="P68" s="565">
        <v>6.0</v>
      </c>
      <c r="Q68" s="565">
        <v>53.0</v>
      </c>
      <c r="R68" s="566" t="s">
        <v>29</v>
      </c>
      <c r="S68" s="132"/>
      <c r="T68" s="583"/>
      <c r="U68" s="17"/>
      <c r="V68" s="14"/>
      <c r="W68" s="14"/>
      <c r="X68" s="587"/>
      <c r="Y68" s="588"/>
      <c r="Z68" s="14"/>
      <c r="AA68" s="14"/>
      <c r="AB68" s="3"/>
      <c r="AC68" s="3"/>
    </row>
    <row r="69">
      <c r="A69" s="203" t="s">
        <v>192</v>
      </c>
      <c r="B69" s="203" t="s">
        <v>1578</v>
      </c>
      <c r="C69" s="202">
        <v>45215.0</v>
      </c>
      <c r="D69" s="241" t="s">
        <v>3101</v>
      </c>
      <c r="E69" s="411" t="s">
        <v>3037</v>
      </c>
      <c r="F69" s="202">
        <v>45238.0</v>
      </c>
      <c r="G69" s="262"/>
      <c r="H69" s="202">
        <v>45238.0</v>
      </c>
      <c r="I69" s="262"/>
      <c r="J69" s="214">
        <v>45324.0</v>
      </c>
      <c r="K69" s="547" t="s">
        <v>3085</v>
      </c>
      <c r="L69" s="203" t="s">
        <v>1109</v>
      </c>
      <c r="M69" s="200" t="s">
        <v>2993</v>
      </c>
      <c r="N69" s="202">
        <v>45238.0</v>
      </c>
      <c r="O69" s="262"/>
      <c r="P69" s="565">
        <v>5.0</v>
      </c>
      <c r="Q69" s="565">
        <v>41.0</v>
      </c>
      <c r="R69" s="566" t="s">
        <v>16</v>
      </c>
      <c r="S69" s="132"/>
      <c r="T69" s="475"/>
      <c r="U69" s="39"/>
      <c r="V69" s="475"/>
      <c r="W69" s="14"/>
      <c r="X69" s="591"/>
      <c r="Y69" s="592"/>
      <c r="Z69" s="14"/>
      <c r="AA69" s="17"/>
      <c r="AB69" s="3"/>
      <c r="AC69" s="3"/>
    </row>
    <row r="70">
      <c r="A70" s="203" t="s">
        <v>195</v>
      </c>
      <c r="B70" s="203" t="s">
        <v>1578</v>
      </c>
      <c r="C70" s="214">
        <v>45268.0</v>
      </c>
      <c r="D70" s="547" t="s">
        <v>3103</v>
      </c>
      <c r="E70" s="411" t="s">
        <v>1879</v>
      </c>
      <c r="F70" s="214">
        <v>45268.0</v>
      </c>
      <c r="G70" s="262"/>
      <c r="H70" s="214">
        <v>45268.0</v>
      </c>
      <c r="I70" s="262"/>
      <c r="J70" s="214">
        <v>45330.0</v>
      </c>
      <c r="K70" s="262"/>
      <c r="L70" s="593" t="s">
        <v>1109</v>
      </c>
      <c r="M70" s="593"/>
      <c r="N70" s="214">
        <v>45268.0</v>
      </c>
      <c r="O70" s="262"/>
      <c r="P70" s="565">
        <v>5.0</v>
      </c>
      <c r="Q70" s="565">
        <v>40.0</v>
      </c>
      <c r="R70" s="566" t="s">
        <v>23</v>
      </c>
      <c r="S70" s="14"/>
      <c r="T70" s="14"/>
      <c r="U70" s="14"/>
      <c r="V70" s="14"/>
      <c r="W70" s="14"/>
      <c r="X70" s="14"/>
      <c r="Y70" s="14"/>
      <c r="Z70" s="14"/>
      <c r="AA70" s="14"/>
      <c r="AB70" s="3"/>
      <c r="AC70" s="3"/>
    </row>
    <row r="71">
      <c r="A71" s="203" t="s">
        <v>184</v>
      </c>
      <c r="B71" s="203" t="s">
        <v>1578</v>
      </c>
      <c r="C71" s="202">
        <v>45275.0</v>
      </c>
      <c r="D71" s="547" t="s">
        <v>3105</v>
      </c>
      <c r="E71" s="411" t="s">
        <v>1879</v>
      </c>
      <c r="F71" s="202">
        <v>45275.0</v>
      </c>
      <c r="G71" s="262"/>
      <c r="H71" s="202">
        <v>45275.0</v>
      </c>
      <c r="I71" s="262"/>
      <c r="J71" s="214">
        <v>45335.0</v>
      </c>
      <c r="K71" s="262"/>
      <c r="L71" s="203" t="s">
        <v>1109</v>
      </c>
      <c r="M71" s="262"/>
      <c r="N71" s="202">
        <v>45275.0</v>
      </c>
      <c r="O71" s="262"/>
      <c r="P71" s="565">
        <v>4.0</v>
      </c>
      <c r="Q71" s="565">
        <v>37.0</v>
      </c>
      <c r="R71" s="566" t="s">
        <v>23</v>
      </c>
      <c r="S71" s="14"/>
      <c r="T71" s="14"/>
      <c r="U71" s="14"/>
      <c r="V71" s="14"/>
      <c r="W71" s="14"/>
      <c r="X71" s="14"/>
      <c r="Y71" s="14"/>
      <c r="Z71" s="14"/>
      <c r="AA71" s="14"/>
      <c r="AB71" s="3"/>
      <c r="AC71" s="3"/>
    </row>
    <row r="72">
      <c r="A72" s="203" t="s">
        <v>211</v>
      </c>
      <c r="B72" s="203" t="s">
        <v>1578</v>
      </c>
      <c r="C72" s="214">
        <v>45245.0</v>
      </c>
      <c r="D72" s="241" t="s">
        <v>3062</v>
      </c>
      <c r="E72" s="411" t="s">
        <v>3037</v>
      </c>
      <c r="F72" s="214">
        <v>45245.0</v>
      </c>
      <c r="G72" s="262"/>
      <c r="H72" s="202">
        <v>45273.0</v>
      </c>
      <c r="I72" s="262"/>
      <c r="J72" s="214">
        <v>45336.0</v>
      </c>
      <c r="K72" s="262"/>
      <c r="L72" s="203" t="s">
        <v>1109</v>
      </c>
      <c r="M72" s="262"/>
      <c r="N72" s="202">
        <v>45273.0</v>
      </c>
      <c r="O72" s="262"/>
      <c r="P72" s="565">
        <v>5.0</v>
      </c>
      <c r="Q72" s="565">
        <v>43.0</v>
      </c>
      <c r="R72" s="51"/>
      <c r="S72" s="14"/>
      <c r="T72" s="14"/>
      <c r="U72" s="14"/>
      <c r="V72" s="14"/>
      <c r="W72" s="14"/>
      <c r="X72" s="14"/>
      <c r="Y72" s="14"/>
      <c r="Z72" s="14"/>
      <c r="AA72" s="14"/>
      <c r="AB72" s="3"/>
      <c r="AC72" s="3"/>
    </row>
    <row r="73">
      <c r="A73" s="203" t="s">
        <v>216</v>
      </c>
      <c r="B73" s="203" t="s">
        <v>1578</v>
      </c>
      <c r="C73" s="214">
        <v>45238.0</v>
      </c>
      <c r="D73" s="564"/>
      <c r="E73" s="411" t="s">
        <v>3037</v>
      </c>
      <c r="F73" s="202">
        <v>45278.0</v>
      </c>
      <c r="G73" s="262"/>
      <c r="H73" s="214">
        <v>45238.0</v>
      </c>
      <c r="I73" s="262"/>
      <c r="J73" s="202">
        <v>45337.0</v>
      </c>
      <c r="K73" s="262"/>
      <c r="L73" s="203" t="s">
        <v>1109</v>
      </c>
      <c r="M73" s="262"/>
      <c r="N73" s="202">
        <v>45278.0</v>
      </c>
      <c r="O73" s="262"/>
      <c r="P73" s="565">
        <v>4.0</v>
      </c>
      <c r="Q73" s="565">
        <v>35.0</v>
      </c>
      <c r="R73" s="566" t="s">
        <v>52</v>
      </c>
      <c r="S73" s="14"/>
      <c r="T73" s="14"/>
      <c r="U73" s="14"/>
      <c r="V73" s="14"/>
      <c r="W73" s="14"/>
      <c r="X73" s="14"/>
      <c r="Y73" s="17"/>
      <c r="Z73" s="14"/>
      <c r="AA73" s="17"/>
      <c r="AB73" s="3"/>
      <c r="AC73" s="3"/>
    </row>
    <row r="74">
      <c r="A74" s="203" t="s">
        <v>86</v>
      </c>
      <c r="B74" s="203" t="s">
        <v>1578</v>
      </c>
      <c r="C74" s="214">
        <v>45191.0</v>
      </c>
      <c r="D74" s="564"/>
      <c r="E74" s="411" t="s">
        <v>3108</v>
      </c>
      <c r="F74" s="214">
        <v>45191.0</v>
      </c>
      <c r="G74" s="262"/>
      <c r="H74" s="214">
        <v>45191.0</v>
      </c>
      <c r="I74" s="262"/>
      <c r="J74" s="214">
        <v>45338.0</v>
      </c>
      <c r="K74" s="262"/>
      <c r="L74" s="203" t="s">
        <v>1109</v>
      </c>
      <c r="M74" s="262"/>
      <c r="N74" s="214">
        <v>45191.0</v>
      </c>
      <c r="O74" s="262"/>
      <c r="P74" s="565">
        <v>3.0</v>
      </c>
      <c r="Q74" s="565">
        <v>21.0</v>
      </c>
      <c r="R74" s="566" t="s">
        <v>52</v>
      </c>
      <c r="S74" s="435"/>
      <c r="T74" s="95"/>
      <c r="U74" s="435"/>
      <c r="V74" s="95"/>
      <c r="W74" s="14"/>
      <c r="X74" s="14"/>
      <c r="Y74" s="14"/>
      <c r="Z74" s="14"/>
      <c r="AA74" s="14"/>
      <c r="AB74" s="3"/>
      <c r="AC74" s="3"/>
    </row>
    <row r="75">
      <c r="A75" s="203" t="s">
        <v>217</v>
      </c>
      <c r="B75" s="203" t="s">
        <v>1578</v>
      </c>
      <c r="C75" s="214">
        <v>45331.0</v>
      </c>
      <c r="D75" s="241" t="s">
        <v>1675</v>
      </c>
      <c r="E75" s="411" t="s">
        <v>1515</v>
      </c>
      <c r="F75" s="214">
        <v>45331.0</v>
      </c>
      <c r="G75" s="262"/>
      <c r="H75" s="214">
        <v>45335.0</v>
      </c>
      <c r="I75" s="262"/>
      <c r="J75" s="214">
        <v>45342.0</v>
      </c>
      <c r="K75" s="253"/>
      <c r="L75" s="203" t="s">
        <v>1769</v>
      </c>
      <c r="M75" s="253"/>
      <c r="N75" s="214">
        <v>45335.0</v>
      </c>
      <c r="O75" s="262"/>
      <c r="P75" s="565">
        <v>7.0</v>
      </c>
      <c r="Q75" s="565">
        <v>64.0</v>
      </c>
      <c r="R75" s="566" t="s">
        <v>23</v>
      </c>
      <c r="S75" s="14"/>
      <c r="T75" s="14"/>
      <c r="U75" s="14"/>
      <c r="V75" s="14"/>
      <c r="W75" s="14"/>
      <c r="X75" s="14"/>
      <c r="Y75" s="14"/>
      <c r="Z75" s="14"/>
      <c r="AA75" s="14"/>
      <c r="AB75" s="3"/>
      <c r="AC75" s="3"/>
    </row>
    <row r="76">
      <c r="A76" s="203" t="s">
        <v>188</v>
      </c>
      <c r="B76" s="203" t="s">
        <v>1578</v>
      </c>
      <c r="C76" s="202">
        <v>45271.0</v>
      </c>
      <c r="D76" s="564"/>
      <c r="E76" s="411" t="s">
        <v>1879</v>
      </c>
      <c r="F76" s="202">
        <v>45271.0</v>
      </c>
      <c r="G76" s="262"/>
      <c r="H76" s="202">
        <v>45278.0</v>
      </c>
      <c r="I76" s="262"/>
      <c r="J76" s="214">
        <v>45348.0</v>
      </c>
      <c r="K76" s="262"/>
      <c r="L76" s="203" t="s">
        <v>1109</v>
      </c>
      <c r="M76" s="262"/>
      <c r="N76" s="202">
        <v>45271.0</v>
      </c>
      <c r="O76" s="262"/>
      <c r="P76" s="565">
        <v>6.0</v>
      </c>
      <c r="Q76" s="565">
        <v>54.0</v>
      </c>
      <c r="R76" s="566" t="s">
        <v>23</v>
      </c>
      <c r="S76" s="14"/>
      <c r="T76" s="14"/>
      <c r="U76" s="14"/>
      <c r="V76" s="14"/>
      <c r="W76" s="14"/>
      <c r="X76" s="14"/>
      <c r="Y76" s="14"/>
      <c r="Z76" s="14"/>
      <c r="AA76" s="14"/>
      <c r="AB76" s="3"/>
      <c r="AC76" s="3"/>
    </row>
    <row r="77">
      <c r="A77" s="203" t="s">
        <v>227</v>
      </c>
      <c r="B77" s="203" t="s">
        <v>1578</v>
      </c>
      <c r="C77" s="214">
        <v>45294.0</v>
      </c>
      <c r="D77" s="564"/>
      <c r="E77" s="570">
        <v>45357.0</v>
      </c>
      <c r="F77" s="214">
        <v>45294.0</v>
      </c>
      <c r="G77" s="262"/>
      <c r="H77" s="214">
        <v>45294.0</v>
      </c>
      <c r="I77" s="262"/>
      <c r="J77" s="214">
        <v>45348.0</v>
      </c>
      <c r="K77" s="262"/>
      <c r="L77" s="203" t="s">
        <v>1109</v>
      </c>
      <c r="M77" s="262"/>
      <c r="N77" s="214">
        <v>45294.0</v>
      </c>
      <c r="O77" s="262"/>
      <c r="P77" s="565">
        <v>6.0</v>
      </c>
      <c r="Q77" s="565">
        <v>49.0</v>
      </c>
      <c r="R77" s="566" t="s">
        <v>29</v>
      </c>
      <c r="S77" s="14"/>
      <c r="T77" s="14"/>
      <c r="U77" s="14"/>
      <c r="V77" s="14"/>
      <c r="W77" s="14"/>
      <c r="X77" s="14"/>
      <c r="Y77" s="14"/>
      <c r="Z77" s="14"/>
      <c r="AA77" s="14"/>
      <c r="AB77" s="3"/>
      <c r="AC77" s="3"/>
    </row>
    <row r="78">
      <c r="A78" s="203" t="s">
        <v>229</v>
      </c>
      <c r="B78" s="203" t="s">
        <v>1578</v>
      </c>
      <c r="C78" s="214">
        <v>45296.0</v>
      </c>
      <c r="D78" s="547" t="s">
        <v>3115</v>
      </c>
      <c r="E78" s="214">
        <v>45314.0</v>
      </c>
      <c r="F78" s="214">
        <v>45296.0</v>
      </c>
      <c r="G78" s="262"/>
      <c r="H78" s="214">
        <v>45315.0</v>
      </c>
      <c r="I78" s="200" t="s">
        <v>3116</v>
      </c>
      <c r="J78" s="214">
        <v>45351.0</v>
      </c>
      <c r="K78" s="262"/>
      <c r="L78" s="203" t="s">
        <v>1109</v>
      </c>
      <c r="M78" s="262"/>
      <c r="N78" s="214">
        <v>45307.0</v>
      </c>
      <c r="O78" s="262"/>
      <c r="P78" s="565">
        <v>5.0</v>
      </c>
      <c r="Q78" s="565">
        <v>46.0</v>
      </c>
      <c r="R78" s="566" t="s">
        <v>29</v>
      </c>
      <c r="S78" s="14"/>
      <c r="T78" s="14"/>
      <c r="U78" s="14"/>
      <c r="V78" s="14"/>
      <c r="W78" s="14"/>
      <c r="X78" s="14"/>
      <c r="Y78" s="14"/>
      <c r="Z78" s="14"/>
      <c r="AA78" s="14"/>
      <c r="AB78" s="3"/>
      <c r="AC78" s="3"/>
    </row>
    <row r="79">
      <c r="A79" s="203" t="s">
        <v>231</v>
      </c>
      <c r="B79" s="203" t="s">
        <v>1732</v>
      </c>
      <c r="C79" s="214">
        <v>45309.0</v>
      </c>
      <c r="D79" s="241" t="s">
        <v>1675</v>
      </c>
      <c r="E79" s="411" t="s">
        <v>3118</v>
      </c>
      <c r="F79" s="214">
        <v>45309.0</v>
      </c>
      <c r="G79" s="262"/>
      <c r="H79" s="214">
        <v>45309.0</v>
      </c>
      <c r="I79" s="262"/>
      <c r="J79" s="214">
        <v>45356.0</v>
      </c>
      <c r="K79" s="253"/>
      <c r="L79" s="203" t="s">
        <v>1109</v>
      </c>
      <c r="M79" s="262"/>
      <c r="N79" s="214">
        <v>45309.0</v>
      </c>
      <c r="O79" s="262"/>
      <c r="P79" s="594">
        <v>7.0</v>
      </c>
      <c r="Q79" s="565">
        <v>62.0</v>
      </c>
      <c r="R79" s="566" t="s">
        <v>29</v>
      </c>
      <c r="S79" s="14"/>
      <c r="T79" s="14"/>
      <c r="U79" s="14"/>
      <c r="V79" s="14"/>
      <c r="W79" s="14"/>
      <c r="X79" s="14"/>
      <c r="Y79" s="14"/>
      <c r="Z79" s="14"/>
      <c r="AA79" s="14"/>
      <c r="AB79" s="3"/>
      <c r="AC79" s="3"/>
    </row>
    <row r="80">
      <c r="A80" s="203" t="s">
        <v>180</v>
      </c>
      <c r="B80" s="203" t="s">
        <v>1578</v>
      </c>
      <c r="C80" s="214">
        <v>45239.0</v>
      </c>
      <c r="D80" s="241" t="s">
        <v>3062</v>
      </c>
      <c r="E80" s="433" t="s">
        <v>3037</v>
      </c>
      <c r="F80" s="214">
        <v>45239.0</v>
      </c>
      <c r="G80" s="262"/>
      <c r="H80" s="202">
        <v>45251.0</v>
      </c>
      <c r="I80" s="262"/>
      <c r="J80" s="214">
        <v>45357.0</v>
      </c>
      <c r="K80" s="203" t="s">
        <v>3120</v>
      </c>
      <c r="L80" s="203" t="s">
        <v>1109</v>
      </c>
      <c r="M80" s="262"/>
      <c r="N80" s="202">
        <v>45251.0</v>
      </c>
      <c r="O80" s="262"/>
      <c r="P80" s="565">
        <v>4.0</v>
      </c>
      <c r="Q80" s="565">
        <v>35.0</v>
      </c>
      <c r="R80" s="566" t="s">
        <v>23</v>
      </c>
      <c r="S80" s="14"/>
      <c r="T80" s="14"/>
      <c r="U80" s="14"/>
      <c r="V80" s="14"/>
      <c r="W80" s="14"/>
      <c r="X80" s="14"/>
      <c r="Y80" s="14"/>
      <c r="Z80" s="14"/>
      <c r="AA80" s="14"/>
      <c r="AB80" s="3"/>
      <c r="AC80" s="3"/>
    </row>
    <row r="81">
      <c r="A81" s="203" t="s">
        <v>128</v>
      </c>
      <c r="B81" s="203" t="s">
        <v>1578</v>
      </c>
      <c r="C81" s="202">
        <v>45275.0</v>
      </c>
      <c r="D81" s="241" t="s">
        <v>3121</v>
      </c>
      <c r="E81" s="411" t="s">
        <v>1879</v>
      </c>
      <c r="F81" s="202">
        <v>45275.0</v>
      </c>
      <c r="G81" s="262"/>
      <c r="H81" s="202">
        <v>45275.0</v>
      </c>
      <c r="I81" s="262"/>
      <c r="J81" s="214">
        <v>45359.0</v>
      </c>
      <c r="K81" s="262"/>
      <c r="L81" s="203" t="s">
        <v>1109</v>
      </c>
      <c r="M81" s="262"/>
      <c r="N81" s="202">
        <v>45275.0</v>
      </c>
      <c r="O81" s="262"/>
      <c r="P81" s="565">
        <v>5.0</v>
      </c>
      <c r="Q81" s="565">
        <v>43.0</v>
      </c>
      <c r="R81" s="51"/>
      <c r="S81" s="14"/>
      <c r="T81" s="14"/>
      <c r="U81" s="14"/>
      <c r="V81" s="14"/>
      <c r="W81" s="14"/>
      <c r="X81" s="14"/>
      <c r="Y81" s="14"/>
      <c r="Z81" s="14"/>
      <c r="AA81" s="14"/>
      <c r="AB81" s="3"/>
      <c r="AC81" s="3"/>
    </row>
    <row r="82">
      <c r="A82" s="203" t="s">
        <v>244</v>
      </c>
      <c r="B82" s="203" t="s">
        <v>1578</v>
      </c>
      <c r="C82" s="214">
        <v>45342.0</v>
      </c>
      <c r="D82" s="564"/>
      <c r="E82" s="411" t="s">
        <v>1515</v>
      </c>
      <c r="F82" s="214">
        <v>45342.0</v>
      </c>
      <c r="G82" s="262"/>
      <c r="H82" s="214">
        <v>45349.0</v>
      </c>
      <c r="I82" s="262"/>
      <c r="J82" s="214">
        <v>45364.0</v>
      </c>
      <c r="K82" s="262"/>
      <c r="L82" s="203" t="s">
        <v>1109</v>
      </c>
      <c r="M82" s="262"/>
      <c r="N82" s="214">
        <v>45349.0</v>
      </c>
      <c r="O82" s="262"/>
      <c r="P82" s="565">
        <v>6.0</v>
      </c>
      <c r="Q82" s="595">
        <v>58.0</v>
      </c>
      <c r="R82" s="566" t="s">
        <v>29</v>
      </c>
      <c r="S82" s="14"/>
      <c r="T82" s="14"/>
      <c r="U82" s="14"/>
      <c r="V82" s="14"/>
      <c r="W82" s="14"/>
      <c r="X82" s="14"/>
      <c r="Y82" s="14"/>
      <c r="Z82" s="14"/>
      <c r="AA82" s="14"/>
      <c r="AB82" s="3"/>
      <c r="AC82" s="3"/>
    </row>
    <row r="83">
      <c r="A83" s="203" t="s">
        <v>207</v>
      </c>
      <c r="B83" s="203" t="s">
        <v>1578</v>
      </c>
      <c r="C83" s="214">
        <v>45307.0</v>
      </c>
      <c r="D83" s="241" t="s">
        <v>1789</v>
      </c>
      <c r="E83" s="214">
        <v>45369.0</v>
      </c>
      <c r="F83" s="214">
        <v>45314.0</v>
      </c>
      <c r="G83" s="200"/>
      <c r="H83" s="214">
        <v>45314.0</v>
      </c>
      <c r="I83" s="262"/>
      <c r="J83" s="214">
        <v>45369.0</v>
      </c>
      <c r="K83" s="200" t="s">
        <v>3125</v>
      </c>
      <c r="L83" s="203" t="s">
        <v>1109</v>
      </c>
      <c r="M83" s="262"/>
      <c r="N83" s="214">
        <v>45314.0</v>
      </c>
      <c r="O83" s="262"/>
      <c r="P83" s="565">
        <v>5.0</v>
      </c>
      <c r="Q83" s="565">
        <v>42.0</v>
      </c>
      <c r="R83" s="566" t="s">
        <v>23</v>
      </c>
      <c r="S83" s="14"/>
      <c r="T83" s="14"/>
      <c r="U83" s="14"/>
      <c r="V83" s="14"/>
      <c r="W83" s="14"/>
      <c r="X83" s="14"/>
      <c r="Y83" s="14"/>
      <c r="Z83" s="14"/>
      <c r="AA83" s="14"/>
      <c r="AB83" s="3"/>
      <c r="AC83" s="3"/>
    </row>
    <row r="84">
      <c r="A84" s="203" t="s">
        <v>193</v>
      </c>
      <c r="B84" s="203" t="s">
        <v>1578</v>
      </c>
      <c r="C84" s="214">
        <v>45153.0</v>
      </c>
      <c r="D84" s="241" t="s">
        <v>3127</v>
      </c>
      <c r="E84" s="214">
        <v>45351.0</v>
      </c>
      <c r="F84" s="202">
        <v>45252.0</v>
      </c>
      <c r="G84" s="262"/>
      <c r="H84" s="202">
        <v>45252.0</v>
      </c>
      <c r="I84" s="262"/>
      <c r="J84" s="214">
        <v>45373.0</v>
      </c>
      <c r="K84" s="262"/>
      <c r="L84" s="203" t="s">
        <v>1769</v>
      </c>
      <c r="M84" s="262"/>
      <c r="N84" s="202">
        <v>45252.0</v>
      </c>
      <c r="O84" s="262"/>
      <c r="P84" s="565">
        <v>3.0</v>
      </c>
      <c r="Q84" s="565">
        <v>27.0</v>
      </c>
      <c r="R84" s="566" t="s">
        <v>52</v>
      </c>
      <c r="S84" s="39"/>
      <c r="T84" s="95"/>
      <c r="U84" s="567"/>
      <c r="V84" s="95"/>
      <c r="W84" s="14"/>
      <c r="X84" s="14"/>
      <c r="Y84" s="17"/>
      <c r="Z84" s="14"/>
      <c r="AA84" s="14"/>
      <c r="AB84" s="3"/>
      <c r="AC84" s="3"/>
    </row>
    <row r="85">
      <c r="A85" s="203" t="s">
        <v>254</v>
      </c>
      <c r="B85" s="203" t="s">
        <v>1578</v>
      </c>
      <c r="C85" s="214">
        <v>45310.0</v>
      </c>
      <c r="D85" s="564"/>
      <c r="E85" s="411" t="s">
        <v>1515</v>
      </c>
      <c r="F85" s="214">
        <v>45310.0</v>
      </c>
      <c r="G85" s="262"/>
      <c r="H85" s="214">
        <v>45310.0</v>
      </c>
      <c r="I85" s="262"/>
      <c r="J85" s="214">
        <v>45373.0</v>
      </c>
      <c r="K85" s="200" t="s">
        <v>3125</v>
      </c>
      <c r="L85" s="203" t="s">
        <v>1769</v>
      </c>
      <c r="M85" s="262"/>
      <c r="N85" s="214">
        <v>45310.0</v>
      </c>
      <c r="O85" s="262"/>
      <c r="P85" s="565">
        <v>5.0</v>
      </c>
      <c r="Q85" s="594">
        <v>45.0</v>
      </c>
      <c r="R85" s="566" t="s">
        <v>29</v>
      </c>
      <c r="S85" s="14"/>
      <c r="T85" s="14"/>
      <c r="U85" s="14"/>
      <c r="V85" s="14"/>
      <c r="W85" s="14"/>
      <c r="X85" s="14"/>
      <c r="Y85" s="14"/>
      <c r="Z85" s="14"/>
      <c r="AA85" s="14"/>
      <c r="AB85" s="3"/>
      <c r="AC85" s="3"/>
    </row>
    <row r="86">
      <c r="A86" s="203" t="s">
        <v>256</v>
      </c>
      <c r="B86" s="203" t="s">
        <v>1732</v>
      </c>
      <c r="C86" s="214">
        <v>45344.0</v>
      </c>
      <c r="D86" s="241" t="s">
        <v>1675</v>
      </c>
      <c r="E86" s="411" t="s">
        <v>1515</v>
      </c>
      <c r="F86" s="214">
        <v>45344.0</v>
      </c>
      <c r="G86" s="262"/>
      <c r="H86" s="214">
        <v>45351.0</v>
      </c>
      <c r="I86" s="262"/>
      <c r="J86" s="214">
        <v>45377.0</v>
      </c>
      <c r="K86" s="214"/>
      <c r="L86" s="203" t="s">
        <v>1109</v>
      </c>
      <c r="M86" s="262"/>
      <c r="N86" s="214">
        <v>45344.0</v>
      </c>
      <c r="O86" s="262"/>
      <c r="P86" s="565">
        <v>7.0</v>
      </c>
      <c r="Q86" s="565">
        <v>63.0</v>
      </c>
      <c r="R86" s="566" t="s">
        <v>23</v>
      </c>
      <c r="S86" s="14"/>
      <c r="T86" s="14"/>
      <c r="U86" s="14"/>
      <c r="V86" s="14"/>
      <c r="W86" s="14"/>
      <c r="X86" s="14"/>
      <c r="Y86" s="14"/>
      <c r="Z86" s="14"/>
      <c r="AA86" s="14"/>
      <c r="AB86" s="3"/>
      <c r="AC86" s="3"/>
    </row>
    <row r="87">
      <c r="A87" s="203" t="s">
        <v>259</v>
      </c>
      <c r="B87" s="203" t="s">
        <v>1578</v>
      </c>
      <c r="C87" s="214">
        <v>45307.0</v>
      </c>
      <c r="D87" s="241" t="s">
        <v>1789</v>
      </c>
      <c r="E87" s="596">
        <v>45309.0</v>
      </c>
      <c r="F87" s="214">
        <v>45323.0</v>
      </c>
      <c r="G87" s="262"/>
      <c r="H87" s="214">
        <v>45323.0</v>
      </c>
      <c r="I87" s="214"/>
      <c r="J87" s="214">
        <v>45379.0</v>
      </c>
      <c r="K87" s="253"/>
      <c r="L87" s="203" t="s">
        <v>1109</v>
      </c>
      <c r="M87" s="262"/>
      <c r="N87" s="214">
        <v>45323.0</v>
      </c>
      <c r="O87" s="214"/>
      <c r="P87" s="565">
        <v>6.0</v>
      </c>
      <c r="Q87" s="565">
        <v>49.0</v>
      </c>
      <c r="R87" s="566" t="s">
        <v>29</v>
      </c>
      <c r="S87" s="14"/>
      <c r="T87" s="14"/>
      <c r="U87" s="14"/>
      <c r="V87" s="14"/>
      <c r="W87" s="14"/>
      <c r="X87" s="14"/>
      <c r="Y87" s="14"/>
      <c r="Z87" s="14"/>
      <c r="AA87" s="14"/>
      <c r="AB87" s="3"/>
      <c r="AC87" s="3"/>
    </row>
    <row r="88">
      <c r="A88" s="203" t="s">
        <v>262</v>
      </c>
      <c r="B88" s="203" t="s">
        <v>1578</v>
      </c>
      <c r="C88" s="214">
        <v>45334.0</v>
      </c>
      <c r="D88" s="241" t="s">
        <v>1675</v>
      </c>
      <c r="E88" s="411"/>
      <c r="F88" s="214">
        <v>45334.0</v>
      </c>
      <c r="G88" s="564"/>
      <c r="H88" s="214">
        <v>45334.0</v>
      </c>
      <c r="I88" s="564"/>
      <c r="J88" s="214">
        <v>45380.0</v>
      </c>
      <c r="K88" s="90"/>
      <c r="L88" s="203" t="s">
        <v>1109</v>
      </c>
      <c r="M88" s="262"/>
      <c r="N88" s="214">
        <v>45334.0</v>
      </c>
      <c r="O88" s="564"/>
      <c r="P88" s="565">
        <v>7.0</v>
      </c>
      <c r="Q88" s="565">
        <v>67.0</v>
      </c>
      <c r="R88" s="51"/>
      <c r="S88" s="14"/>
      <c r="T88" s="14"/>
      <c r="U88" s="14"/>
      <c r="V88" s="14"/>
      <c r="W88" s="14"/>
      <c r="X88" s="14"/>
      <c r="Y88" s="14"/>
      <c r="Z88" s="14"/>
      <c r="AA88" s="14"/>
      <c r="AB88" s="3"/>
      <c r="AC88" s="3"/>
    </row>
    <row r="89">
      <c r="A89" s="203" t="s">
        <v>178</v>
      </c>
      <c r="B89" s="203" t="s">
        <v>1732</v>
      </c>
      <c r="C89" s="214">
        <v>45231.0</v>
      </c>
      <c r="D89" s="564"/>
      <c r="E89" s="411" t="s">
        <v>3037</v>
      </c>
      <c r="F89" s="214">
        <v>45231.0</v>
      </c>
      <c r="G89" s="262"/>
      <c r="H89" s="214">
        <v>45231.0</v>
      </c>
      <c r="I89" s="262"/>
      <c r="J89" s="214">
        <v>45386.0</v>
      </c>
      <c r="K89" s="547" t="s">
        <v>3099</v>
      </c>
      <c r="L89" s="202">
        <v>45267.0</v>
      </c>
      <c r="M89" s="203" t="s">
        <v>3136</v>
      </c>
      <c r="N89" s="214">
        <v>45231.0</v>
      </c>
      <c r="O89" s="262"/>
      <c r="P89" s="565">
        <v>5.0</v>
      </c>
      <c r="Q89" s="565">
        <v>48.0</v>
      </c>
      <c r="R89" s="566" t="s">
        <v>29</v>
      </c>
      <c r="S89" s="14"/>
      <c r="T89" s="14"/>
      <c r="U89" s="14"/>
      <c r="V89" s="14"/>
      <c r="W89" s="14"/>
      <c r="X89" s="14"/>
      <c r="Y89" s="17"/>
      <c r="Z89" s="14"/>
      <c r="AA89" s="17"/>
      <c r="AB89" s="3"/>
      <c r="AC89" s="3"/>
    </row>
    <row r="90">
      <c r="A90" s="203" t="s">
        <v>215</v>
      </c>
      <c r="B90" s="203" t="s">
        <v>1578</v>
      </c>
      <c r="C90" s="202">
        <v>45274.0</v>
      </c>
      <c r="D90" s="564"/>
      <c r="E90" s="411" t="s">
        <v>1879</v>
      </c>
      <c r="F90" s="202">
        <v>45274.0</v>
      </c>
      <c r="G90" s="262"/>
      <c r="H90" s="202">
        <v>45274.0</v>
      </c>
      <c r="I90" s="262"/>
      <c r="J90" s="214">
        <v>45387.0</v>
      </c>
      <c r="K90" s="262"/>
      <c r="L90" s="203" t="s">
        <v>1109</v>
      </c>
      <c r="M90" s="262"/>
      <c r="N90" s="202">
        <v>45274.0</v>
      </c>
      <c r="O90" s="262"/>
      <c r="P90" s="565">
        <v>6.0</v>
      </c>
      <c r="Q90" s="565">
        <v>51.0</v>
      </c>
      <c r="R90" s="568" t="s">
        <v>3140</v>
      </c>
      <c r="S90" s="14"/>
      <c r="T90" s="14"/>
      <c r="U90" s="14"/>
      <c r="V90" s="14"/>
      <c r="W90" s="14"/>
      <c r="X90" s="14"/>
      <c r="Y90" s="14"/>
      <c r="Z90" s="14"/>
      <c r="AA90" s="14"/>
      <c r="AB90" s="3"/>
      <c r="AC90" s="3"/>
    </row>
    <row r="91">
      <c r="A91" s="203" t="s">
        <v>236</v>
      </c>
      <c r="B91" s="203" t="s">
        <v>1640</v>
      </c>
      <c r="C91" s="214">
        <v>45302.0</v>
      </c>
      <c r="D91" s="547" t="s">
        <v>3142</v>
      </c>
      <c r="E91" s="250">
        <v>45365.0</v>
      </c>
      <c r="F91" s="214">
        <v>45321.0</v>
      </c>
      <c r="G91" s="262"/>
      <c r="H91" s="214">
        <v>45321.0</v>
      </c>
      <c r="I91" s="262"/>
      <c r="J91" s="202">
        <v>45387.0</v>
      </c>
      <c r="K91" s="253"/>
      <c r="L91" s="214">
        <v>45385.0</v>
      </c>
      <c r="M91" s="203" t="s">
        <v>3144</v>
      </c>
      <c r="N91" s="214">
        <v>45321.0</v>
      </c>
      <c r="O91" s="262"/>
      <c r="P91" s="565">
        <v>4.0</v>
      </c>
      <c r="Q91" s="565">
        <v>32.0</v>
      </c>
      <c r="R91" s="566" t="s">
        <v>23</v>
      </c>
      <c r="S91" s="14"/>
      <c r="T91" s="14"/>
      <c r="U91" s="14"/>
      <c r="V91" s="14"/>
      <c r="W91" s="14"/>
      <c r="X91" s="14"/>
      <c r="Y91" s="14"/>
      <c r="Z91" s="14"/>
      <c r="AA91" s="14"/>
      <c r="AB91" s="3"/>
      <c r="AC91" s="3"/>
    </row>
    <row r="92">
      <c r="A92" s="203" t="s">
        <v>274</v>
      </c>
      <c r="B92" s="203" t="s">
        <v>1578</v>
      </c>
      <c r="C92" s="214">
        <v>45327.0</v>
      </c>
      <c r="D92" s="547" t="s">
        <v>3146</v>
      </c>
      <c r="E92" s="411" t="s">
        <v>1515</v>
      </c>
      <c r="F92" s="214">
        <v>45327.0</v>
      </c>
      <c r="G92" s="262"/>
      <c r="H92" s="214">
        <v>45327.0</v>
      </c>
      <c r="I92" s="262"/>
      <c r="J92" s="214">
        <v>45390.0</v>
      </c>
      <c r="K92" s="262"/>
      <c r="L92" s="214">
        <v>45411.0</v>
      </c>
      <c r="M92" s="262"/>
      <c r="N92" s="214">
        <v>45327.0</v>
      </c>
      <c r="O92" s="262"/>
      <c r="P92" s="565">
        <v>4.0</v>
      </c>
      <c r="Q92" s="565">
        <v>32.0</v>
      </c>
      <c r="R92" s="566" t="s">
        <v>29</v>
      </c>
      <c r="S92" s="14"/>
      <c r="T92" s="14"/>
      <c r="U92" s="14"/>
      <c r="V92" s="14"/>
      <c r="W92" s="14"/>
      <c r="X92" s="14"/>
      <c r="Y92" s="14"/>
      <c r="Z92" s="14"/>
      <c r="AA92" s="14"/>
      <c r="AB92" s="3"/>
      <c r="AC92" s="3"/>
    </row>
    <row r="93">
      <c r="A93" s="203" t="s">
        <v>278</v>
      </c>
      <c r="B93" s="203" t="s">
        <v>1640</v>
      </c>
      <c r="C93" s="214">
        <v>45302.0</v>
      </c>
      <c r="D93" s="547" t="s">
        <v>3142</v>
      </c>
      <c r="E93" s="214">
        <v>45365.0</v>
      </c>
      <c r="F93" s="214">
        <v>45321.0</v>
      </c>
      <c r="G93" s="262"/>
      <c r="H93" s="214">
        <v>45321.0</v>
      </c>
      <c r="I93" s="262"/>
      <c r="J93" s="214">
        <v>45393.0</v>
      </c>
      <c r="K93" s="262"/>
      <c r="L93" s="214">
        <v>45385.0</v>
      </c>
      <c r="M93" s="262"/>
      <c r="N93" s="214">
        <v>45321.0</v>
      </c>
      <c r="O93" s="262"/>
      <c r="P93" s="565">
        <v>5.0</v>
      </c>
      <c r="Q93" s="565">
        <v>45.0</v>
      </c>
      <c r="R93" s="566" t="s">
        <v>29</v>
      </c>
      <c r="S93" s="14"/>
      <c r="T93" s="14"/>
      <c r="U93" s="14"/>
      <c r="V93" s="14"/>
      <c r="W93" s="14"/>
      <c r="X93" s="14"/>
      <c r="Y93" s="14"/>
      <c r="Z93" s="14"/>
      <c r="AA93" s="14"/>
      <c r="AB93" s="3"/>
      <c r="AC93" s="3"/>
    </row>
    <row r="94">
      <c r="A94" s="203" t="s">
        <v>279</v>
      </c>
      <c r="B94" s="203" t="s">
        <v>1578</v>
      </c>
      <c r="C94" s="214">
        <v>45320.0</v>
      </c>
      <c r="D94" s="547" t="s">
        <v>3149</v>
      </c>
      <c r="E94" s="411" t="s">
        <v>1515</v>
      </c>
      <c r="F94" s="214">
        <v>45320.0</v>
      </c>
      <c r="G94" s="262"/>
      <c r="H94" s="214">
        <v>45320.0</v>
      </c>
      <c r="I94" s="262"/>
      <c r="J94" s="214">
        <v>45397.0</v>
      </c>
      <c r="K94" s="200" t="s">
        <v>3125</v>
      </c>
      <c r="L94" s="203" t="s">
        <v>1109</v>
      </c>
      <c r="M94" s="203"/>
      <c r="N94" s="214">
        <v>45320.0</v>
      </c>
      <c r="O94" s="262"/>
      <c r="P94" s="565">
        <v>8.0</v>
      </c>
      <c r="Q94" s="565">
        <v>74.0</v>
      </c>
      <c r="R94" s="566" t="s">
        <v>29</v>
      </c>
      <c r="S94" s="14"/>
      <c r="T94" s="14"/>
      <c r="U94" s="14"/>
      <c r="V94" s="14"/>
      <c r="W94" s="14"/>
      <c r="X94" s="14"/>
      <c r="Y94" s="14"/>
      <c r="Z94" s="14"/>
      <c r="AA94" s="14"/>
      <c r="AB94" s="3"/>
      <c r="AC94" s="3"/>
    </row>
    <row r="95">
      <c r="A95" s="203" t="s">
        <v>286</v>
      </c>
      <c r="B95" s="203" t="s">
        <v>1578</v>
      </c>
      <c r="C95" s="214">
        <v>45362.0</v>
      </c>
      <c r="D95" s="241" t="s">
        <v>1789</v>
      </c>
      <c r="E95" s="411" t="s">
        <v>1515</v>
      </c>
      <c r="F95" s="214">
        <v>45390.0</v>
      </c>
      <c r="G95" s="253"/>
      <c r="H95" s="214">
        <v>45390.0</v>
      </c>
      <c r="I95" s="253"/>
      <c r="J95" s="214">
        <v>45397.0</v>
      </c>
      <c r="K95" s="212"/>
      <c r="L95" s="203" t="s">
        <v>1109</v>
      </c>
      <c r="M95" s="253"/>
      <c r="N95" s="214">
        <v>45390.0</v>
      </c>
      <c r="O95" s="253"/>
      <c r="P95" s="565">
        <v>7.0</v>
      </c>
      <c r="Q95" s="565">
        <v>65.0</v>
      </c>
      <c r="R95" s="465"/>
      <c r="S95" s="3"/>
      <c r="T95" s="3"/>
      <c r="U95" s="3"/>
      <c r="V95" s="3"/>
      <c r="W95" s="3"/>
      <c r="X95" s="3"/>
      <c r="Y95" s="3"/>
      <c r="Z95" s="3"/>
      <c r="AA95" s="3"/>
      <c r="AB95" s="3"/>
      <c r="AC95" s="3"/>
    </row>
    <row r="96">
      <c r="A96" s="203" t="s">
        <v>243</v>
      </c>
      <c r="B96" s="203" t="s">
        <v>1578</v>
      </c>
      <c r="C96" s="214">
        <v>45314.0</v>
      </c>
      <c r="D96" s="564"/>
      <c r="E96" s="411"/>
      <c r="F96" s="214">
        <v>45314.0</v>
      </c>
      <c r="G96" s="262"/>
      <c r="H96" s="214">
        <v>45314.0</v>
      </c>
      <c r="I96" s="262"/>
      <c r="J96" s="214">
        <v>45398.0</v>
      </c>
      <c r="K96" s="200" t="s">
        <v>3125</v>
      </c>
      <c r="L96" s="203" t="s">
        <v>1109</v>
      </c>
      <c r="M96" s="262"/>
      <c r="N96" s="214">
        <v>45314.0</v>
      </c>
      <c r="O96" s="262"/>
      <c r="P96" s="565">
        <v>6.0</v>
      </c>
      <c r="Q96" s="565">
        <v>52.0</v>
      </c>
      <c r="R96" s="566" t="s">
        <v>16</v>
      </c>
      <c r="S96" s="14"/>
      <c r="T96" s="14"/>
      <c r="U96" s="14"/>
      <c r="V96" s="14"/>
      <c r="W96" s="14"/>
      <c r="X96" s="14"/>
      <c r="Y96" s="14"/>
      <c r="Z96" s="14"/>
      <c r="AA96" s="14"/>
      <c r="AB96" s="3"/>
      <c r="AC96" s="3"/>
    </row>
    <row r="97">
      <c r="A97" s="203" t="s">
        <v>190</v>
      </c>
      <c r="B97" s="203" t="s">
        <v>1578</v>
      </c>
      <c r="C97" s="202">
        <v>45282.0</v>
      </c>
      <c r="D97" s="241" t="s">
        <v>1675</v>
      </c>
      <c r="E97" s="411" t="s">
        <v>1879</v>
      </c>
      <c r="F97" s="202">
        <v>45282.0</v>
      </c>
      <c r="G97" s="262"/>
      <c r="H97" s="202">
        <v>45282.0</v>
      </c>
      <c r="I97" s="262"/>
      <c r="J97" s="214">
        <v>45408.0</v>
      </c>
      <c r="K97" s="262"/>
      <c r="L97" s="203" t="s">
        <v>1109</v>
      </c>
      <c r="M97" s="262"/>
      <c r="N97" s="202">
        <v>45282.0</v>
      </c>
      <c r="O97" s="262"/>
      <c r="P97" s="565">
        <v>5.0</v>
      </c>
      <c r="Q97" s="565">
        <v>44.0</v>
      </c>
      <c r="R97" s="566" t="s">
        <v>23</v>
      </c>
      <c r="S97" s="14"/>
      <c r="T97" s="14"/>
      <c r="U97" s="14"/>
      <c r="V97" s="14"/>
      <c r="W97" s="14"/>
      <c r="X97" s="14"/>
      <c r="Y97" s="17"/>
      <c r="Z97" s="14"/>
      <c r="AA97" s="17"/>
      <c r="AB97" s="3"/>
      <c r="AC97" s="3"/>
    </row>
    <row r="98">
      <c r="A98" s="203" t="s">
        <v>263</v>
      </c>
      <c r="B98" s="203" t="s">
        <v>1578</v>
      </c>
      <c r="C98" s="214">
        <v>45334.0</v>
      </c>
      <c r="D98" s="547" t="s">
        <v>3157</v>
      </c>
      <c r="E98" s="411" t="s">
        <v>1515</v>
      </c>
      <c r="F98" s="214">
        <v>45334.0</v>
      </c>
      <c r="G98" s="214"/>
      <c r="H98" s="214">
        <v>45334.0</v>
      </c>
      <c r="I98" s="214"/>
      <c r="J98" s="214">
        <v>45411.0</v>
      </c>
      <c r="K98" s="200" t="s">
        <v>3158</v>
      </c>
      <c r="L98" s="203" t="s">
        <v>1109</v>
      </c>
      <c r="M98" s="262"/>
      <c r="N98" s="214">
        <v>45334.0</v>
      </c>
      <c r="O98" s="214"/>
      <c r="P98" s="565">
        <v>5.0</v>
      </c>
      <c r="Q98" s="565">
        <v>42.0</v>
      </c>
      <c r="R98" s="566" t="s">
        <v>29</v>
      </c>
      <c r="S98" s="14"/>
      <c r="T98" s="14"/>
      <c r="U98" s="14"/>
      <c r="V98" s="14"/>
      <c r="W98" s="14"/>
      <c r="X98" s="14"/>
      <c r="Y98" s="14"/>
      <c r="Z98" s="14"/>
      <c r="AA98" s="14"/>
      <c r="AB98" s="3"/>
      <c r="AC98" s="3"/>
    </row>
    <row r="99">
      <c r="A99" s="203" t="s">
        <v>255</v>
      </c>
      <c r="B99" s="203" t="s">
        <v>1578</v>
      </c>
      <c r="C99" s="214">
        <v>45335.0</v>
      </c>
      <c r="D99" s="262"/>
      <c r="E99" s="411" t="s">
        <v>1549</v>
      </c>
      <c r="F99" s="214">
        <v>45335.0</v>
      </c>
      <c r="G99" s="262"/>
      <c r="H99" s="214">
        <v>45335.0</v>
      </c>
      <c r="I99" s="262"/>
      <c r="J99" s="214">
        <v>45413.0</v>
      </c>
      <c r="K99" s="262"/>
      <c r="L99" s="597">
        <v>45384.0</v>
      </c>
      <c r="M99" s="262"/>
      <c r="N99" s="214">
        <v>45335.0</v>
      </c>
      <c r="O99" s="262"/>
      <c r="P99" s="565">
        <v>8.0</v>
      </c>
      <c r="Q99" s="565">
        <v>69.0</v>
      </c>
      <c r="R99" s="566" t="s">
        <v>23</v>
      </c>
      <c r="S99" s="14"/>
      <c r="T99" s="14"/>
      <c r="U99" s="14"/>
      <c r="V99" s="14"/>
      <c r="W99" s="14"/>
      <c r="X99" s="14"/>
      <c r="Y99" s="14"/>
      <c r="Z99" s="14"/>
      <c r="AA99" s="14"/>
      <c r="AB99" s="3"/>
      <c r="AC99" s="3"/>
    </row>
    <row r="100">
      <c r="A100" s="203" t="s">
        <v>287</v>
      </c>
      <c r="B100" s="203" t="s">
        <v>1578</v>
      </c>
      <c r="C100" s="214">
        <v>45336.0</v>
      </c>
      <c r="D100" s="241" t="s">
        <v>1789</v>
      </c>
      <c r="E100" s="411" t="s">
        <v>1515</v>
      </c>
      <c r="F100" s="214">
        <v>45343.0</v>
      </c>
      <c r="G100" s="262"/>
      <c r="H100" s="214">
        <v>45343.0</v>
      </c>
      <c r="I100" s="262"/>
      <c r="J100" s="214">
        <v>45413.0</v>
      </c>
      <c r="K100" s="253"/>
      <c r="L100" s="203" t="s">
        <v>1109</v>
      </c>
      <c r="M100" s="262"/>
      <c r="N100" s="214">
        <v>45343.0</v>
      </c>
      <c r="O100" s="262"/>
      <c r="P100" s="565">
        <v>6.0</v>
      </c>
      <c r="Q100" s="565">
        <v>58.0</v>
      </c>
      <c r="R100" s="566" t="s">
        <v>23</v>
      </c>
      <c r="S100" s="14"/>
      <c r="T100" s="14"/>
      <c r="U100" s="14"/>
      <c r="V100" s="14"/>
      <c r="W100" s="14"/>
      <c r="X100" s="14"/>
      <c r="Y100" s="14"/>
      <c r="Z100" s="14"/>
      <c r="AA100" s="14"/>
      <c r="AB100" s="3"/>
      <c r="AC100" s="3"/>
    </row>
    <row r="101">
      <c r="A101" s="203" t="s">
        <v>260</v>
      </c>
      <c r="B101" s="203" t="s">
        <v>1578</v>
      </c>
      <c r="C101" s="214">
        <v>45349.0</v>
      </c>
      <c r="D101" s="241" t="s">
        <v>1675</v>
      </c>
      <c r="E101" s="411" t="s">
        <v>1515</v>
      </c>
      <c r="F101" s="214">
        <v>45349.0</v>
      </c>
      <c r="G101" s="262"/>
      <c r="H101" s="214">
        <v>45349.0</v>
      </c>
      <c r="I101" s="262"/>
      <c r="J101" s="214">
        <v>45414.0</v>
      </c>
      <c r="K101" s="212" t="s">
        <v>3165</v>
      </c>
      <c r="L101" s="214">
        <v>45355.0</v>
      </c>
      <c r="M101" s="212" t="s">
        <v>3165</v>
      </c>
      <c r="N101" s="214">
        <v>45349.0</v>
      </c>
      <c r="O101" s="262"/>
      <c r="P101" s="565">
        <v>7.0</v>
      </c>
      <c r="Q101" s="565">
        <v>63.0</v>
      </c>
      <c r="R101" s="566" t="s">
        <v>29</v>
      </c>
      <c r="S101" s="14"/>
      <c r="T101" s="14"/>
      <c r="U101" s="14"/>
      <c r="V101" s="14"/>
      <c r="W101" s="14"/>
      <c r="X101" s="14"/>
      <c r="Y101" s="14"/>
      <c r="Z101" s="14"/>
      <c r="AA101" s="14"/>
      <c r="AB101" s="3"/>
      <c r="AC101" s="3"/>
    </row>
    <row r="102">
      <c r="A102" s="203" t="s">
        <v>311</v>
      </c>
      <c r="B102" s="203" t="s">
        <v>1578</v>
      </c>
      <c r="C102" s="214">
        <v>45352.0</v>
      </c>
      <c r="D102" s="241" t="s">
        <v>3167</v>
      </c>
      <c r="E102" s="411" t="s">
        <v>1515</v>
      </c>
      <c r="F102" s="214">
        <v>45352.0</v>
      </c>
      <c r="G102" s="262"/>
      <c r="H102" s="214">
        <v>45366.0</v>
      </c>
      <c r="I102" s="262"/>
      <c r="J102" s="214">
        <v>45418.0</v>
      </c>
      <c r="K102" s="262"/>
      <c r="L102" s="214">
        <v>45412.0</v>
      </c>
      <c r="M102" s="262"/>
      <c r="N102" s="214">
        <v>45352.0</v>
      </c>
      <c r="O102" s="262"/>
      <c r="P102" s="565">
        <v>6.0</v>
      </c>
      <c r="Q102" s="565">
        <v>54.0</v>
      </c>
      <c r="R102" s="566" t="s">
        <v>23</v>
      </c>
      <c r="S102" s="14"/>
      <c r="T102" s="14"/>
      <c r="U102" s="14"/>
      <c r="V102" s="14"/>
      <c r="W102" s="14"/>
      <c r="X102" s="14"/>
      <c r="Y102" s="14"/>
      <c r="Z102" s="14"/>
      <c r="AA102" s="14"/>
      <c r="AB102" s="3"/>
      <c r="AC102" s="3"/>
    </row>
    <row r="103">
      <c r="A103" s="203" t="s">
        <v>314</v>
      </c>
      <c r="B103" s="203" t="s">
        <v>1578</v>
      </c>
      <c r="C103" s="214">
        <v>45324.0</v>
      </c>
      <c r="D103" s="547" t="s">
        <v>3169</v>
      </c>
      <c r="E103" s="411" t="s">
        <v>1515</v>
      </c>
      <c r="F103" s="214">
        <v>45324.0</v>
      </c>
      <c r="G103" s="214"/>
      <c r="H103" s="214">
        <v>45324.0</v>
      </c>
      <c r="I103" s="214"/>
      <c r="J103" s="214">
        <v>45420.0</v>
      </c>
      <c r="K103" s="200" t="s">
        <v>1764</v>
      </c>
      <c r="L103" s="203" t="s">
        <v>1109</v>
      </c>
      <c r="M103" s="262"/>
      <c r="N103" s="214">
        <v>45324.0</v>
      </c>
      <c r="O103" s="214"/>
      <c r="P103" s="565">
        <v>4.0</v>
      </c>
      <c r="Q103" s="565">
        <v>38.0</v>
      </c>
      <c r="R103" s="566" t="s">
        <v>29</v>
      </c>
      <c r="S103" s="14"/>
      <c r="T103" s="14"/>
      <c r="U103" s="14"/>
      <c r="V103" s="14"/>
      <c r="W103" s="14"/>
      <c r="X103" s="14"/>
      <c r="Y103" s="14"/>
      <c r="Z103" s="14"/>
      <c r="AA103" s="14"/>
      <c r="AB103" s="3"/>
      <c r="AC103" s="3"/>
    </row>
    <row r="104">
      <c r="A104" s="203" t="s">
        <v>296</v>
      </c>
      <c r="B104" s="203" t="s">
        <v>1578</v>
      </c>
      <c r="C104" s="214">
        <v>45376.0</v>
      </c>
      <c r="D104" s="564"/>
      <c r="E104" s="411" t="s">
        <v>1515</v>
      </c>
      <c r="F104" s="214">
        <v>45376.0</v>
      </c>
      <c r="G104" s="262"/>
      <c r="H104" s="214">
        <v>45392.0</v>
      </c>
      <c r="I104" s="262"/>
      <c r="J104" s="214">
        <v>45422.0</v>
      </c>
      <c r="K104" s="262"/>
      <c r="L104" s="203" t="s">
        <v>1109</v>
      </c>
      <c r="M104" s="262"/>
      <c r="N104" s="214">
        <v>45376.0</v>
      </c>
      <c r="O104" s="262"/>
      <c r="P104" s="565">
        <v>8.0</v>
      </c>
      <c r="Q104" s="565">
        <v>71.0</v>
      </c>
      <c r="R104" s="566" t="s">
        <v>29</v>
      </c>
      <c r="S104" s="3"/>
      <c r="T104" s="3"/>
      <c r="U104" s="3"/>
      <c r="V104" s="3"/>
      <c r="W104" s="3"/>
      <c r="X104" s="3"/>
      <c r="Y104" s="3"/>
      <c r="Z104" s="3"/>
      <c r="AA104" s="3"/>
      <c r="AB104" s="3"/>
      <c r="AC104" s="3"/>
    </row>
    <row r="105">
      <c r="A105" s="203" t="s">
        <v>319</v>
      </c>
      <c r="B105" s="203" t="s">
        <v>1732</v>
      </c>
      <c r="C105" s="214">
        <v>45365.0</v>
      </c>
      <c r="D105" s="547" t="s">
        <v>3173</v>
      </c>
      <c r="E105" s="411"/>
      <c r="F105" s="214">
        <v>45365.0</v>
      </c>
      <c r="G105" s="214"/>
      <c r="H105" s="214">
        <v>45365.0</v>
      </c>
      <c r="I105" s="214"/>
      <c r="J105" s="214">
        <v>45426.0</v>
      </c>
      <c r="K105" s="262"/>
      <c r="L105" s="203" t="s">
        <v>1109</v>
      </c>
      <c r="M105" s="262"/>
      <c r="N105" s="214">
        <v>45365.0</v>
      </c>
      <c r="O105" s="214"/>
      <c r="P105" s="565">
        <v>7.0</v>
      </c>
      <c r="Q105" s="565">
        <v>66.0</v>
      </c>
      <c r="R105" s="51"/>
      <c r="S105" s="14"/>
      <c r="T105" s="14"/>
      <c r="U105" s="14"/>
      <c r="V105" s="14"/>
      <c r="W105" s="14"/>
      <c r="X105" s="14"/>
      <c r="Y105" s="14"/>
      <c r="Z105" s="14"/>
      <c r="AA105" s="14"/>
      <c r="AB105" s="3"/>
      <c r="AC105" s="3"/>
    </row>
    <row r="106">
      <c r="A106" s="203" t="s">
        <v>228</v>
      </c>
      <c r="B106" s="203" t="s">
        <v>1578</v>
      </c>
      <c r="C106" s="214">
        <v>45266.0</v>
      </c>
      <c r="D106" s="241" t="s">
        <v>1675</v>
      </c>
      <c r="E106" s="411" t="s">
        <v>1879</v>
      </c>
      <c r="F106" s="214">
        <v>45266.0</v>
      </c>
      <c r="G106" s="262"/>
      <c r="H106" s="214">
        <v>45266.0</v>
      </c>
      <c r="I106" s="262"/>
      <c r="J106" s="214">
        <v>45428.0</v>
      </c>
      <c r="K106" s="547" t="s">
        <v>3176</v>
      </c>
      <c r="L106" s="203" t="s">
        <v>1109</v>
      </c>
      <c r="M106" s="262"/>
      <c r="N106" s="214">
        <v>45408.0</v>
      </c>
      <c r="O106" s="564"/>
      <c r="P106" s="565">
        <v>4.0</v>
      </c>
      <c r="Q106" s="565">
        <v>37.0</v>
      </c>
      <c r="R106" s="566" t="s">
        <v>23</v>
      </c>
      <c r="S106" s="3"/>
      <c r="T106" s="3"/>
      <c r="U106" s="3"/>
      <c r="V106" s="3"/>
      <c r="W106" s="3"/>
      <c r="X106" s="3"/>
      <c r="Y106" s="3"/>
      <c r="Z106" s="3"/>
      <c r="AA106" s="3"/>
      <c r="AB106" s="3"/>
      <c r="AC106" s="3"/>
    </row>
    <row r="107">
      <c r="A107" s="203" t="s">
        <v>283</v>
      </c>
      <c r="B107" s="203" t="s">
        <v>1732</v>
      </c>
      <c r="C107" s="214">
        <v>45356.0</v>
      </c>
      <c r="D107" s="241" t="s">
        <v>3167</v>
      </c>
      <c r="E107" s="250">
        <v>45362.0</v>
      </c>
      <c r="F107" s="214">
        <v>45356.0</v>
      </c>
      <c r="G107" s="262"/>
      <c r="H107" s="214">
        <v>45370.0</v>
      </c>
      <c r="I107" s="262"/>
      <c r="J107" s="214">
        <v>45440.0</v>
      </c>
      <c r="K107" s="262"/>
      <c r="L107" s="203" t="s">
        <v>1109</v>
      </c>
      <c r="M107" s="262"/>
      <c r="N107" s="214">
        <v>45356.0</v>
      </c>
      <c r="O107" s="262"/>
      <c r="P107" s="565">
        <v>8.0</v>
      </c>
      <c r="Q107" s="565">
        <v>68.0</v>
      </c>
      <c r="R107" s="51"/>
      <c r="S107" s="14"/>
      <c r="T107" s="14"/>
      <c r="U107" s="14"/>
      <c r="V107" s="14"/>
      <c r="W107" s="14"/>
      <c r="X107" s="14"/>
      <c r="Y107" s="14"/>
      <c r="Z107" s="14"/>
      <c r="AA107" s="14"/>
      <c r="AB107" s="3"/>
      <c r="AC107" s="3"/>
    </row>
    <row r="108">
      <c r="A108" s="203" t="s">
        <v>277</v>
      </c>
      <c r="B108" s="203" t="s">
        <v>1732</v>
      </c>
      <c r="C108" s="214">
        <v>45356.0</v>
      </c>
      <c r="D108" s="241" t="s">
        <v>3167</v>
      </c>
      <c r="E108" s="214">
        <v>45356.0</v>
      </c>
      <c r="F108" s="214">
        <v>45356.0</v>
      </c>
      <c r="G108" s="214"/>
      <c r="H108" s="214">
        <v>45370.0</v>
      </c>
      <c r="I108" s="262"/>
      <c r="J108" s="214">
        <v>45440.0</v>
      </c>
      <c r="K108" s="262"/>
      <c r="L108" s="203" t="s">
        <v>1109</v>
      </c>
      <c r="M108" s="253"/>
      <c r="N108" s="214">
        <v>45356.0</v>
      </c>
      <c r="O108" s="214"/>
      <c r="P108" s="565">
        <v>8.0</v>
      </c>
      <c r="Q108" s="565">
        <v>68.0</v>
      </c>
      <c r="R108" s="51"/>
      <c r="S108" s="14"/>
      <c r="T108" s="14"/>
      <c r="U108" s="14"/>
      <c r="V108" s="14"/>
      <c r="W108" s="14"/>
      <c r="X108" s="14"/>
      <c r="Y108" s="14"/>
      <c r="Z108" s="14"/>
      <c r="AA108" s="14"/>
      <c r="AB108" s="3"/>
      <c r="AC108" s="3"/>
    </row>
    <row r="109">
      <c r="A109" s="203" t="s">
        <v>272</v>
      </c>
      <c r="B109" s="203" t="s">
        <v>1578</v>
      </c>
      <c r="C109" s="214">
        <v>45308.0</v>
      </c>
      <c r="D109" s="547" t="s">
        <v>3142</v>
      </c>
      <c r="E109" s="411" t="s">
        <v>1515</v>
      </c>
      <c r="F109" s="214">
        <v>45308.0</v>
      </c>
      <c r="G109" s="262"/>
      <c r="H109" s="214">
        <v>45308.0</v>
      </c>
      <c r="I109" s="262"/>
      <c r="J109" s="214">
        <v>45442.0</v>
      </c>
      <c r="K109" s="200" t="s">
        <v>3181</v>
      </c>
      <c r="L109" s="203" t="s">
        <v>1109</v>
      </c>
      <c r="M109" s="262"/>
      <c r="N109" s="214">
        <v>45308.0</v>
      </c>
      <c r="O109" s="262"/>
      <c r="P109" s="565">
        <v>4.0</v>
      </c>
      <c r="Q109" s="565">
        <v>30.0</v>
      </c>
      <c r="R109" s="566" t="s">
        <v>29</v>
      </c>
      <c r="S109" s="14"/>
      <c r="T109" s="14"/>
      <c r="U109" s="14"/>
      <c r="V109" s="14"/>
      <c r="W109" s="14"/>
      <c r="X109" s="14"/>
      <c r="Y109" s="14"/>
      <c r="Z109" s="14"/>
      <c r="AA109" s="17"/>
      <c r="AB109" s="3"/>
      <c r="AC109" s="3"/>
    </row>
    <row r="110">
      <c r="A110" s="203" t="s">
        <v>315</v>
      </c>
      <c r="B110" s="203" t="s">
        <v>1578</v>
      </c>
      <c r="C110" s="214">
        <v>45386.0</v>
      </c>
      <c r="D110" s="212" t="s">
        <v>3182</v>
      </c>
      <c r="E110" s="411" t="s">
        <v>1515</v>
      </c>
      <c r="F110" s="214">
        <v>45386.0</v>
      </c>
      <c r="G110" s="262"/>
      <c r="H110" s="214">
        <v>45393.0</v>
      </c>
      <c r="I110" s="262"/>
      <c r="J110" s="214">
        <v>45442.0</v>
      </c>
      <c r="K110" s="262"/>
      <c r="L110" s="203" t="s">
        <v>1109</v>
      </c>
      <c r="M110" s="262"/>
      <c r="N110" s="214">
        <v>45393.0</v>
      </c>
      <c r="O110" s="262"/>
      <c r="P110" s="565">
        <v>8.0</v>
      </c>
      <c r="Q110" s="565">
        <v>72.0</v>
      </c>
      <c r="R110" s="566" t="s">
        <v>52</v>
      </c>
      <c r="S110" s="3"/>
      <c r="T110" s="3"/>
      <c r="U110" s="3"/>
      <c r="V110" s="3"/>
      <c r="W110" s="3"/>
      <c r="X110" s="3"/>
      <c r="Y110" s="3"/>
      <c r="Z110" s="3"/>
      <c r="AA110" s="3"/>
      <c r="AB110" s="3"/>
      <c r="AC110" s="3"/>
    </row>
    <row r="111">
      <c r="A111" s="203" t="s">
        <v>336</v>
      </c>
      <c r="B111" s="203" t="s">
        <v>1578</v>
      </c>
      <c r="C111" s="214">
        <v>45377.0</v>
      </c>
      <c r="D111" s="564"/>
      <c r="E111" s="411" t="s">
        <v>1515</v>
      </c>
      <c r="F111" s="214">
        <v>45377.0</v>
      </c>
      <c r="G111" s="262"/>
      <c r="H111" s="214">
        <v>45377.0</v>
      </c>
      <c r="I111" s="262"/>
      <c r="J111" s="214">
        <v>45454.0</v>
      </c>
      <c r="K111" s="262"/>
      <c r="L111" s="203" t="s">
        <v>1109</v>
      </c>
      <c r="M111" s="262"/>
      <c r="N111" s="214">
        <v>45377.0</v>
      </c>
      <c r="O111" s="262"/>
      <c r="P111" s="565">
        <v>7.0</v>
      </c>
      <c r="Q111" s="565">
        <v>66.0</v>
      </c>
      <c r="R111" s="566" t="s">
        <v>52</v>
      </c>
      <c r="S111" s="3"/>
      <c r="T111" s="3"/>
      <c r="U111" s="3"/>
      <c r="V111" s="3"/>
      <c r="W111" s="3"/>
      <c r="X111" s="3"/>
      <c r="Y111" s="3"/>
      <c r="Z111" s="3"/>
      <c r="AA111" s="3"/>
      <c r="AB111" s="3"/>
      <c r="AC111" s="3"/>
    </row>
    <row r="112">
      <c r="A112" s="203" t="s">
        <v>340</v>
      </c>
      <c r="B112" s="203" t="s">
        <v>1732</v>
      </c>
      <c r="C112" s="214">
        <v>45394.0</v>
      </c>
      <c r="D112" s="564"/>
      <c r="E112" s="411" t="s">
        <v>1515</v>
      </c>
      <c r="F112" s="214">
        <v>45394.0</v>
      </c>
      <c r="G112" s="564"/>
      <c r="H112" s="214">
        <v>45394.0</v>
      </c>
      <c r="I112" s="564"/>
      <c r="J112" s="214">
        <v>45474.0</v>
      </c>
      <c r="K112" s="262"/>
      <c r="L112" s="203" t="s">
        <v>1769</v>
      </c>
      <c r="M112" s="262"/>
      <c r="N112" s="214">
        <v>45394.0</v>
      </c>
      <c r="O112" s="564"/>
      <c r="P112" s="565">
        <v>8.0</v>
      </c>
      <c r="Q112" s="565">
        <v>75.0</v>
      </c>
      <c r="R112" s="566" t="s">
        <v>52</v>
      </c>
      <c r="S112" s="3"/>
      <c r="T112" s="3"/>
      <c r="U112" s="3"/>
      <c r="V112" s="3"/>
      <c r="W112" s="3"/>
      <c r="X112" s="3"/>
      <c r="Y112" s="3"/>
      <c r="Z112" s="3"/>
      <c r="AA112" s="3"/>
      <c r="AB112" s="3"/>
      <c r="AC112" s="3"/>
    </row>
    <row r="113">
      <c r="A113" s="203" t="s">
        <v>196</v>
      </c>
      <c r="B113" s="203" t="s">
        <v>1640</v>
      </c>
      <c r="C113" s="202">
        <v>45271.0</v>
      </c>
      <c r="D113" s="241" t="s">
        <v>3187</v>
      </c>
      <c r="E113" s="411" t="s">
        <v>1879</v>
      </c>
      <c r="F113" s="202">
        <v>45275.0</v>
      </c>
      <c r="G113" s="262"/>
      <c r="H113" s="214">
        <v>45301.0</v>
      </c>
      <c r="I113" s="262"/>
      <c r="J113" s="87">
        <v>45483.0</v>
      </c>
      <c r="K113" s="94"/>
      <c r="L113" s="593" t="s">
        <v>1109</v>
      </c>
      <c r="M113" s="593"/>
      <c r="N113" s="202">
        <v>45275.0</v>
      </c>
      <c r="O113" s="262"/>
      <c r="P113" s="565">
        <v>4.0</v>
      </c>
      <c r="Q113" s="565">
        <v>33.0</v>
      </c>
      <c r="R113" s="566" t="s">
        <v>23</v>
      </c>
      <c r="S113" s="14"/>
      <c r="T113" s="14"/>
      <c r="U113" s="14"/>
      <c r="V113" s="14"/>
      <c r="W113" s="14"/>
      <c r="X113" s="14"/>
      <c r="Y113" s="14"/>
      <c r="Z113" s="14"/>
      <c r="AA113" s="14"/>
      <c r="AB113" s="3"/>
      <c r="AC113" s="3"/>
    </row>
    <row r="114">
      <c r="A114" s="203" t="s">
        <v>348</v>
      </c>
      <c r="B114" s="203" t="s">
        <v>1732</v>
      </c>
      <c r="C114" s="214">
        <v>45475.0</v>
      </c>
      <c r="D114" s="203" t="s">
        <v>3190</v>
      </c>
      <c r="E114" s="411" t="s">
        <v>1754</v>
      </c>
      <c r="F114" s="214">
        <v>45475.0</v>
      </c>
      <c r="G114" s="241"/>
      <c r="H114" s="214">
        <v>45475.0</v>
      </c>
      <c r="I114" s="241"/>
      <c r="J114" s="214">
        <v>45485.0</v>
      </c>
      <c r="K114" s="547" t="s">
        <v>3193</v>
      </c>
      <c r="L114" s="203" t="s">
        <v>1769</v>
      </c>
      <c r="M114" s="262"/>
      <c r="N114" s="214">
        <v>45475.0</v>
      </c>
      <c r="O114" s="241"/>
      <c r="P114" s="565">
        <v>10.0</v>
      </c>
      <c r="Q114" s="565">
        <v>96.0</v>
      </c>
      <c r="R114" s="566" t="s">
        <v>29</v>
      </c>
      <c r="S114" s="3"/>
      <c r="T114" s="3"/>
      <c r="U114" s="3"/>
      <c r="V114" s="3"/>
      <c r="W114" s="3"/>
      <c r="X114" s="3"/>
      <c r="Y114" s="3"/>
      <c r="Z114" s="3"/>
      <c r="AA114" s="3"/>
      <c r="AB114" s="3"/>
      <c r="AC114" s="3"/>
    </row>
    <row r="115">
      <c r="A115" s="455" t="s">
        <v>307</v>
      </c>
      <c r="B115" s="203" t="s">
        <v>1578</v>
      </c>
      <c r="C115" s="214">
        <v>45366.0</v>
      </c>
      <c r="D115" s="241" t="s">
        <v>1675</v>
      </c>
      <c r="E115" s="411" t="s">
        <v>1515</v>
      </c>
      <c r="F115" s="214">
        <v>45366.0</v>
      </c>
      <c r="G115" s="262"/>
      <c r="H115" s="214">
        <v>45370.0</v>
      </c>
      <c r="I115" s="262"/>
      <c r="J115" s="214">
        <v>45492.0</v>
      </c>
      <c r="K115" s="203" t="s">
        <v>3196</v>
      </c>
      <c r="L115" s="203" t="s">
        <v>1769</v>
      </c>
      <c r="M115" s="262"/>
      <c r="N115" s="214">
        <v>45366.0</v>
      </c>
      <c r="O115" s="262"/>
      <c r="P115" s="565">
        <v>8.0</v>
      </c>
      <c r="Q115" s="565">
        <v>71.0</v>
      </c>
      <c r="R115" s="566" t="s">
        <v>23</v>
      </c>
      <c r="S115" s="14"/>
      <c r="T115" s="14"/>
      <c r="U115" s="14"/>
      <c r="V115" s="14"/>
      <c r="W115" s="14"/>
      <c r="X115" s="14"/>
      <c r="Y115" s="14"/>
      <c r="Z115" s="14"/>
      <c r="AA115" s="14"/>
      <c r="AB115" s="3"/>
      <c r="AC115" s="3"/>
    </row>
    <row r="116">
      <c r="A116" s="203" t="s">
        <v>353</v>
      </c>
      <c r="B116" s="203" t="s">
        <v>1578</v>
      </c>
      <c r="C116" s="214">
        <v>45345.0</v>
      </c>
      <c r="D116" s="241" t="s">
        <v>1675</v>
      </c>
      <c r="E116" s="411" t="s">
        <v>1515</v>
      </c>
      <c r="F116" s="214">
        <v>45345.0</v>
      </c>
      <c r="G116" s="262"/>
      <c r="H116" s="214">
        <v>45345.0</v>
      </c>
      <c r="I116" s="262"/>
      <c r="J116" s="214">
        <v>45505.0</v>
      </c>
      <c r="K116" s="241" t="s">
        <v>3198</v>
      </c>
      <c r="L116" s="203" t="s">
        <v>1769</v>
      </c>
      <c r="M116" s="262"/>
      <c r="N116" s="214">
        <v>45345.0</v>
      </c>
      <c r="O116" s="262"/>
      <c r="P116" s="565">
        <v>8.0</v>
      </c>
      <c r="Q116" s="565">
        <v>70.0</v>
      </c>
      <c r="R116" s="51"/>
      <c r="S116" s="14"/>
      <c r="T116" s="14"/>
      <c r="U116" s="14"/>
      <c r="V116" s="14"/>
      <c r="W116" s="14"/>
      <c r="X116" s="14"/>
      <c r="Y116" s="14"/>
      <c r="Z116" s="14"/>
      <c r="AA116" s="14"/>
      <c r="AB116" s="3"/>
      <c r="AC116" s="3"/>
    </row>
    <row r="117">
      <c r="A117" s="203" t="s">
        <v>209</v>
      </c>
      <c r="B117" s="203" t="s">
        <v>1578</v>
      </c>
      <c r="C117" s="214">
        <v>45320.0</v>
      </c>
      <c r="D117" s="241" t="s">
        <v>1789</v>
      </c>
      <c r="E117" s="411" t="s">
        <v>1515</v>
      </c>
      <c r="F117" s="214">
        <v>45338.0</v>
      </c>
      <c r="G117" s="262"/>
      <c r="H117" s="214">
        <v>45338.0</v>
      </c>
      <c r="I117" s="262"/>
      <c r="J117" s="214">
        <v>45506.0</v>
      </c>
      <c r="K117" s="200" t="s">
        <v>3200</v>
      </c>
      <c r="L117" s="203" t="s">
        <v>1769</v>
      </c>
      <c r="M117" s="253"/>
      <c r="N117" s="214">
        <v>45338.0</v>
      </c>
      <c r="O117" s="262"/>
      <c r="P117" s="565">
        <v>8.0</v>
      </c>
      <c r="Q117" s="565">
        <v>69.0</v>
      </c>
      <c r="R117" s="566" t="s">
        <v>29</v>
      </c>
      <c r="S117" s="14"/>
      <c r="T117" s="14"/>
      <c r="U117" s="14"/>
      <c r="V117" s="14"/>
      <c r="W117" s="14"/>
      <c r="X117" s="14"/>
      <c r="Y117" s="14"/>
      <c r="Z117" s="14"/>
      <c r="AA117" s="14"/>
      <c r="AB117" s="3"/>
      <c r="AC117" s="3"/>
    </row>
    <row r="118">
      <c r="A118" s="203" t="s">
        <v>304</v>
      </c>
      <c r="B118" s="203" t="s">
        <v>1578</v>
      </c>
      <c r="C118" s="214">
        <v>45363.0</v>
      </c>
      <c r="D118" s="262"/>
      <c r="E118" s="410"/>
      <c r="F118" s="214">
        <v>45363.0</v>
      </c>
      <c r="G118" s="262"/>
      <c r="H118" s="214">
        <v>45363.0</v>
      </c>
      <c r="I118" s="262"/>
      <c r="J118" s="214">
        <v>45510.0</v>
      </c>
      <c r="K118" s="212" t="s">
        <v>3202</v>
      </c>
      <c r="L118" s="214">
        <v>45432.0</v>
      </c>
      <c r="M118" s="253"/>
      <c r="N118" s="214">
        <v>45363.0</v>
      </c>
      <c r="O118" s="262"/>
      <c r="P118" s="565">
        <v>7.0</v>
      </c>
      <c r="Q118" s="565">
        <v>65.0</v>
      </c>
      <c r="R118" s="566" t="s">
        <v>52</v>
      </c>
      <c r="S118" s="14"/>
      <c r="T118" s="14"/>
      <c r="U118" s="14"/>
      <c r="V118" s="14"/>
      <c r="W118" s="14"/>
      <c r="X118" s="14"/>
      <c r="Y118" s="14"/>
      <c r="Z118" s="14"/>
      <c r="AA118" s="14"/>
      <c r="AB118" s="3"/>
      <c r="AC118" s="3"/>
    </row>
    <row r="119">
      <c r="A119" s="203" t="s">
        <v>364</v>
      </c>
      <c r="B119" s="203" t="s">
        <v>1578</v>
      </c>
      <c r="C119" s="214">
        <v>45404.0</v>
      </c>
      <c r="D119" s="203" t="s">
        <v>3190</v>
      </c>
      <c r="E119" s="411" t="s">
        <v>1659</v>
      </c>
      <c r="F119" s="214">
        <v>45404.0</v>
      </c>
      <c r="G119" s="262"/>
      <c r="H119" s="214">
        <v>45404.0</v>
      </c>
      <c r="I119" s="262"/>
      <c r="J119" s="214">
        <v>45511.0</v>
      </c>
      <c r="K119" s="262"/>
      <c r="L119" s="203" t="s">
        <v>1109</v>
      </c>
      <c r="M119" s="262"/>
      <c r="N119" s="214">
        <v>45404.0</v>
      </c>
      <c r="O119" s="262"/>
      <c r="P119" s="565">
        <v>9.0</v>
      </c>
      <c r="Q119" s="565">
        <v>78.0</v>
      </c>
      <c r="R119" s="566" t="s">
        <v>23</v>
      </c>
      <c r="S119" s="3"/>
      <c r="T119" s="3"/>
      <c r="U119" s="3"/>
      <c r="V119" s="3"/>
      <c r="W119" s="3"/>
      <c r="X119" s="3"/>
      <c r="Y119" s="3"/>
      <c r="Z119" s="3"/>
      <c r="AA119" s="3"/>
      <c r="AB119" s="3"/>
      <c r="AC119" s="3"/>
    </row>
    <row r="120">
      <c r="A120" s="203" t="s">
        <v>322</v>
      </c>
      <c r="B120" s="203" t="s">
        <v>1578</v>
      </c>
      <c r="C120" s="214">
        <v>45401.0</v>
      </c>
      <c r="D120" s="203" t="s">
        <v>3190</v>
      </c>
      <c r="E120" s="411" t="s">
        <v>1659</v>
      </c>
      <c r="F120" s="214">
        <v>45401.0</v>
      </c>
      <c r="G120" s="564"/>
      <c r="H120" s="214">
        <v>45401.0</v>
      </c>
      <c r="I120" s="564"/>
      <c r="J120" s="202">
        <v>45516.0</v>
      </c>
      <c r="K120" s="200" t="s">
        <v>3206</v>
      </c>
      <c r="L120" s="214">
        <v>45441.0</v>
      </c>
      <c r="M120" s="262"/>
      <c r="N120" s="214">
        <v>45401.0</v>
      </c>
      <c r="O120" s="564"/>
      <c r="P120" s="565">
        <v>9.0</v>
      </c>
      <c r="Q120" s="565">
        <v>84.0</v>
      </c>
      <c r="R120" s="566" t="s">
        <v>52</v>
      </c>
      <c r="S120" s="3"/>
      <c r="T120" s="3"/>
      <c r="U120" s="3"/>
      <c r="V120" s="3"/>
      <c r="W120" s="3"/>
      <c r="X120" s="3"/>
      <c r="Y120" s="3"/>
      <c r="Z120" s="3"/>
      <c r="AA120" s="3"/>
      <c r="AB120" s="3"/>
      <c r="AC120" s="3"/>
    </row>
    <row r="121">
      <c r="A121" s="203" t="s">
        <v>372</v>
      </c>
      <c r="B121" s="203" t="s">
        <v>1578</v>
      </c>
      <c r="C121" s="202">
        <v>45433.0</v>
      </c>
      <c r="D121" s="547" t="s">
        <v>3208</v>
      </c>
      <c r="E121" s="411" t="s">
        <v>1659</v>
      </c>
      <c r="F121" s="214">
        <v>45433.0</v>
      </c>
      <c r="G121" s="262"/>
      <c r="H121" s="214">
        <v>45433.0</v>
      </c>
      <c r="I121" s="262"/>
      <c r="J121" s="214">
        <v>45517.0</v>
      </c>
      <c r="K121" s="203"/>
      <c r="L121" s="203" t="s">
        <v>1109</v>
      </c>
      <c r="M121" s="262"/>
      <c r="N121" s="214">
        <v>45433.0</v>
      </c>
      <c r="O121" s="262"/>
      <c r="P121" s="565">
        <v>9.0</v>
      </c>
      <c r="Q121" s="565">
        <v>85.0</v>
      </c>
      <c r="R121" s="566" t="s">
        <v>16</v>
      </c>
      <c r="S121" s="3"/>
      <c r="T121" s="3"/>
      <c r="U121" s="3"/>
      <c r="V121" s="3"/>
      <c r="W121" s="3"/>
      <c r="X121" s="3"/>
      <c r="Y121" s="3"/>
      <c r="Z121" s="3"/>
      <c r="AA121" s="3"/>
      <c r="AB121" s="3"/>
      <c r="AC121" s="3"/>
    </row>
    <row r="122" ht="19.5" customHeight="1">
      <c r="A122" s="203" t="s">
        <v>368</v>
      </c>
      <c r="B122" s="203" t="s">
        <v>1578</v>
      </c>
      <c r="C122" s="202">
        <v>45399.0</v>
      </c>
      <c r="D122" s="241" t="s">
        <v>3211</v>
      </c>
      <c r="E122" s="598" t="s">
        <v>1648</v>
      </c>
      <c r="F122" s="202">
        <v>45408.0</v>
      </c>
      <c r="G122" s="214"/>
      <c r="H122" s="202">
        <v>45408.0</v>
      </c>
      <c r="I122" s="564"/>
      <c r="J122" s="214">
        <v>45520.0</v>
      </c>
      <c r="K122" s="262"/>
      <c r="L122" s="203" t="s">
        <v>1769</v>
      </c>
      <c r="M122" s="262"/>
      <c r="N122" s="202">
        <v>45408.0</v>
      </c>
      <c r="O122" s="564"/>
      <c r="P122" s="565">
        <v>8.0</v>
      </c>
      <c r="Q122" s="565">
        <v>73.0</v>
      </c>
      <c r="R122" s="566" t="s">
        <v>23</v>
      </c>
      <c r="S122" s="3"/>
      <c r="T122" s="3"/>
      <c r="U122" s="3"/>
      <c r="V122" s="3"/>
      <c r="W122" s="3"/>
      <c r="X122" s="3"/>
      <c r="Y122" s="3"/>
      <c r="Z122" s="3"/>
      <c r="AA122" s="3"/>
      <c r="AB122" s="3"/>
      <c r="AC122" s="3"/>
    </row>
    <row r="123">
      <c r="A123" s="455" t="s">
        <v>375</v>
      </c>
      <c r="B123" s="203" t="s">
        <v>1578</v>
      </c>
      <c r="C123" s="214">
        <v>45420.0</v>
      </c>
      <c r="D123" s="547" t="s">
        <v>3216</v>
      </c>
      <c r="E123" s="411" t="s">
        <v>1659</v>
      </c>
      <c r="F123" s="214">
        <v>45420.0</v>
      </c>
      <c r="G123" s="262"/>
      <c r="H123" s="214">
        <v>45420.0</v>
      </c>
      <c r="I123" s="262"/>
      <c r="J123" s="214">
        <v>45524.0</v>
      </c>
      <c r="K123" s="262"/>
      <c r="L123" s="203" t="s">
        <v>1109</v>
      </c>
      <c r="M123" s="262"/>
      <c r="N123" s="214">
        <v>45420.0</v>
      </c>
      <c r="O123" s="262"/>
      <c r="P123" s="565">
        <v>8.0</v>
      </c>
      <c r="Q123" s="565">
        <v>76.0</v>
      </c>
      <c r="R123" s="566" t="s">
        <v>29</v>
      </c>
      <c r="S123" s="3"/>
      <c r="T123" s="3"/>
      <c r="U123" s="3"/>
      <c r="V123" s="3"/>
      <c r="W123" s="3"/>
      <c r="X123" s="3"/>
      <c r="Y123" s="3"/>
      <c r="Z123" s="3"/>
      <c r="AA123" s="3"/>
      <c r="AB123" s="3"/>
      <c r="AC123" s="3"/>
    </row>
    <row r="124">
      <c r="A124" s="203" t="s">
        <v>378</v>
      </c>
      <c r="B124" s="203" t="s">
        <v>1732</v>
      </c>
      <c r="C124" s="214">
        <v>45394.0</v>
      </c>
      <c r="D124" s="564"/>
      <c r="E124" s="411" t="s">
        <v>1515</v>
      </c>
      <c r="F124" s="214">
        <v>45408.0</v>
      </c>
      <c r="G124" s="262"/>
      <c r="H124" s="214">
        <v>45394.0</v>
      </c>
      <c r="I124" s="262"/>
      <c r="J124" s="214">
        <v>45525.0</v>
      </c>
      <c r="K124" s="262"/>
      <c r="L124" s="203" t="s">
        <v>1769</v>
      </c>
      <c r="M124" s="262"/>
      <c r="N124" s="214">
        <v>45408.0</v>
      </c>
      <c r="O124" s="262"/>
      <c r="P124" s="565">
        <v>9.0</v>
      </c>
      <c r="Q124" s="565">
        <v>77.0</v>
      </c>
      <c r="R124" s="566" t="s">
        <v>23</v>
      </c>
      <c r="S124" s="3"/>
      <c r="T124" s="3"/>
      <c r="U124" s="3"/>
      <c r="V124" s="3"/>
      <c r="W124" s="3"/>
      <c r="X124" s="3"/>
      <c r="Y124" s="3"/>
      <c r="Z124" s="3"/>
      <c r="AA124" s="3"/>
      <c r="AB124" s="3"/>
      <c r="AC124" s="3"/>
    </row>
    <row r="125">
      <c r="A125" s="203" t="s">
        <v>358</v>
      </c>
      <c r="B125" s="203" t="s">
        <v>1578</v>
      </c>
      <c r="C125" s="214">
        <v>45425.0</v>
      </c>
      <c r="D125" s="564"/>
      <c r="E125" s="590">
        <v>45446.0</v>
      </c>
      <c r="F125" s="214">
        <v>45425.0</v>
      </c>
      <c r="G125" s="564"/>
      <c r="H125" s="214">
        <v>45425.0</v>
      </c>
      <c r="I125" s="564"/>
      <c r="J125" s="214">
        <v>45530.0</v>
      </c>
      <c r="K125" s="200" t="s">
        <v>3220</v>
      </c>
      <c r="L125" s="214">
        <v>45446.0</v>
      </c>
      <c r="M125" s="262"/>
      <c r="N125" s="214">
        <v>45425.0</v>
      </c>
      <c r="O125" s="564"/>
      <c r="P125" s="565">
        <v>9.0</v>
      </c>
      <c r="Q125" s="565">
        <v>80.0</v>
      </c>
      <c r="R125" s="566" t="s">
        <v>23</v>
      </c>
      <c r="S125" s="3"/>
      <c r="T125" s="3"/>
      <c r="U125" s="3"/>
      <c r="V125" s="3"/>
      <c r="W125" s="3"/>
      <c r="X125" s="3"/>
      <c r="Y125" s="3"/>
      <c r="Z125" s="3"/>
      <c r="AA125" s="3"/>
      <c r="AB125" s="3"/>
      <c r="AC125" s="3"/>
    </row>
    <row r="126">
      <c r="A126" s="203" t="s">
        <v>327</v>
      </c>
      <c r="B126" s="203" t="s">
        <v>1732</v>
      </c>
      <c r="C126" s="214">
        <v>45434.0</v>
      </c>
      <c r="D126" s="262"/>
      <c r="E126" s="411" t="s">
        <v>1659</v>
      </c>
      <c r="F126" s="214">
        <v>45434.0</v>
      </c>
      <c r="G126" s="262"/>
      <c r="H126" s="214">
        <v>45434.0</v>
      </c>
      <c r="I126" s="262"/>
      <c r="J126" s="214">
        <v>45531.0</v>
      </c>
      <c r="K126" s="262"/>
      <c r="L126" s="28"/>
      <c r="M126" s="28" t="s">
        <v>3224</v>
      </c>
      <c r="N126" s="214">
        <v>45434.0</v>
      </c>
      <c r="O126" s="262"/>
      <c r="P126" s="565">
        <v>10.0</v>
      </c>
      <c r="Q126" s="565">
        <v>91.0</v>
      </c>
      <c r="R126" s="566" t="s">
        <v>29</v>
      </c>
      <c r="S126" s="3"/>
      <c r="T126" s="3"/>
      <c r="U126" s="3"/>
      <c r="V126" s="3"/>
      <c r="W126" s="3"/>
      <c r="X126" s="3"/>
      <c r="Y126" s="3"/>
      <c r="Z126" s="3"/>
      <c r="AA126" s="3"/>
      <c r="AB126" s="3"/>
      <c r="AC126" s="3"/>
    </row>
    <row r="127">
      <c r="A127" s="203" t="s">
        <v>385</v>
      </c>
      <c r="B127" s="203" t="s">
        <v>1578</v>
      </c>
      <c r="C127" s="214">
        <v>45454.0</v>
      </c>
      <c r="D127" s="203" t="s">
        <v>3190</v>
      </c>
      <c r="E127" s="411" t="s">
        <v>1659</v>
      </c>
      <c r="F127" s="214">
        <v>45454.0</v>
      </c>
      <c r="G127" s="262"/>
      <c r="H127" s="214">
        <v>45454.0</v>
      </c>
      <c r="I127" s="262"/>
      <c r="J127" s="214">
        <v>45532.0</v>
      </c>
      <c r="K127" s="262"/>
      <c r="L127" s="203" t="s">
        <v>1109</v>
      </c>
      <c r="M127" s="262"/>
      <c r="N127" s="214">
        <v>45454.0</v>
      </c>
      <c r="O127" s="262"/>
      <c r="P127" s="565">
        <v>10.0</v>
      </c>
      <c r="Q127" s="565">
        <v>88.0</v>
      </c>
      <c r="R127" s="566" t="s">
        <v>52</v>
      </c>
      <c r="S127" s="3"/>
      <c r="T127" s="3"/>
      <c r="U127" s="3"/>
      <c r="V127" s="3"/>
      <c r="W127" s="3"/>
      <c r="X127" s="3"/>
      <c r="Y127" s="3"/>
      <c r="Z127" s="3"/>
      <c r="AA127" s="3"/>
      <c r="AB127" s="3"/>
      <c r="AC127" s="3"/>
    </row>
    <row r="128">
      <c r="A128" s="455" t="s">
        <v>362</v>
      </c>
      <c r="B128" s="203" t="s">
        <v>1578</v>
      </c>
      <c r="C128" s="599">
        <v>45420.0</v>
      </c>
      <c r="D128" s="203" t="s">
        <v>3190</v>
      </c>
      <c r="E128" s="411" t="s">
        <v>1659</v>
      </c>
      <c r="F128" s="599">
        <v>45420.0</v>
      </c>
      <c r="G128" s="262"/>
      <c r="H128" s="599">
        <v>45447.0</v>
      </c>
      <c r="I128" s="203" t="s">
        <v>3227</v>
      </c>
      <c r="J128" s="214">
        <v>45540.0</v>
      </c>
      <c r="K128" s="200" t="s">
        <v>3228</v>
      </c>
      <c r="L128" s="214">
        <v>45520.0</v>
      </c>
      <c r="M128" s="203" t="s">
        <v>3229</v>
      </c>
      <c r="N128" s="599">
        <v>45420.0</v>
      </c>
      <c r="O128" s="262"/>
      <c r="P128" s="565">
        <v>9.0</v>
      </c>
      <c r="Q128" s="565">
        <v>85.0</v>
      </c>
      <c r="R128" s="566" t="s">
        <v>23</v>
      </c>
      <c r="S128" s="3"/>
      <c r="T128" s="3"/>
      <c r="U128" s="3"/>
      <c r="V128" s="3"/>
      <c r="W128" s="3"/>
      <c r="X128" s="3"/>
      <c r="Y128" s="3"/>
      <c r="Z128" s="3"/>
      <c r="AA128" s="3"/>
      <c r="AB128" s="3"/>
      <c r="AC128" s="3"/>
    </row>
    <row r="129">
      <c r="A129" s="203" t="s">
        <v>301</v>
      </c>
      <c r="B129" s="203" t="s">
        <v>1578</v>
      </c>
      <c r="C129" s="214">
        <v>45385.0</v>
      </c>
      <c r="D129" s="600" t="s">
        <v>3233</v>
      </c>
      <c r="E129" s="411" t="s">
        <v>1515</v>
      </c>
      <c r="F129" s="214">
        <v>45405.0</v>
      </c>
      <c r="G129" s="262"/>
      <c r="H129" s="214">
        <v>45405.0</v>
      </c>
      <c r="I129" s="262"/>
      <c r="J129" s="202">
        <v>45546.0</v>
      </c>
      <c r="K129" s="262"/>
      <c r="L129" s="214">
        <v>45419.0</v>
      </c>
      <c r="M129" s="262"/>
      <c r="N129" s="214">
        <v>45405.0</v>
      </c>
      <c r="O129" s="262"/>
      <c r="P129" s="565">
        <v>9.0</v>
      </c>
      <c r="Q129" s="565">
        <v>84.0</v>
      </c>
      <c r="R129" s="566" t="s">
        <v>23</v>
      </c>
      <c r="S129" s="3"/>
      <c r="T129" s="3"/>
      <c r="U129" s="3"/>
      <c r="V129" s="3"/>
      <c r="W129" s="3"/>
      <c r="X129" s="3"/>
      <c r="Y129" s="3"/>
      <c r="Z129" s="3"/>
      <c r="AA129" s="3"/>
      <c r="AB129" s="3"/>
      <c r="AC129" s="3"/>
    </row>
    <row r="130">
      <c r="A130" s="203" t="s">
        <v>391</v>
      </c>
      <c r="B130" s="203" t="s">
        <v>1578</v>
      </c>
      <c r="C130" s="214">
        <v>45432.0</v>
      </c>
      <c r="D130" s="547" t="s">
        <v>3236</v>
      </c>
      <c r="E130" s="411" t="s">
        <v>1659</v>
      </c>
      <c r="F130" s="214">
        <v>45432.0</v>
      </c>
      <c r="G130" s="262"/>
      <c r="H130" s="214">
        <v>45432.0</v>
      </c>
      <c r="I130" s="262"/>
      <c r="J130" s="214">
        <v>45561.0</v>
      </c>
      <c r="K130" s="203" t="s">
        <v>3238</v>
      </c>
      <c r="L130" s="28" t="s">
        <v>3239</v>
      </c>
      <c r="M130" s="28" t="s">
        <v>3240</v>
      </c>
      <c r="N130" s="214">
        <v>45432.0</v>
      </c>
      <c r="O130" s="262"/>
      <c r="P130" s="565">
        <v>9.0</v>
      </c>
      <c r="Q130" s="565">
        <v>83.0</v>
      </c>
      <c r="R130" s="566" t="s">
        <v>29</v>
      </c>
      <c r="S130" s="3"/>
      <c r="T130" s="3"/>
      <c r="U130" s="3"/>
      <c r="V130" s="3"/>
      <c r="W130" s="3"/>
      <c r="X130" s="3"/>
      <c r="Y130" s="3"/>
      <c r="Z130" s="3"/>
      <c r="AA130" s="3"/>
      <c r="AB130" s="3"/>
      <c r="AC130" s="3"/>
    </row>
    <row r="131">
      <c r="A131" s="203" t="s">
        <v>380</v>
      </c>
      <c r="B131" s="203" t="s">
        <v>1732</v>
      </c>
      <c r="C131" s="214">
        <v>45450.0</v>
      </c>
      <c r="D131" s="564"/>
      <c r="E131" s="411" t="s">
        <v>1659</v>
      </c>
      <c r="F131" s="214">
        <v>45450.0</v>
      </c>
      <c r="G131" s="564"/>
      <c r="H131" s="214">
        <v>45450.0</v>
      </c>
      <c r="I131" s="564"/>
      <c r="J131" s="214">
        <v>45562.0</v>
      </c>
      <c r="K131" s="482" t="s">
        <v>3242</v>
      </c>
      <c r="L131" s="214">
        <v>45569.0</v>
      </c>
      <c r="M131" s="262"/>
      <c r="N131" s="214">
        <v>45450.0</v>
      </c>
      <c r="O131" s="564"/>
      <c r="P131" s="565">
        <v>10.0</v>
      </c>
      <c r="Q131" s="565">
        <v>90.0</v>
      </c>
      <c r="R131" s="566" t="s">
        <v>23</v>
      </c>
      <c r="S131" s="3"/>
      <c r="T131" s="3"/>
      <c r="U131" s="3"/>
      <c r="V131" s="3"/>
      <c r="W131" s="3"/>
      <c r="X131" s="3"/>
      <c r="Y131" s="3"/>
      <c r="Z131" s="3"/>
      <c r="AA131" s="3"/>
      <c r="AB131" s="3"/>
      <c r="AC131" s="3"/>
    </row>
    <row r="132">
      <c r="A132" s="203" t="s">
        <v>394</v>
      </c>
      <c r="B132" s="203" t="s">
        <v>1578</v>
      </c>
      <c r="C132" s="214">
        <v>45391.0</v>
      </c>
      <c r="D132" s="547" t="s">
        <v>3244</v>
      </c>
      <c r="E132" s="411" t="s">
        <v>1515</v>
      </c>
      <c r="F132" s="214">
        <v>45391.0</v>
      </c>
      <c r="G132" s="214"/>
      <c r="H132" s="214">
        <v>45398.0</v>
      </c>
      <c r="I132" s="262"/>
      <c r="J132" s="214">
        <v>45566.0</v>
      </c>
      <c r="K132" s="200" t="s">
        <v>3245</v>
      </c>
      <c r="L132" s="203" t="s">
        <v>1109</v>
      </c>
      <c r="M132" s="262"/>
      <c r="N132" s="214">
        <v>45411.0</v>
      </c>
      <c r="O132" s="262"/>
      <c r="P132" s="565">
        <v>9.0</v>
      </c>
      <c r="Q132" s="565">
        <v>78.0</v>
      </c>
      <c r="R132" s="566" t="s">
        <v>23</v>
      </c>
      <c r="S132" s="3"/>
      <c r="T132" s="3"/>
      <c r="U132" s="3"/>
      <c r="V132" s="3"/>
      <c r="W132" s="3"/>
      <c r="X132" s="3"/>
      <c r="Y132" s="3"/>
      <c r="Z132" s="3"/>
      <c r="AA132" s="3"/>
      <c r="AB132" s="3"/>
      <c r="AC132" s="3"/>
    </row>
    <row r="133">
      <c r="A133" s="203" t="s">
        <v>384</v>
      </c>
      <c r="B133" s="203" t="s">
        <v>1732</v>
      </c>
      <c r="C133" s="214">
        <v>45467.0</v>
      </c>
      <c r="D133" s="241" t="s">
        <v>3248</v>
      </c>
      <c r="E133" s="411" t="s">
        <v>1659</v>
      </c>
      <c r="F133" s="214">
        <v>45467.0</v>
      </c>
      <c r="G133" s="262"/>
      <c r="H133" s="214">
        <v>45469.0</v>
      </c>
      <c r="I133" s="262"/>
      <c r="J133" s="214">
        <v>45567.0</v>
      </c>
      <c r="K133" s="262"/>
      <c r="L133" s="203" t="s">
        <v>1769</v>
      </c>
      <c r="M133" s="262"/>
      <c r="N133" s="214">
        <v>45467.0</v>
      </c>
      <c r="O133" s="262"/>
      <c r="P133" s="565">
        <v>10.0</v>
      </c>
      <c r="Q133" s="565">
        <v>94.0</v>
      </c>
      <c r="R133" s="566" t="s">
        <v>23</v>
      </c>
      <c r="S133" s="3"/>
      <c r="T133" s="3"/>
      <c r="U133" s="3"/>
      <c r="V133" s="3"/>
      <c r="W133" s="3"/>
      <c r="X133" s="3"/>
      <c r="Y133" s="3"/>
      <c r="Z133" s="3"/>
      <c r="AA133" s="3"/>
      <c r="AB133" s="3"/>
      <c r="AC133" s="3"/>
    </row>
    <row r="134">
      <c r="A134" s="203" t="s">
        <v>407</v>
      </c>
      <c r="B134" s="203" t="s">
        <v>1732</v>
      </c>
      <c r="C134" s="214">
        <v>45565.0</v>
      </c>
      <c r="D134" s="241" t="s">
        <v>61</v>
      </c>
      <c r="E134" s="411" t="s">
        <v>1754</v>
      </c>
      <c r="F134" s="214">
        <v>45565.0</v>
      </c>
      <c r="G134" s="262"/>
      <c r="H134" s="214">
        <v>45565.0</v>
      </c>
      <c r="I134" s="262"/>
      <c r="J134" s="214">
        <v>45569.0</v>
      </c>
      <c r="K134" s="200"/>
      <c r="L134" s="203" t="s">
        <v>1109</v>
      </c>
      <c r="M134" s="262"/>
      <c r="N134" s="214">
        <v>45565.0</v>
      </c>
      <c r="O134" s="262"/>
      <c r="P134" s="53"/>
      <c r="Q134" s="565">
        <v>105.0</v>
      </c>
      <c r="R134" s="566" t="s">
        <v>52</v>
      </c>
      <c r="S134" s="3"/>
      <c r="T134" s="3"/>
      <c r="U134" s="3"/>
      <c r="V134" s="3"/>
      <c r="W134" s="3"/>
      <c r="X134" s="3"/>
      <c r="Y134" s="3"/>
      <c r="Z134" s="3"/>
      <c r="AA134" s="3"/>
      <c r="AB134" s="3"/>
      <c r="AC134" s="3"/>
    </row>
    <row r="135">
      <c r="A135" s="203" t="s">
        <v>341</v>
      </c>
      <c r="B135" s="203" t="s">
        <v>1578</v>
      </c>
      <c r="C135" s="214">
        <v>45418.0</v>
      </c>
      <c r="D135" s="203" t="s">
        <v>3190</v>
      </c>
      <c r="E135" s="411" t="s">
        <v>1659</v>
      </c>
      <c r="F135" s="214">
        <v>45418.0</v>
      </c>
      <c r="G135" s="564"/>
      <c r="H135" s="214">
        <v>45418.0</v>
      </c>
      <c r="I135" s="564"/>
      <c r="J135" s="214">
        <v>45572.0</v>
      </c>
      <c r="K135" s="200" t="s">
        <v>3252</v>
      </c>
      <c r="L135" s="203" t="s">
        <v>1109</v>
      </c>
      <c r="M135" s="262"/>
      <c r="N135" s="214">
        <v>45418.0</v>
      </c>
      <c r="O135" s="564"/>
      <c r="P135" s="565">
        <v>9.0</v>
      </c>
      <c r="Q135" s="565">
        <v>79.0</v>
      </c>
      <c r="R135" s="601"/>
      <c r="S135" s="3"/>
      <c r="T135" s="3"/>
      <c r="U135" s="3"/>
      <c r="V135" s="3"/>
      <c r="W135" s="3"/>
      <c r="X135" s="3"/>
      <c r="Y135" s="3"/>
      <c r="Z135" s="3"/>
      <c r="AA135" s="3"/>
      <c r="AB135" s="3"/>
      <c r="AC135" s="3"/>
    </row>
    <row r="136">
      <c r="A136" s="203" t="s">
        <v>415</v>
      </c>
      <c r="B136" s="203" t="s">
        <v>1732</v>
      </c>
      <c r="C136" s="214">
        <v>45441.0</v>
      </c>
      <c r="D136" s="241" t="s">
        <v>3254</v>
      </c>
      <c r="E136" s="411" t="s">
        <v>1659</v>
      </c>
      <c r="F136" s="214">
        <v>45441.0</v>
      </c>
      <c r="G136" s="564"/>
      <c r="H136" s="214">
        <v>45441.0</v>
      </c>
      <c r="I136" s="564"/>
      <c r="J136" s="571">
        <v>45575.0</v>
      </c>
      <c r="K136" s="482" t="s">
        <v>3255</v>
      </c>
      <c r="L136" s="53"/>
      <c r="M136" s="53"/>
      <c r="N136" s="214">
        <v>45441.0</v>
      </c>
      <c r="O136" s="564"/>
      <c r="P136" s="565">
        <v>9.0</v>
      </c>
      <c r="Q136" s="565">
        <v>81.0</v>
      </c>
      <c r="R136" s="568" t="s">
        <v>3256</v>
      </c>
      <c r="S136" s="16"/>
      <c r="T136" s="3"/>
      <c r="U136" s="3"/>
      <c r="V136" s="3"/>
      <c r="W136" s="3"/>
      <c r="X136" s="3"/>
      <c r="Y136" s="3"/>
      <c r="Z136" s="3"/>
      <c r="AA136" s="3"/>
      <c r="AB136" s="3"/>
      <c r="AC136" s="3"/>
    </row>
    <row r="137">
      <c r="A137" s="203" t="s">
        <v>317</v>
      </c>
      <c r="B137" s="203" t="s">
        <v>1578</v>
      </c>
      <c r="C137" s="214">
        <v>45378.0</v>
      </c>
      <c r="D137" s="241" t="s">
        <v>1789</v>
      </c>
      <c r="E137" s="411" t="s">
        <v>1515</v>
      </c>
      <c r="F137" s="214">
        <v>45383.0</v>
      </c>
      <c r="G137" s="262"/>
      <c r="H137" s="214">
        <v>45411.0</v>
      </c>
      <c r="I137" s="262"/>
      <c r="J137" s="202">
        <v>45576.0</v>
      </c>
      <c r="K137" s="262"/>
      <c r="L137" s="203" t="s">
        <v>1109</v>
      </c>
      <c r="M137" s="262"/>
      <c r="N137" s="214">
        <v>45383.0</v>
      </c>
      <c r="O137" s="262"/>
      <c r="P137" s="565">
        <v>8.0</v>
      </c>
      <c r="Q137" s="565">
        <v>73.0</v>
      </c>
      <c r="R137" s="566" t="s">
        <v>23</v>
      </c>
      <c r="S137" s="602"/>
      <c r="T137" s="3"/>
      <c r="U137" s="3"/>
      <c r="V137" s="3"/>
      <c r="W137" s="3"/>
      <c r="X137" s="3"/>
      <c r="Y137" s="3"/>
      <c r="Z137" s="3"/>
      <c r="AA137" s="3"/>
      <c r="AB137" s="3"/>
      <c r="AC137" s="3"/>
    </row>
    <row r="138">
      <c r="A138" s="203" t="s">
        <v>345</v>
      </c>
      <c r="B138" s="203" t="s">
        <v>1578</v>
      </c>
      <c r="C138" s="214">
        <v>45434.0</v>
      </c>
      <c r="D138" s="547" t="s">
        <v>3260</v>
      </c>
      <c r="E138" s="411" t="s">
        <v>1659</v>
      </c>
      <c r="F138" s="214">
        <v>45434.0</v>
      </c>
      <c r="G138" s="262"/>
      <c r="H138" s="214">
        <v>45434.0</v>
      </c>
      <c r="I138" s="262"/>
      <c r="J138" s="202">
        <v>45579.0</v>
      </c>
      <c r="K138" s="200" t="s">
        <v>3261</v>
      </c>
      <c r="L138" s="28" t="s">
        <v>3262</v>
      </c>
      <c r="M138" s="32"/>
      <c r="N138" s="214">
        <v>45434.0</v>
      </c>
      <c r="O138" s="262"/>
      <c r="P138" s="565">
        <v>9.0</v>
      </c>
      <c r="Q138" s="565">
        <v>86.0</v>
      </c>
      <c r="R138" s="568" t="s">
        <v>3263</v>
      </c>
      <c r="S138" s="3"/>
      <c r="T138" s="3"/>
      <c r="U138" s="3"/>
      <c r="V138" s="3"/>
      <c r="W138" s="3"/>
      <c r="X138" s="3"/>
      <c r="Y138" s="3"/>
      <c r="Z138" s="3"/>
      <c r="AA138" s="3"/>
      <c r="AB138" s="3"/>
      <c r="AC138" s="3"/>
    </row>
    <row r="139">
      <c r="A139" s="203" t="s">
        <v>402</v>
      </c>
      <c r="B139" s="203" t="s">
        <v>1578</v>
      </c>
      <c r="C139" s="214">
        <v>45505.0</v>
      </c>
      <c r="D139" s="203" t="s">
        <v>3190</v>
      </c>
      <c r="E139" s="411" t="s">
        <v>1754</v>
      </c>
      <c r="F139" s="214">
        <v>45505.0</v>
      </c>
      <c r="G139" s="547"/>
      <c r="H139" s="214">
        <v>45505.0</v>
      </c>
      <c r="I139" s="547"/>
      <c r="J139" s="202">
        <v>45580.0</v>
      </c>
      <c r="K139" s="253"/>
      <c r="L139" s="214">
        <v>45527.0</v>
      </c>
      <c r="M139" s="253"/>
      <c r="N139" s="214">
        <v>45505.0</v>
      </c>
      <c r="O139" s="547"/>
      <c r="P139" s="565">
        <v>10.0</v>
      </c>
      <c r="Q139" s="565">
        <v>98.0</v>
      </c>
      <c r="R139" s="566" t="s">
        <v>29</v>
      </c>
      <c r="S139" s="3"/>
      <c r="T139" s="3"/>
      <c r="U139" s="3"/>
      <c r="V139" s="3"/>
      <c r="W139" s="3"/>
      <c r="X139" s="3"/>
      <c r="Y139" s="3"/>
      <c r="Z139" s="3"/>
      <c r="AA139" s="3"/>
      <c r="AB139" s="3"/>
      <c r="AC139" s="3"/>
    </row>
    <row r="140">
      <c r="A140" s="203" t="s">
        <v>424</v>
      </c>
      <c r="B140" s="203" t="s">
        <v>1732</v>
      </c>
      <c r="C140" s="214">
        <v>45468.0</v>
      </c>
      <c r="D140" s="564"/>
      <c r="E140" s="411" t="s">
        <v>1659</v>
      </c>
      <c r="F140" s="214">
        <v>45503.0</v>
      </c>
      <c r="G140" s="262"/>
      <c r="H140" s="214">
        <v>45468.0</v>
      </c>
      <c r="I140" s="262"/>
      <c r="J140" s="202">
        <v>45581.0</v>
      </c>
      <c r="K140" s="262"/>
      <c r="L140" s="203" t="s">
        <v>1109</v>
      </c>
      <c r="M140" s="262"/>
      <c r="N140" s="214">
        <v>45503.0</v>
      </c>
      <c r="O140" s="262"/>
      <c r="P140" s="565">
        <v>10.0</v>
      </c>
      <c r="Q140" s="565">
        <v>92.0</v>
      </c>
      <c r="R140" s="566" t="s">
        <v>23</v>
      </c>
      <c r="S140" s="3"/>
      <c r="T140" s="3"/>
      <c r="U140" s="3"/>
      <c r="V140" s="3"/>
      <c r="W140" s="3"/>
      <c r="X140" s="3"/>
      <c r="Y140" s="3"/>
      <c r="Z140" s="3"/>
      <c r="AA140" s="3"/>
      <c r="AB140" s="3"/>
      <c r="AC140" s="3"/>
    </row>
    <row r="141">
      <c r="A141" s="203" t="s">
        <v>437</v>
      </c>
      <c r="B141" s="203" t="s">
        <v>1732</v>
      </c>
      <c r="C141" s="214">
        <v>45506.0</v>
      </c>
      <c r="D141" s="564"/>
      <c r="E141" s="411" t="s">
        <v>1754</v>
      </c>
      <c r="F141" s="214">
        <v>45506.0</v>
      </c>
      <c r="G141" s="564"/>
      <c r="H141" s="214">
        <v>45506.0</v>
      </c>
      <c r="I141" s="564"/>
      <c r="J141" s="202">
        <v>45587.0</v>
      </c>
      <c r="K141" s="262"/>
      <c r="L141" s="203" t="s">
        <v>1109</v>
      </c>
      <c r="M141" s="262"/>
      <c r="N141" s="214">
        <v>45506.0</v>
      </c>
      <c r="O141" s="564"/>
      <c r="P141" s="565">
        <v>10.0</v>
      </c>
      <c r="Q141" s="565">
        <v>90.0</v>
      </c>
      <c r="R141" s="566" t="s">
        <v>29</v>
      </c>
      <c r="S141" s="3"/>
      <c r="T141" s="3"/>
      <c r="U141" s="3"/>
      <c r="V141" s="3"/>
      <c r="W141" s="3"/>
      <c r="X141" s="3"/>
      <c r="Y141" s="3"/>
      <c r="Z141" s="3"/>
      <c r="AA141" s="3"/>
      <c r="AB141" s="3"/>
      <c r="AC141" s="3"/>
    </row>
    <row r="142">
      <c r="A142" s="203" t="s">
        <v>335</v>
      </c>
      <c r="B142" s="203" t="s">
        <v>1732</v>
      </c>
      <c r="C142" s="214">
        <v>45407.0</v>
      </c>
      <c r="D142" s="241" t="s">
        <v>3268</v>
      </c>
      <c r="E142" s="411" t="s">
        <v>1659</v>
      </c>
      <c r="F142" s="214">
        <v>45407.0</v>
      </c>
      <c r="G142" s="262"/>
      <c r="H142" s="214">
        <v>45407.0</v>
      </c>
      <c r="I142" s="262"/>
      <c r="J142" s="202">
        <v>45590.0</v>
      </c>
      <c r="K142" s="200" t="s">
        <v>3269</v>
      </c>
      <c r="L142" s="203" t="s">
        <v>1109</v>
      </c>
      <c r="M142" s="262"/>
      <c r="N142" s="214">
        <v>45407.0</v>
      </c>
      <c r="O142" s="262"/>
      <c r="P142" s="565">
        <v>9.0</v>
      </c>
      <c r="Q142" s="565">
        <v>77.0</v>
      </c>
      <c r="R142" s="566" t="s">
        <v>23</v>
      </c>
      <c r="S142" s="3"/>
      <c r="T142" s="3"/>
      <c r="U142" s="3"/>
      <c r="V142" s="3"/>
      <c r="W142" s="3"/>
      <c r="X142" s="3"/>
      <c r="Y142" s="3"/>
      <c r="Z142" s="3"/>
      <c r="AA142" s="3"/>
      <c r="AB142" s="3"/>
      <c r="AC142" s="3"/>
    </row>
    <row r="143">
      <c r="A143" s="203" t="s">
        <v>443</v>
      </c>
      <c r="B143" s="203" t="s">
        <v>1578</v>
      </c>
      <c r="C143" s="214">
        <v>45562.0</v>
      </c>
      <c r="D143" s="241" t="s">
        <v>3270</v>
      </c>
      <c r="E143" s="411" t="s">
        <v>1754</v>
      </c>
      <c r="F143" s="214">
        <v>45562.0</v>
      </c>
      <c r="G143" s="262"/>
      <c r="H143" s="214">
        <v>45562.0</v>
      </c>
      <c r="I143" s="262"/>
      <c r="J143" s="202">
        <v>45596.0</v>
      </c>
      <c r="K143" s="547" t="s">
        <v>3271</v>
      </c>
      <c r="L143" s="203" t="s">
        <v>1109</v>
      </c>
      <c r="M143" s="262"/>
      <c r="N143" s="214">
        <v>45562.0</v>
      </c>
      <c r="O143" s="262"/>
      <c r="P143" s="53"/>
      <c r="Q143" s="565">
        <v>103.0</v>
      </c>
      <c r="R143" s="566" t="s">
        <v>29</v>
      </c>
      <c r="S143" s="3"/>
      <c r="T143" s="3"/>
      <c r="U143" s="3"/>
      <c r="V143" s="3"/>
      <c r="W143" s="3"/>
      <c r="X143" s="3"/>
      <c r="Y143" s="3"/>
      <c r="Z143" s="3"/>
      <c r="AA143" s="3"/>
      <c r="AB143" s="3"/>
      <c r="AC143" s="3"/>
    </row>
    <row r="144">
      <c r="A144" s="203" t="s">
        <v>446</v>
      </c>
      <c r="B144" s="203" t="s">
        <v>1578</v>
      </c>
      <c r="C144" s="214">
        <v>45502.0</v>
      </c>
      <c r="D144" s="203" t="s">
        <v>3190</v>
      </c>
      <c r="E144" s="411" t="s">
        <v>1754</v>
      </c>
      <c r="F144" s="214">
        <v>45502.0</v>
      </c>
      <c r="G144" s="241"/>
      <c r="H144" s="214">
        <v>45502.0</v>
      </c>
      <c r="I144" s="241"/>
      <c r="J144" s="214">
        <v>45601.0</v>
      </c>
      <c r="K144" s="547" t="s">
        <v>3274</v>
      </c>
      <c r="L144" s="464">
        <v>45558.0</v>
      </c>
      <c r="M144" s="408" t="s">
        <v>3275</v>
      </c>
      <c r="N144" s="214">
        <v>45502.0</v>
      </c>
      <c r="O144" s="241"/>
      <c r="P144" s="565">
        <v>10.0</v>
      </c>
      <c r="Q144" s="565">
        <v>97.0</v>
      </c>
      <c r="R144" s="566" t="s">
        <v>23</v>
      </c>
      <c r="S144" s="3"/>
      <c r="T144" s="3"/>
      <c r="U144" s="3"/>
      <c r="V144" s="3"/>
      <c r="W144" s="3"/>
      <c r="X144" s="3"/>
      <c r="Y144" s="3"/>
      <c r="Z144" s="3"/>
      <c r="AA144" s="3"/>
      <c r="AB144" s="3"/>
      <c r="AC144" s="3"/>
    </row>
    <row r="145">
      <c r="A145" s="203" t="s">
        <v>438</v>
      </c>
      <c r="B145" s="203" t="s">
        <v>1732</v>
      </c>
      <c r="C145" s="214">
        <v>45573.0</v>
      </c>
      <c r="D145" s="241" t="s">
        <v>3277</v>
      </c>
      <c r="E145" s="411" t="s">
        <v>1754</v>
      </c>
      <c r="F145" s="214">
        <v>45573.0</v>
      </c>
      <c r="G145" s="262"/>
      <c r="H145" s="170">
        <v>45573.0</v>
      </c>
      <c r="I145" s="90"/>
      <c r="J145" s="214">
        <v>45604.0</v>
      </c>
      <c r="K145" s="547" t="s">
        <v>3278</v>
      </c>
      <c r="L145" s="53"/>
      <c r="M145" s="28" t="s">
        <v>3279</v>
      </c>
      <c r="N145" s="170">
        <v>45573.0</v>
      </c>
      <c r="O145" s="90"/>
      <c r="P145" s="53"/>
      <c r="Q145" s="565">
        <v>107.0</v>
      </c>
      <c r="R145" s="566" t="s">
        <v>29</v>
      </c>
      <c r="S145" s="3"/>
      <c r="T145" s="3"/>
      <c r="U145" s="3"/>
      <c r="V145" s="3"/>
      <c r="W145" s="3"/>
      <c r="X145" s="3"/>
      <c r="Y145" s="3"/>
      <c r="Z145" s="3"/>
      <c r="AA145" s="3"/>
      <c r="AB145" s="3"/>
      <c r="AC145" s="3"/>
    </row>
    <row r="146">
      <c r="A146" s="203" t="s">
        <v>454</v>
      </c>
      <c r="B146" s="203" t="s">
        <v>1578</v>
      </c>
      <c r="C146" s="214">
        <v>45502.0</v>
      </c>
      <c r="D146" s="241" t="s">
        <v>3282</v>
      </c>
      <c r="E146" s="411" t="s">
        <v>1754</v>
      </c>
      <c r="F146" s="214">
        <v>45502.0</v>
      </c>
      <c r="G146" s="262"/>
      <c r="H146" s="214">
        <v>45552.0</v>
      </c>
      <c r="I146" s="203" t="s">
        <v>3283</v>
      </c>
      <c r="J146" s="202">
        <v>45615.0</v>
      </c>
      <c r="K146" s="262"/>
      <c r="L146" s="203" t="s">
        <v>1109</v>
      </c>
      <c r="M146" s="262"/>
      <c r="N146" s="214">
        <v>45502.0</v>
      </c>
      <c r="O146" s="262"/>
      <c r="P146" s="565">
        <v>10.0</v>
      </c>
      <c r="Q146" s="565">
        <v>87.0</v>
      </c>
      <c r="R146" s="566" t="s">
        <v>29</v>
      </c>
      <c r="S146" s="3"/>
      <c r="T146" s="3"/>
      <c r="U146" s="3"/>
      <c r="V146" s="3"/>
      <c r="W146" s="3"/>
      <c r="X146" s="3"/>
      <c r="Y146" s="3"/>
      <c r="Z146" s="3"/>
      <c r="AA146" s="3"/>
      <c r="AB146" s="3"/>
      <c r="AC146" s="3"/>
    </row>
    <row r="147">
      <c r="A147" s="203" t="s">
        <v>456</v>
      </c>
      <c r="B147" s="203" t="s">
        <v>1732</v>
      </c>
      <c r="C147" s="214">
        <v>45518.0</v>
      </c>
      <c r="D147" s="241" t="s">
        <v>3285</v>
      </c>
      <c r="E147" s="411" t="s">
        <v>1754</v>
      </c>
      <c r="F147" s="214">
        <v>45518.0</v>
      </c>
      <c r="G147" s="262"/>
      <c r="H147" s="214">
        <v>45518.0</v>
      </c>
      <c r="I147" s="262"/>
      <c r="J147" s="202">
        <v>45616.0</v>
      </c>
      <c r="K147" s="241" t="s">
        <v>3287</v>
      </c>
      <c r="L147" s="203" t="s">
        <v>1769</v>
      </c>
      <c r="M147" s="262"/>
      <c r="N147" s="214">
        <v>45518.0</v>
      </c>
      <c r="O147" s="262"/>
      <c r="P147" s="565">
        <v>10.0</v>
      </c>
      <c r="Q147" s="565">
        <v>100.0</v>
      </c>
      <c r="R147" s="566" t="s">
        <v>23</v>
      </c>
      <c r="S147" s="3"/>
      <c r="T147" s="3"/>
      <c r="U147" s="3"/>
      <c r="V147" s="3"/>
      <c r="W147" s="3"/>
      <c r="X147" s="3"/>
      <c r="Y147" s="3"/>
      <c r="Z147" s="3"/>
      <c r="AA147" s="3"/>
      <c r="AB147" s="3"/>
      <c r="AC147" s="3"/>
    </row>
    <row r="148">
      <c r="A148" s="203" t="s">
        <v>337</v>
      </c>
      <c r="B148" s="203" t="s">
        <v>1578</v>
      </c>
      <c r="C148" s="214">
        <v>45443.0</v>
      </c>
      <c r="D148" s="481" t="s">
        <v>3289</v>
      </c>
      <c r="E148" s="411" t="s">
        <v>1659</v>
      </c>
      <c r="F148" s="214">
        <v>45443.0</v>
      </c>
      <c r="G148" s="262"/>
      <c r="H148" s="214">
        <v>45443.0</v>
      </c>
      <c r="I148" s="262"/>
      <c r="J148" s="202">
        <v>45617.0</v>
      </c>
      <c r="K148" s="203" t="s">
        <v>3290</v>
      </c>
      <c r="L148" s="214">
        <v>45527.0</v>
      </c>
      <c r="M148" s="203" t="s">
        <v>3291</v>
      </c>
      <c r="N148" s="214">
        <v>45443.0</v>
      </c>
      <c r="O148" s="262"/>
      <c r="P148" s="565">
        <v>9.0</v>
      </c>
      <c r="Q148" s="565">
        <v>82.0</v>
      </c>
      <c r="R148" s="568" t="s">
        <v>68</v>
      </c>
      <c r="S148" s="3"/>
      <c r="T148" s="3"/>
      <c r="U148" s="3"/>
      <c r="V148" s="3"/>
      <c r="W148" s="3"/>
      <c r="X148" s="3"/>
      <c r="Y148" s="3"/>
      <c r="Z148" s="3"/>
      <c r="AA148" s="3"/>
      <c r="AB148" s="3"/>
      <c r="AC148" s="3"/>
    </row>
    <row r="149">
      <c r="A149" s="203" t="s">
        <v>400</v>
      </c>
      <c r="B149" s="203" t="s">
        <v>1732</v>
      </c>
      <c r="C149" s="214">
        <v>45548.0</v>
      </c>
      <c r="D149" s="241" t="s">
        <v>3293</v>
      </c>
      <c r="E149" s="411" t="s">
        <v>1754</v>
      </c>
      <c r="F149" s="214">
        <v>45548.0</v>
      </c>
      <c r="G149" s="262"/>
      <c r="H149" s="214">
        <v>45548.0</v>
      </c>
      <c r="I149" s="262"/>
      <c r="J149" s="202">
        <v>45617.0</v>
      </c>
      <c r="K149" s="203" t="s">
        <v>3294</v>
      </c>
      <c r="L149" s="203" t="s">
        <v>1109</v>
      </c>
      <c r="M149" s="203" t="s">
        <v>3295</v>
      </c>
      <c r="N149" s="214">
        <v>45548.0</v>
      </c>
      <c r="O149" s="262"/>
      <c r="P149" s="53"/>
      <c r="Q149" s="565">
        <v>101.0</v>
      </c>
      <c r="R149" s="566" t="s">
        <v>16</v>
      </c>
      <c r="S149" s="3"/>
      <c r="T149" s="3"/>
      <c r="U149" s="3"/>
      <c r="V149" s="3"/>
      <c r="W149" s="3"/>
      <c r="X149" s="3"/>
      <c r="Y149" s="3"/>
      <c r="Z149" s="3"/>
      <c r="AA149" s="3"/>
      <c r="AB149" s="3"/>
      <c r="AC149" s="3"/>
    </row>
    <row r="150">
      <c r="A150" s="408" t="s">
        <v>467</v>
      </c>
      <c r="B150" s="408" t="s">
        <v>1578</v>
      </c>
      <c r="C150" s="464">
        <v>45509.0</v>
      </c>
      <c r="D150" s="408" t="s">
        <v>3190</v>
      </c>
      <c r="E150" s="408" t="s">
        <v>1754</v>
      </c>
      <c r="F150" s="464">
        <v>45530.0</v>
      </c>
      <c r="G150" s="465"/>
      <c r="H150" s="464">
        <v>45509.0</v>
      </c>
      <c r="I150" s="465"/>
      <c r="J150" s="557">
        <v>45621.0</v>
      </c>
      <c r="K150" s="354" t="s">
        <v>3297</v>
      </c>
      <c r="L150" s="465"/>
      <c r="M150" s="465"/>
      <c r="N150" s="464">
        <v>45530.0</v>
      </c>
      <c r="O150" s="465"/>
      <c r="P150" s="565">
        <v>10.0</v>
      </c>
      <c r="Q150" s="565">
        <v>100.0</v>
      </c>
      <c r="R150" s="566" t="s">
        <v>29</v>
      </c>
      <c r="S150" s="465"/>
      <c r="T150" s="465"/>
      <c r="U150" s="465"/>
      <c r="V150" s="465"/>
      <c r="W150" s="465"/>
      <c r="X150" s="465"/>
      <c r="Y150" s="465"/>
      <c r="Z150" s="465"/>
      <c r="AA150" s="465"/>
      <c r="AB150" s="465"/>
      <c r="AC150" s="465"/>
    </row>
    <row r="151">
      <c r="A151" s="203" t="s">
        <v>431</v>
      </c>
      <c r="B151" s="203" t="s">
        <v>1578</v>
      </c>
      <c r="C151" s="214">
        <v>45546.0</v>
      </c>
      <c r="D151" s="564"/>
      <c r="E151" s="411" t="s">
        <v>1754</v>
      </c>
      <c r="F151" s="202">
        <v>45581.0</v>
      </c>
      <c r="G151" s="262"/>
      <c r="H151" s="214">
        <v>45546.0</v>
      </c>
      <c r="I151" s="262"/>
      <c r="J151" s="202">
        <v>45623.0</v>
      </c>
      <c r="K151" s="262"/>
      <c r="L151" s="202">
        <v>45583.0</v>
      </c>
      <c r="M151" s="203" t="s">
        <v>3299</v>
      </c>
      <c r="N151" s="202">
        <v>45581.0</v>
      </c>
      <c r="O151" s="262"/>
      <c r="P151" s="53"/>
      <c r="Q151" s="565">
        <v>102.0</v>
      </c>
      <c r="R151" s="566" t="s">
        <v>16</v>
      </c>
      <c r="S151" s="3"/>
      <c r="T151" s="3"/>
      <c r="U151" s="3"/>
      <c r="V151" s="3"/>
      <c r="W151" s="3"/>
      <c r="X151" s="3"/>
      <c r="Y151" s="3"/>
      <c r="Z151" s="3"/>
      <c r="AA151" s="3"/>
      <c r="AB151" s="3"/>
      <c r="AC151" s="3"/>
    </row>
    <row r="152">
      <c r="A152" s="203" t="s">
        <v>474</v>
      </c>
      <c r="B152" s="203" t="s">
        <v>1732</v>
      </c>
      <c r="C152" s="214">
        <v>45597.0</v>
      </c>
      <c r="D152" s="241" t="s">
        <v>3301</v>
      </c>
      <c r="E152" s="406" t="s">
        <v>1828</v>
      </c>
      <c r="F152" s="214">
        <v>45611.0</v>
      </c>
      <c r="G152" s="262"/>
      <c r="H152" s="202">
        <v>45621.0</v>
      </c>
      <c r="I152" s="262"/>
      <c r="J152" s="214">
        <v>45629.0</v>
      </c>
      <c r="K152" s="262"/>
      <c r="L152" s="203" t="s">
        <v>1109</v>
      </c>
      <c r="M152" s="262"/>
      <c r="N152" s="214">
        <v>45611.0</v>
      </c>
      <c r="O152" s="262"/>
      <c r="P152" s="53"/>
      <c r="Q152" s="565">
        <v>111.0</v>
      </c>
      <c r="R152" s="566" t="s">
        <v>23</v>
      </c>
      <c r="S152" s="3"/>
      <c r="T152" s="3"/>
      <c r="U152" s="3"/>
      <c r="V152" s="3"/>
      <c r="W152" s="3"/>
      <c r="X152" s="3"/>
      <c r="Y152" s="3"/>
      <c r="Z152" s="3"/>
      <c r="AA152" s="3"/>
      <c r="AB152" s="3"/>
      <c r="AC152" s="3"/>
    </row>
    <row r="153">
      <c r="A153" s="203" t="s">
        <v>416</v>
      </c>
      <c r="B153" s="203" t="s">
        <v>1578</v>
      </c>
      <c r="C153" s="214">
        <v>45509.0</v>
      </c>
      <c r="D153" s="547" t="s">
        <v>3304</v>
      </c>
      <c r="E153" s="411" t="s">
        <v>1754</v>
      </c>
      <c r="F153" s="214">
        <v>45509.0</v>
      </c>
      <c r="G153" s="262"/>
      <c r="H153" s="214">
        <v>45509.0</v>
      </c>
      <c r="I153" s="262"/>
      <c r="J153" s="214">
        <v>45635.0</v>
      </c>
      <c r="K153" s="203" t="s">
        <v>3306</v>
      </c>
      <c r="L153" s="203" t="s">
        <v>1109</v>
      </c>
      <c r="M153" s="262"/>
      <c r="N153" s="214">
        <v>45509.0</v>
      </c>
      <c r="O153" s="262"/>
      <c r="P153" s="565">
        <v>10.0</v>
      </c>
      <c r="Q153" s="565">
        <v>95.0</v>
      </c>
      <c r="R153" s="566" t="s">
        <v>29</v>
      </c>
      <c r="S153" s="3"/>
      <c r="T153" s="3"/>
      <c r="U153" s="3"/>
      <c r="V153" s="3"/>
      <c r="W153" s="3"/>
      <c r="X153" s="3"/>
      <c r="Y153" s="3"/>
      <c r="Z153" s="3"/>
      <c r="AA153" s="3"/>
      <c r="AB153" s="3"/>
      <c r="AC153" s="3"/>
    </row>
    <row r="154">
      <c r="A154" s="203" t="s">
        <v>482</v>
      </c>
      <c r="B154" s="203" t="s">
        <v>1578</v>
      </c>
      <c r="C154" s="214">
        <v>45524.0</v>
      </c>
      <c r="D154" s="241" t="s">
        <v>3307</v>
      </c>
      <c r="E154" s="411" t="s">
        <v>1754</v>
      </c>
      <c r="F154" s="214">
        <v>45524.0</v>
      </c>
      <c r="G154" s="564"/>
      <c r="H154" s="214">
        <v>45524.0</v>
      </c>
      <c r="I154" s="564"/>
      <c r="J154" s="202">
        <v>45636.0</v>
      </c>
      <c r="K154" s="203" t="s">
        <v>3309</v>
      </c>
      <c r="L154" s="203" t="s">
        <v>1769</v>
      </c>
      <c r="M154" s="262"/>
      <c r="N154" s="214">
        <v>45524.0</v>
      </c>
      <c r="O154" s="564"/>
      <c r="P154" s="565">
        <v>10.0</v>
      </c>
      <c r="Q154" s="565">
        <v>99.0</v>
      </c>
      <c r="R154" s="566" t="s">
        <v>23</v>
      </c>
      <c r="S154" s="3"/>
      <c r="T154" s="3"/>
      <c r="U154" s="3"/>
      <c r="V154" s="3"/>
      <c r="W154" s="3"/>
      <c r="X154" s="3"/>
      <c r="Y154" s="3"/>
      <c r="Z154" s="3"/>
      <c r="AA154" s="3"/>
      <c r="AB154" s="3"/>
      <c r="AC154" s="3"/>
    </row>
    <row r="155">
      <c r="A155" s="203" t="s">
        <v>485</v>
      </c>
      <c r="B155" s="203" t="s">
        <v>1578</v>
      </c>
      <c r="C155" s="214">
        <v>45597.0</v>
      </c>
      <c r="D155" s="203" t="s">
        <v>3310</v>
      </c>
      <c r="E155" s="406" t="s">
        <v>1828</v>
      </c>
      <c r="F155" s="214">
        <v>45604.0</v>
      </c>
      <c r="G155" s="253"/>
      <c r="H155" s="214">
        <v>45604.0</v>
      </c>
      <c r="I155" s="253"/>
      <c r="J155" s="214">
        <v>45638.0</v>
      </c>
      <c r="K155" s="262"/>
      <c r="L155" s="53"/>
      <c r="M155" s="53"/>
      <c r="N155" s="214">
        <v>45604.0</v>
      </c>
      <c r="O155" s="253"/>
      <c r="P155" s="53"/>
      <c r="Q155" s="565">
        <v>111.0</v>
      </c>
      <c r="R155" s="566" t="s">
        <v>23</v>
      </c>
      <c r="S155" s="3"/>
      <c r="T155" s="3"/>
      <c r="U155" s="3"/>
      <c r="V155" s="3"/>
      <c r="W155" s="3"/>
      <c r="X155" s="3"/>
      <c r="Y155" s="3"/>
      <c r="Z155" s="3"/>
      <c r="AA155" s="3"/>
      <c r="AB155" s="3"/>
      <c r="AC155" s="3"/>
    </row>
    <row r="156">
      <c r="A156" s="408" t="s">
        <v>489</v>
      </c>
      <c r="B156" s="408" t="s">
        <v>1732</v>
      </c>
      <c r="C156" s="464">
        <v>45545.0</v>
      </c>
      <c r="D156" s="463" t="s">
        <v>3314</v>
      </c>
      <c r="E156" s="408" t="s">
        <v>1754</v>
      </c>
      <c r="F156" s="464">
        <v>45545.0</v>
      </c>
      <c r="G156" s="465"/>
      <c r="H156" s="464">
        <v>45545.0</v>
      </c>
      <c r="I156" s="465"/>
      <c r="J156" s="557">
        <v>45643.0</v>
      </c>
      <c r="K156" s="408" t="s">
        <v>3316</v>
      </c>
      <c r="L156" s="408" t="s">
        <v>1109</v>
      </c>
      <c r="M156" s="465"/>
      <c r="N156" s="464">
        <v>45545.0</v>
      </c>
      <c r="O156" s="465"/>
      <c r="P156" s="53"/>
      <c r="Q156" s="565">
        <v>104.0</v>
      </c>
      <c r="R156" s="566" t="s">
        <v>29</v>
      </c>
      <c r="S156" s="465"/>
      <c r="T156" s="465"/>
      <c r="U156" s="465"/>
      <c r="V156" s="465"/>
      <c r="W156" s="465"/>
      <c r="X156" s="465"/>
      <c r="Y156" s="465"/>
      <c r="Z156" s="465"/>
      <c r="AA156" s="465"/>
      <c r="AB156" s="465"/>
      <c r="AC156" s="465"/>
    </row>
    <row r="157">
      <c r="A157" s="203" t="s">
        <v>428</v>
      </c>
      <c r="B157" s="203" t="s">
        <v>1578</v>
      </c>
      <c r="C157" s="214">
        <v>45530.0</v>
      </c>
      <c r="D157" s="241" t="s">
        <v>3318</v>
      </c>
      <c r="E157" s="411" t="s">
        <v>1754</v>
      </c>
      <c r="F157" s="214">
        <v>45574.0</v>
      </c>
      <c r="G157" s="262"/>
      <c r="H157" s="214">
        <v>45530.0</v>
      </c>
      <c r="I157" s="262"/>
      <c r="J157" s="202">
        <v>45645.0</v>
      </c>
      <c r="K157" s="262"/>
      <c r="L157" s="203" t="s">
        <v>1769</v>
      </c>
      <c r="M157" s="262"/>
      <c r="N157" s="214">
        <v>45574.0</v>
      </c>
      <c r="O157" s="262"/>
      <c r="P157" s="565"/>
      <c r="Q157" s="565">
        <v>101.0</v>
      </c>
      <c r="R157" s="566" t="s">
        <v>16</v>
      </c>
      <c r="S157" s="3"/>
      <c r="T157" s="3"/>
      <c r="U157" s="3"/>
      <c r="V157" s="3"/>
      <c r="W157" s="3"/>
      <c r="X157" s="3"/>
      <c r="Y157" s="3"/>
      <c r="Z157" s="3"/>
      <c r="AA157" s="3"/>
      <c r="AB157" s="3"/>
      <c r="AC157" s="3"/>
    </row>
    <row r="158">
      <c r="A158" s="203" t="s">
        <v>448</v>
      </c>
      <c r="B158" s="203" t="s">
        <v>1578</v>
      </c>
      <c r="C158" s="214">
        <v>45467.0</v>
      </c>
      <c r="D158" s="203" t="s">
        <v>3190</v>
      </c>
      <c r="E158" s="411" t="s">
        <v>1659</v>
      </c>
      <c r="F158" s="214">
        <v>45474.0</v>
      </c>
      <c r="G158" s="262"/>
      <c r="H158" s="214">
        <v>45467.0</v>
      </c>
      <c r="I158" s="262"/>
      <c r="J158" s="214">
        <v>45663.0</v>
      </c>
      <c r="K158" s="200" t="s">
        <v>3323</v>
      </c>
      <c r="L158" s="203" t="s">
        <v>1109</v>
      </c>
      <c r="M158" s="262"/>
      <c r="N158" s="214">
        <v>45474.0</v>
      </c>
      <c r="O158" s="262"/>
      <c r="P158" s="565">
        <v>10.0</v>
      </c>
      <c r="Q158" s="565">
        <v>89.0</v>
      </c>
      <c r="R158" s="566" t="s">
        <v>29</v>
      </c>
      <c r="S158" s="3"/>
      <c r="T158" s="3"/>
      <c r="U158" s="3"/>
      <c r="V158" s="3"/>
      <c r="W158" s="3"/>
      <c r="X158" s="3"/>
      <c r="Y158" s="3"/>
      <c r="Z158" s="3"/>
      <c r="AA158" s="3"/>
      <c r="AB158" s="3"/>
      <c r="AC158" s="3"/>
    </row>
    <row r="159">
      <c r="A159" s="203" t="s">
        <v>493</v>
      </c>
      <c r="B159" s="203" t="s">
        <v>1732</v>
      </c>
      <c r="C159" s="214">
        <v>45559.0</v>
      </c>
      <c r="D159" s="241" t="s">
        <v>61</v>
      </c>
      <c r="E159" s="411" t="s">
        <v>1754</v>
      </c>
      <c r="F159" s="214">
        <v>45559.0</v>
      </c>
      <c r="G159" s="262"/>
      <c r="H159" s="214">
        <v>45568.0</v>
      </c>
      <c r="I159" s="547" t="s">
        <v>3325</v>
      </c>
      <c r="J159" s="214">
        <v>45666.0</v>
      </c>
      <c r="K159" s="262"/>
      <c r="L159" s="203" t="s">
        <v>1109</v>
      </c>
      <c r="M159" s="262"/>
      <c r="N159" s="214">
        <v>45722.0</v>
      </c>
      <c r="O159" s="262"/>
      <c r="P159" s="53"/>
      <c r="Q159" s="565">
        <v>108.0</v>
      </c>
      <c r="R159" s="566" t="s">
        <v>52</v>
      </c>
      <c r="S159" s="3"/>
      <c r="T159" s="3"/>
      <c r="U159" s="3"/>
      <c r="V159" s="3"/>
      <c r="W159" s="3"/>
      <c r="X159" s="3"/>
      <c r="Y159" s="3"/>
      <c r="Z159" s="3"/>
      <c r="AA159" s="3"/>
      <c r="AB159" s="3"/>
      <c r="AC159" s="3"/>
    </row>
    <row r="160">
      <c r="A160" s="203" t="s">
        <v>365</v>
      </c>
      <c r="B160" s="203" t="s">
        <v>1578</v>
      </c>
      <c r="C160" s="214">
        <v>45469.0</v>
      </c>
      <c r="D160" s="241" t="s">
        <v>3328</v>
      </c>
      <c r="E160" s="411" t="s">
        <v>1754</v>
      </c>
      <c r="F160" s="214">
        <v>45469.0</v>
      </c>
      <c r="G160" s="262"/>
      <c r="H160" s="214">
        <v>45469.0</v>
      </c>
      <c r="I160" s="262"/>
      <c r="J160" s="214">
        <v>45670.0</v>
      </c>
      <c r="K160" s="200" t="s">
        <v>3330</v>
      </c>
      <c r="L160" s="203" t="s">
        <v>1769</v>
      </c>
      <c r="M160" s="262"/>
      <c r="N160" s="214">
        <v>45469.0</v>
      </c>
      <c r="O160" s="262"/>
      <c r="P160" s="565">
        <v>10.0</v>
      </c>
      <c r="Q160" s="565">
        <v>96.0</v>
      </c>
      <c r="R160" s="566" t="s">
        <v>29</v>
      </c>
      <c r="S160" s="3"/>
      <c r="T160" s="3"/>
      <c r="U160" s="3"/>
      <c r="V160" s="3"/>
      <c r="W160" s="3"/>
      <c r="X160" s="3"/>
      <c r="Y160" s="3"/>
      <c r="Z160" s="3"/>
      <c r="AA160" s="3"/>
      <c r="AB160" s="3"/>
      <c r="AC160" s="3"/>
    </row>
    <row r="161">
      <c r="A161" s="408" t="s">
        <v>503</v>
      </c>
      <c r="B161" s="408" t="s">
        <v>1732</v>
      </c>
      <c r="C161" s="464">
        <v>45573.0</v>
      </c>
      <c r="D161" s="463" t="s">
        <v>3331</v>
      </c>
      <c r="E161" s="465"/>
      <c r="F161" s="464">
        <v>45573.0</v>
      </c>
      <c r="G161" s="465"/>
      <c r="H161" s="557">
        <v>45581.0</v>
      </c>
      <c r="I161" s="408" t="s">
        <v>3332</v>
      </c>
      <c r="J161" s="464">
        <v>45672.0</v>
      </c>
      <c r="K161" s="408" t="s">
        <v>3334</v>
      </c>
      <c r="L161" s="408" t="s">
        <v>1109</v>
      </c>
      <c r="M161" s="465"/>
      <c r="N161" s="464">
        <v>45573.0</v>
      </c>
      <c r="O161" s="465"/>
      <c r="P161" s="53"/>
      <c r="Q161" s="565">
        <v>106.0</v>
      </c>
      <c r="R161" s="566" t="s">
        <v>23</v>
      </c>
      <c r="S161" s="465"/>
      <c r="T161" s="465"/>
      <c r="U161" s="465"/>
      <c r="V161" s="465"/>
      <c r="W161" s="465"/>
      <c r="X161" s="465"/>
      <c r="Y161" s="465"/>
      <c r="Z161" s="465"/>
      <c r="AA161" s="465"/>
      <c r="AB161" s="465"/>
      <c r="AC161" s="465"/>
    </row>
    <row r="162">
      <c r="A162" s="203" t="s">
        <v>462</v>
      </c>
      <c r="B162" s="203" t="s">
        <v>1732</v>
      </c>
      <c r="C162" s="214">
        <v>45505.0</v>
      </c>
      <c r="D162" s="262"/>
      <c r="E162" s="411" t="s">
        <v>1754</v>
      </c>
      <c r="F162" s="214">
        <v>45505.0</v>
      </c>
      <c r="G162" s="262"/>
      <c r="H162" s="214">
        <v>45505.0</v>
      </c>
      <c r="I162" s="262"/>
      <c r="J162" s="202">
        <v>45674.0</v>
      </c>
      <c r="K162" s="203" t="s">
        <v>3336</v>
      </c>
      <c r="L162" s="203" t="s">
        <v>1109</v>
      </c>
      <c r="M162" s="262"/>
      <c r="N162" s="214">
        <v>45505.0</v>
      </c>
      <c r="O162" s="262"/>
      <c r="P162" s="565">
        <v>10.0</v>
      </c>
      <c r="Q162" s="565">
        <v>97.0</v>
      </c>
      <c r="R162" s="566" t="s">
        <v>29</v>
      </c>
      <c r="S162" s="3"/>
      <c r="T162" s="3"/>
      <c r="U162" s="3"/>
      <c r="V162" s="3"/>
      <c r="W162" s="3"/>
      <c r="X162" s="3"/>
      <c r="Y162" s="3"/>
      <c r="Z162" s="3"/>
      <c r="AA162" s="3"/>
      <c r="AB162" s="3"/>
      <c r="AC162" s="3"/>
    </row>
    <row r="163">
      <c r="A163" s="203" t="s">
        <v>512</v>
      </c>
      <c r="B163" s="203" t="s">
        <v>1732</v>
      </c>
      <c r="C163" s="214">
        <v>45554.0</v>
      </c>
      <c r="D163" s="241" t="s">
        <v>3337</v>
      </c>
      <c r="E163" s="411" t="s">
        <v>1754</v>
      </c>
      <c r="F163" s="214">
        <v>45554.0</v>
      </c>
      <c r="G163" s="262"/>
      <c r="H163" s="214">
        <v>45554.0</v>
      </c>
      <c r="I163" s="262"/>
      <c r="J163" s="202">
        <v>45684.0</v>
      </c>
      <c r="K163" s="547" t="s">
        <v>3339</v>
      </c>
      <c r="L163" s="203" t="s">
        <v>1109</v>
      </c>
      <c r="M163" s="262"/>
      <c r="N163" s="214">
        <v>45554.0</v>
      </c>
      <c r="O163" s="262"/>
      <c r="P163" s="53"/>
      <c r="Q163" s="565">
        <v>105.0</v>
      </c>
      <c r="R163" s="566" t="s">
        <v>29</v>
      </c>
      <c r="S163" s="3"/>
      <c r="T163" s="3"/>
      <c r="U163" s="3"/>
      <c r="V163" s="3"/>
      <c r="W163" s="3"/>
      <c r="X163" s="3"/>
      <c r="Y163" s="3"/>
      <c r="Z163" s="3"/>
      <c r="AA163" s="3"/>
      <c r="AB163" s="3"/>
      <c r="AC163" s="3"/>
    </row>
    <row r="164">
      <c r="A164" s="203" t="s">
        <v>518</v>
      </c>
      <c r="B164" s="203" t="s">
        <v>1578</v>
      </c>
      <c r="C164" s="214">
        <v>45678.0</v>
      </c>
      <c r="D164" s="241" t="s">
        <v>3341</v>
      </c>
      <c r="E164" s="411" t="s">
        <v>1549</v>
      </c>
      <c r="F164" s="214">
        <v>45678.0</v>
      </c>
      <c r="G164" s="262"/>
      <c r="H164" s="214">
        <v>45678.0</v>
      </c>
      <c r="I164" s="262"/>
      <c r="J164" s="214">
        <v>45687.0</v>
      </c>
      <c r="K164" s="203" t="s">
        <v>3344</v>
      </c>
      <c r="L164" s="203" t="s">
        <v>1109</v>
      </c>
      <c r="M164" s="262"/>
      <c r="N164" s="214">
        <v>45678.0</v>
      </c>
      <c r="O164" s="262"/>
      <c r="P164" s="53"/>
      <c r="Q164" s="565">
        <v>116.0</v>
      </c>
      <c r="R164" s="566" t="s">
        <v>23</v>
      </c>
      <c r="S164" s="3"/>
      <c r="T164" s="3"/>
      <c r="U164" s="3"/>
      <c r="V164" s="3"/>
      <c r="W164" s="3"/>
      <c r="X164" s="3"/>
      <c r="Y164" s="3"/>
      <c r="Z164" s="3"/>
      <c r="AA164" s="3"/>
      <c r="AB164" s="3"/>
      <c r="AC164" s="3"/>
    </row>
    <row r="165">
      <c r="A165" s="203" t="s">
        <v>410</v>
      </c>
      <c r="B165" s="262"/>
      <c r="C165" s="214">
        <v>45562.0</v>
      </c>
      <c r="D165" s="241" t="s">
        <v>3347</v>
      </c>
      <c r="E165" s="411" t="s">
        <v>1754</v>
      </c>
      <c r="F165" s="214">
        <v>45562.0</v>
      </c>
      <c r="G165" s="262"/>
      <c r="H165" s="214">
        <v>45562.0</v>
      </c>
      <c r="I165" s="262"/>
      <c r="J165" s="214">
        <v>45688.0</v>
      </c>
      <c r="K165" s="547" t="s">
        <v>3348</v>
      </c>
      <c r="L165" s="203" t="s">
        <v>1109</v>
      </c>
      <c r="M165" s="262"/>
      <c r="N165" s="214">
        <v>45562.0</v>
      </c>
      <c r="O165" s="262"/>
      <c r="P165" s="53"/>
      <c r="Q165" s="565">
        <v>102.0</v>
      </c>
      <c r="R165" s="566" t="s">
        <v>23</v>
      </c>
      <c r="S165" s="3"/>
      <c r="T165" s="3"/>
      <c r="U165" s="3"/>
      <c r="V165" s="3"/>
      <c r="W165" s="3"/>
      <c r="X165" s="3"/>
      <c r="Y165" s="3"/>
      <c r="Z165" s="3"/>
      <c r="AA165" s="3"/>
      <c r="AB165" s="3"/>
      <c r="AC165" s="3"/>
    </row>
    <row r="166">
      <c r="A166" s="203" t="s">
        <v>507</v>
      </c>
      <c r="B166" s="203" t="s">
        <v>1578</v>
      </c>
      <c r="C166" s="214">
        <v>45597.0</v>
      </c>
      <c r="D166" s="241"/>
      <c r="E166" s="406" t="s">
        <v>1828</v>
      </c>
      <c r="F166" s="214">
        <v>45602.0</v>
      </c>
      <c r="G166" s="262"/>
      <c r="H166" s="214">
        <v>45602.0</v>
      </c>
      <c r="I166" s="262"/>
      <c r="J166" s="214">
        <v>45693.0</v>
      </c>
      <c r="K166" s="203" t="s">
        <v>3350</v>
      </c>
      <c r="L166" s="203" t="s">
        <v>1109</v>
      </c>
      <c r="M166" s="262"/>
      <c r="N166" s="214">
        <v>45602.0</v>
      </c>
      <c r="O166" s="262"/>
      <c r="P166" s="53"/>
      <c r="Q166" s="565">
        <v>110.0</v>
      </c>
      <c r="R166" s="566" t="s">
        <v>29</v>
      </c>
      <c r="S166" s="3"/>
      <c r="T166" s="3"/>
      <c r="U166" s="3"/>
      <c r="V166" s="3"/>
      <c r="W166" s="3"/>
      <c r="X166" s="3"/>
      <c r="Y166" s="3"/>
      <c r="Z166" s="3"/>
      <c r="AA166" s="3"/>
      <c r="AB166" s="3"/>
      <c r="AC166" s="3"/>
    </row>
    <row r="167">
      <c r="A167" s="203" t="s">
        <v>496</v>
      </c>
      <c r="B167" s="203" t="s">
        <v>1732</v>
      </c>
      <c r="C167" s="214">
        <v>45580.0</v>
      </c>
      <c r="D167" s="203" t="s">
        <v>3310</v>
      </c>
      <c r="E167" s="406" t="s">
        <v>1828</v>
      </c>
      <c r="F167" s="214">
        <v>45580.0</v>
      </c>
      <c r="G167" s="253"/>
      <c r="H167" s="214">
        <v>45580.0</v>
      </c>
      <c r="I167" s="253"/>
      <c r="J167" s="214">
        <v>45698.0</v>
      </c>
      <c r="K167" s="212" t="s">
        <v>3352</v>
      </c>
      <c r="L167" s="28" t="s">
        <v>3353</v>
      </c>
      <c r="M167" s="32"/>
      <c r="N167" s="214">
        <v>45580.0</v>
      </c>
      <c r="O167" s="253"/>
      <c r="P167" s="32"/>
      <c r="Q167" s="605"/>
      <c r="R167" s="566" t="s">
        <v>23</v>
      </c>
      <c r="S167" s="3"/>
      <c r="T167" s="3"/>
      <c r="U167" s="3"/>
      <c r="V167" s="3"/>
      <c r="W167" s="3"/>
      <c r="X167" s="3"/>
      <c r="Y167" s="3"/>
      <c r="Z167" s="3"/>
      <c r="AA167" s="3"/>
      <c r="AB167" s="3"/>
      <c r="AC167" s="3"/>
    </row>
    <row r="168">
      <c r="A168" s="203" t="s">
        <v>533</v>
      </c>
      <c r="B168" s="203" t="s">
        <v>1578</v>
      </c>
      <c r="C168" s="214">
        <v>45664.0</v>
      </c>
      <c r="D168" s="564"/>
      <c r="E168" s="411" t="s">
        <v>1549</v>
      </c>
      <c r="F168" s="214">
        <v>45664.0</v>
      </c>
      <c r="G168" s="564"/>
      <c r="H168" s="214">
        <v>45664.0</v>
      </c>
      <c r="I168" s="564"/>
      <c r="J168" s="214">
        <v>45700.0</v>
      </c>
      <c r="K168" s="262"/>
      <c r="L168" s="203" t="s">
        <v>1769</v>
      </c>
      <c r="M168" s="262"/>
      <c r="N168" s="214">
        <v>45664.0</v>
      </c>
      <c r="O168" s="564"/>
      <c r="P168" s="53"/>
      <c r="Q168" s="565">
        <v>117.0</v>
      </c>
      <c r="R168" s="566" t="s">
        <v>29</v>
      </c>
      <c r="S168" s="3"/>
      <c r="T168" s="3"/>
      <c r="U168" s="3"/>
      <c r="V168" s="3"/>
      <c r="W168" s="3"/>
      <c r="X168" s="3"/>
      <c r="Y168" s="3"/>
      <c r="Z168" s="3"/>
      <c r="AA168" s="3"/>
      <c r="AB168" s="3"/>
      <c r="AC168" s="3"/>
    </row>
    <row r="169">
      <c r="A169" s="203" t="s">
        <v>528</v>
      </c>
      <c r="B169" s="203" t="s">
        <v>1732</v>
      </c>
      <c r="C169" s="214">
        <v>45637.0</v>
      </c>
      <c r="D169" s="241" t="s">
        <v>3358</v>
      </c>
      <c r="E169" s="406" t="s">
        <v>1828</v>
      </c>
      <c r="F169" s="214">
        <v>45637.0</v>
      </c>
      <c r="G169" s="262"/>
      <c r="H169" s="214">
        <v>45673.0</v>
      </c>
      <c r="I169" s="262"/>
      <c r="J169" s="214">
        <v>45701.0</v>
      </c>
      <c r="K169" s="262"/>
      <c r="L169" s="203" t="s">
        <v>1109</v>
      </c>
      <c r="M169" s="262"/>
      <c r="N169" s="214">
        <v>45637.0</v>
      </c>
      <c r="O169" s="262"/>
      <c r="P169" s="53"/>
      <c r="Q169" s="565">
        <v>119.0</v>
      </c>
      <c r="R169" s="566" t="s">
        <v>23</v>
      </c>
      <c r="S169" s="3"/>
      <c r="T169" s="3"/>
      <c r="U169" s="3"/>
      <c r="V169" s="3"/>
      <c r="W169" s="3"/>
      <c r="X169" s="3"/>
      <c r="Y169" s="3"/>
      <c r="Z169" s="3"/>
      <c r="AA169" s="3"/>
      <c r="AB169" s="3"/>
      <c r="AC169" s="3"/>
    </row>
    <row r="170">
      <c r="A170" s="203" t="s">
        <v>406</v>
      </c>
      <c r="B170" s="203" t="s">
        <v>1578</v>
      </c>
      <c r="C170" s="214">
        <v>45510.0</v>
      </c>
      <c r="D170" s="241" t="s">
        <v>3360</v>
      </c>
      <c r="E170" s="411" t="s">
        <v>3361</v>
      </c>
      <c r="F170" s="214">
        <v>45510.0</v>
      </c>
      <c r="G170" s="262"/>
      <c r="H170" s="202">
        <v>45517.0</v>
      </c>
      <c r="I170" s="262"/>
      <c r="J170" s="202">
        <v>45702.0</v>
      </c>
      <c r="K170" s="547" t="s">
        <v>3362</v>
      </c>
      <c r="L170" s="203" t="s">
        <v>1109</v>
      </c>
      <c r="M170" s="262"/>
      <c r="N170" s="214">
        <v>45510.0</v>
      </c>
      <c r="O170" s="262"/>
      <c r="P170" s="565">
        <v>10.0</v>
      </c>
      <c r="Q170" s="565">
        <v>87.0</v>
      </c>
      <c r="R170" s="566" t="s">
        <v>23</v>
      </c>
      <c r="S170" s="3"/>
      <c r="T170" s="3"/>
      <c r="U170" s="3"/>
      <c r="V170" s="3"/>
      <c r="W170" s="3"/>
      <c r="X170" s="3"/>
      <c r="Y170" s="3"/>
      <c r="Z170" s="3"/>
      <c r="AA170" s="3"/>
      <c r="AB170" s="3"/>
      <c r="AC170" s="3"/>
    </row>
    <row r="171">
      <c r="A171" s="408" t="s">
        <v>539</v>
      </c>
      <c r="B171" s="408" t="s">
        <v>1578</v>
      </c>
      <c r="C171" s="464">
        <v>45597.0</v>
      </c>
      <c r="D171" s="408" t="s">
        <v>3310</v>
      </c>
      <c r="E171" s="286" t="s">
        <v>1828</v>
      </c>
      <c r="F171" s="557">
        <v>45608.0</v>
      </c>
      <c r="G171" s="465"/>
      <c r="H171" s="557">
        <v>45608.0</v>
      </c>
      <c r="I171" s="465"/>
      <c r="J171" s="557">
        <v>45702.0</v>
      </c>
      <c r="K171" s="354" t="s">
        <v>3366</v>
      </c>
      <c r="L171" s="408" t="s">
        <v>1109</v>
      </c>
      <c r="M171" s="465"/>
      <c r="N171" s="557">
        <v>45608.0</v>
      </c>
      <c r="O171" s="465"/>
      <c r="P171" s="53"/>
      <c r="Q171" s="565">
        <v>113.0</v>
      </c>
      <c r="R171" s="566" t="s">
        <v>23</v>
      </c>
      <c r="S171" s="3"/>
      <c r="T171" s="3"/>
      <c r="U171" s="3"/>
      <c r="V171" s="3"/>
      <c r="W171" s="3"/>
      <c r="X171" s="3"/>
      <c r="Y171" s="3"/>
      <c r="Z171" s="3"/>
      <c r="AA171" s="3"/>
      <c r="AB171" s="3"/>
      <c r="AC171" s="3"/>
    </row>
    <row r="172">
      <c r="A172" s="203" t="s">
        <v>530</v>
      </c>
      <c r="B172" s="203" t="s">
        <v>1732</v>
      </c>
      <c r="C172" s="214">
        <v>45638.0</v>
      </c>
      <c r="D172" s="241" t="s">
        <v>3310</v>
      </c>
      <c r="E172" s="406" t="s">
        <v>1828</v>
      </c>
      <c r="F172" s="214">
        <v>45638.0</v>
      </c>
      <c r="G172" s="564"/>
      <c r="H172" s="214">
        <v>45678.0</v>
      </c>
      <c r="I172" s="262"/>
      <c r="J172" s="214">
        <v>45706.0</v>
      </c>
      <c r="K172" s="262"/>
      <c r="L172" s="28"/>
      <c r="M172" s="53"/>
      <c r="N172" s="214">
        <v>45638.0</v>
      </c>
      <c r="O172" s="564"/>
      <c r="P172" s="53"/>
      <c r="Q172" s="565">
        <v>119.0</v>
      </c>
      <c r="R172" s="566" t="s">
        <v>23</v>
      </c>
      <c r="S172" s="3"/>
      <c r="T172" s="3"/>
      <c r="U172" s="3"/>
      <c r="V172" s="3"/>
      <c r="W172" s="3"/>
      <c r="X172" s="3"/>
      <c r="Y172" s="3"/>
      <c r="Z172" s="3"/>
      <c r="AA172" s="3"/>
      <c r="AB172" s="3"/>
      <c r="AC172" s="3"/>
    </row>
    <row r="173">
      <c r="A173" s="203" t="s">
        <v>544</v>
      </c>
      <c r="B173" s="203" t="s">
        <v>1732</v>
      </c>
      <c r="C173" s="214">
        <v>45597.0</v>
      </c>
      <c r="D173" s="241" t="s">
        <v>3374</v>
      </c>
      <c r="E173" s="406" t="s">
        <v>1828</v>
      </c>
      <c r="F173" s="214">
        <v>45663.0</v>
      </c>
      <c r="G173" s="262"/>
      <c r="H173" s="202">
        <v>45614.0</v>
      </c>
      <c r="I173" s="262"/>
      <c r="J173" s="214">
        <v>45714.0</v>
      </c>
      <c r="K173" s="262"/>
      <c r="L173" s="203" t="s">
        <v>1109</v>
      </c>
      <c r="M173" s="262"/>
      <c r="N173" s="214">
        <v>45663.0</v>
      </c>
      <c r="O173" s="262"/>
      <c r="P173" s="53"/>
      <c r="Q173" s="565">
        <v>113.0</v>
      </c>
      <c r="R173" s="566" t="s">
        <v>23</v>
      </c>
      <c r="S173" s="3"/>
      <c r="T173" s="3"/>
      <c r="U173" s="3"/>
      <c r="V173" s="3"/>
      <c r="W173" s="3"/>
      <c r="X173" s="3"/>
      <c r="Y173" s="3"/>
      <c r="Z173" s="3"/>
      <c r="AA173" s="3"/>
      <c r="AB173" s="3"/>
      <c r="AC173" s="3"/>
    </row>
    <row r="174">
      <c r="A174" s="203" t="s">
        <v>517</v>
      </c>
      <c r="B174" s="203" t="s">
        <v>1578</v>
      </c>
      <c r="C174" s="214">
        <v>45597.0</v>
      </c>
      <c r="D174" s="241" t="s">
        <v>3380</v>
      </c>
      <c r="E174" s="406" t="s">
        <v>1828</v>
      </c>
      <c r="F174" s="214">
        <v>45597.0</v>
      </c>
      <c r="G174" s="262"/>
      <c r="H174" s="214">
        <v>45597.0</v>
      </c>
      <c r="I174" s="262"/>
      <c r="J174" s="202">
        <v>45716.0</v>
      </c>
      <c r="K174" s="203" t="s">
        <v>3384</v>
      </c>
      <c r="L174" s="203" t="s">
        <v>1109</v>
      </c>
      <c r="M174" s="262"/>
      <c r="N174" s="214">
        <v>45597.0</v>
      </c>
      <c r="O174" s="262"/>
      <c r="P174" s="53"/>
      <c r="Q174" s="565">
        <v>110.0</v>
      </c>
      <c r="R174" s="566" t="s">
        <v>29</v>
      </c>
      <c r="S174" s="606"/>
      <c r="T174" s="3"/>
      <c r="U174" s="3"/>
      <c r="V174" s="3"/>
      <c r="W174" s="3"/>
      <c r="X174" s="3"/>
      <c r="Y174" s="3"/>
      <c r="Z174" s="3"/>
      <c r="AA174" s="3"/>
      <c r="AB174" s="3"/>
      <c r="AC174" s="3"/>
    </row>
    <row r="175">
      <c r="A175" s="203" t="s">
        <v>555</v>
      </c>
      <c r="B175" s="203" t="s">
        <v>1732</v>
      </c>
      <c r="C175" s="214">
        <v>45708.0</v>
      </c>
      <c r="D175" s="241" t="s">
        <v>3389</v>
      </c>
      <c r="E175" s="584"/>
      <c r="F175" s="214">
        <v>45708.0</v>
      </c>
      <c r="G175" s="200"/>
      <c r="H175" s="214">
        <v>45729.0</v>
      </c>
      <c r="I175" s="253"/>
      <c r="J175" s="214">
        <v>45719.0</v>
      </c>
      <c r="K175" s="203" t="s">
        <v>3390</v>
      </c>
      <c r="L175" s="203" t="s">
        <v>1109</v>
      </c>
      <c r="M175" s="262"/>
      <c r="N175" s="214">
        <v>45708.0</v>
      </c>
      <c r="O175" s="262"/>
      <c r="P175" s="53"/>
      <c r="Q175" s="565">
        <v>123.0</v>
      </c>
      <c r="R175" s="566" t="s">
        <v>29</v>
      </c>
      <c r="S175" s="3"/>
      <c r="T175" s="3"/>
      <c r="U175" s="3"/>
      <c r="V175" s="3"/>
      <c r="W175" s="3"/>
      <c r="X175" s="3"/>
      <c r="Y175" s="3"/>
      <c r="Z175" s="3"/>
      <c r="AA175" s="3"/>
      <c r="AB175" s="3"/>
      <c r="AC175" s="3"/>
    </row>
    <row r="176">
      <c r="A176" s="203" t="s">
        <v>536</v>
      </c>
      <c r="B176" s="262"/>
      <c r="C176" s="214">
        <v>45684.0</v>
      </c>
      <c r="D176" s="241" t="s">
        <v>3310</v>
      </c>
      <c r="E176" s="411" t="s">
        <v>1549</v>
      </c>
      <c r="F176" s="214">
        <v>45684.0</v>
      </c>
      <c r="G176" s="564"/>
      <c r="H176" s="214">
        <v>45684.0</v>
      </c>
      <c r="I176" s="564"/>
      <c r="J176" s="214">
        <v>45726.0</v>
      </c>
      <c r="K176" s="203" t="s">
        <v>3395</v>
      </c>
      <c r="L176" s="203" t="s">
        <v>1109</v>
      </c>
      <c r="M176" s="262"/>
      <c r="N176" s="214">
        <v>45684.0</v>
      </c>
      <c r="O176" s="564"/>
      <c r="P176" s="53"/>
      <c r="Q176" s="565">
        <v>121.0</v>
      </c>
      <c r="R176" s="566" t="s">
        <v>23</v>
      </c>
      <c r="S176" s="3"/>
      <c r="T176" s="3"/>
      <c r="U176" s="3"/>
      <c r="V176" s="3"/>
      <c r="W176" s="3"/>
      <c r="X176" s="3"/>
      <c r="Y176" s="3"/>
      <c r="Z176" s="3"/>
      <c r="AA176" s="3"/>
      <c r="AB176" s="3"/>
      <c r="AC176" s="3"/>
    </row>
    <row r="177">
      <c r="A177" s="203" t="s">
        <v>520</v>
      </c>
      <c r="B177" s="203" t="s">
        <v>1578</v>
      </c>
      <c r="C177" s="214">
        <v>45597.0</v>
      </c>
      <c r="D177" s="547" t="s">
        <v>3398</v>
      </c>
      <c r="E177" s="406" t="s">
        <v>1828</v>
      </c>
      <c r="F177" s="214">
        <v>45618.0</v>
      </c>
      <c r="G177" s="262"/>
      <c r="H177" s="214">
        <v>45618.0</v>
      </c>
      <c r="I177" s="262"/>
      <c r="J177" s="214">
        <v>45730.0</v>
      </c>
      <c r="K177" s="200" t="s">
        <v>3400</v>
      </c>
      <c r="L177" s="203" t="s">
        <v>1769</v>
      </c>
      <c r="M177" s="262"/>
      <c r="N177" s="214">
        <v>45618.0</v>
      </c>
      <c r="O177" s="262"/>
      <c r="P177" s="565">
        <v>10.0</v>
      </c>
      <c r="Q177" s="565">
        <v>89.0</v>
      </c>
      <c r="R177" s="566" t="s">
        <v>23</v>
      </c>
      <c r="S177" s="3"/>
      <c r="T177" s="3"/>
      <c r="U177" s="3"/>
      <c r="V177" s="3"/>
      <c r="W177" s="3"/>
      <c r="X177" s="3"/>
      <c r="Y177" s="3"/>
      <c r="Z177" s="3"/>
      <c r="AA177" s="3"/>
      <c r="AB177" s="3"/>
      <c r="AC177" s="3"/>
    </row>
    <row r="178">
      <c r="A178" s="203" t="s">
        <v>557</v>
      </c>
      <c r="B178" s="262"/>
      <c r="C178" s="214">
        <v>45723.0</v>
      </c>
      <c r="D178" s="241" t="s">
        <v>3401</v>
      </c>
      <c r="E178" s="584"/>
      <c r="F178" s="214">
        <v>45723.0</v>
      </c>
      <c r="G178" s="262"/>
      <c r="H178" s="214">
        <v>45723.0</v>
      </c>
      <c r="I178" s="262"/>
      <c r="J178" s="214">
        <v>45730.0</v>
      </c>
      <c r="K178" s="203" t="s">
        <v>3403</v>
      </c>
      <c r="L178" s="203" t="s">
        <v>1109</v>
      </c>
      <c r="M178" s="262"/>
      <c r="N178" s="214">
        <v>45723.0</v>
      </c>
      <c r="O178" s="262"/>
      <c r="P178" s="53"/>
      <c r="Q178" s="565">
        <v>123.0</v>
      </c>
      <c r="R178" s="566" t="s">
        <v>23</v>
      </c>
      <c r="S178" s="14"/>
      <c r="T178" s="14"/>
      <c r="U178" s="14"/>
      <c r="V178" s="14"/>
      <c r="W178" s="14"/>
      <c r="X178" s="14"/>
      <c r="Y178" s="14"/>
      <c r="Z178" s="14"/>
      <c r="AA178" s="14"/>
      <c r="AB178" s="3"/>
      <c r="AC178" s="3"/>
    </row>
    <row r="179">
      <c r="A179" s="203" t="s">
        <v>553</v>
      </c>
      <c r="B179" s="203" t="s">
        <v>1732</v>
      </c>
      <c r="C179" s="214">
        <v>45673.0</v>
      </c>
      <c r="D179" s="241" t="s">
        <v>3405</v>
      </c>
      <c r="E179" s="411" t="s">
        <v>1549</v>
      </c>
      <c r="F179" s="214">
        <v>45673.0</v>
      </c>
      <c r="G179" s="564"/>
      <c r="H179" s="214">
        <v>45708.0</v>
      </c>
      <c r="I179" s="564"/>
      <c r="J179" s="214">
        <v>45733.0</v>
      </c>
      <c r="K179" s="212" t="s">
        <v>3407</v>
      </c>
      <c r="L179" s="262"/>
      <c r="M179" s="262"/>
      <c r="N179" s="214">
        <v>45673.0</v>
      </c>
      <c r="O179" s="564"/>
      <c r="P179" s="53"/>
      <c r="Q179" s="565">
        <v>120.0</v>
      </c>
      <c r="R179" s="566" t="s">
        <v>23</v>
      </c>
      <c r="S179" s="3"/>
      <c r="T179" s="3"/>
      <c r="U179" s="3"/>
      <c r="V179" s="3"/>
      <c r="W179" s="3"/>
      <c r="X179" s="3"/>
      <c r="Y179" s="3"/>
      <c r="Z179" s="3"/>
      <c r="AA179" s="3"/>
      <c r="AB179" s="3"/>
      <c r="AC179" s="3"/>
    </row>
    <row r="180">
      <c r="A180" s="203" t="s">
        <v>475</v>
      </c>
      <c r="B180" s="203" t="s">
        <v>1578</v>
      </c>
      <c r="C180" s="214">
        <v>45512.0</v>
      </c>
      <c r="D180" s="481" t="s">
        <v>3408</v>
      </c>
      <c r="E180" s="411" t="s">
        <v>1754</v>
      </c>
      <c r="F180" s="214">
        <v>45512.0</v>
      </c>
      <c r="G180" s="262"/>
      <c r="H180" s="214">
        <v>45512.0</v>
      </c>
      <c r="I180" s="262"/>
      <c r="J180" s="214">
        <v>45735.0</v>
      </c>
      <c r="K180" s="200" t="s">
        <v>3410</v>
      </c>
      <c r="L180" s="28"/>
      <c r="M180" s="608"/>
      <c r="N180" s="214">
        <v>45512.0</v>
      </c>
      <c r="O180" s="262"/>
      <c r="P180" s="565">
        <v>10.0</v>
      </c>
      <c r="Q180" s="565">
        <v>92.0</v>
      </c>
      <c r="R180" s="566" t="s">
        <v>29</v>
      </c>
      <c r="S180" s="3"/>
      <c r="T180" s="3"/>
      <c r="U180" s="3"/>
      <c r="V180" s="3"/>
      <c r="W180" s="3"/>
      <c r="X180" s="3"/>
      <c r="Y180" s="3"/>
      <c r="Z180" s="3"/>
      <c r="AA180" s="3"/>
      <c r="AB180" s="3"/>
      <c r="AC180" s="3"/>
    </row>
    <row r="181">
      <c r="A181" s="203" t="s">
        <v>537</v>
      </c>
      <c r="B181" s="203"/>
      <c r="C181" s="214">
        <v>45681.0</v>
      </c>
      <c r="D181" s="241" t="s">
        <v>3412</v>
      </c>
      <c r="E181" s="411" t="s">
        <v>1549</v>
      </c>
      <c r="F181" s="214">
        <v>45681.0</v>
      </c>
      <c r="G181" s="262"/>
      <c r="H181" s="214">
        <v>45681.0</v>
      </c>
      <c r="I181" s="262"/>
      <c r="J181" s="214">
        <v>45740.0</v>
      </c>
      <c r="K181" s="203" t="s">
        <v>3414</v>
      </c>
      <c r="L181" s="28" t="s">
        <v>3353</v>
      </c>
      <c r="M181" s="53"/>
      <c r="N181" s="214">
        <v>45681.0</v>
      </c>
      <c r="O181" s="262"/>
      <c r="P181" s="53"/>
      <c r="Q181" s="565">
        <v>120.0</v>
      </c>
      <c r="R181" s="566" t="s">
        <v>23</v>
      </c>
      <c r="S181" s="3"/>
      <c r="T181" s="3"/>
      <c r="U181" s="3"/>
      <c r="V181" s="3"/>
      <c r="W181" s="3"/>
      <c r="X181" s="3"/>
      <c r="Y181" s="3"/>
      <c r="Z181" s="3"/>
      <c r="AA181" s="3"/>
      <c r="AB181" s="3"/>
      <c r="AC181" s="3"/>
    </row>
    <row r="182">
      <c r="A182" s="203" t="s">
        <v>434</v>
      </c>
      <c r="B182" s="203" t="s">
        <v>1578</v>
      </c>
      <c r="C182" s="214">
        <v>45538.0</v>
      </c>
      <c r="D182" s="241" t="s">
        <v>3310</v>
      </c>
      <c r="E182" s="411" t="s">
        <v>1754</v>
      </c>
      <c r="F182" s="214">
        <v>45538.0</v>
      </c>
      <c r="G182" s="262"/>
      <c r="H182" s="214">
        <v>45538.0</v>
      </c>
      <c r="I182" s="262"/>
      <c r="J182" s="214">
        <v>45741.0</v>
      </c>
      <c r="K182" s="547" t="s">
        <v>3417</v>
      </c>
      <c r="L182" s="203" t="s">
        <v>1109</v>
      </c>
      <c r="M182" s="262"/>
      <c r="N182" s="214">
        <v>45538.0</v>
      </c>
      <c r="O182" s="262"/>
      <c r="P182" s="53"/>
      <c r="Q182" s="565">
        <v>103.0</v>
      </c>
      <c r="R182" s="566" t="s">
        <v>23</v>
      </c>
      <c r="S182" s="3"/>
      <c r="T182" s="3"/>
      <c r="U182" s="3"/>
      <c r="V182" s="3"/>
      <c r="W182" s="3"/>
      <c r="X182" s="3"/>
      <c r="Y182" s="3"/>
      <c r="Z182" s="3"/>
      <c r="AA182" s="3"/>
      <c r="AB182" s="3"/>
      <c r="AC182" s="3"/>
    </row>
    <row r="183">
      <c r="A183" s="203" t="s">
        <v>509</v>
      </c>
      <c r="B183" s="203" t="s">
        <v>1578</v>
      </c>
      <c r="C183" s="214">
        <v>45597.0</v>
      </c>
      <c r="D183" s="564"/>
      <c r="E183" s="406" t="s">
        <v>1828</v>
      </c>
      <c r="F183" s="202">
        <v>45623.0</v>
      </c>
      <c r="G183" s="262"/>
      <c r="H183" s="202">
        <v>45621.0</v>
      </c>
      <c r="I183" s="262"/>
      <c r="J183" s="214">
        <v>45742.0</v>
      </c>
      <c r="K183" s="203" t="s">
        <v>3419</v>
      </c>
      <c r="L183" s="203" t="s">
        <v>1109</v>
      </c>
      <c r="M183" s="262"/>
      <c r="N183" s="202">
        <v>45621.0</v>
      </c>
      <c r="O183" s="262"/>
      <c r="P183" s="53"/>
      <c r="Q183" s="565">
        <v>115.0</v>
      </c>
      <c r="R183" s="566" t="s">
        <v>29</v>
      </c>
      <c r="S183" s="3"/>
      <c r="T183" s="3"/>
      <c r="U183" s="3"/>
      <c r="V183" s="3"/>
      <c r="W183" s="3"/>
      <c r="X183" s="3"/>
      <c r="Y183" s="3"/>
      <c r="Z183" s="3"/>
      <c r="AA183" s="3"/>
      <c r="AB183" s="3"/>
      <c r="AC183" s="3"/>
    </row>
    <row r="184">
      <c r="A184" s="203" t="s">
        <v>505</v>
      </c>
      <c r="B184" s="203" t="s">
        <v>1732</v>
      </c>
      <c r="C184" s="214">
        <v>45597.0</v>
      </c>
      <c r="D184" s="203" t="s">
        <v>3422</v>
      </c>
      <c r="E184" s="406" t="s">
        <v>1828</v>
      </c>
      <c r="F184" s="202">
        <v>45614.0</v>
      </c>
      <c r="G184" s="262"/>
      <c r="H184" s="202">
        <v>45614.0</v>
      </c>
      <c r="I184" s="262"/>
      <c r="J184" s="214">
        <v>45744.0</v>
      </c>
      <c r="K184" s="200" t="s">
        <v>3424</v>
      </c>
      <c r="L184" s="203" t="s">
        <v>1769</v>
      </c>
      <c r="M184" s="262"/>
      <c r="N184" s="202">
        <v>45614.0</v>
      </c>
      <c r="O184" s="262"/>
      <c r="P184" s="53"/>
      <c r="Q184" s="565">
        <v>112.0</v>
      </c>
      <c r="R184" s="566" t="s">
        <v>23</v>
      </c>
      <c r="S184" s="3"/>
      <c r="T184" s="3"/>
      <c r="U184" s="3"/>
      <c r="V184" s="3"/>
      <c r="W184" s="3"/>
      <c r="X184" s="3"/>
      <c r="Y184" s="3"/>
      <c r="Z184" s="3"/>
      <c r="AA184" s="3"/>
      <c r="AB184" s="3"/>
      <c r="AC184" s="3"/>
    </row>
    <row r="185">
      <c r="A185" s="203" t="s">
        <v>540</v>
      </c>
      <c r="B185" s="203" t="s">
        <v>1578</v>
      </c>
      <c r="C185" s="214">
        <v>45672.0</v>
      </c>
      <c r="D185" s="241" t="s">
        <v>3426</v>
      </c>
      <c r="E185" s="411" t="s">
        <v>1549</v>
      </c>
      <c r="F185" s="214">
        <v>45672.0</v>
      </c>
      <c r="G185" s="262"/>
      <c r="H185" s="214">
        <v>45672.0</v>
      </c>
      <c r="I185" s="262"/>
      <c r="J185" s="214">
        <v>45749.0</v>
      </c>
      <c r="K185" s="203" t="s">
        <v>3428</v>
      </c>
      <c r="L185" s="203" t="s">
        <v>1769</v>
      </c>
      <c r="M185" s="262"/>
      <c r="N185" s="214">
        <v>45672.0</v>
      </c>
      <c r="O185" s="262"/>
      <c r="P185" s="53"/>
      <c r="Q185" s="565">
        <v>118.0</v>
      </c>
      <c r="R185" s="566" t="s">
        <v>23</v>
      </c>
      <c r="S185" s="3"/>
      <c r="T185" s="3"/>
      <c r="U185" s="3"/>
      <c r="V185" s="3"/>
      <c r="W185" s="3"/>
      <c r="X185" s="3"/>
      <c r="Y185" s="3"/>
      <c r="Z185" s="3"/>
      <c r="AA185" s="3"/>
      <c r="AB185" s="3"/>
      <c r="AC185" s="3"/>
    </row>
    <row r="186">
      <c r="A186" s="203" t="s">
        <v>538</v>
      </c>
      <c r="B186" s="203" t="s">
        <v>1578</v>
      </c>
      <c r="C186" s="214">
        <v>45597.0</v>
      </c>
      <c r="D186" s="564"/>
      <c r="E186" s="406" t="s">
        <v>1828</v>
      </c>
      <c r="F186" s="202">
        <v>45623.0</v>
      </c>
      <c r="G186" s="564"/>
      <c r="H186" s="202">
        <v>45623.0</v>
      </c>
      <c r="I186" s="564"/>
      <c r="J186" s="214">
        <v>45754.0</v>
      </c>
      <c r="K186" s="200" t="s">
        <v>3430</v>
      </c>
      <c r="L186" s="203" t="s">
        <v>1109</v>
      </c>
      <c r="M186" s="262"/>
      <c r="N186" s="202">
        <v>45623.0</v>
      </c>
      <c r="O186" s="564"/>
      <c r="P186" s="53"/>
      <c r="Q186" s="565">
        <v>115.0</v>
      </c>
      <c r="R186" s="566" t="s">
        <v>52</v>
      </c>
      <c r="S186" s="3"/>
      <c r="T186" s="3"/>
      <c r="U186" s="3"/>
      <c r="V186" s="3"/>
      <c r="W186" s="3"/>
      <c r="X186" s="3"/>
      <c r="Y186" s="3"/>
      <c r="Z186" s="3"/>
      <c r="AA186" s="3"/>
      <c r="AB186" s="3"/>
      <c r="AC186" s="3"/>
    </row>
    <row r="187">
      <c r="A187" s="203" t="s">
        <v>382</v>
      </c>
      <c r="B187" s="203" t="s">
        <v>1578</v>
      </c>
      <c r="C187" s="214">
        <v>45422.0</v>
      </c>
      <c r="D187" s="564"/>
      <c r="E187" s="411" t="s">
        <v>1659</v>
      </c>
      <c r="F187" s="214">
        <v>45422.0</v>
      </c>
      <c r="G187" s="564"/>
      <c r="H187" s="214">
        <v>45422.0</v>
      </c>
      <c r="I187" s="564"/>
      <c r="J187" s="214">
        <v>45756.0</v>
      </c>
      <c r="K187" s="203" t="s">
        <v>3433</v>
      </c>
      <c r="L187" s="203" t="s">
        <v>1109</v>
      </c>
      <c r="M187" s="262"/>
      <c r="N187" s="214">
        <v>45422.0</v>
      </c>
      <c r="O187" s="564"/>
      <c r="P187" s="565">
        <v>9.0</v>
      </c>
      <c r="Q187" s="565">
        <v>79.0</v>
      </c>
      <c r="R187" s="566" t="s">
        <v>23</v>
      </c>
      <c r="S187" s="3"/>
      <c r="T187" s="3"/>
      <c r="U187" s="3"/>
      <c r="V187" s="3"/>
      <c r="W187" s="3"/>
      <c r="X187" s="3"/>
      <c r="Y187" s="3"/>
      <c r="Z187" s="3"/>
      <c r="AA187" s="3"/>
      <c r="AB187" s="3"/>
      <c r="AC187" s="3"/>
    </row>
    <row r="188">
      <c r="A188" s="203" t="s">
        <v>542</v>
      </c>
      <c r="B188" s="203" t="s">
        <v>1732</v>
      </c>
      <c r="C188" s="214">
        <v>45707.0</v>
      </c>
      <c r="D188" s="241" t="s">
        <v>3435</v>
      </c>
      <c r="E188" s="584"/>
      <c r="F188" s="214">
        <v>45707.0</v>
      </c>
      <c r="G188" s="262"/>
      <c r="H188" s="214">
        <v>45735.0</v>
      </c>
      <c r="I188" s="262"/>
      <c r="J188" s="214">
        <v>45769.0</v>
      </c>
      <c r="K188" s="547" t="s">
        <v>3437</v>
      </c>
      <c r="L188" s="203" t="s">
        <v>1109</v>
      </c>
      <c r="M188" s="262"/>
      <c r="N188" s="214">
        <v>45707.0</v>
      </c>
      <c r="O188" s="262"/>
      <c r="P188" s="53"/>
      <c r="Q188" s="565">
        <v>122.0</v>
      </c>
      <c r="R188" s="566" t="s">
        <v>23</v>
      </c>
      <c r="S188" s="3"/>
      <c r="T188" s="3"/>
      <c r="U188" s="3"/>
      <c r="V188" s="3"/>
      <c r="W188" s="3"/>
      <c r="X188" s="3"/>
      <c r="Y188" s="3"/>
      <c r="Z188" s="3"/>
      <c r="AA188" s="3"/>
      <c r="AB188" s="3"/>
      <c r="AC188" s="3"/>
    </row>
    <row r="189">
      <c r="A189" s="203" t="s">
        <v>484</v>
      </c>
      <c r="B189" s="203" t="s">
        <v>1732</v>
      </c>
      <c r="C189" s="214">
        <v>45461.0</v>
      </c>
      <c r="D189" s="482" t="s">
        <v>3439</v>
      </c>
      <c r="E189" s="203" t="s">
        <v>1659</v>
      </c>
      <c r="F189" s="214">
        <v>45471.0</v>
      </c>
      <c r="G189" s="262"/>
      <c r="H189" s="214">
        <v>45461.0</v>
      </c>
      <c r="I189" s="262"/>
      <c r="J189" s="214">
        <v>45772.0</v>
      </c>
      <c r="K189" s="547" t="s">
        <v>3440</v>
      </c>
      <c r="L189" s="203" t="s">
        <v>1109</v>
      </c>
      <c r="M189" s="262"/>
      <c r="N189" s="214">
        <v>45531.0</v>
      </c>
      <c r="O189" s="262"/>
      <c r="P189" s="565">
        <v>10.0</v>
      </c>
      <c r="Q189" s="565">
        <v>91.0</v>
      </c>
      <c r="R189" s="566" t="s">
        <v>16</v>
      </c>
      <c r="S189" s="3"/>
      <c r="T189" s="3"/>
      <c r="U189" s="3"/>
      <c r="V189" s="3"/>
      <c r="W189" s="3"/>
      <c r="X189" s="3"/>
      <c r="Y189" s="3"/>
      <c r="Z189" s="3"/>
      <c r="AA189" s="3"/>
      <c r="AB189" s="3"/>
      <c r="AC189" s="3"/>
    </row>
    <row r="190">
      <c r="A190" s="408" t="s">
        <v>591</v>
      </c>
      <c r="B190" s="420" t="s">
        <v>1732</v>
      </c>
      <c r="C190" s="464">
        <v>45701.0</v>
      </c>
      <c r="D190" s="463" t="s">
        <v>3443</v>
      </c>
      <c r="E190" s="408" t="s">
        <v>1549</v>
      </c>
      <c r="F190" s="464">
        <v>45701.0</v>
      </c>
      <c r="G190" s="463"/>
      <c r="H190" s="464">
        <v>45708.0</v>
      </c>
      <c r="I190" s="465"/>
      <c r="J190" s="464">
        <v>45772.0</v>
      </c>
      <c r="K190" s="447" t="s">
        <v>3445</v>
      </c>
      <c r="L190" s="408" t="s">
        <v>2597</v>
      </c>
      <c r="M190" s="465"/>
      <c r="N190" s="38">
        <v>45708.0</v>
      </c>
      <c r="O190" s="80"/>
      <c r="P190" s="53"/>
      <c r="Q190" s="565">
        <v>117.0</v>
      </c>
      <c r="R190" s="566" t="s">
        <v>16</v>
      </c>
      <c r="S190" s="465"/>
      <c r="T190" s="465"/>
      <c r="U190" s="465"/>
      <c r="V190" s="465"/>
      <c r="W190" s="465"/>
      <c r="X190" s="465"/>
      <c r="Y190" s="465"/>
      <c r="Z190" s="465"/>
      <c r="AA190" s="465"/>
      <c r="AB190" s="465"/>
      <c r="AC190" s="465"/>
    </row>
    <row r="191">
      <c r="A191" s="203" t="s">
        <v>551</v>
      </c>
      <c r="B191" s="203" t="s">
        <v>1732</v>
      </c>
      <c r="C191" s="214">
        <v>45707.0</v>
      </c>
      <c r="D191" s="241" t="s">
        <v>3449</v>
      </c>
      <c r="E191" s="584"/>
      <c r="F191" s="214">
        <v>45735.0</v>
      </c>
      <c r="G191" s="262"/>
      <c r="H191" s="214">
        <v>45735.0</v>
      </c>
      <c r="I191" s="262"/>
      <c r="J191" s="214">
        <v>45775.0</v>
      </c>
      <c r="K191" s="203" t="s">
        <v>3450</v>
      </c>
      <c r="L191" s="203" t="s">
        <v>1109</v>
      </c>
      <c r="M191" s="214"/>
      <c r="N191" s="214">
        <v>45707.0</v>
      </c>
      <c r="O191" s="262"/>
      <c r="P191" s="53"/>
      <c r="Q191" s="565">
        <v>124.0</v>
      </c>
      <c r="R191" s="566" t="s">
        <v>29</v>
      </c>
      <c r="S191" s="3"/>
      <c r="T191" s="3"/>
      <c r="U191" s="3"/>
      <c r="V191" s="3"/>
      <c r="W191" s="3"/>
      <c r="X191" s="3"/>
      <c r="Y191" s="3"/>
      <c r="Z191" s="3"/>
      <c r="AA191" s="3"/>
      <c r="AB191" s="3"/>
      <c r="AC191" s="3"/>
    </row>
    <row r="192">
      <c r="A192" s="203" t="s">
        <v>502</v>
      </c>
      <c r="B192" s="203" t="s">
        <v>1578</v>
      </c>
      <c r="C192" s="214">
        <v>45597.0</v>
      </c>
      <c r="D192" s="203" t="s">
        <v>3310</v>
      </c>
      <c r="E192" s="406" t="s">
        <v>1828</v>
      </c>
      <c r="F192" s="214">
        <v>45601.0</v>
      </c>
      <c r="G192" s="253"/>
      <c r="H192" s="214">
        <v>45615.0</v>
      </c>
      <c r="I192" s="253"/>
      <c r="J192" s="214">
        <v>45777.0</v>
      </c>
      <c r="K192" s="203" t="s">
        <v>3453</v>
      </c>
      <c r="L192" s="203" t="s">
        <v>1109</v>
      </c>
      <c r="M192" s="262"/>
      <c r="N192" s="214">
        <v>45601.0</v>
      </c>
      <c r="O192" s="253"/>
      <c r="P192" s="53"/>
      <c r="Q192" s="565">
        <v>114.0</v>
      </c>
      <c r="R192" s="566" t="s">
        <v>16</v>
      </c>
      <c r="S192" s="3"/>
      <c r="T192" s="3"/>
      <c r="U192" s="3"/>
      <c r="V192" s="3"/>
      <c r="W192" s="3"/>
      <c r="X192" s="3"/>
      <c r="Y192" s="3"/>
      <c r="Z192" s="3"/>
      <c r="AA192" s="3"/>
      <c r="AB192" s="3"/>
      <c r="AC192" s="3"/>
    </row>
    <row r="193">
      <c r="A193" s="408" t="s">
        <v>594</v>
      </c>
      <c r="B193" s="408" t="s">
        <v>1732</v>
      </c>
      <c r="C193" s="464">
        <v>45680.0</v>
      </c>
      <c r="D193" s="463" t="s">
        <v>3454</v>
      </c>
      <c r="E193" s="408" t="s">
        <v>1549</v>
      </c>
      <c r="F193" s="464">
        <v>45680.0</v>
      </c>
      <c r="G193" s="465"/>
      <c r="H193" s="464">
        <v>45680.0</v>
      </c>
      <c r="I193" s="465"/>
      <c r="J193" s="464">
        <v>45777.0</v>
      </c>
      <c r="K193" s="447" t="s">
        <v>3458</v>
      </c>
      <c r="L193" s="465"/>
      <c r="M193" s="465"/>
      <c r="N193" s="464">
        <v>45680.0</v>
      </c>
      <c r="O193" s="465"/>
      <c r="P193" s="53"/>
      <c r="Q193" s="565">
        <v>116.0</v>
      </c>
      <c r="R193" s="566" t="s">
        <v>23</v>
      </c>
      <c r="S193" s="465"/>
      <c r="T193" s="465"/>
      <c r="U193" s="465"/>
      <c r="V193" s="465"/>
      <c r="W193" s="465"/>
      <c r="X193" s="465"/>
      <c r="Y193" s="465"/>
      <c r="Z193" s="465"/>
      <c r="AA193" s="465"/>
      <c r="AB193" s="465"/>
      <c r="AC193" s="465"/>
    </row>
    <row r="194">
      <c r="A194" s="203" t="s">
        <v>73</v>
      </c>
      <c r="B194" s="203" t="s">
        <v>1578</v>
      </c>
      <c r="C194" s="214">
        <v>45048.0</v>
      </c>
      <c r="D194" s="241" t="s">
        <v>3460</v>
      </c>
      <c r="E194" s="411" t="s">
        <v>3461</v>
      </c>
      <c r="F194" s="214">
        <v>45072.0</v>
      </c>
      <c r="G194" s="262"/>
      <c r="H194" s="214">
        <v>45072.0</v>
      </c>
      <c r="I194" s="262"/>
      <c r="J194" s="203" t="s">
        <v>3462</v>
      </c>
      <c r="K194" s="262"/>
      <c r="L194" s="203" t="s">
        <v>1109</v>
      </c>
      <c r="M194" s="214"/>
      <c r="N194" s="214">
        <v>45072.0</v>
      </c>
      <c r="O194" s="262"/>
      <c r="P194" s="565">
        <v>2.0</v>
      </c>
      <c r="Q194" s="565">
        <v>18.0</v>
      </c>
      <c r="R194" s="568" t="s">
        <v>68</v>
      </c>
      <c r="S194" s="3"/>
      <c r="T194" s="3"/>
      <c r="U194" s="3"/>
      <c r="V194" s="3"/>
      <c r="W194" s="3"/>
      <c r="X194" s="3"/>
      <c r="Y194" s="3"/>
      <c r="Z194" s="3"/>
      <c r="AA194" s="3"/>
      <c r="AB194" s="3"/>
      <c r="AC194" s="3"/>
    </row>
    <row r="195">
      <c r="A195" s="408" t="s">
        <v>600</v>
      </c>
      <c r="B195" s="408" t="s">
        <v>1732</v>
      </c>
      <c r="C195" s="464">
        <v>45553.0</v>
      </c>
      <c r="D195" s="463" t="s">
        <v>3464</v>
      </c>
      <c r="E195" s="408" t="s">
        <v>1754</v>
      </c>
      <c r="F195" s="464">
        <v>45553.0</v>
      </c>
      <c r="G195" s="465"/>
      <c r="H195" s="464">
        <v>45553.0</v>
      </c>
      <c r="I195" s="465"/>
      <c r="J195" s="408" t="s">
        <v>3466</v>
      </c>
      <c r="K195" s="447" t="s">
        <v>3467</v>
      </c>
      <c r="L195" s="408" t="s">
        <v>1769</v>
      </c>
      <c r="M195" s="408" t="s">
        <v>3469</v>
      </c>
      <c r="N195" s="464">
        <v>45553.0</v>
      </c>
      <c r="O195" s="465"/>
      <c r="P195" s="53"/>
      <c r="Q195" s="565">
        <v>106.0</v>
      </c>
      <c r="R195" s="566" t="s">
        <v>29</v>
      </c>
      <c r="S195" s="465"/>
      <c r="T195" s="465"/>
      <c r="U195" s="465"/>
      <c r="V195" s="465"/>
      <c r="W195" s="465"/>
      <c r="X195" s="465"/>
      <c r="Y195" s="465"/>
      <c r="Z195" s="465"/>
      <c r="AA195" s="465"/>
      <c r="AB195" s="465"/>
      <c r="AC195" s="465"/>
    </row>
    <row r="196">
      <c r="A196" s="436" t="s">
        <v>597</v>
      </c>
      <c r="B196" s="408" t="s">
        <v>1578</v>
      </c>
      <c r="C196" s="464">
        <v>45384.0</v>
      </c>
      <c r="D196" s="463" t="s">
        <v>3472</v>
      </c>
      <c r="E196" s="408" t="s">
        <v>1515</v>
      </c>
      <c r="F196" s="464">
        <v>45384.0</v>
      </c>
      <c r="G196" s="465"/>
      <c r="H196" s="464">
        <v>45398.0</v>
      </c>
      <c r="I196" s="465"/>
      <c r="J196" s="408" t="s">
        <v>749</v>
      </c>
      <c r="K196" s="219" t="s">
        <v>3475</v>
      </c>
      <c r="L196" s="612" t="s">
        <v>3477</v>
      </c>
      <c r="M196" s="613"/>
      <c r="N196" s="214">
        <v>45398.0</v>
      </c>
      <c r="O196" s="262"/>
      <c r="P196" s="565">
        <v>7.0</v>
      </c>
      <c r="Q196" s="565">
        <v>59.0</v>
      </c>
      <c r="R196" s="465"/>
      <c r="S196" s="3"/>
      <c r="T196" s="3"/>
      <c r="U196" s="3"/>
      <c r="V196" s="3"/>
      <c r="W196" s="3"/>
      <c r="X196" s="3"/>
      <c r="Y196" s="3"/>
      <c r="Z196" s="3"/>
      <c r="AA196" s="3"/>
      <c r="AB196" s="3"/>
      <c r="AC196" s="3"/>
    </row>
    <row r="197">
      <c r="A197" s="408" t="s">
        <v>604</v>
      </c>
      <c r="B197" s="408" t="s">
        <v>1732</v>
      </c>
      <c r="C197" s="464">
        <v>45630.0</v>
      </c>
      <c r="D197" s="408" t="s">
        <v>3190</v>
      </c>
      <c r="E197" s="286" t="s">
        <v>1828</v>
      </c>
      <c r="F197" s="464">
        <v>45630.0</v>
      </c>
      <c r="G197" s="465"/>
      <c r="H197" s="464">
        <v>45630.0</v>
      </c>
      <c r="I197" s="465"/>
      <c r="J197" s="408" t="s">
        <v>749</v>
      </c>
      <c r="K197" s="614" t="s">
        <v>3480</v>
      </c>
      <c r="L197" s="32"/>
      <c r="M197" s="32"/>
      <c r="N197" s="214">
        <v>45630.0</v>
      </c>
      <c r="O197" s="262"/>
      <c r="P197" s="32"/>
      <c r="Q197" s="565">
        <v>112.0</v>
      </c>
      <c r="R197" s="566" t="s">
        <v>23</v>
      </c>
      <c r="S197" s="3"/>
      <c r="T197" s="3"/>
      <c r="U197" s="3"/>
      <c r="V197" s="3"/>
      <c r="W197" s="3"/>
      <c r="X197" s="3"/>
      <c r="Y197" s="3"/>
      <c r="Z197" s="3"/>
      <c r="AA197" s="3"/>
      <c r="AB197" s="3"/>
      <c r="AC197" s="3"/>
    </row>
    <row r="198">
      <c r="A198" s="408" t="s">
        <v>606</v>
      </c>
      <c r="B198" s="420" t="s">
        <v>1732</v>
      </c>
      <c r="C198" s="464">
        <v>45692.0</v>
      </c>
      <c r="D198" s="463" t="s">
        <v>3482</v>
      </c>
      <c r="E198" s="408" t="s">
        <v>1549</v>
      </c>
      <c r="F198" s="464">
        <v>45692.0</v>
      </c>
      <c r="G198" s="465"/>
      <c r="H198" s="464">
        <v>45692.0</v>
      </c>
      <c r="I198" s="465"/>
      <c r="J198" s="408" t="s">
        <v>749</v>
      </c>
      <c r="K198" s="614" t="s">
        <v>3483</v>
      </c>
      <c r="L198" s="53"/>
      <c r="M198" s="53"/>
      <c r="N198" s="214">
        <v>45692.0</v>
      </c>
      <c r="O198" s="262"/>
      <c r="P198" s="53"/>
      <c r="Q198" s="565">
        <v>118.0</v>
      </c>
      <c r="R198" s="566" t="s">
        <v>23</v>
      </c>
      <c r="S198" s="3"/>
      <c r="T198" s="3"/>
      <c r="U198" s="3"/>
      <c r="V198" s="3"/>
      <c r="W198" s="3"/>
      <c r="X198" s="3"/>
      <c r="Y198" s="3"/>
      <c r="Z198" s="3"/>
      <c r="AA198" s="3"/>
      <c r="AB198" s="3"/>
      <c r="AC198" s="3"/>
    </row>
    <row r="199">
      <c r="A199" s="408" t="s">
        <v>599</v>
      </c>
      <c r="B199" s="408" t="s">
        <v>1578</v>
      </c>
      <c r="C199" s="464">
        <v>45400.0</v>
      </c>
      <c r="D199" s="408" t="s">
        <v>3190</v>
      </c>
      <c r="E199" s="447" t="s">
        <v>1648</v>
      </c>
      <c r="F199" s="464">
        <v>45400.0</v>
      </c>
      <c r="G199" s="408" t="s">
        <v>3486</v>
      </c>
      <c r="H199" s="464">
        <v>45406.0</v>
      </c>
      <c r="I199" s="465"/>
      <c r="J199" s="408" t="s">
        <v>3487</v>
      </c>
      <c r="K199" s="219" t="s">
        <v>3489</v>
      </c>
      <c r="L199" s="203" t="s">
        <v>1769</v>
      </c>
      <c r="M199" s="262"/>
      <c r="N199" s="214">
        <v>45400.0</v>
      </c>
      <c r="O199" s="203"/>
      <c r="P199" s="565">
        <v>8.0</v>
      </c>
      <c r="Q199" s="565">
        <v>76.0</v>
      </c>
      <c r="R199" s="465"/>
      <c r="S199" s="3"/>
      <c r="T199" s="3"/>
      <c r="U199" s="3"/>
      <c r="V199" s="3"/>
      <c r="W199" s="3"/>
      <c r="X199" s="3"/>
      <c r="Y199" s="3"/>
      <c r="Z199" s="3"/>
      <c r="AA199" s="3"/>
      <c r="AB199" s="3"/>
      <c r="AC199" s="3"/>
    </row>
    <row r="200">
      <c r="A200" s="408" t="s">
        <v>347</v>
      </c>
      <c r="B200" s="408" t="s">
        <v>1578</v>
      </c>
      <c r="C200" s="464">
        <v>45338.0</v>
      </c>
      <c r="D200" s="465"/>
      <c r="E200" s="408"/>
      <c r="F200" s="464">
        <v>45338.0</v>
      </c>
      <c r="G200" s="465"/>
      <c r="H200" s="464">
        <v>45338.0</v>
      </c>
      <c r="I200" s="465"/>
      <c r="J200" s="464"/>
      <c r="K200" s="354" t="s">
        <v>3491</v>
      </c>
      <c r="L200" s="408" t="s">
        <v>3214</v>
      </c>
      <c r="M200" s="286" t="s">
        <v>3492</v>
      </c>
      <c r="N200" s="464">
        <v>45338.0</v>
      </c>
      <c r="O200" s="465"/>
      <c r="P200" s="565">
        <v>7.0</v>
      </c>
      <c r="Q200" s="565">
        <v>64.0</v>
      </c>
      <c r="R200" s="420"/>
      <c r="S200" s="435"/>
      <c r="T200" s="95"/>
      <c r="U200" s="435"/>
      <c r="V200" s="95"/>
      <c r="W200" s="39"/>
      <c r="X200" s="14"/>
      <c r="Y200" s="14"/>
      <c r="Z200" s="14"/>
      <c r="AA200" s="14"/>
      <c r="AB200" s="3"/>
      <c r="AC200" s="3"/>
    </row>
    <row r="201">
      <c r="A201" s="408" t="s">
        <v>549</v>
      </c>
      <c r="B201" s="408" t="s">
        <v>1732</v>
      </c>
      <c r="C201" s="557">
        <v>45588.0</v>
      </c>
      <c r="D201" s="408" t="s">
        <v>3493</v>
      </c>
      <c r="E201" s="358"/>
      <c r="F201" s="557">
        <v>45588.0</v>
      </c>
      <c r="G201" s="465"/>
      <c r="H201" s="557">
        <v>45588.0</v>
      </c>
      <c r="I201" s="465"/>
      <c r="J201" s="557"/>
      <c r="K201" s="408" t="s">
        <v>3495</v>
      </c>
      <c r="L201" s="358"/>
      <c r="M201" s="358"/>
      <c r="N201" s="557">
        <v>45588.0</v>
      </c>
      <c r="O201" s="465"/>
      <c r="P201" s="32"/>
      <c r="Q201" s="565">
        <v>109.0</v>
      </c>
      <c r="R201" s="566" t="s">
        <v>29</v>
      </c>
      <c r="S201" s="3"/>
      <c r="T201" s="3"/>
      <c r="U201" s="3"/>
      <c r="V201" s="3"/>
      <c r="W201" s="3"/>
      <c r="X201" s="3"/>
      <c r="Y201" s="3"/>
      <c r="Z201" s="3"/>
      <c r="AA201" s="3"/>
      <c r="AB201" s="3"/>
      <c r="AC201" s="3"/>
    </row>
    <row r="202">
      <c r="A202" s="3"/>
      <c r="B202" s="3"/>
      <c r="C202" s="3"/>
      <c r="D202" s="319"/>
      <c r="E202" s="3"/>
      <c r="F202" s="3"/>
      <c r="G202" s="3"/>
      <c r="H202" s="3"/>
      <c r="I202" s="3"/>
      <c r="L202" s="3"/>
      <c r="M202" s="3"/>
      <c r="N202" s="3"/>
      <c r="O202" s="3"/>
      <c r="P202" s="53"/>
      <c r="Q202" s="617"/>
      <c r="R202" s="618"/>
      <c r="S202" s="3"/>
      <c r="T202" s="3"/>
      <c r="U202" s="3"/>
      <c r="V202" s="3"/>
      <c r="W202" s="3"/>
      <c r="X202" s="3"/>
      <c r="Y202" s="3"/>
      <c r="Z202" s="3"/>
      <c r="AA202" s="3"/>
      <c r="AB202" s="3"/>
      <c r="AC202" s="3"/>
    </row>
    <row r="203">
      <c r="A203" s="3"/>
      <c r="B203" s="3"/>
      <c r="C203" s="3"/>
      <c r="D203" s="319"/>
      <c r="E203" s="3"/>
      <c r="F203" s="3"/>
      <c r="G203" s="3"/>
      <c r="H203" s="3"/>
      <c r="I203" s="3"/>
      <c r="L203" s="3"/>
      <c r="M203" s="3"/>
      <c r="N203" s="3"/>
      <c r="O203" s="3"/>
      <c r="P203" s="53"/>
      <c r="Q203" s="617"/>
      <c r="R203" s="618"/>
      <c r="S203" s="3"/>
      <c r="T203" s="3"/>
      <c r="U203" s="3"/>
      <c r="V203" s="3"/>
      <c r="W203" s="3"/>
      <c r="X203" s="3"/>
      <c r="Y203" s="3"/>
      <c r="Z203" s="3"/>
      <c r="AA203" s="3"/>
      <c r="AB203" s="3"/>
      <c r="AC203" s="3"/>
    </row>
    <row r="204">
      <c r="A204" s="3"/>
      <c r="B204" s="3"/>
      <c r="C204" s="3"/>
      <c r="D204" s="319"/>
      <c r="E204" s="3"/>
      <c r="F204" s="3"/>
      <c r="G204" s="3"/>
      <c r="H204" s="3"/>
      <c r="I204" s="3"/>
      <c r="L204" s="3"/>
      <c r="M204" s="3"/>
      <c r="N204" s="3"/>
      <c r="O204" s="3"/>
      <c r="P204" s="53"/>
      <c r="Q204" s="617"/>
      <c r="R204" s="618"/>
      <c r="S204" s="3"/>
      <c r="T204" s="3"/>
      <c r="U204" s="3"/>
      <c r="V204" s="3"/>
      <c r="W204" s="3"/>
      <c r="X204" s="3"/>
      <c r="Y204" s="3"/>
      <c r="Z204" s="3"/>
      <c r="AA204" s="3"/>
      <c r="AB204" s="3"/>
      <c r="AC204" s="3"/>
    </row>
    <row r="205">
      <c r="A205" s="3"/>
      <c r="B205" s="3"/>
      <c r="C205" s="3"/>
      <c r="D205" s="319"/>
      <c r="E205" s="3"/>
      <c r="F205" s="3"/>
      <c r="G205" s="3"/>
      <c r="H205" s="3"/>
      <c r="I205" s="3"/>
      <c r="J205" s="3"/>
      <c r="K205" s="3"/>
      <c r="L205" s="3"/>
      <c r="M205" s="3"/>
      <c r="N205" s="3"/>
      <c r="O205" s="3"/>
      <c r="P205" s="53"/>
      <c r="Q205" s="617"/>
      <c r="R205" s="618"/>
      <c r="S205" s="3"/>
      <c r="T205" s="3"/>
      <c r="U205" s="3"/>
      <c r="V205" s="3"/>
      <c r="W205" s="3"/>
      <c r="X205" s="3"/>
      <c r="Y205" s="3"/>
      <c r="Z205" s="3"/>
      <c r="AA205" s="3"/>
      <c r="AB205" s="3"/>
      <c r="AC205" s="3"/>
    </row>
    <row r="206">
      <c r="A206" s="3"/>
      <c r="B206" s="3"/>
      <c r="C206" s="3"/>
      <c r="D206" s="319"/>
      <c r="E206" s="3"/>
      <c r="F206" s="3"/>
      <c r="G206" s="3"/>
      <c r="H206" s="3"/>
      <c r="I206" s="3"/>
      <c r="J206" s="3"/>
      <c r="K206" s="3"/>
      <c r="L206" s="3"/>
      <c r="M206" s="3"/>
      <c r="N206" s="3"/>
      <c r="O206" s="3"/>
      <c r="P206" s="53"/>
      <c r="Q206" s="617"/>
      <c r="R206" s="618"/>
      <c r="S206" s="3"/>
      <c r="T206" s="3"/>
      <c r="U206" s="3"/>
      <c r="V206" s="3"/>
      <c r="W206" s="3"/>
      <c r="X206" s="3"/>
      <c r="Y206" s="3"/>
      <c r="Z206" s="3"/>
      <c r="AA206" s="3"/>
      <c r="AB206" s="3"/>
      <c r="AC206" s="3"/>
    </row>
    <row r="207">
      <c r="A207" s="3"/>
      <c r="B207" s="3"/>
      <c r="C207" s="3"/>
      <c r="D207" s="319"/>
      <c r="E207" s="3"/>
      <c r="F207" s="3"/>
      <c r="G207" s="3"/>
      <c r="H207" s="3"/>
      <c r="I207" s="3"/>
      <c r="J207" s="3"/>
      <c r="K207" s="3"/>
      <c r="L207" s="3"/>
      <c r="M207" s="3"/>
      <c r="N207" s="3"/>
      <c r="O207" s="3"/>
      <c r="P207" s="53"/>
      <c r="Q207" s="617"/>
      <c r="R207" s="618"/>
      <c r="S207" s="3"/>
      <c r="T207" s="3"/>
      <c r="U207" s="3"/>
      <c r="V207" s="3"/>
      <c r="W207" s="3"/>
      <c r="X207" s="3"/>
      <c r="Y207" s="3"/>
      <c r="Z207" s="3"/>
      <c r="AA207" s="3"/>
      <c r="AB207" s="3"/>
      <c r="AC207" s="3"/>
    </row>
    <row r="208">
      <c r="A208" s="3"/>
      <c r="B208" s="3"/>
      <c r="C208" s="3"/>
      <c r="D208" s="319"/>
      <c r="E208" s="3"/>
      <c r="F208" s="3"/>
      <c r="G208" s="3"/>
      <c r="H208" s="3"/>
      <c r="I208" s="3"/>
      <c r="J208" s="3"/>
      <c r="K208" s="3"/>
      <c r="L208" s="3"/>
      <c r="M208" s="3"/>
      <c r="N208" s="3"/>
      <c r="O208" s="3"/>
      <c r="P208" s="53"/>
      <c r="Q208" s="617"/>
      <c r="R208" s="618"/>
      <c r="S208" s="3"/>
      <c r="T208" s="3"/>
      <c r="U208" s="3"/>
      <c r="V208" s="3"/>
      <c r="W208" s="3"/>
      <c r="X208" s="3"/>
      <c r="Y208" s="3"/>
      <c r="Z208" s="3"/>
      <c r="AA208" s="3"/>
      <c r="AB208" s="3"/>
      <c r="AC208" s="3"/>
    </row>
    <row r="209">
      <c r="A209" s="3"/>
      <c r="B209" s="3"/>
      <c r="C209" s="3"/>
      <c r="D209" s="319"/>
      <c r="E209" s="3"/>
      <c r="F209" s="3"/>
      <c r="G209" s="3"/>
      <c r="H209" s="3"/>
      <c r="I209" s="3"/>
      <c r="J209" s="3"/>
      <c r="K209" s="3"/>
      <c r="L209" s="3"/>
      <c r="M209" s="3"/>
      <c r="N209" s="3"/>
      <c r="O209" s="3"/>
      <c r="P209" s="53"/>
      <c r="Q209" s="617"/>
      <c r="R209" s="618"/>
      <c r="S209" s="3"/>
      <c r="T209" s="3"/>
      <c r="U209" s="3"/>
      <c r="V209" s="3"/>
      <c r="W209" s="3"/>
      <c r="X209" s="3"/>
      <c r="Y209" s="3"/>
      <c r="Z209" s="3"/>
      <c r="AA209" s="3"/>
      <c r="AB209" s="3"/>
      <c r="AC209" s="3"/>
    </row>
    <row r="210">
      <c r="A210" s="3"/>
      <c r="B210" s="3"/>
      <c r="C210" s="3"/>
      <c r="D210" s="319"/>
      <c r="E210" s="3"/>
      <c r="F210" s="3"/>
      <c r="G210" s="3"/>
      <c r="H210" s="3"/>
      <c r="I210" s="3"/>
      <c r="J210" s="3"/>
      <c r="K210" s="3"/>
      <c r="L210" s="3"/>
      <c r="M210" s="3"/>
      <c r="N210" s="3"/>
      <c r="O210" s="3"/>
      <c r="P210" s="53"/>
      <c r="Q210" s="617"/>
      <c r="R210" s="618"/>
      <c r="S210" s="3"/>
      <c r="T210" s="3"/>
      <c r="U210" s="3"/>
      <c r="V210" s="3"/>
      <c r="W210" s="3"/>
      <c r="X210" s="3"/>
      <c r="Y210" s="3"/>
      <c r="Z210" s="3"/>
      <c r="AA210" s="3"/>
      <c r="AB210" s="3"/>
      <c r="AC210" s="3"/>
    </row>
    <row r="211">
      <c r="A211" s="3"/>
      <c r="B211" s="3"/>
      <c r="C211" s="3"/>
      <c r="D211" s="319"/>
      <c r="E211" s="3"/>
      <c r="F211" s="3"/>
      <c r="G211" s="3"/>
      <c r="H211" s="3"/>
      <c r="I211" s="3"/>
      <c r="J211" s="3"/>
      <c r="K211" s="3"/>
      <c r="L211" s="3"/>
      <c r="M211" s="3"/>
      <c r="N211" s="3"/>
      <c r="O211" s="3"/>
      <c r="P211" s="53"/>
      <c r="Q211" s="617"/>
      <c r="R211" s="618"/>
      <c r="S211" s="3"/>
      <c r="T211" s="3"/>
      <c r="U211" s="3"/>
      <c r="V211" s="3"/>
      <c r="W211" s="3"/>
      <c r="X211" s="3"/>
      <c r="Y211" s="3"/>
      <c r="Z211" s="3"/>
      <c r="AA211" s="3"/>
      <c r="AB211" s="3"/>
      <c r="AC211" s="3"/>
    </row>
    <row r="212">
      <c r="A212" s="3"/>
      <c r="B212" s="3"/>
      <c r="C212" s="3"/>
      <c r="D212" s="319"/>
      <c r="E212" s="3"/>
      <c r="F212" s="3"/>
      <c r="G212" s="3"/>
      <c r="H212" s="3"/>
      <c r="I212" s="3"/>
      <c r="J212" s="3"/>
      <c r="K212" s="3"/>
      <c r="L212" s="3"/>
      <c r="M212" s="3"/>
      <c r="N212" s="3"/>
      <c r="O212" s="3"/>
      <c r="P212" s="53"/>
      <c r="Q212" s="617"/>
      <c r="R212" s="618"/>
      <c r="S212" s="3"/>
      <c r="T212" s="3"/>
      <c r="U212" s="3"/>
      <c r="V212" s="3"/>
      <c r="W212" s="3"/>
      <c r="X212" s="3"/>
      <c r="Y212" s="3"/>
      <c r="Z212" s="3"/>
      <c r="AA212" s="3"/>
      <c r="AB212" s="3"/>
      <c r="AC212" s="3"/>
    </row>
    <row r="213">
      <c r="A213" s="3"/>
      <c r="B213" s="3"/>
      <c r="C213" s="3"/>
      <c r="D213" s="319"/>
      <c r="E213" s="3"/>
      <c r="F213" s="3"/>
      <c r="G213" s="3"/>
      <c r="H213" s="3"/>
      <c r="I213" s="3"/>
      <c r="J213" s="3"/>
      <c r="K213" s="3"/>
      <c r="L213" s="3"/>
      <c r="M213" s="3"/>
      <c r="N213" s="3"/>
      <c r="O213" s="3"/>
      <c r="P213" s="53"/>
      <c r="Q213" s="617"/>
      <c r="R213" s="618"/>
      <c r="S213" s="3"/>
      <c r="T213" s="3"/>
      <c r="U213" s="3"/>
      <c r="V213" s="3"/>
      <c r="W213" s="3"/>
      <c r="X213" s="3"/>
      <c r="Y213" s="3"/>
      <c r="Z213" s="3"/>
      <c r="AA213" s="3"/>
      <c r="AB213" s="3"/>
      <c r="AC213" s="3"/>
    </row>
    <row r="214">
      <c r="A214" s="3"/>
      <c r="B214" s="3"/>
      <c r="C214" s="3"/>
      <c r="D214" s="319"/>
      <c r="E214" s="3"/>
      <c r="F214" s="3"/>
      <c r="G214" s="3"/>
      <c r="H214" s="3"/>
      <c r="I214" s="3"/>
      <c r="J214" s="3"/>
      <c r="K214" s="3"/>
      <c r="L214" s="3"/>
      <c r="M214" s="3"/>
      <c r="N214" s="3"/>
      <c r="O214" s="3"/>
      <c r="P214" s="53"/>
      <c r="Q214" s="53"/>
      <c r="R214" s="618"/>
      <c r="S214" s="3"/>
      <c r="T214" s="3"/>
      <c r="U214" s="3"/>
      <c r="V214" s="3"/>
      <c r="W214" s="3"/>
      <c r="X214" s="3"/>
      <c r="Y214" s="3"/>
      <c r="Z214" s="3"/>
      <c r="AA214" s="3"/>
      <c r="AB214" s="3"/>
      <c r="AC214" s="3"/>
    </row>
    <row r="215">
      <c r="A215" s="3"/>
      <c r="B215" s="3"/>
      <c r="C215" s="3"/>
      <c r="D215" s="319"/>
      <c r="E215" s="3"/>
      <c r="F215" s="3"/>
      <c r="G215" s="3"/>
      <c r="H215" s="3"/>
      <c r="I215" s="3"/>
      <c r="J215" s="3"/>
      <c r="K215" s="3"/>
      <c r="L215" s="3"/>
      <c r="M215" s="3"/>
      <c r="N215" s="3"/>
      <c r="O215" s="3"/>
      <c r="P215" s="53"/>
      <c r="Q215" s="53"/>
      <c r="R215" s="618"/>
      <c r="S215" s="3"/>
      <c r="T215" s="3"/>
      <c r="U215" s="3"/>
      <c r="V215" s="3"/>
      <c r="W215" s="3"/>
      <c r="X215" s="3"/>
      <c r="Y215" s="3"/>
      <c r="Z215" s="3"/>
      <c r="AA215" s="3"/>
      <c r="AB215" s="3"/>
      <c r="AC215" s="3"/>
    </row>
    <row r="216">
      <c r="A216" s="3"/>
      <c r="B216" s="3"/>
      <c r="C216" s="3"/>
      <c r="D216" s="319"/>
      <c r="E216" s="3"/>
      <c r="F216" s="3"/>
      <c r="G216" s="3"/>
      <c r="H216" s="3"/>
      <c r="I216" s="3"/>
      <c r="J216" s="3"/>
      <c r="K216" s="3"/>
      <c r="L216" s="3"/>
      <c r="M216" s="3"/>
      <c r="N216" s="3"/>
      <c r="O216" s="3"/>
      <c r="P216" s="53"/>
      <c r="Q216" s="53"/>
      <c r="R216" s="618"/>
      <c r="S216" s="3"/>
      <c r="T216" s="3"/>
      <c r="U216" s="3"/>
      <c r="V216" s="3"/>
      <c r="W216" s="3"/>
      <c r="X216" s="3"/>
      <c r="Y216" s="3"/>
      <c r="Z216" s="3"/>
      <c r="AA216" s="3"/>
      <c r="AB216" s="3"/>
      <c r="AC216" s="3"/>
    </row>
    <row r="217">
      <c r="A217" s="3"/>
      <c r="B217" s="3"/>
      <c r="C217" s="3"/>
      <c r="D217" s="319"/>
      <c r="E217" s="3"/>
      <c r="F217" s="3"/>
      <c r="G217" s="3"/>
      <c r="H217" s="3"/>
      <c r="I217" s="3"/>
      <c r="J217" s="3"/>
      <c r="K217" s="3"/>
      <c r="L217" s="3"/>
      <c r="M217" s="3"/>
      <c r="N217" s="3"/>
      <c r="O217" s="3"/>
      <c r="P217" s="53"/>
      <c r="Q217" s="53"/>
      <c r="R217" s="618"/>
      <c r="S217" s="3"/>
      <c r="T217" s="3"/>
      <c r="U217" s="3"/>
      <c r="V217" s="3"/>
      <c r="W217" s="3"/>
      <c r="X217" s="3"/>
      <c r="Y217" s="3"/>
      <c r="Z217" s="3"/>
      <c r="AA217" s="3"/>
      <c r="AB217" s="3"/>
      <c r="AC217" s="3"/>
    </row>
    <row r="218">
      <c r="A218" s="3"/>
      <c r="B218" s="3"/>
      <c r="C218" s="3"/>
      <c r="D218" s="319"/>
      <c r="E218" s="3"/>
      <c r="F218" s="3"/>
      <c r="G218" s="3"/>
      <c r="H218" s="3"/>
      <c r="I218" s="3"/>
      <c r="J218" s="3"/>
      <c r="K218" s="3"/>
      <c r="L218" s="3"/>
      <c r="M218" s="3"/>
      <c r="N218" s="3"/>
      <c r="O218" s="3"/>
      <c r="P218" s="53"/>
      <c r="Q218" s="53"/>
      <c r="R218" s="618"/>
      <c r="S218" s="3"/>
      <c r="T218" s="3"/>
      <c r="U218" s="3"/>
      <c r="V218" s="3"/>
      <c r="W218" s="3"/>
      <c r="X218" s="3"/>
      <c r="Y218" s="3"/>
      <c r="Z218" s="3"/>
      <c r="AA218" s="3"/>
      <c r="AB218" s="3"/>
      <c r="AC218" s="3"/>
    </row>
    <row r="219">
      <c r="A219" s="3"/>
      <c r="B219" s="3"/>
      <c r="C219" s="3"/>
      <c r="D219" s="319"/>
      <c r="E219" s="3"/>
      <c r="F219" s="3"/>
      <c r="G219" s="3"/>
      <c r="H219" s="3"/>
      <c r="I219" s="3"/>
      <c r="J219" s="3"/>
      <c r="K219" s="3"/>
      <c r="L219" s="3"/>
      <c r="M219" s="3"/>
      <c r="N219" s="3"/>
      <c r="O219" s="3"/>
      <c r="P219" s="53"/>
      <c r="Q219" s="53"/>
      <c r="R219" s="618"/>
      <c r="S219" s="3"/>
      <c r="T219" s="3"/>
      <c r="U219" s="3"/>
      <c r="V219" s="3"/>
      <c r="W219" s="3"/>
      <c r="X219" s="3"/>
      <c r="Y219" s="3"/>
      <c r="Z219" s="3"/>
      <c r="AA219" s="3"/>
      <c r="AB219" s="3"/>
      <c r="AC219" s="3"/>
    </row>
    <row r="220">
      <c r="A220" s="3"/>
      <c r="B220" s="3"/>
      <c r="C220" s="3"/>
      <c r="D220" s="319"/>
      <c r="E220" s="3"/>
      <c r="F220" s="3"/>
      <c r="G220" s="3"/>
      <c r="H220" s="3"/>
      <c r="I220" s="3"/>
      <c r="J220" s="3"/>
      <c r="K220" s="3"/>
      <c r="L220" s="3"/>
      <c r="M220" s="3"/>
      <c r="N220" s="3"/>
      <c r="O220" s="3"/>
      <c r="P220" s="53"/>
      <c r="Q220" s="53"/>
      <c r="R220" s="618"/>
      <c r="S220" s="3"/>
      <c r="T220" s="3"/>
      <c r="U220" s="3"/>
      <c r="V220" s="3"/>
      <c r="W220" s="3"/>
      <c r="X220" s="3"/>
      <c r="Y220" s="3"/>
      <c r="Z220" s="3"/>
      <c r="AA220" s="3"/>
      <c r="AB220" s="3"/>
      <c r="AC220" s="3"/>
    </row>
    <row r="221">
      <c r="A221" s="3"/>
      <c r="B221" s="3"/>
      <c r="C221" s="3"/>
      <c r="D221" s="319"/>
      <c r="E221" s="3"/>
      <c r="F221" s="3"/>
      <c r="G221" s="3"/>
      <c r="H221" s="3"/>
      <c r="I221" s="3"/>
      <c r="J221" s="3"/>
      <c r="K221" s="3"/>
      <c r="L221" s="3"/>
      <c r="M221" s="3"/>
      <c r="N221" s="3"/>
      <c r="O221" s="3"/>
      <c r="P221" s="53"/>
      <c r="Q221" s="53"/>
      <c r="R221" s="618"/>
      <c r="S221" s="3"/>
      <c r="T221" s="3"/>
      <c r="U221" s="3"/>
      <c r="V221" s="3"/>
      <c r="W221" s="3"/>
      <c r="X221" s="3"/>
      <c r="Y221" s="3"/>
      <c r="Z221" s="3"/>
      <c r="AA221" s="3"/>
      <c r="AB221" s="3"/>
      <c r="AC221" s="3"/>
    </row>
    <row r="222">
      <c r="A222" s="3"/>
      <c r="B222" s="3"/>
      <c r="C222" s="3"/>
      <c r="D222" s="319"/>
      <c r="E222" s="3"/>
      <c r="F222" s="3"/>
      <c r="G222" s="3"/>
      <c r="H222" s="3"/>
      <c r="I222" s="3"/>
      <c r="J222" s="3"/>
      <c r="K222" s="3"/>
      <c r="L222" s="3"/>
      <c r="M222" s="3"/>
      <c r="N222" s="3"/>
      <c r="O222" s="3"/>
      <c r="P222" s="53"/>
      <c r="Q222" s="53"/>
      <c r="R222" s="618"/>
      <c r="S222" s="3"/>
      <c r="T222" s="3"/>
      <c r="U222" s="3"/>
      <c r="V222" s="3"/>
      <c r="W222" s="3"/>
      <c r="X222" s="3"/>
      <c r="Y222" s="3"/>
      <c r="Z222" s="3"/>
      <c r="AA222" s="3"/>
      <c r="AB222" s="3"/>
      <c r="AC222" s="3"/>
    </row>
    <row r="223">
      <c r="A223" s="3"/>
      <c r="B223" s="3"/>
      <c r="C223" s="3"/>
      <c r="D223" s="319"/>
      <c r="E223" s="3"/>
      <c r="F223" s="3"/>
      <c r="G223" s="3"/>
      <c r="H223" s="3"/>
      <c r="I223" s="3"/>
      <c r="J223" s="3"/>
      <c r="K223" s="3"/>
      <c r="L223" s="3"/>
      <c r="M223" s="3"/>
      <c r="N223" s="3"/>
      <c r="O223" s="3"/>
      <c r="P223" s="53"/>
      <c r="Q223" s="53"/>
      <c r="R223" s="618"/>
      <c r="S223" s="3"/>
      <c r="T223" s="3"/>
      <c r="U223" s="3"/>
      <c r="V223" s="3"/>
      <c r="W223" s="3"/>
      <c r="X223" s="3"/>
      <c r="Y223" s="3"/>
      <c r="Z223" s="3"/>
      <c r="AA223" s="3"/>
      <c r="AB223" s="3"/>
      <c r="AC223" s="3"/>
    </row>
    <row r="224">
      <c r="A224" s="3"/>
      <c r="B224" s="3"/>
      <c r="C224" s="3"/>
      <c r="D224" s="319"/>
      <c r="E224" s="3"/>
      <c r="F224" s="3"/>
      <c r="G224" s="3"/>
      <c r="H224" s="3"/>
      <c r="I224" s="3"/>
      <c r="J224" s="3"/>
      <c r="K224" s="3"/>
      <c r="L224" s="3"/>
      <c r="M224" s="3"/>
      <c r="N224" s="3"/>
      <c r="O224" s="3"/>
      <c r="P224" s="53"/>
      <c r="Q224" s="53"/>
      <c r="R224" s="618"/>
      <c r="S224" s="3"/>
      <c r="T224" s="3"/>
      <c r="U224" s="3"/>
      <c r="V224" s="3"/>
      <c r="W224" s="3"/>
      <c r="X224" s="3"/>
      <c r="Y224" s="3"/>
      <c r="Z224" s="3"/>
      <c r="AA224" s="3"/>
      <c r="AB224" s="3"/>
      <c r="AC224" s="3"/>
    </row>
    <row r="225">
      <c r="A225" s="3"/>
      <c r="B225" s="3"/>
      <c r="C225" s="3"/>
      <c r="D225" s="319"/>
      <c r="E225" s="3"/>
      <c r="F225" s="3"/>
      <c r="G225" s="3"/>
      <c r="H225" s="3"/>
      <c r="I225" s="3"/>
      <c r="J225" s="3"/>
      <c r="K225" s="3"/>
      <c r="L225" s="3"/>
      <c r="M225" s="3"/>
      <c r="N225" s="3"/>
      <c r="O225" s="3"/>
      <c r="P225" s="53"/>
      <c r="Q225" s="53"/>
      <c r="R225" s="618"/>
      <c r="S225" s="3"/>
      <c r="T225" s="3"/>
      <c r="U225" s="3"/>
      <c r="V225" s="3"/>
      <c r="W225" s="3"/>
      <c r="X225" s="3"/>
      <c r="Y225" s="3"/>
      <c r="Z225" s="3"/>
      <c r="AA225" s="3"/>
      <c r="AB225" s="3"/>
      <c r="AC225" s="3"/>
    </row>
    <row r="226">
      <c r="A226" s="3"/>
      <c r="B226" s="3"/>
      <c r="C226" s="3"/>
      <c r="D226" s="319"/>
      <c r="E226" s="3"/>
      <c r="F226" s="3"/>
      <c r="G226" s="3"/>
      <c r="H226" s="3"/>
      <c r="I226" s="3"/>
      <c r="J226" s="3"/>
      <c r="K226" s="3"/>
      <c r="L226" s="3"/>
      <c r="M226" s="3"/>
      <c r="N226" s="3"/>
      <c r="O226" s="3"/>
      <c r="P226" s="53"/>
      <c r="Q226" s="53"/>
      <c r="R226" s="618"/>
      <c r="S226" s="3"/>
      <c r="T226" s="3"/>
      <c r="U226" s="3"/>
      <c r="V226" s="3"/>
      <c r="W226" s="3"/>
      <c r="X226" s="3"/>
      <c r="Y226" s="3"/>
      <c r="Z226" s="3"/>
      <c r="AA226" s="3"/>
      <c r="AB226" s="3"/>
      <c r="AC226" s="3"/>
    </row>
    <row r="227">
      <c r="A227" s="3"/>
      <c r="B227" s="3"/>
      <c r="C227" s="3"/>
      <c r="D227" s="319"/>
      <c r="E227" s="3"/>
      <c r="F227" s="3"/>
      <c r="G227" s="3"/>
      <c r="H227" s="3"/>
      <c r="I227" s="3"/>
      <c r="J227" s="3"/>
      <c r="K227" s="3"/>
      <c r="L227" s="3"/>
      <c r="M227" s="3"/>
      <c r="N227" s="3"/>
      <c r="O227" s="3"/>
      <c r="P227" s="53"/>
      <c r="Q227" s="53"/>
      <c r="R227" s="618"/>
      <c r="S227" s="3"/>
      <c r="T227" s="3"/>
      <c r="U227" s="3"/>
      <c r="V227" s="3"/>
      <c r="W227" s="3"/>
      <c r="X227" s="3"/>
      <c r="Y227" s="3"/>
      <c r="Z227" s="3"/>
      <c r="AA227" s="3"/>
      <c r="AB227" s="3"/>
      <c r="AC227" s="3"/>
    </row>
    <row r="228">
      <c r="A228" s="3"/>
      <c r="B228" s="3"/>
      <c r="C228" s="3"/>
      <c r="D228" s="319"/>
      <c r="E228" s="3"/>
      <c r="F228" s="3"/>
      <c r="G228" s="3"/>
      <c r="H228" s="3"/>
      <c r="I228" s="3"/>
      <c r="J228" s="3"/>
      <c r="K228" s="3"/>
      <c r="L228" s="3"/>
      <c r="M228" s="3"/>
      <c r="N228" s="3"/>
      <c r="O228" s="3"/>
      <c r="P228" s="53"/>
      <c r="Q228" s="53"/>
      <c r="R228" s="618"/>
      <c r="S228" s="3"/>
      <c r="T228" s="3"/>
      <c r="U228" s="3"/>
      <c r="V228" s="3"/>
      <c r="W228" s="3"/>
      <c r="X228" s="3"/>
      <c r="Y228" s="3"/>
      <c r="Z228" s="3"/>
      <c r="AA228" s="3"/>
      <c r="AB228" s="3"/>
      <c r="AC228" s="3"/>
    </row>
    <row r="229">
      <c r="A229" s="3"/>
      <c r="B229" s="3"/>
      <c r="C229" s="3"/>
      <c r="D229" s="319"/>
      <c r="E229" s="3"/>
      <c r="F229" s="3"/>
      <c r="G229" s="3"/>
      <c r="H229" s="3"/>
      <c r="I229" s="3"/>
      <c r="J229" s="3"/>
      <c r="K229" s="3"/>
      <c r="L229" s="3"/>
      <c r="M229" s="3"/>
      <c r="N229" s="3"/>
      <c r="O229" s="3"/>
      <c r="P229" s="53"/>
      <c r="Q229" s="53"/>
      <c r="R229" s="618"/>
      <c r="S229" s="3"/>
      <c r="T229" s="3"/>
      <c r="U229" s="3"/>
      <c r="V229" s="3"/>
      <c r="W229" s="3"/>
      <c r="X229" s="3"/>
      <c r="Y229" s="3"/>
      <c r="Z229" s="3"/>
      <c r="AA229" s="3"/>
      <c r="AB229" s="3"/>
      <c r="AC229" s="3"/>
    </row>
    <row r="230">
      <c r="A230" s="3"/>
      <c r="B230" s="3"/>
      <c r="C230" s="3"/>
      <c r="D230" s="319"/>
      <c r="E230" s="3"/>
      <c r="F230" s="3"/>
      <c r="G230" s="3"/>
      <c r="H230" s="3"/>
      <c r="I230" s="3"/>
      <c r="J230" s="3"/>
      <c r="K230" s="3"/>
      <c r="L230" s="3"/>
      <c r="M230" s="3"/>
      <c r="N230" s="3"/>
      <c r="O230" s="3"/>
      <c r="P230" s="53"/>
      <c r="Q230" s="53"/>
      <c r="R230" s="618"/>
      <c r="S230" s="3"/>
      <c r="T230" s="3"/>
      <c r="U230" s="3"/>
      <c r="V230" s="3"/>
      <c r="W230" s="3"/>
      <c r="X230" s="3"/>
      <c r="Y230" s="3"/>
      <c r="Z230" s="3"/>
      <c r="AA230" s="3"/>
      <c r="AB230" s="3"/>
      <c r="AC230" s="3"/>
    </row>
    <row r="231">
      <c r="A231" s="3"/>
      <c r="B231" s="3"/>
      <c r="C231" s="3"/>
      <c r="D231" s="319"/>
      <c r="E231" s="3"/>
      <c r="F231" s="3"/>
      <c r="G231" s="3"/>
      <c r="H231" s="3"/>
      <c r="I231" s="3"/>
      <c r="J231" s="3"/>
      <c r="K231" s="3"/>
      <c r="L231" s="3"/>
      <c r="M231" s="3"/>
      <c r="N231" s="3"/>
      <c r="O231" s="3"/>
      <c r="P231" s="53"/>
      <c r="Q231" s="53"/>
      <c r="R231" s="618"/>
      <c r="S231" s="3"/>
      <c r="T231" s="3"/>
      <c r="U231" s="3"/>
      <c r="V231" s="3"/>
      <c r="W231" s="3"/>
      <c r="X231" s="3"/>
      <c r="Y231" s="3"/>
      <c r="Z231" s="3"/>
      <c r="AA231" s="3"/>
      <c r="AB231" s="3"/>
      <c r="AC231" s="3"/>
    </row>
    <row r="232">
      <c r="A232" s="3"/>
      <c r="B232" s="3"/>
      <c r="C232" s="3"/>
      <c r="D232" s="319"/>
      <c r="E232" s="3"/>
      <c r="F232" s="3"/>
      <c r="G232" s="3"/>
      <c r="H232" s="3"/>
      <c r="I232" s="3"/>
      <c r="J232" s="3"/>
      <c r="K232" s="3"/>
      <c r="L232" s="3"/>
      <c r="M232" s="3"/>
      <c r="N232" s="3"/>
      <c r="O232" s="3"/>
      <c r="P232" s="53"/>
      <c r="Q232" s="53"/>
      <c r="R232" s="618"/>
      <c r="S232" s="3"/>
      <c r="T232" s="3"/>
      <c r="U232" s="3"/>
      <c r="V232" s="3"/>
      <c r="W232" s="3"/>
      <c r="X232" s="3"/>
      <c r="Y232" s="3"/>
      <c r="Z232" s="3"/>
      <c r="AA232" s="3"/>
      <c r="AB232" s="3"/>
      <c r="AC232" s="3"/>
    </row>
    <row r="233">
      <c r="A233" s="3"/>
      <c r="B233" s="3"/>
      <c r="C233" s="3"/>
      <c r="D233" s="319"/>
      <c r="E233" s="3"/>
      <c r="F233" s="3"/>
      <c r="G233" s="3"/>
      <c r="H233" s="3"/>
      <c r="I233" s="3"/>
      <c r="J233" s="3"/>
      <c r="K233" s="3"/>
      <c r="L233" s="3"/>
      <c r="M233" s="3"/>
      <c r="N233" s="3"/>
      <c r="O233" s="3"/>
      <c r="P233" s="53"/>
      <c r="Q233" s="53"/>
      <c r="R233" s="618"/>
      <c r="S233" s="3"/>
      <c r="T233" s="3"/>
      <c r="U233" s="3"/>
      <c r="V233" s="3"/>
      <c r="W233" s="3"/>
      <c r="X233" s="3"/>
      <c r="Y233" s="3"/>
      <c r="Z233" s="3"/>
      <c r="AA233" s="3"/>
      <c r="AB233" s="3"/>
      <c r="AC233" s="3"/>
    </row>
    <row r="234">
      <c r="A234" s="3"/>
      <c r="B234" s="3"/>
      <c r="C234" s="3"/>
      <c r="D234" s="319"/>
      <c r="E234" s="3"/>
      <c r="F234" s="3"/>
      <c r="G234" s="3"/>
      <c r="H234" s="3"/>
      <c r="I234" s="3"/>
      <c r="J234" s="3"/>
      <c r="K234" s="3"/>
      <c r="L234" s="3"/>
      <c r="M234" s="3"/>
      <c r="N234" s="3"/>
      <c r="O234" s="3"/>
      <c r="P234" s="53"/>
      <c r="Q234" s="53"/>
      <c r="R234" s="618"/>
      <c r="S234" s="3"/>
      <c r="T234" s="3"/>
      <c r="U234" s="3"/>
      <c r="V234" s="3"/>
      <c r="W234" s="3"/>
      <c r="X234" s="3"/>
      <c r="Y234" s="3"/>
      <c r="Z234" s="3"/>
      <c r="AA234" s="3"/>
      <c r="AB234" s="3"/>
      <c r="AC234" s="3"/>
    </row>
    <row r="235">
      <c r="A235" s="3"/>
      <c r="B235" s="3"/>
      <c r="C235" s="3"/>
      <c r="D235" s="319"/>
      <c r="E235" s="3"/>
      <c r="F235" s="3"/>
      <c r="G235" s="3"/>
      <c r="H235" s="3"/>
      <c r="I235" s="3"/>
      <c r="J235" s="3"/>
      <c r="K235" s="3"/>
      <c r="L235" s="3"/>
      <c r="M235" s="3"/>
      <c r="N235" s="3"/>
      <c r="O235" s="3"/>
      <c r="P235" s="53"/>
      <c r="Q235" s="53"/>
      <c r="R235" s="618"/>
      <c r="S235" s="3"/>
      <c r="T235" s="3"/>
      <c r="U235" s="3"/>
      <c r="V235" s="3"/>
      <c r="W235" s="3"/>
      <c r="X235" s="3"/>
      <c r="Y235" s="3"/>
      <c r="Z235" s="3"/>
      <c r="AA235" s="3"/>
      <c r="AB235" s="3"/>
      <c r="AC235" s="3"/>
    </row>
    <row r="236">
      <c r="A236" s="3"/>
      <c r="B236" s="3"/>
      <c r="C236" s="3"/>
      <c r="D236" s="319"/>
      <c r="E236" s="3"/>
      <c r="F236" s="3"/>
      <c r="G236" s="3"/>
      <c r="H236" s="3"/>
      <c r="I236" s="3"/>
      <c r="J236" s="3"/>
      <c r="K236" s="3"/>
      <c r="L236" s="3"/>
      <c r="M236" s="3"/>
      <c r="N236" s="3"/>
      <c r="O236" s="3"/>
      <c r="P236" s="53"/>
      <c r="Q236" s="53"/>
      <c r="R236" s="618"/>
      <c r="S236" s="3"/>
      <c r="T236" s="3"/>
      <c r="U236" s="3"/>
      <c r="V236" s="3"/>
      <c r="W236" s="3"/>
      <c r="X236" s="3"/>
      <c r="Y236" s="3"/>
      <c r="Z236" s="3"/>
      <c r="AA236" s="3"/>
      <c r="AB236" s="3"/>
      <c r="AC236" s="3"/>
    </row>
    <row r="237">
      <c r="A237" s="3"/>
      <c r="B237" s="3"/>
      <c r="C237" s="3"/>
      <c r="D237" s="319"/>
      <c r="E237" s="3"/>
      <c r="F237" s="3"/>
      <c r="G237" s="3"/>
      <c r="H237" s="3"/>
      <c r="I237" s="3"/>
      <c r="J237" s="3"/>
      <c r="K237" s="3"/>
      <c r="L237" s="3"/>
      <c r="M237" s="3"/>
      <c r="N237" s="3"/>
      <c r="O237" s="3"/>
      <c r="P237" s="53"/>
      <c r="Q237" s="53"/>
      <c r="R237" s="618"/>
      <c r="S237" s="3"/>
      <c r="T237" s="3"/>
      <c r="U237" s="3"/>
      <c r="V237" s="3"/>
      <c r="W237" s="3"/>
      <c r="X237" s="3"/>
      <c r="Y237" s="3"/>
      <c r="Z237" s="3"/>
      <c r="AA237" s="3"/>
      <c r="AB237" s="3"/>
      <c r="AC237" s="3"/>
    </row>
    <row r="238">
      <c r="A238" s="3"/>
      <c r="B238" s="3"/>
      <c r="C238" s="3"/>
      <c r="D238" s="319"/>
      <c r="E238" s="3"/>
      <c r="F238" s="3"/>
      <c r="G238" s="3"/>
      <c r="H238" s="3"/>
      <c r="I238" s="3"/>
      <c r="J238" s="3"/>
      <c r="K238" s="3"/>
      <c r="L238" s="3"/>
      <c r="M238" s="3"/>
      <c r="N238" s="3"/>
      <c r="O238" s="3"/>
      <c r="P238" s="53"/>
      <c r="Q238" s="53"/>
      <c r="R238" s="618"/>
      <c r="S238" s="3"/>
      <c r="T238" s="3"/>
      <c r="U238" s="3"/>
      <c r="V238" s="3"/>
      <c r="W238" s="3"/>
      <c r="X238" s="3"/>
      <c r="Y238" s="3"/>
      <c r="Z238" s="3"/>
      <c r="AA238" s="3"/>
      <c r="AB238" s="3"/>
      <c r="AC238" s="3"/>
    </row>
    <row r="239">
      <c r="A239" s="3"/>
      <c r="B239" s="3"/>
      <c r="C239" s="3"/>
      <c r="D239" s="319"/>
      <c r="E239" s="3"/>
      <c r="F239" s="3"/>
      <c r="G239" s="3"/>
      <c r="H239" s="3"/>
      <c r="I239" s="3"/>
      <c r="J239" s="3"/>
      <c r="K239" s="3"/>
      <c r="L239" s="3"/>
      <c r="M239" s="3"/>
      <c r="N239" s="3"/>
      <c r="O239" s="3"/>
      <c r="P239" s="53"/>
      <c r="Q239" s="53"/>
      <c r="R239" s="618"/>
      <c r="S239" s="3"/>
      <c r="T239" s="3"/>
      <c r="U239" s="3"/>
      <c r="V239" s="3"/>
      <c r="W239" s="3"/>
      <c r="X239" s="3"/>
      <c r="Y239" s="3"/>
      <c r="Z239" s="3"/>
      <c r="AA239" s="3"/>
      <c r="AB239" s="3"/>
      <c r="AC239" s="3"/>
    </row>
    <row r="240">
      <c r="A240" s="3"/>
      <c r="B240" s="3"/>
      <c r="C240" s="3"/>
      <c r="D240" s="319"/>
      <c r="E240" s="3"/>
      <c r="F240" s="3"/>
      <c r="G240" s="3"/>
      <c r="H240" s="3"/>
      <c r="I240" s="3"/>
      <c r="J240" s="3"/>
      <c r="K240" s="3"/>
      <c r="L240" s="3"/>
      <c r="M240" s="3"/>
      <c r="N240" s="3"/>
      <c r="O240" s="3"/>
      <c r="P240" s="53"/>
      <c r="Q240" s="53"/>
      <c r="R240" s="618"/>
      <c r="S240" s="3"/>
      <c r="T240" s="3"/>
      <c r="U240" s="3"/>
      <c r="V240" s="3"/>
      <c r="W240" s="3"/>
      <c r="X240" s="3"/>
      <c r="Y240" s="3"/>
      <c r="Z240" s="3"/>
      <c r="AA240" s="3"/>
      <c r="AB240" s="3"/>
      <c r="AC240" s="3"/>
    </row>
    <row r="241">
      <c r="A241" s="3"/>
      <c r="B241" s="3"/>
      <c r="C241" s="3"/>
      <c r="D241" s="319"/>
      <c r="E241" s="3"/>
      <c r="F241" s="3"/>
      <c r="G241" s="3"/>
      <c r="H241" s="3"/>
      <c r="I241" s="3"/>
      <c r="J241" s="3"/>
      <c r="K241" s="3"/>
      <c r="L241" s="3"/>
      <c r="M241" s="3"/>
      <c r="N241" s="3"/>
      <c r="O241" s="3"/>
      <c r="P241" s="53"/>
      <c r="Q241" s="53"/>
      <c r="R241" s="618"/>
      <c r="S241" s="3"/>
      <c r="T241" s="3"/>
      <c r="U241" s="3"/>
      <c r="V241" s="3"/>
      <c r="W241" s="3"/>
      <c r="X241" s="3"/>
      <c r="Y241" s="3"/>
      <c r="Z241" s="3"/>
      <c r="AA241" s="3"/>
      <c r="AB241" s="3"/>
      <c r="AC241" s="3"/>
    </row>
    <row r="242">
      <c r="A242" s="3"/>
      <c r="B242" s="3"/>
      <c r="C242" s="3"/>
      <c r="D242" s="319"/>
      <c r="E242" s="3"/>
      <c r="F242" s="3"/>
      <c r="G242" s="3"/>
      <c r="H242" s="3"/>
      <c r="I242" s="3"/>
      <c r="J242" s="3"/>
      <c r="K242" s="3"/>
      <c r="L242" s="3"/>
      <c r="M242" s="3"/>
      <c r="N242" s="3"/>
      <c r="O242" s="3"/>
      <c r="P242" s="53"/>
      <c r="Q242" s="53"/>
      <c r="R242" s="618"/>
      <c r="S242" s="3"/>
      <c r="T242" s="3"/>
      <c r="U242" s="3"/>
      <c r="V242" s="3"/>
      <c r="W242" s="3"/>
      <c r="X242" s="3"/>
      <c r="Y242" s="3"/>
      <c r="Z242" s="3"/>
      <c r="AA242" s="3"/>
      <c r="AB242" s="3"/>
      <c r="AC242" s="3"/>
    </row>
    <row r="243">
      <c r="A243" s="3"/>
      <c r="B243" s="3"/>
      <c r="C243" s="3"/>
      <c r="D243" s="319"/>
      <c r="E243" s="3"/>
      <c r="F243" s="3"/>
      <c r="G243" s="3"/>
      <c r="H243" s="3"/>
      <c r="I243" s="3"/>
      <c r="J243" s="3"/>
      <c r="K243" s="3"/>
      <c r="L243" s="3"/>
      <c r="M243" s="3"/>
      <c r="N243" s="3"/>
      <c r="O243" s="3"/>
      <c r="P243" s="53"/>
      <c r="Q243" s="53"/>
      <c r="R243" s="618"/>
      <c r="S243" s="3"/>
      <c r="T243" s="3"/>
      <c r="U243" s="3"/>
      <c r="V243" s="3"/>
      <c r="W243" s="3"/>
      <c r="X243" s="3"/>
      <c r="Y243" s="3"/>
      <c r="Z243" s="3"/>
      <c r="AA243" s="3"/>
      <c r="AB243" s="3"/>
      <c r="AC243" s="3"/>
    </row>
    <row r="244">
      <c r="A244" s="3"/>
      <c r="B244" s="3"/>
      <c r="C244" s="3"/>
      <c r="D244" s="319"/>
      <c r="E244" s="3"/>
      <c r="F244" s="3"/>
      <c r="G244" s="3"/>
      <c r="H244" s="3"/>
      <c r="I244" s="3"/>
      <c r="J244" s="3"/>
      <c r="K244" s="3"/>
      <c r="L244" s="3"/>
      <c r="M244" s="3"/>
      <c r="N244" s="3"/>
      <c r="O244" s="3"/>
      <c r="P244" s="53"/>
      <c r="Q244" s="53"/>
      <c r="R244" s="618"/>
      <c r="S244" s="3"/>
      <c r="T244" s="3"/>
      <c r="U244" s="3"/>
      <c r="V244" s="3"/>
      <c r="W244" s="3"/>
      <c r="X244" s="3"/>
      <c r="Y244" s="3"/>
      <c r="Z244" s="3"/>
      <c r="AA244" s="3"/>
      <c r="AB244" s="3"/>
      <c r="AC244" s="3"/>
    </row>
    <row r="245">
      <c r="A245" s="3"/>
      <c r="B245" s="3"/>
      <c r="C245" s="3"/>
      <c r="D245" s="319"/>
      <c r="E245" s="3"/>
      <c r="F245" s="3"/>
      <c r="G245" s="3"/>
      <c r="H245" s="3"/>
      <c r="I245" s="3"/>
      <c r="J245" s="3"/>
      <c r="K245" s="3"/>
      <c r="L245" s="3"/>
      <c r="M245" s="3"/>
      <c r="N245" s="3"/>
      <c r="O245" s="3"/>
      <c r="P245" s="53"/>
      <c r="Q245" s="53"/>
      <c r="R245" s="618"/>
      <c r="S245" s="3"/>
      <c r="T245" s="3"/>
      <c r="U245" s="3"/>
      <c r="V245" s="3"/>
      <c r="W245" s="3"/>
      <c r="X245" s="3"/>
      <c r="Y245" s="3"/>
      <c r="Z245" s="3"/>
      <c r="AA245" s="3"/>
      <c r="AB245" s="3"/>
      <c r="AC245" s="3"/>
    </row>
    <row r="246">
      <c r="A246" s="3"/>
      <c r="B246" s="3"/>
      <c r="C246" s="3"/>
      <c r="D246" s="319"/>
      <c r="E246" s="3"/>
      <c r="F246" s="3"/>
      <c r="G246" s="3"/>
      <c r="H246" s="3"/>
      <c r="I246" s="3"/>
      <c r="J246" s="3"/>
      <c r="K246" s="3"/>
      <c r="L246" s="3"/>
      <c r="M246" s="3"/>
      <c r="N246" s="3"/>
      <c r="O246" s="3"/>
      <c r="P246" s="53"/>
      <c r="Q246" s="53"/>
      <c r="R246" s="618"/>
      <c r="S246" s="3"/>
      <c r="T246" s="3"/>
      <c r="U246" s="3"/>
      <c r="V246" s="3"/>
      <c r="W246" s="3"/>
      <c r="X246" s="3"/>
      <c r="Y246" s="3"/>
      <c r="Z246" s="3"/>
      <c r="AA246" s="3"/>
      <c r="AB246" s="3"/>
      <c r="AC246" s="3"/>
    </row>
    <row r="247">
      <c r="A247" s="3"/>
      <c r="B247" s="3"/>
      <c r="C247" s="3"/>
      <c r="D247" s="319"/>
      <c r="E247" s="3"/>
      <c r="F247" s="3"/>
      <c r="G247" s="3"/>
      <c r="H247" s="3"/>
      <c r="I247" s="3"/>
      <c r="J247" s="3"/>
      <c r="K247" s="3"/>
      <c r="L247" s="3"/>
      <c r="M247" s="3"/>
      <c r="N247" s="3"/>
      <c r="O247" s="3"/>
      <c r="P247" s="53"/>
      <c r="Q247" s="53"/>
      <c r="R247" s="618"/>
      <c r="S247" s="3"/>
      <c r="T247" s="3"/>
      <c r="U247" s="3"/>
      <c r="V247" s="3"/>
      <c r="W247" s="3"/>
      <c r="X247" s="3"/>
      <c r="Y247" s="3"/>
      <c r="Z247" s="3"/>
      <c r="AA247" s="3"/>
      <c r="AB247" s="3"/>
      <c r="AC247" s="3"/>
    </row>
    <row r="248">
      <c r="A248" s="3"/>
      <c r="B248" s="3"/>
      <c r="C248" s="3"/>
      <c r="D248" s="319"/>
      <c r="E248" s="3"/>
      <c r="F248" s="3"/>
      <c r="G248" s="3"/>
      <c r="H248" s="3"/>
      <c r="I248" s="3"/>
      <c r="J248" s="3"/>
      <c r="K248" s="3"/>
      <c r="L248" s="3"/>
      <c r="M248" s="3"/>
      <c r="N248" s="3"/>
      <c r="O248" s="3"/>
      <c r="P248" s="53"/>
      <c r="Q248" s="53"/>
      <c r="R248" s="618"/>
      <c r="S248" s="3"/>
      <c r="T248" s="3"/>
      <c r="U248" s="3"/>
      <c r="V248" s="3"/>
      <c r="W248" s="3"/>
      <c r="X248" s="3"/>
      <c r="Y248" s="3"/>
      <c r="Z248" s="3"/>
      <c r="AA248" s="3"/>
      <c r="AB248" s="3"/>
      <c r="AC248" s="3"/>
    </row>
    <row r="249">
      <c r="A249" s="3"/>
      <c r="B249" s="3"/>
      <c r="C249" s="3"/>
      <c r="D249" s="319"/>
      <c r="E249" s="3"/>
      <c r="F249" s="3"/>
      <c r="G249" s="3"/>
      <c r="H249" s="3"/>
      <c r="I249" s="3"/>
      <c r="J249" s="3"/>
      <c r="K249" s="3"/>
      <c r="L249" s="3"/>
      <c r="M249" s="3"/>
      <c r="N249" s="3"/>
      <c r="O249" s="3"/>
      <c r="P249" s="53"/>
      <c r="Q249" s="53"/>
      <c r="R249" s="618"/>
      <c r="S249" s="3"/>
      <c r="T249" s="3"/>
      <c r="U249" s="3"/>
      <c r="V249" s="3"/>
      <c r="W249" s="3"/>
      <c r="X249" s="3"/>
      <c r="Y249" s="3"/>
      <c r="Z249" s="3"/>
      <c r="AA249" s="3"/>
      <c r="AB249" s="3"/>
      <c r="AC249" s="3"/>
    </row>
    <row r="250">
      <c r="A250" s="3"/>
      <c r="B250" s="3"/>
      <c r="C250" s="3"/>
      <c r="D250" s="319"/>
      <c r="E250" s="3"/>
      <c r="F250" s="3"/>
      <c r="G250" s="3"/>
      <c r="H250" s="3"/>
      <c r="I250" s="3"/>
      <c r="J250" s="3"/>
      <c r="K250" s="3"/>
      <c r="L250" s="3"/>
      <c r="M250" s="3"/>
      <c r="N250" s="3"/>
      <c r="O250" s="3"/>
      <c r="P250" s="53"/>
      <c r="Q250" s="53"/>
      <c r="R250" s="618"/>
      <c r="S250" s="3"/>
      <c r="T250" s="3"/>
      <c r="U250" s="3"/>
      <c r="V250" s="3"/>
      <c r="W250" s="3"/>
      <c r="X250" s="3"/>
      <c r="Y250" s="3"/>
      <c r="Z250" s="3"/>
      <c r="AA250" s="3"/>
      <c r="AB250" s="3"/>
      <c r="AC250" s="3"/>
    </row>
    <row r="251">
      <c r="A251" s="3"/>
      <c r="B251" s="3"/>
      <c r="C251" s="3"/>
      <c r="D251" s="319"/>
      <c r="E251" s="3"/>
      <c r="F251" s="3"/>
      <c r="G251" s="3"/>
      <c r="H251" s="3"/>
      <c r="I251" s="3"/>
      <c r="J251" s="3"/>
      <c r="K251" s="3"/>
      <c r="L251" s="3"/>
      <c r="M251" s="3"/>
      <c r="N251" s="3"/>
      <c r="O251" s="3"/>
      <c r="P251" s="53"/>
      <c r="Q251" s="53"/>
      <c r="R251" s="618"/>
      <c r="S251" s="3"/>
      <c r="T251" s="3"/>
      <c r="U251" s="3"/>
      <c r="V251" s="3"/>
      <c r="W251" s="3"/>
      <c r="X251" s="3"/>
      <c r="Y251" s="3"/>
      <c r="Z251" s="3"/>
      <c r="AA251" s="3"/>
      <c r="AB251" s="3"/>
      <c r="AC251" s="3"/>
    </row>
    <row r="252">
      <c r="A252" s="3"/>
      <c r="B252" s="3"/>
      <c r="C252" s="3"/>
      <c r="D252" s="319"/>
      <c r="E252" s="3"/>
      <c r="F252" s="3"/>
      <c r="G252" s="3"/>
      <c r="H252" s="3"/>
      <c r="I252" s="3"/>
      <c r="J252" s="3"/>
      <c r="K252" s="3"/>
      <c r="L252" s="3"/>
      <c r="M252" s="3"/>
      <c r="N252" s="3"/>
      <c r="O252" s="3"/>
      <c r="P252" s="53"/>
      <c r="Q252" s="53"/>
      <c r="R252" s="618"/>
      <c r="S252" s="3"/>
      <c r="T252" s="3"/>
      <c r="U252" s="3"/>
      <c r="V252" s="3"/>
      <c r="W252" s="3"/>
      <c r="X252" s="3"/>
      <c r="Y252" s="3"/>
      <c r="Z252" s="3"/>
      <c r="AA252" s="3"/>
      <c r="AB252" s="3"/>
      <c r="AC252" s="3"/>
    </row>
    <row r="253">
      <c r="A253" s="3"/>
      <c r="B253" s="3"/>
      <c r="C253" s="3"/>
      <c r="D253" s="319"/>
      <c r="E253" s="3"/>
      <c r="F253" s="3"/>
      <c r="G253" s="3"/>
      <c r="H253" s="3"/>
      <c r="I253" s="3"/>
      <c r="J253" s="3"/>
      <c r="K253" s="3"/>
      <c r="L253" s="3"/>
      <c r="M253" s="3"/>
      <c r="N253" s="3"/>
      <c r="O253" s="3"/>
      <c r="P253" s="53"/>
      <c r="Q253" s="53"/>
      <c r="R253" s="618"/>
      <c r="S253" s="3"/>
      <c r="T253" s="3"/>
      <c r="U253" s="3"/>
      <c r="V253" s="3"/>
      <c r="W253" s="3"/>
      <c r="X253" s="3"/>
      <c r="Y253" s="3"/>
      <c r="Z253" s="3"/>
      <c r="AA253" s="3"/>
      <c r="AB253" s="3"/>
      <c r="AC253" s="3"/>
    </row>
    <row r="254">
      <c r="A254" s="3"/>
      <c r="B254" s="3"/>
      <c r="C254" s="3"/>
      <c r="D254" s="319"/>
      <c r="E254" s="3"/>
      <c r="F254" s="3"/>
      <c r="G254" s="3"/>
      <c r="H254" s="3"/>
      <c r="I254" s="3"/>
      <c r="J254" s="3"/>
      <c r="K254" s="3"/>
      <c r="L254" s="3"/>
      <c r="M254" s="3"/>
      <c r="N254" s="3"/>
      <c r="O254" s="3"/>
      <c r="P254" s="53"/>
      <c r="Q254" s="53"/>
      <c r="R254" s="618"/>
      <c r="S254" s="3"/>
      <c r="T254" s="3"/>
      <c r="U254" s="3"/>
      <c r="V254" s="3"/>
      <c r="W254" s="3"/>
      <c r="X254" s="3"/>
      <c r="Y254" s="3"/>
      <c r="Z254" s="3"/>
      <c r="AA254" s="3"/>
      <c r="AB254" s="3"/>
      <c r="AC254" s="3"/>
    </row>
    <row r="255">
      <c r="A255" s="3"/>
      <c r="B255" s="3"/>
      <c r="C255" s="3"/>
      <c r="D255" s="319"/>
      <c r="E255" s="3"/>
      <c r="F255" s="3"/>
      <c r="G255" s="3"/>
      <c r="H255" s="3"/>
      <c r="I255" s="3"/>
      <c r="J255" s="3"/>
      <c r="K255" s="3"/>
      <c r="L255" s="3"/>
      <c r="M255" s="3"/>
      <c r="N255" s="3"/>
      <c r="O255" s="3"/>
      <c r="P255" s="53"/>
      <c r="Q255" s="53"/>
      <c r="R255" s="618"/>
      <c r="S255" s="3"/>
      <c r="T255" s="3"/>
      <c r="U255" s="3"/>
      <c r="V255" s="3"/>
      <c r="W255" s="3"/>
      <c r="X255" s="3"/>
      <c r="Y255" s="3"/>
      <c r="Z255" s="3"/>
      <c r="AA255" s="3"/>
      <c r="AB255" s="3"/>
      <c r="AC255" s="3"/>
    </row>
    <row r="256">
      <c r="A256" s="3"/>
      <c r="B256" s="3"/>
      <c r="C256" s="3"/>
      <c r="D256" s="319"/>
      <c r="E256" s="3"/>
      <c r="F256" s="3"/>
      <c r="G256" s="3"/>
      <c r="H256" s="3"/>
      <c r="I256" s="3"/>
      <c r="J256" s="3"/>
      <c r="K256" s="3"/>
      <c r="L256" s="3"/>
      <c r="M256" s="3"/>
      <c r="N256" s="3"/>
      <c r="O256" s="3"/>
      <c r="P256" s="53"/>
      <c r="Q256" s="53"/>
      <c r="R256" s="618"/>
      <c r="S256" s="3"/>
      <c r="T256" s="3"/>
      <c r="U256" s="3"/>
      <c r="V256" s="3"/>
      <c r="W256" s="3"/>
      <c r="X256" s="3"/>
      <c r="Y256" s="3"/>
      <c r="Z256" s="3"/>
      <c r="AA256" s="3"/>
      <c r="AB256" s="3"/>
      <c r="AC256" s="3"/>
    </row>
    <row r="257">
      <c r="A257" s="3"/>
      <c r="B257" s="3"/>
      <c r="C257" s="3"/>
      <c r="D257" s="319"/>
      <c r="E257" s="3"/>
      <c r="F257" s="3"/>
      <c r="G257" s="3"/>
      <c r="H257" s="3"/>
      <c r="I257" s="3"/>
      <c r="J257" s="3"/>
      <c r="K257" s="3"/>
      <c r="L257" s="3"/>
      <c r="M257" s="3"/>
      <c r="N257" s="3"/>
      <c r="O257" s="3"/>
      <c r="P257" s="53"/>
      <c r="Q257" s="53"/>
      <c r="R257" s="618"/>
      <c r="S257" s="3"/>
      <c r="T257" s="3"/>
      <c r="U257" s="3"/>
      <c r="V257" s="3"/>
      <c r="W257" s="3"/>
      <c r="X257" s="3"/>
      <c r="Y257" s="3"/>
      <c r="Z257" s="3"/>
      <c r="AA257" s="3"/>
      <c r="AB257" s="3"/>
      <c r="AC257" s="3"/>
    </row>
    <row r="258">
      <c r="A258" s="3"/>
      <c r="B258" s="3"/>
      <c r="C258" s="3"/>
      <c r="D258" s="319"/>
      <c r="E258" s="3"/>
      <c r="F258" s="3"/>
      <c r="G258" s="3"/>
      <c r="H258" s="3"/>
      <c r="I258" s="3"/>
      <c r="J258" s="3"/>
      <c r="K258" s="3"/>
      <c r="L258" s="3"/>
      <c r="M258" s="3"/>
      <c r="N258" s="3"/>
      <c r="O258" s="3"/>
      <c r="P258" s="53"/>
      <c r="Q258" s="53"/>
      <c r="R258" s="618"/>
      <c r="S258" s="3"/>
      <c r="T258" s="3"/>
      <c r="U258" s="3"/>
      <c r="V258" s="3"/>
      <c r="W258" s="3"/>
      <c r="X258" s="3"/>
      <c r="Y258" s="3"/>
      <c r="Z258" s="3"/>
      <c r="AA258" s="3"/>
      <c r="AB258" s="3"/>
      <c r="AC258" s="3"/>
    </row>
    <row r="259">
      <c r="A259" s="3"/>
      <c r="B259" s="3"/>
      <c r="C259" s="3"/>
      <c r="D259" s="319"/>
      <c r="E259" s="3"/>
      <c r="F259" s="3"/>
      <c r="G259" s="3"/>
      <c r="H259" s="3"/>
      <c r="I259" s="3"/>
      <c r="J259" s="3"/>
      <c r="K259" s="3"/>
      <c r="L259" s="3"/>
      <c r="M259" s="3"/>
      <c r="N259" s="3"/>
      <c r="O259" s="3"/>
      <c r="P259" s="53"/>
      <c r="Q259" s="53"/>
      <c r="R259" s="618"/>
      <c r="S259" s="3"/>
      <c r="T259" s="3"/>
      <c r="U259" s="3"/>
      <c r="V259" s="3"/>
      <c r="W259" s="3"/>
      <c r="X259" s="3"/>
      <c r="Y259" s="3"/>
      <c r="Z259" s="3"/>
      <c r="AA259" s="3"/>
      <c r="AB259" s="3"/>
      <c r="AC259" s="3"/>
    </row>
    <row r="260">
      <c r="A260" s="3"/>
      <c r="B260" s="3"/>
      <c r="C260" s="3"/>
      <c r="D260" s="319"/>
      <c r="E260" s="3"/>
      <c r="F260" s="3"/>
      <c r="G260" s="3"/>
      <c r="H260" s="3"/>
      <c r="I260" s="3"/>
      <c r="J260" s="3"/>
      <c r="K260" s="3"/>
      <c r="L260" s="3"/>
      <c r="M260" s="3"/>
      <c r="N260" s="3"/>
      <c r="O260" s="3"/>
      <c r="P260" s="53"/>
      <c r="Q260" s="53"/>
      <c r="R260" s="618"/>
      <c r="S260" s="3"/>
      <c r="T260" s="3"/>
      <c r="U260" s="3"/>
      <c r="V260" s="3"/>
      <c r="W260" s="3"/>
      <c r="X260" s="3"/>
      <c r="Y260" s="3"/>
      <c r="Z260" s="3"/>
      <c r="AA260" s="3"/>
      <c r="AB260" s="3"/>
      <c r="AC260" s="3"/>
    </row>
    <row r="261">
      <c r="A261" s="3"/>
      <c r="B261" s="3"/>
      <c r="C261" s="3"/>
      <c r="D261" s="319"/>
      <c r="E261" s="3"/>
      <c r="F261" s="3"/>
      <c r="G261" s="3"/>
      <c r="H261" s="3"/>
      <c r="I261" s="3"/>
      <c r="J261" s="3"/>
      <c r="K261" s="3"/>
      <c r="L261" s="3"/>
      <c r="M261" s="3"/>
      <c r="N261" s="3"/>
      <c r="O261" s="3"/>
      <c r="P261" s="53"/>
      <c r="Q261" s="53"/>
      <c r="R261" s="618"/>
      <c r="S261" s="3"/>
      <c r="T261" s="3"/>
      <c r="U261" s="3"/>
      <c r="V261" s="3"/>
      <c r="W261" s="3"/>
      <c r="X261" s="3"/>
      <c r="Y261" s="3"/>
      <c r="Z261" s="3"/>
      <c r="AA261" s="3"/>
      <c r="AB261" s="3"/>
      <c r="AC261" s="3"/>
    </row>
    <row r="262">
      <c r="A262" s="3"/>
      <c r="B262" s="3"/>
      <c r="C262" s="3"/>
      <c r="D262" s="319"/>
      <c r="E262" s="3"/>
      <c r="F262" s="3"/>
      <c r="G262" s="3"/>
      <c r="H262" s="3"/>
      <c r="I262" s="3"/>
      <c r="J262" s="3"/>
      <c r="K262" s="3"/>
      <c r="L262" s="3"/>
      <c r="M262" s="3"/>
      <c r="N262" s="3"/>
      <c r="O262" s="3"/>
      <c r="P262" s="53"/>
      <c r="Q262" s="53"/>
      <c r="R262" s="618"/>
      <c r="S262" s="3"/>
      <c r="T262" s="3"/>
      <c r="U262" s="3"/>
      <c r="V262" s="3"/>
      <c r="W262" s="3"/>
      <c r="X262" s="3"/>
      <c r="Y262" s="3"/>
      <c r="Z262" s="3"/>
      <c r="AA262" s="3"/>
      <c r="AB262" s="3"/>
      <c r="AC262" s="3"/>
    </row>
    <row r="263">
      <c r="A263" s="3"/>
      <c r="B263" s="3"/>
      <c r="C263" s="3"/>
      <c r="D263" s="319"/>
      <c r="E263" s="3"/>
      <c r="F263" s="3"/>
      <c r="G263" s="3"/>
      <c r="H263" s="3"/>
      <c r="I263" s="3"/>
      <c r="J263" s="3"/>
      <c r="K263" s="3"/>
      <c r="L263" s="3"/>
      <c r="M263" s="3"/>
      <c r="N263" s="3"/>
      <c r="O263" s="3"/>
      <c r="P263" s="53"/>
      <c r="Q263" s="53"/>
      <c r="R263" s="618"/>
      <c r="S263" s="3"/>
      <c r="T263" s="3"/>
      <c r="U263" s="3"/>
      <c r="V263" s="3"/>
      <c r="W263" s="3"/>
      <c r="X263" s="3"/>
      <c r="Y263" s="3"/>
      <c r="Z263" s="3"/>
      <c r="AA263" s="3"/>
      <c r="AB263" s="3"/>
      <c r="AC263" s="3"/>
    </row>
    <row r="264">
      <c r="A264" s="3"/>
      <c r="B264" s="3"/>
      <c r="C264" s="3"/>
      <c r="D264" s="319"/>
      <c r="E264" s="3"/>
      <c r="F264" s="3"/>
      <c r="G264" s="3"/>
      <c r="H264" s="3"/>
      <c r="I264" s="3"/>
      <c r="J264" s="3"/>
      <c r="K264" s="3"/>
      <c r="L264" s="3"/>
      <c r="M264" s="3"/>
      <c r="N264" s="3"/>
      <c r="O264" s="3"/>
      <c r="P264" s="53"/>
      <c r="Q264" s="53"/>
      <c r="R264" s="618"/>
      <c r="S264" s="3"/>
      <c r="T264" s="3"/>
      <c r="U264" s="3"/>
      <c r="V264" s="3"/>
      <c r="W264" s="3"/>
      <c r="X264" s="3"/>
      <c r="Y264" s="3"/>
      <c r="Z264" s="3"/>
      <c r="AA264" s="3"/>
      <c r="AB264" s="3"/>
      <c r="AC264" s="3"/>
    </row>
    <row r="265">
      <c r="A265" s="3"/>
      <c r="B265" s="3"/>
      <c r="C265" s="3"/>
      <c r="D265" s="319"/>
      <c r="E265" s="3"/>
      <c r="F265" s="3"/>
      <c r="G265" s="3"/>
      <c r="H265" s="3"/>
      <c r="I265" s="3"/>
      <c r="J265" s="3"/>
      <c r="K265" s="3"/>
      <c r="L265" s="3"/>
      <c r="M265" s="3"/>
      <c r="N265" s="3"/>
      <c r="O265" s="3"/>
      <c r="P265" s="53"/>
      <c r="Q265" s="53"/>
      <c r="R265" s="618"/>
      <c r="S265" s="3"/>
      <c r="T265" s="3"/>
      <c r="U265" s="3"/>
      <c r="V265" s="3"/>
      <c r="W265" s="3"/>
      <c r="X265" s="3"/>
      <c r="Y265" s="3"/>
      <c r="Z265" s="3"/>
      <c r="AA265" s="3"/>
      <c r="AB265" s="3"/>
      <c r="AC265" s="3"/>
    </row>
    <row r="266">
      <c r="A266" s="3"/>
      <c r="B266" s="3"/>
      <c r="C266" s="3"/>
      <c r="D266" s="319"/>
      <c r="E266" s="3"/>
      <c r="F266" s="3"/>
      <c r="G266" s="3"/>
      <c r="H266" s="3"/>
      <c r="I266" s="3"/>
      <c r="J266" s="3"/>
      <c r="K266" s="3"/>
      <c r="L266" s="3"/>
      <c r="M266" s="3"/>
      <c r="N266" s="3"/>
      <c r="O266" s="3"/>
      <c r="P266" s="53"/>
      <c r="Q266" s="53"/>
      <c r="R266" s="618"/>
      <c r="S266" s="3"/>
      <c r="T266" s="3"/>
      <c r="U266" s="3"/>
      <c r="V266" s="3"/>
      <c r="W266" s="3"/>
      <c r="X266" s="3"/>
      <c r="Y266" s="3"/>
      <c r="Z266" s="3"/>
      <c r="AA266" s="3"/>
      <c r="AB266" s="3"/>
      <c r="AC266" s="3"/>
    </row>
    <row r="267">
      <c r="A267" s="3"/>
      <c r="B267" s="3"/>
      <c r="C267" s="3"/>
      <c r="D267" s="319"/>
      <c r="E267" s="3"/>
      <c r="F267" s="3"/>
      <c r="G267" s="3"/>
      <c r="H267" s="3"/>
      <c r="I267" s="3"/>
      <c r="J267" s="3"/>
      <c r="K267" s="3"/>
      <c r="L267" s="3"/>
      <c r="M267" s="3"/>
      <c r="N267" s="3"/>
      <c r="O267" s="3"/>
      <c r="P267" s="53"/>
      <c r="Q267" s="53"/>
      <c r="R267" s="618"/>
      <c r="S267" s="3"/>
      <c r="T267" s="3"/>
      <c r="U267" s="3"/>
      <c r="V267" s="3"/>
      <c r="W267" s="3"/>
      <c r="X267" s="3"/>
      <c r="Y267" s="3"/>
      <c r="Z267" s="3"/>
      <c r="AA267" s="3"/>
      <c r="AB267" s="3"/>
      <c r="AC267" s="3"/>
    </row>
    <row r="268">
      <c r="A268" s="3"/>
      <c r="B268" s="3"/>
      <c r="C268" s="3"/>
      <c r="D268" s="319"/>
      <c r="E268" s="3"/>
      <c r="F268" s="3"/>
      <c r="G268" s="3"/>
      <c r="H268" s="3"/>
      <c r="I268" s="3"/>
      <c r="J268" s="3"/>
      <c r="K268" s="3"/>
      <c r="L268" s="3"/>
      <c r="M268" s="3"/>
      <c r="N268" s="3"/>
      <c r="O268" s="3"/>
      <c r="P268" s="53"/>
      <c r="Q268" s="53"/>
      <c r="R268" s="618"/>
      <c r="S268" s="3"/>
      <c r="T268" s="3"/>
      <c r="U268" s="3"/>
      <c r="V268" s="3"/>
      <c r="W268" s="3"/>
      <c r="X268" s="3"/>
      <c r="Y268" s="3"/>
      <c r="Z268" s="3"/>
      <c r="AA268" s="3"/>
      <c r="AB268" s="3"/>
      <c r="AC268" s="3"/>
    </row>
    <row r="269">
      <c r="A269" s="3"/>
      <c r="B269" s="3"/>
      <c r="C269" s="3"/>
      <c r="D269" s="319"/>
      <c r="E269" s="3"/>
      <c r="F269" s="3"/>
      <c r="G269" s="3"/>
      <c r="H269" s="3"/>
      <c r="I269" s="3"/>
      <c r="J269" s="3"/>
      <c r="K269" s="3"/>
      <c r="L269" s="3"/>
      <c r="M269" s="3"/>
      <c r="N269" s="3"/>
      <c r="O269" s="3"/>
      <c r="P269" s="53"/>
      <c r="Q269" s="53"/>
      <c r="R269" s="618"/>
      <c r="S269" s="3"/>
      <c r="T269" s="3"/>
      <c r="U269" s="3"/>
      <c r="V269" s="3"/>
      <c r="W269" s="3"/>
      <c r="X269" s="3"/>
      <c r="Y269" s="3"/>
      <c r="Z269" s="3"/>
      <c r="AA269" s="3"/>
      <c r="AB269" s="3"/>
      <c r="AC269" s="3"/>
    </row>
    <row r="270">
      <c r="A270" s="3"/>
      <c r="B270" s="3"/>
      <c r="C270" s="3"/>
      <c r="D270" s="319"/>
      <c r="E270" s="3"/>
      <c r="F270" s="3"/>
      <c r="G270" s="3"/>
      <c r="H270" s="3"/>
      <c r="I270" s="3"/>
      <c r="J270" s="3"/>
      <c r="K270" s="3"/>
      <c r="L270" s="3"/>
      <c r="M270" s="3"/>
      <c r="N270" s="3"/>
      <c r="O270" s="3"/>
      <c r="P270" s="53"/>
      <c r="Q270" s="53"/>
      <c r="R270" s="618"/>
      <c r="S270" s="3"/>
      <c r="T270" s="3"/>
      <c r="U270" s="3"/>
      <c r="V270" s="3"/>
      <c r="W270" s="3"/>
      <c r="X270" s="3"/>
      <c r="Y270" s="3"/>
      <c r="Z270" s="3"/>
      <c r="AA270" s="3"/>
      <c r="AB270" s="3"/>
      <c r="AC270" s="3"/>
    </row>
    <row r="271">
      <c r="A271" s="3"/>
      <c r="B271" s="3"/>
      <c r="C271" s="3"/>
      <c r="D271" s="319"/>
      <c r="E271" s="3"/>
      <c r="F271" s="3"/>
      <c r="G271" s="3"/>
      <c r="H271" s="3"/>
      <c r="I271" s="3"/>
      <c r="J271" s="3"/>
      <c r="K271" s="3"/>
      <c r="L271" s="3"/>
      <c r="M271" s="3"/>
      <c r="N271" s="3"/>
      <c r="O271" s="3"/>
      <c r="P271" s="53"/>
      <c r="Q271" s="53"/>
      <c r="R271" s="618"/>
      <c r="S271" s="3"/>
      <c r="T271" s="3"/>
      <c r="U271" s="3"/>
      <c r="V271" s="3"/>
      <c r="W271" s="3"/>
      <c r="X271" s="3"/>
      <c r="Y271" s="3"/>
      <c r="Z271" s="3"/>
      <c r="AA271" s="3"/>
      <c r="AB271" s="3"/>
      <c r="AC271" s="3"/>
    </row>
    <row r="272">
      <c r="A272" s="3"/>
      <c r="B272" s="3"/>
      <c r="C272" s="3"/>
      <c r="D272" s="319"/>
      <c r="E272" s="3"/>
      <c r="F272" s="3"/>
      <c r="G272" s="3"/>
      <c r="H272" s="3"/>
      <c r="I272" s="3"/>
      <c r="J272" s="3"/>
      <c r="K272" s="3"/>
      <c r="L272" s="3"/>
      <c r="M272" s="3"/>
      <c r="N272" s="3"/>
      <c r="O272" s="3"/>
      <c r="P272" s="53"/>
      <c r="Q272" s="53"/>
      <c r="R272" s="618"/>
      <c r="S272" s="3"/>
      <c r="T272" s="3"/>
      <c r="U272" s="3"/>
      <c r="V272" s="3"/>
      <c r="W272" s="3"/>
      <c r="X272" s="3"/>
      <c r="Y272" s="3"/>
      <c r="Z272" s="3"/>
      <c r="AA272" s="3"/>
      <c r="AB272" s="3"/>
      <c r="AC272" s="3"/>
    </row>
    <row r="273">
      <c r="A273" s="3"/>
      <c r="B273" s="3"/>
      <c r="C273" s="3"/>
      <c r="D273" s="319"/>
      <c r="E273" s="3"/>
      <c r="F273" s="3"/>
      <c r="G273" s="3"/>
      <c r="H273" s="3"/>
      <c r="I273" s="3"/>
      <c r="J273" s="3"/>
      <c r="K273" s="3"/>
      <c r="L273" s="3"/>
      <c r="M273" s="3"/>
      <c r="N273" s="3"/>
      <c r="O273" s="3"/>
      <c r="P273" s="53"/>
      <c r="Q273" s="53"/>
      <c r="R273" s="618"/>
      <c r="S273" s="3"/>
      <c r="T273" s="3"/>
      <c r="U273" s="3"/>
      <c r="V273" s="3"/>
      <c r="W273" s="3"/>
      <c r="X273" s="3"/>
      <c r="Y273" s="3"/>
      <c r="Z273" s="3"/>
      <c r="AA273" s="3"/>
      <c r="AB273" s="3"/>
      <c r="AC273" s="3"/>
    </row>
    <row r="274">
      <c r="A274" s="3"/>
      <c r="B274" s="3"/>
      <c r="C274" s="3"/>
      <c r="D274" s="319"/>
      <c r="E274" s="3"/>
      <c r="F274" s="3"/>
      <c r="G274" s="3"/>
      <c r="H274" s="3"/>
      <c r="I274" s="3"/>
      <c r="J274" s="3"/>
      <c r="K274" s="3"/>
      <c r="L274" s="3"/>
      <c r="M274" s="3"/>
      <c r="N274" s="3"/>
      <c r="O274" s="3"/>
      <c r="P274" s="53"/>
      <c r="Q274" s="53"/>
      <c r="R274" s="618"/>
      <c r="S274" s="3"/>
      <c r="T274" s="3"/>
      <c r="U274" s="3"/>
      <c r="V274" s="3"/>
      <c r="W274" s="3"/>
      <c r="X274" s="3"/>
      <c r="Y274" s="3"/>
      <c r="Z274" s="3"/>
      <c r="AA274" s="3"/>
      <c r="AB274" s="3"/>
      <c r="AC274" s="3"/>
    </row>
    <row r="275">
      <c r="A275" s="3"/>
      <c r="B275" s="3"/>
      <c r="C275" s="3"/>
      <c r="D275" s="319"/>
      <c r="E275" s="3"/>
      <c r="F275" s="3"/>
      <c r="G275" s="3"/>
      <c r="H275" s="3"/>
      <c r="I275" s="3"/>
      <c r="J275" s="3"/>
      <c r="K275" s="3"/>
      <c r="L275" s="3"/>
      <c r="M275" s="3"/>
      <c r="N275" s="3"/>
      <c r="O275" s="3"/>
      <c r="P275" s="53"/>
      <c r="Q275" s="53"/>
      <c r="R275" s="618"/>
      <c r="S275" s="3"/>
      <c r="T275" s="3"/>
      <c r="U275" s="3"/>
      <c r="V275" s="3"/>
      <c r="W275" s="3"/>
      <c r="X275" s="3"/>
      <c r="Y275" s="3"/>
      <c r="Z275" s="3"/>
      <c r="AA275" s="3"/>
      <c r="AB275" s="3"/>
      <c r="AC275" s="3"/>
    </row>
    <row r="276">
      <c r="A276" s="3"/>
      <c r="B276" s="3"/>
      <c r="C276" s="3"/>
      <c r="D276" s="319"/>
      <c r="E276" s="3"/>
      <c r="F276" s="3"/>
      <c r="G276" s="3"/>
      <c r="H276" s="3"/>
      <c r="I276" s="3"/>
      <c r="J276" s="3"/>
      <c r="K276" s="3"/>
      <c r="L276" s="3"/>
      <c r="M276" s="3"/>
      <c r="N276" s="3"/>
      <c r="O276" s="3"/>
      <c r="P276" s="53"/>
      <c r="Q276" s="53"/>
      <c r="R276" s="618"/>
      <c r="S276" s="3"/>
      <c r="T276" s="3"/>
      <c r="U276" s="3"/>
      <c r="V276" s="3"/>
      <c r="W276" s="3"/>
      <c r="X276" s="3"/>
      <c r="Y276" s="3"/>
      <c r="Z276" s="3"/>
      <c r="AA276" s="3"/>
      <c r="AB276" s="3"/>
      <c r="AC276" s="3"/>
    </row>
    <row r="277">
      <c r="A277" s="3"/>
      <c r="B277" s="3"/>
      <c r="C277" s="3"/>
      <c r="D277" s="319"/>
      <c r="E277" s="3"/>
      <c r="F277" s="3"/>
      <c r="G277" s="3"/>
      <c r="H277" s="3"/>
      <c r="I277" s="3"/>
      <c r="J277" s="3"/>
      <c r="K277" s="3"/>
      <c r="L277" s="3"/>
      <c r="M277" s="3"/>
      <c r="N277" s="3"/>
      <c r="O277" s="3"/>
      <c r="P277" s="53"/>
      <c r="Q277" s="53"/>
      <c r="R277" s="618"/>
      <c r="S277" s="3"/>
      <c r="T277" s="3"/>
      <c r="U277" s="3"/>
      <c r="V277" s="3"/>
      <c r="W277" s="3"/>
      <c r="X277" s="3"/>
      <c r="Y277" s="3"/>
      <c r="Z277" s="3"/>
      <c r="AA277" s="3"/>
      <c r="AB277" s="3"/>
      <c r="AC277" s="3"/>
    </row>
    <row r="278">
      <c r="A278" s="3"/>
      <c r="B278" s="3"/>
      <c r="C278" s="3"/>
      <c r="D278" s="319"/>
      <c r="E278" s="3"/>
      <c r="F278" s="3"/>
      <c r="G278" s="3"/>
      <c r="H278" s="3"/>
      <c r="I278" s="3"/>
      <c r="J278" s="3"/>
      <c r="K278" s="3"/>
      <c r="L278" s="3"/>
      <c r="M278" s="3"/>
      <c r="N278" s="3"/>
      <c r="O278" s="3"/>
      <c r="P278" s="53"/>
      <c r="Q278" s="53"/>
      <c r="R278" s="618"/>
      <c r="S278" s="3"/>
      <c r="T278" s="3"/>
      <c r="U278" s="3"/>
      <c r="V278" s="3"/>
      <c r="W278" s="3"/>
      <c r="X278" s="3"/>
      <c r="Y278" s="3"/>
      <c r="Z278" s="3"/>
      <c r="AA278" s="3"/>
      <c r="AB278" s="3"/>
      <c r="AC278" s="3"/>
    </row>
    <row r="279">
      <c r="A279" s="3"/>
      <c r="B279" s="3"/>
      <c r="C279" s="3"/>
      <c r="D279" s="319"/>
      <c r="E279" s="3"/>
      <c r="F279" s="3"/>
      <c r="G279" s="3"/>
      <c r="H279" s="3"/>
      <c r="I279" s="3"/>
      <c r="J279" s="3"/>
      <c r="K279" s="3"/>
      <c r="L279" s="3"/>
      <c r="M279" s="3"/>
      <c r="N279" s="3"/>
      <c r="O279" s="3"/>
      <c r="P279" s="53"/>
      <c r="Q279" s="53"/>
      <c r="R279" s="618"/>
      <c r="S279" s="3"/>
      <c r="T279" s="3"/>
      <c r="U279" s="3"/>
      <c r="V279" s="3"/>
      <c r="W279" s="3"/>
      <c r="X279" s="3"/>
      <c r="Y279" s="3"/>
      <c r="Z279" s="3"/>
      <c r="AA279" s="3"/>
      <c r="AB279" s="3"/>
      <c r="AC279" s="3"/>
    </row>
    <row r="280">
      <c r="A280" s="3"/>
      <c r="B280" s="3"/>
      <c r="C280" s="3"/>
      <c r="D280" s="319"/>
      <c r="E280" s="3"/>
      <c r="F280" s="3"/>
      <c r="G280" s="3"/>
      <c r="H280" s="3"/>
      <c r="I280" s="3"/>
      <c r="J280" s="3"/>
      <c r="K280" s="3"/>
      <c r="L280" s="3"/>
      <c r="M280" s="3"/>
      <c r="N280" s="3"/>
      <c r="O280" s="3"/>
      <c r="P280" s="53"/>
      <c r="Q280" s="53"/>
      <c r="R280" s="618"/>
      <c r="S280" s="3"/>
      <c r="T280" s="3"/>
      <c r="U280" s="3"/>
      <c r="V280" s="3"/>
      <c r="W280" s="3"/>
      <c r="X280" s="3"/>
      <c r="Y280" s="3"/>
      <c r="Z280" s="3"/>
      <c r="AA280" s="3"/>
      <c r="AB280" s="3"/>
      <c r="AC280" s="3"/>
    </row>
    <row r="281">
      <c r="A281" s="3"/>
      <c r="B281" s="3"/>
      <c r="C281" s="3"/>
      <c r="D281" s="319"/>
      <c r="E281" s="3"/>
      <c r="F281" s="3"/>
      <c r="G281" s="3"/>
      <c r="H281" s="3"/>
      <c r="I281" s="3"/>
      <c r="J281" s="3"/>
      <c r="K281" s="3"/>
      <c r="L281" s="3"/>
      <c r="M281" s="3"/>
      <c r="N281" s="3"/>
      <c r="O281" s="3"/>
      <c r="P281" s="53"/>
      <c r="Q281" s="53"/>
      <c r="R281" s="618"/>
      <c r="S281" s="3"/>
      <c r="T281" s="3"/>
      <c r="U281" s="3"/>
      <c r="V281" s="3"/>
      <c r="W281" s="3"/>
      <c r="X281" s="3"/>
      <c r="Y281" s="3"/>
      <c r="Z281" s="3"/>
      <c r="AA281" s="3"/>
      <c r="AB281" s="3"/>
      <c r="AC281" s="3"/>
    </row>
    <row r="282">
      <c r="A282" s="3"/>
      <c r="B282" s="3"/>
      <c r="C282" s="3"/>
      <c r="D282" s="319"/>
      <c r="E282" s="3"/>
      <c r="F282" s="3"/>
      <c r="G282" s="3"/>
      <c r="H282" s="3"/>
      <c r="I282" s="3"/>
      <c r="J282" s="3"/>
      <c r="K282" s="3"/>
      <c r="L282" s="3"/>
      <c r="M282" s="3"/>
      <c r="N282" s="3"/>
      <c r="O282" s="3"/>
      <c r="P282" s="53"/>
      <c r="Q282" s="53"/>
      <c r="R282" s="618"/>
      <c r="S282" s="3"/>
      <c r="T282" s="3"/>
      <c r="U282" s="3"/>
      <c r="V282" s="3"/>
      <c r="W282" s="3"/>
      <c r="X282" s="3"/>
      <c r="Y282" s="3"/>
      <c r="Z282" s="3"/>
      <c r="AA282" s="3"/>
      <c r="AB282" s="3"/>
      <c r="AC282" s="3"/>
    </row>
    <row r="283">
      <c r="A283" s="3"/>
      <c r="B283" s="3"/>
      <c r="C283" s="3"/>
      <c r="D283" s="319"/>
      <c r="E283" s="3"/>
      <c r="F283" s="3"/>
      <c r="G283" s="3"/>
      <c r="H283" s="3"/>
      <c r="I283" s="3"/>
      <c r="J283" s="3"/>
      <c r="K283" s="3"/>
      <c r="L283" s="3"/>
      <c r="M283" s="3"/>
      <c r="N283" s="3"/>
      <c r="O283" s="3"/>
      <c r="P283" s="53"/>
      <c r="Q283" s="53"/>
      <c r="R283" s="618"/>
      <c r="S283" s="3"/>
      <c r="T283" s="3"/>
      <c r="U283" s="3"/>
      <c r="V283" s="3"/>
      <c r="W283" s="3"/>
      <c r="X283" s="3"/>
      <c r="Y283" s="3"/>
      <c r="Z283" s="3"/>
      <c r="AA283" s="3"/>
      <c r="AB283" s="3"/>
      <c r="AC283" s="3"/>
    </row>
    <row r="284">
      <c r="A284" s="3"/>
      <c r="B284" s="3"/>
      <c r="C284" s="3"/>
      <c r="D284" s="319"/>
      <c r="E284" s="3"/>
      <c r="F284" s="3"/>
      <c r="G284" s="3"/>
      <c r="H284" s="3"/>
      <c r="I284" s="3"/>
      <c r="J284" s="3"/>
      <c r="K284" s="3"/>
      <c r="L284" s="3"/>
      <c r="M284" s="3"/>
      <c r="N284" s="3"/>
      <c r="O284" s="3"/>
      <c r="P284" s="53"/>
      <c r="Q284" s="53"/>
      <c r="R284" s="618"/>
      <c r="S284" s="3"/>
      <c r="T284" s="3"/>
      <c r="U284" s="3"/>
      <c r="V284" s="3"/>
      <c r="W284" s="3"/>
      <c r="X284" s="3"/>
      <c r="Y284" s="3"/>
      <c r="Z284" s="3"/>
      <c r="AA284" s="3"/>
      <c r="AB284" s="3"/>
      <c r="AC284" s="3"/>
    </row>
    <row r="285">
      <c r="A285" s="3"/>
      <c r="B285" s="3"/>
      <c r="C285" s="3"/>
      <c r="D285" s="319"/>
      <c r="E285" s="3"/>
      <c r="F285" s="3"/>
      <c r="G285" s="3"/>
      <c r="H285" s="3"/>
      <c r="I285" s="3"/>
      <c r="J285" s="3"/>
      <c r="K285" s="3"/>
      <c r="L285" s="3"/>
      <c r="M285" s="3"/>
      <c r="N285" s="3"/>
      <c r="O285" s="3"/>
      <c r="P285" s="53"/>
      <c r="Q285" s="53"/>
      <c r="R285" s="618"/>
      <c r="S285" s="3"/>
      <c r="T285" s="3"/>
      <c r="U285" s="3"/>
      <c r="V285" s="3"/>
      <c r="W285" s="3"/>
      <c r="X285" s="3"/>
      <c r="Y285" s="3"/>
      <c r="Z285" s="3"/>
      <c r="AA285" s="3"/>
      <c r="AB285" s="3"/>
      <c r="AC285" s="3"/>
    </row>
    <row r="286">
      <c r="A286" s="3"/>
      <c r="B286" s="3"/>
      <c r="C286" s="3"/>
      <c r="D286" s="319"/>
      <c r="E286" s="3"/>
      <c r="F286" s="3"/>
      <c r="G286" s="3"/>
      <c r="H286" s="3"/>
      <c r="I286" s="3"/>
      <c r="J286" s="3"/>
      <c r="K286" s="3"/>
      <c r="L286" s="3"/>
      <c r="M286" s="3"/>
      <c r="N286" s="3"/>
      <c r="O286" s="3"/>
      <c r="P286" s="53"/>
      <c r="Q286" s="53"/>
      <c r="R286" s="618"/>
      <c r="S286" s="3"/>
      <c r="T286" s="3"/>
      <c r="U286" s="3"/>
      <c r="V286" s="3"/>
      <c r="W286" s="3"/>
      <c r="X286" s="3"/>
      <c r="Y286" s="3"/>
      <c r="Z286" s="3"/>
      <c r="AA286" s="3"/>
      <c r="AB286" s="3"/>
      <c r="AC286" s="3"/>
    </row>
    <row r="287">
      <c r="A287" s="3"/>
      <c r="B287" s="3"/>
      <c r="C287" s="3"/>
      <c r="D287" s="319"/>
      <c r="E287" s="3"/>
      <c r="F287" s="3"/>
      <c r="G287" s="3"/>
      <c r="H287" s="3"/>
      <c r="I287" s="3"/>
      <c r="J287" s="3"/>
      <c r="K287" s="3"/>
      <c r="L287" s="3"/>
      <c r="M287" s="3"/>
      <c r="N287" s="3"/>
      <c r="O287" s="3"/>
      <c r="P287" s="53"/>
      <c r="Q287" s="53"/>
      <c r="R287" s="618"/>
      <c r="S287" s="3"/>
      <c r="T287" s="3"/>
      <c r="U287" s="3"/>
      <c r="V287" s="3"/>
      <c r="W287" s="3"/>
      <c r="X287" s="3"/>
      <c r="Y287" s="3"/>
      <c r="Z287" s="3"/>
      <c r="AA287" s="3"/>
      <c r="AB287" s="3"/>
      <c r="AC287" s="3"/>
    </row>
    <row r="288">
      <c r="A288" s="3"/>
      <c r="B288" s="3"/>
      <c r="C288" s="3"/>
      <c r="D288" s="319"/>
      <c r="E288" s="3"/>
      <c r="F288" s="3"/>
      <c r="G288" s="3"/>
      <c r="H288" s="3"/>
      <c r="I288" s="3"/>
      <c r="J288" s="3"/>
      <c r="K288" s="3"/>
      <c r="L288" s="3"/>
      <c r="M288" s="3"/>
      <c r="N288" s="3"/>
      <c r="O288" s="3"/>
      <c r="P288" s="53"/>
      <c r="Q288" s="53"/>
      <c r="R288" s="618"/>
      <c r="S288" s="3"/>
      <c r="T288" s="3"/>
      <c r="U288" s="3"/>
      <c r="V288" s="3"/>
      <c r="W288" s="3"/>
      <c r="X288" s="3"/>
      <c r="Y288" s="3"/>
      <c r="Z288" s="3"/>
      <c r="AA288" s="3"/>
      <c r="AB288" s="3"/>
      <c r="AC288" s="3"/>
    </row>
    <row r="289">
      <c r="A289" s="3"/>
      <c r="B289" s="3"/>
      <c r="C289" s="3"/>
      <c r="D289" s="319"/>
      <c r="E289" s="3"/>
      <c r="F289" s="3"/>
      <c r="G289" s="3"/>
      <c r="H289" s="3"/>
      <c r="I289" s="3"/>
      <c r="J289" s="3"/>
      <c r="K289" s="3"/>
      <c r="L289" s="3"/>
      <c r="M289" s="3"/>
      <c r="N289" s="3"/>
      <c r="O289" s="3"/>
      <c r="P289" s="53"/>
      <c r="Q289" s="53"/>
      <c r="R289" s="618"/>
      <c r="S289" s="3"/>
      <c r="T289" s="3"/>
      <c r="U289" s="3"/>
      <c r="V289" s="3"/>
      <c r="W289" s="3"/>
      <c r="X289" s="3"/>
      <c r="Y289" s="3"/>
      <c r="Z289" s="3"/>
      <c r="AA289" s="3"/>
      <c r="AB289" s="3"/>
      <c r="AC289" s="3"/>
    </row>
    <row r="290">
      <c r="A290" s="3"/>
      <c r="B290" s="3"/>
      <c r="C290" s="3"/>
      <c r="D290" s="319"/>
      <c r="E290" s="3"/>
      <c r="F290" s="3"/>
      <c r="G290" s="3"/>
      <c r="H290" s="3"/>
      <c r="I290" s="3"/>
      <c r="J290" s="3"/>
      <c r="K290" s="3"/>
      <c r="L290" s="3"/>
      <c r="M290" s="3"/>
      <c r="N290" s="3"/>
      <c r="O290" s="3"/>
      <c r="P290" s="53"/>
      <c r="Q290" s="53"/>
      <c r="R290" s="618"/>
      <c r="S290" s="3"/>
      <c r="T290" s="3"/>
      <c r="U290" s="3"/>
      <c r="V290" s="3"/>
      <c r="W290" s="3"/>
      <c r="X290" s="3"/>
      <c r="Y290" s="3"/>
      <c r="Z290" s="3"/>
      <c r="AA290" s="3"/>
      <c r="AB290" s="3"/>
      <c r="AC290" s="3"/>
    </row>
    <row r="291">
      <c r="A291" s="3"/>
      <c r="B291" s="3"/>
      <c r="C291" s="3"/>
      <c r="D291" s="319"/>
      <c r="E291" s="3"/>
      <c r="F291" s="3"/>
      <c r="G291" s="3"/>
      <c r="H291" s="3"/>
      <c r="I291" s="3"/>
      <c r="J291" s="3"/>
      <c r="K291" s="3"/>
      <c r="L291" s="3"/>
      <c r="M291" s="3"/>
      <c r="N291" s="3"/>
      <c r="O291" s="3"/>
      <c r="P291" s="53"/>
      <c r="Q291" s="53"/>
      <c r="R291" s="618"/>
      <c r="S291" s="3"/>
      <c r="T291" s="3"/>
      <c r="U291" s="3"/>
      <c r="V291" s="3"/>
      <c r="W291" s="3"/>
      <c r="X291" s="3"/>
      <c r="Y291" s="3"/>
      <c r="Z291" s="3"/>
      <c r="AA291" s="3"/>
      <c r="AB291" s="3"/>
      <c r="AC291" s="3"/>
    </row>
    <row r="292">
      <c r="A292" s="3"/>
      <c r="B292" s="3"/>
      <c r="C292" s="3"/>
      <c r="D292" s="319"/>
      <c r="E292" s="3"/>
      <c r="F292" s="3"/>
      <c r="G292" s="3"/>
      <c r="H292" s="3"/>
      <c r="I292" s="3"/>
      <c r="J292" s="3"/>
      <c r="K292" s="3"/>
      <c r="L292" s="3"/>
      <c r="M292" s="3"/>
      <c r="N292" s="3"/>
      <c r="O292" s="3"/>
      <c r="P292" s="53"/>
      <c r="Q292" s="53"/>
      <c r="R292" s="618"/>
      <c r="S292" s="3"/>
      <c r="T292" s="3"/>
      <c r="U292" s="3"/>
      <c r="V292" s="3"/>
      <c r="W292" s="3"/>
      <c r="X292" s="3"/>
      <c r="Y292" s="3"/>
      <c r="Z292" s="3"/>
      <c r="AA292" s="3"/>
      <c r="AB292" s="3"/>
      <c r="AC292" s="3"/>
    </row>
    <row r="293">
      <c r="A293" s="3"/>
      <c r="B293" s="3"/>
      <c r="C293" s="3"/>
      <c r="D293" s="319"/>
      <c r="E293" s="3"/>
      <c r="F293" s="3"/>
      <c r="G293" s="3"/>
      <c r="H293" s="3"/>
      <c r="I293" s="3"/>
      <c r="J293" s="3"/>
      <c r="K293" s="3"/>
      <c r="L293" s="3"/>
      <c r="M293" s="3"/>
      <c r="N293" s="3"/>
      <c r="O293" s="3"/>
      <c r="P293" s="53"/>
      <c r="Q293" s="53"/>
      <c r="R293" s="618"/>
      <c r="S293" s="3"/>
      <c r="T293" s="3"/>
      <c r="U293" s="3"/>
      <c r="V293" s="3"/>
      <c r="W293" s="3"/>
      <c r="X293" s="3"/>
      <c r="Y293" s="3"/>
      <c r="Z293" s="3"/>
      <c r="AA293" s="3"/>
      <c r="AB293" s="3"/>
      <c r="AC293" s="3"/>
    </row>
    <row r="294">
      <c r="A294" s="3"/>
      <c r="B294" s="3"/>
      <c r="C294" s="3"/>
      <c r="D294" s="319"/>
      <c r="E294" s="3"/>
      <c r="F294" s="3"/>
      <c r="G294" s="3"/>
      <c r="H294" s="3"/>
      <c r="I294" s="3"/>
      <c r="J294" s="3"/>
      <c r="K294" s="3"/>
      <c r="L294" s="3"/>
      <c r="M294" s="3"/>
      <c r="N294" s="3"/>
      <c r="O294" s="3"/>
      <c r="P294" s="53"/>
      <c r="Q294" s="53"/>
      <c r="R294" s="618"/>
      <c r="S294" s="3"/>
      <c r="T294" s="3"/>
      <c r="U294" s="3"/>
      <c r="V294" s="3"/>
      <c r="W294" s="3"/>
      <c r="X294" s="3"/>
      <c r="Y294" s="3"/>
      <c r="Z294" s="3"/>
      <c r="AA294" s="3"/>
      <c r="AB294" s="3"/>
      <c r="AC294" s="3"/>
    </row>
    <row r="295">
      <c r="A295" s="3"/>
      <c r="B295" s="3"/>
      <c r="C295" s="3"/>
      <c r="D295" s="319"/>
      <c r="E295" s="3"/>
      <c r="F295" s="3"/>
      <c r="G295" s="3"/>
      <c r="H295" s="3"/>
      <c r="I295" s="3"/>
      <c r="J295" s="3"/>
      <c r="K295" s="3"/>
      <c r="L295" s="3"/>
      <c r="M295" s="3"/>
      <c r="N295" s="3"/>
      <c r="O295" s="3"/>
      <c r="P295" s="53"/>
      <c r="Q295" s="53"/>
      <c r="R295" s="618"/>
      <c r="S295" s="3"/>
      <c r="T295" s="3"/>
      <c r="U295" s="3"/>
      <c r="V295" s="3"/>
      <c r="W295" s="3"/>
      <c r="X295" s="3"/>
      <c r="Y295" s="3"/>
      <c r="Z295" s="3"/>
      <c r="AA295" s="3"/>
      <c r="AB295" s="3"/>
      <c r="AC295" s="3"/>
    </row>
    <row r="296">
      <c r="A296" s="3"/>
      <c r="B296" s="3"/>
      <c r="C296" s="3"/>
      <c r="D296" s="319"/>
      <c r="E296" s="3"/>
      <c r="F296" s="3"/>
      <c r="G296" s="3"/>
      <c r="H296" s="3"/>
      <c r="I296" s="3"/>
      <c r="J296" s="3"/>
      <c r="K296" s="3"/>
      <c r="L296" s="3"/>
      <c r="M296" s="3"/>
      <c r="N296" s="3"/>
      <c r="O296" s="3"/>
      <c r="P296" s="53"/>
      <c r="Q296" s="53"/>
      <c r="R296" s="618"/>
      <c r="S296" s="3"/>
      <c r="T296" s="3"/>
      <c r="U296" s="3"/>
      <c r="V296" s="3"/>
      <c r="W296" s="3"/>
      <c r="X296" s="3"/>
      <c r="Y296" s="3"/>
      <c r="Z296" s="3"/>
      <c r="AA296" s="3"/>
      <c r="AB296" s="3"/>
      <c r="AC296" s="3"/>
    </row>
    <row r="297">
      <c r="A297" s="3"/>
      <c r="B297" s="3"/>
      <c r="C297" s="3"/>
      <c r="D297" s="319"/>
      <c r="E297" s="3"/>
      <c r="F297" s="3"/>
      <c r="G297" s="3"/>
      <c r="H297" s="3"/>
      <c r="I297" s="3"/>
      <c r="J297" s="3"/>
      <c r="K297" s="3"/>
      <c r="L297" s="3"/>
      <c r="M297" s="3"/>
      <c r="N297" s="3"/>
      <c r="O297" s="3"/>
      <c r="P297" s="53"/>
      <c r="Q297" s="53"/>
      <c r="R297" s="618"/>
      <c r="S297" s="3"/>
      <c r="T297" s="3"/>
      <c r="U297" s="3"/>
      <c r="V297" s="3"/>
      <c r="W297" s="3"/>
      <c r="X297" s="3"/>
      <c r="Y297" s="3"/>
      <c r="Z297" s="3"/>
      <c r="AA297" s="3"/>
      <c r="AB297" s="3"/>
      <c r="AC297" s="3"/>
    </row>
    <row r="298">
      <c r="A298" s="3"/>
      <c r="B298" s="3"/>
      <c r="C298" s="3"/>
      <c r="D298" s="319"/>
      <c r="E298" s="3"/>
      <c r="F298" s="3"/>
      <c r="G298" s="3"/>
      <c r="H298" s="3"/>
      <c r="I298" s="3"/>
      <c r="J298" s="3"/>
      <c r="K298" s="3"/>
      <c r="L298" s="3"/>
      <c r="M298" s="3"/>
      <c r="N298" s="3"/>
      <c r="O298" s="3"/>
      <c r="P298" s="53"/>
      <c r="Q298" s="53"/>
      <c r="R298" s="618"/>
      <c r="S298" s="3"/>
      <c r="T298" s="3"/>
      <c r="U298" s="3"/>
      <c r="V298" s="3"/>
      <c r="W298" s="3"/>
      <c r="X298" s="3"/>
      <c r="Y298" s="3"/>
      <c r="Z298" s="3"/>
      <c r="AA298" s="3"/>
      <c r="AB298" s="3"/>
      <c r="AC298" s="3"/>
    </row>
    <row r="299">
      <c r="A299" s="3"/>
      <c r="B299" s="3"/>
      <c r="C299" s="3"/>
      <c r="D299" s="319"/>
      <c r="E299" s="3"/>
      <c r="F299" s="3"/>
      <c r="G299" s="3"/>
      <c r="H299" s="3"/>
      <c r="I299" s="3"/>
      <c r="J299" s="3"/>
      <c r="K299" s="3"/>
      <c r="L299" s="3"/>
      <c r="M299" s="3"/>
      <c r="N299" s="3"/>
      <c r="O299" s="3"/>
      <c r="P299" s="53"/>
      <c r="Q299" s="53"/>
      <c r="R299" s="618"/>
      <c r="S299" s="3"/>
      <c r="T299" s="3"/>
      <c r="U299" s="3"/>
      <c r="V299" s="3"/>
      <c r="W299" s="3"/>
      <c r="X299" s="3"/>
      <c r="Y299" s="3"/>
      <c r="Z299" s="3"/>
      <c r="AA299" s="3"/>
      <c r="AB299" s="3"/>
      <c r="AC299" s="3"/>
    </row>
    <row r="300">
      <c r="A300" s="3"/>
      <c r="B300" s="3"/>
      <c r="C300" s="3"/>
      <c r="D300" s="319"/>
      <c r="E300" s="3"/>
      <c r="F300" s="3"/>
      <c r="G300" s="3"/>
      <c r="H300" s="3"/>
      <c r="I300" s="3"/>
      <c r="J300" s="3"/>
      <c r="K300" s="3"/>
      <c r="L300" s="3"/>
      <c r="M300" s="3"/>
      <c r="N300" s="3"/>
      <c r="O300" s="3"/>
      <c r="P300" s="53"/>
      <c r="Q300" s="53"/>
      <c r="R300" s="618"/>
      <c r="S300" s="3"/>
      <c r="T300" s="3"/>
      <c r="U300" s="3"/>
      <c r="V300" s="3"/>
      <c r="W300" s="3"/>
      <c r="X300" s="3"/>
      <c r="Y300" s="3"/>
      <c r="Z300" s="3"/>
      <c r="AA300" s="3"/>
      <c r="AB300" s="3"/>
      <c r="AC300" s="3"/>
    </row>
    <row r="301">
      <c r="A301" s="3"/>
      <c r="B301" s="3"/>
      <c r="C301" s="3"/>
      <c r="D301" s="319"/>
      <c r="E301" s="3"/>
      <c r="F301" s="3"/>
      <c r="G301" s="3"/>
      <c r="H301" s="3"/>
      <c r="I301" s="3"/>
      <c r="J301" s="3"/>
      <c r="K301" s="3"/>
      <c r="L301" s="3"/>
      <c r="M301" s="3"/>
      <c r="N301" s="3"/>
      <c r="O301" s="3"/>
      <c r="P301" s="53"/>
      <c r="Q301" s="53"/>
      <c r="R301" s="618"/>
      <c r="S301" s="3"/>
      <c r="T301" s="3"/>
      <c r="U301" s="3"/>
      <c r="V301" s="3"/>
      <c r="W301" s="3"/>
      <c r="X301" s="3"/>
      <c r="Y301" s="3"/>
      <c r="Z301" s="3"/>
      <c r="AA301" s="3"/>
      <c r="AB301" s="3"/>
      <c r="AC301" s="3"/>
    </row>
    <row r="302">
      <c r="A302" s="3"/>
      <c r="B302" s="3"/>
      <c r="C302" s="3"/>
      <c r="D302" s="319"/>
      <c r="E302" s="3"/>
      <c r="F302" s="3"/>
      <c r="G302" s="3"/>
      <c r="H302" s="3"/>
      <c r="I302" s="3"/>
      <c r="J302" s="3"/>
      <c r="K302" s="3"/>
      <c r="L302" s="3"/>
      <c r="M302" s="3"/>
      <c r="N302" s="3"/>
      <c r="O302" s="3"/>
      <c r="P302" s="53"/>
      <c r="Q302" s="53"/>
      <c r="R302" s="618"/>
      <c r="S302" s="3"/>
      <c r="T302" s="3"/>
      <c r="U302" s="3"/>
      <c r="V302" s="3"/>
      <c r="W302" s="3"/>
      <c r="X302" s="3"/>
      <c r="Y302" s="3"/>
      <c r="Z302" s="3"/>
      <c r="AA302" s="3"/>
      <c r="AB302" s="3"/>
      <c r="AC302" s="3"/>
    </row>
    <row r="303">
      <c r="A303" s="3"/>
      <c r="B303" s="3"/>
      <c r="C303" s="3"/>
      <c r="D303" s="319"/>
      <c r="E303" s="3"/>
      <c r="F303" s="3"/>
      <c r="G303" s="3"/>
      <c r="H303" s="3"/>
      <c r="I303" s="3"/>
      <c r="J303" s="3"/>
      <c r="K303" s="3"/>
      <c r="L303" s="3"/>
      <c r="M303" s="3"/>
      <c r="N303" s="3"/>
      <c r="O303" s="3"/>
      <c r="P303" s="53"/>
      <c r="Q303" s="53"/>
      <c r="R303" s="618"/>
      <c r="S303" s="3"/>
      <c r="T303" s="3"/>
      <c r="U303" s="3"/>
      <c r="V303" s="3"/>
      <c r="W303" s="3"/>
      <c r="X303" s="3"/>
      <c r="Y303" s="3"/>
      <c r="Z303" s="3"/>
      <c r="AA303" s="3"/>
      <c r="AB303" s="3"/>
      <c r="AC303" s="3"/>
    </row>
    <row r="304">
      <c r="A304" s="3"/>
      <c r="B304" s="3"/>
      <c r="C304" s="3"/>
      <c r="D304" s="319"/>
      <c r="E304" s="3"/>
      <c r="F304" s="3"/>
      <c r="G304" s="3"/>
      <c r="H304" s="3"/>
      <c r="I304" s="3"/>
      <c r="J304" s="3"/>
      <c r="K304" s="3"/>
      <c r="L304" s="3"/>
      <c r="M304" s="3"/>
      <c r="N304" s="3"/>
      <c r="O304" s="3"/>
      <c r="P304" s="53"/>
      <c r="Q304" s="53"/>
      <c r="R304" s="618"/>
      <c r="S304" s="3"/>
      <c r="T304" s="3"/>
      <c r="U304" s="3"/>
      <c r="V304" s="3"/>
      <c r="W304" s="3"/>
      <c r="X304" s="3"/>
      <c r="Y304" s="3"/>
      <c r="Z304" s="3"/>
      <c r="AA304" s="3"/>
      <c r="AB304" s="3"/>
      <c r="AC304" s="3"/>
    </row>
    <row r="305">
      <c r="A305" s="3"/>
      <c r="B305" s="3"/>
      <c r="C305" s="3"/>
      <c r="D305" s="319"/>
      <c r="E305" s="3"/>
      <c r="F305" s="3"/>
      <c r="G305" s="3"/>
      <c r="H305" s="3"/>
      <c r="I305" s="3"/>
      <c r="J305" s="3"/>
      <c r="K305" s="3"/>
      <c r="L305" s="3"/>
      <c r="M305" s="3"/>
      <c r="N305" s="3"/>
      <c r="O305" s="3"/>
      <c r="P305" s="53"/>
      <c r="Q305" s="53"/>
      <c r="R305" s="618"/>
      <c r="S305" s="3"/>
      <c r="T305" s="3"/>
      <c r="U305" s="3"/>
      <c r="V305" s="3"/>
      <c r="W305" s="3"/>
      <c r="X305" s="3"/>
      <c r="Y305" s="3"/>
      <c r="Z305" s="3"/>
      <c r="AA305" s="3"/>
      <c r="AB305" s="3"/>
      <c r="AC305" s="3"/>
    </row>
    <row r="306">
      <c r="A306" s="3"/>
      <c r="B306" s="3"/>
      <c r="C306" s="3"/>
      <c r="D306" s="319"/>
      <c r="E306" s="3"/>
      <c r="F306" s="3"/>
      <c r="G306" s="3"/>
      <c r="H306" s="3"/>
      <c r="I306" s="3"/>
      <c r="J306" s="3"/>
      <c r="K306" s="3"/>
      <c r="L306" s="3"/>
      <c r="M306" s="3"/>
      <c r="N306" s="3"/>
      <c r="O306" s="3"/>
      <c r="P306" s="53"/>
      <c r="Q306" s="53"/>
      <c r="R306" s="618"/>
      <c r="S306" s="3"/>
      <c r="T306" s="3"/>
      <c r="U306" s="3"/>
      <c r="V306" s="3"/>
      <c r="W306" s="3"/>
      <c r="X306" s="3"/>
      <c r="Y306" s="3"/>
      <c r="Z306" s="3"/>
      <c r="AA306" s="3"/>
      <c r="AB306" s="3"/>
      <c r="AC306" s="3"/>
    </row>
    <row r="307">
      <c r="A307" s="3"/>
      <c r="B307" s="3"/>
      <c r="C307" s="3"/>
      <c r="D307" s="319"/>
      <c r="E307" s="3"/>
      <c r="F307" s="3"/>
      <c r="G307" s="3"/>
      <c r="H307" s="3"/>
      <c r="I307" s="3"/>
      <c r="J307" s="3"/>
      <c r="K307" s="3"/>
      <c r="L307" s="3"/>
      <c r="M307" s="3"/>
      <c r="N307" s="3"/>
      <c r="O307" s="3"/>
      <c r="P307" s="53"/>
      <c r="Q307" s="53"/>
      <c r="R307" s="618"/>
      <c r="S307" s="3"/>
      <c r="T307" s="3"/>
      <c r="U307" s="3"/>
      <c r="V307" s="3"/>
      <c r="W307" s="3"/>
      <c r="X307" s="3"/>
      <c r="Y307" s="3"/>
      <c r="Z307" s="3"/>
      <c r="AA307" s="3"/>
      <c r="AB307" s="3"/>
      <c r="AC307" s="3"/>
    </row>
    <row r="308">
      <c r="A308" s="3"/>
      <c r="B308" s="3"/>
      <c r="C308" s="3"/>
      <c r="D308" s="319"/>
      <c r="E308" s="3"/>
      <c r="F308" s="3"/>
      <c r="G308" s="3"/>
      <c r="H308" s="3"/>
      <c r="I308" s="3"/>
      <c r="J308" s="3"/>
      <c r="K308" s="3"/>
      <c r="L308" s="3"/>
      <c r="M308" s="3"/>
      <c r="N308" s="3"/>
      <c r="O308" s="3"/>
      <c r="P308" s="53"/>
      <c r="Q308" s="53"/>
      <c r="R308" s="618"/>
      <c r="S308" s="3"/>
      <c r="T308" s="3"/>
      <c r="U308" s="3"/>
      <c r="V308" s="3"/>
      <c r="W308" s="3"/>
      <c r="X308" s="3"/>
      <c r="Y308" s="3"/>
      <c r="Z308" s="3"/>
      <c r="AA308" s="3"/>
      <c r="AB308" s="3"/>
      <c r="AC308" s="3"/>
    </row>
    <row r="309">
      <c r="A309" s="3"/>
      <c r="B309" s="3"/>
      <c r="C309" s="3"/>
      <c r="D309" s="319"/>
      <c r="E309" s="3"/>
      <c r="F309" s="3"/>
      <c r="G309" s="3"/>
      <c r="H309" s="3"/>
      <c r="I309" s="3"/>
      <c r="J309" s="3"/>
      <c r="K309" s="3"/>
      <c r="L309" s="3"/>
      <c r="M309" s="3"/>
      <c r="N309" s="3"/>
      <c r="O309" s="3"/>
      <c r="P309" s="53"/>
      <c r="Q309" s="53"/>
      <c r="R309" s="618"/>
      <c r="S309" s="3"/>
      <c r="T309" s="3"/>
      <c r="U309" s="3"/>
      <c r="V309" s="3"/>
      <c r="W309" s="3"/>
      <c r="X309" s="3"/>
      <c r="Y309" s="3"/>
      <c r="Z309" s="3"/>
      <c r="AA309" s="3"/>
      <c r="AB309" s="3"/>
      <c r="AC309" s="3"/>
    </row>
    <row r="310">
      <c r="A310" s="3"/>
      <c r="B310" s="3"/>
      <c r="C310" s="3"/>
      <c r="D310" s="319"/>
      <c r="E310" s="3"/>
      <c r="F310" s="3"/>
      <c r="G310" s="3"/>
      <c r="H310" s="3"/>
      <c r="I310" s="3"/>
      <c r="J310" s="3"/>
      <c r="K310" s="3"/>
      <c r="L310" s="3"/>
      <c r="M310" s="3"/>
      <c r="N310" s="3"/>
      <c r="O310" s="3"/>
      <c r="P310" s="53"/>
      <c r="Q310" s="53"/>
      <c r="R310" s="618"/>
      <c r="S310" s="3"/>
      <c r="T310" s="3"/>
      <c r="U310" s="3"/>
      <c r="V310" s="3"/>
      <c r="W310" s="3"/>
      <c r="X310" s="3"/>
      <c r="Y310" s="3"/>
      <c r="Z310" s="3"/>
      <c r="AA310" s="3"/>
      <c r="AB310" s="3"/>
      <c r="AC310" s="3"/>
    </row>
    <row r="311">
      <c r="A311" s="3"/>
      <c r="B311" s="3"/>
      <c r="C311" s="3"/>
      <c r="D311" s="319"/>
      <c r="E311" s="3"/>
      <c r="F311" s="3"/>
      <c r="G311" s="3"/>
      <c r="H311" s="3"/>
      <c r="I311" s="3"/>
      <c r="J311" s="3"/>
      <c r="K311" s="3"/>
      <c r="L311" s="3"/>
      <c r="M311" s="3"/>
      <c r="N311" s="3"/>
      <c r="O311" s="3"/>
      <c r="P311" s="53"/>
      <c r="Q311" s="53"/>
      <c r="R311" s="618"/>
      <c r="S311" s="3"/>
      <c r="T311" s="3"/>
      <c r="U311" s="3"/>
      <c r="V311" s="3"/>
      <c r="W311" s="3"/>
      <c r="X311" s="3"/>
      <c r="Y311" s="3"/>
      <c r="Z311" s="3"/>
      <c r="AA311" s="3"/>
      <c r="AB311" s="3"/>
      <c r="AC311" s="3"/>
    </row>
    <row r="312">
      <c r="A312" s="3"/>
      <c r="B312" s="3"/>
      <c r="C312" s="3"/>
      <c r="D312" s="319"/>
      <c r="E312" s="3"/>
      <c r="F312" s="3"/>
      <c r="G312" s="3"/>
      <c r="H312" s="3"/>
      <c r="I312" s="3"/>
      <c r="J312" s="3"/>
      <c r="K312" s="3"/>
      <c r="L312" s="3"/>
      <c r="M312" s="3"/>
      <c r="N312" s="3"/>
      <c r="O312" s="3"/>
      <c r="P312" s="53"/>
      <c r="Q312" s="53"/>
      <c r="R312" s="618"/>
      <c r="S312" s="3"/>
      <c r="T312" s="3"/>
      <c r="U312" s="3"/>
      <c r="V312" s="3"/>
      <c r="W312" s="3"/>
      <c r="X312" s="3"/>
      <c r="Y312" s="3"/>
      <c r="Z312" s="3"/>
      <c r="AA312" s="3"/>
      <c r="AB312" s="3"/>
      <c r="AC312" s="3"/>
    </row>
    <row r="313">
      <c r="A313" s="3"/>
      <c r="B313" s="3"/>
      <c r="C313" s="3"/>
      <c r="D313" s="319"/>
      <c r="E313" s="3"/>
      <c r="F313" s="3"/>
      <c r="G313" s="3"/>
      <c r="H313" s="3"/>
      <c r="I313" s="3"/>
      <c r="J313" s="3"/>
      <c r="K313" s="3"/>
      <c r="L313" s="3"/>
      <c r="M313" s="3"/>
      <c r="N313" s="3"/>
      <c r="O313" s="3"/>
      <c r="P313" s="53"/>
      <c r="Q313" s="53"/>
      <c r="R313" s="618"/>
      <c r="S313" s="3"/>
      <c r="T313" s="3"/>
      <c r="U313" s="3"/>
      <c r="V313" s="3"/>
      <c r="W313" s="3"/>
      <c r="X313" s="3"/>
      <c r="Y313" s="3"/>
      <c r="Z313" s="3"/>
      <c r="AA313" s="3"/>
      <c r="AB313" s="3"/>
      <c r="AC313" s="3"/>
    </row>
    <row r="314">
      <c r="A314" s="3"/>
      <c r="B314" s="3"/>
      <c r="C314" s="3"/>
      <c r="D314" s="319"/>
      <c r="E314" s="3"/>
      <c r="F314" s="3"/>
      <c r="G314" s="3"/>
      <c r="H314" s="3"/>
      <c r="I314" s="3"/>
      <c r="J314" s="3"/>
      <c r="K314" s="3"/>
      <c r="L314" s="3"/>
      <c r="M314" s="3"/>
      <c r="N314" s="3"/>
      <c r="O314" s="3"/>
      <c r="P314" s="53"/>
      <c r="Q314" s="53"/>
      <c r="R314" s="618"/>
      <c r="S314" s="3"/>
      <c r="T314" s="3"/>
      <c r="U314" s="3"/>
      <c r="V314" s="3"/>
      <c r="W314" s="3"/>
      <c r="X314" s="3"/>
      <c r="Y314" s="3"/>
      <c r="Z314" s="3"/>
      <c r="AA314" s="3"/>
      <c r="AB314" s="3"/>
      <c r="AC314" s="3"/>
    </row>
    <row r="315">
      <c r="A315" s="3"/>
      <c r="B315" s="3"/>
      <c r="C315" s="3"/>
      <c r="D315" s="319"/>
      <c r="E315" s="3"/>
      <c r="F315" s="3"/>
      <c r="G315" s="3"/>
      <c r="H315" s="3"/>
      <c r="I315" s="3"/>
      <c r="J315" s="3"/>
      <c r="K315" s="3"/>
      <c r="L315" s="3"/>
      <c r="M315" s="3"/>
      <c r="N315" s="3"/>
      <c r="O315" s="3"/>
      <c r="P315" s="53"/>
      <c r="Q315" s="53"/>
      <c r="R315" s="618"/>
      <c r="S315" s="3"/>
      <c r="T315" s="3"/>
      <c r="U315" s="3"/>
      <c r="V315" s="3"/>
      <c r="W315" s="3"/>
      <c r="X315" s="3"/>
      <c r="Y315" s="3"/>
      <c r="Z315" s="3"/>
      <c r="AA315" s="3"/>
      <c r="AB315" s="3"/>
      <c r="AC315" s="3"/>
    </row>
    <row r="316">
      <c r="A316" s="3"/>
      <c r="B316" s="3"/>
      <c r="C316" s="3"/>
      <c r="D316" s="319"/>
      <c r="E316" s="3"/>
      <c r="F316" s="3"/>
      <c r="G316" s="3"/>
      <c r="H316" s="3"/>
      <c r="I316" s="3"/>
      <c r="J316" s="3"/>
      <c r="K316" s="3"/>
      <c r="L316" s="3"/>
      <c r="M316" s="3"/>
      <c r="N316" s="3"/>
      <c r="O316" s="3"/>
      <c r="P316" s="53"/>
      <c r="Q316" s="53"/>
      <c r="R316" s="618"/>
      <c r="S316" s="3"/>
      <c r="T316" s="3"/>
      <c r="U316" s="3"/>
      <c r="V316" s="3"/>
      <c r="W316" s="3"/>
      <c r="X316" s="3"/>
      <c r="Y316" s="3"/>
      <c r="Z316" s="3"/>
      <c r="AA316" s="3"/>
      <c r="AB316" s="3"/>
      <c r="AC316" s="3"/>
    </row>
    <row r="317">
      <c r="A317" s="3"/>
      <c r="B317" s="3"/>
      <c r="C317" s="3"/>
      <c r="D317" s="319"/>
      <c r="E317" s="3"/>
      <c r="F317" s="3"/>
      <c r="G317" s="3"/>
      <c r="H317" s="3"/>
      <c r="I317" s="3"/>
      <c r="J317" s="3"/>
      <c r="K317" s="3"/>
      <c r="L317" s="3"/>
      <c r="M317" s="3"/>
      <c r="N317" s="3"/>
      <c r="O317" s="3"/>
      <c r="P317" s="53"/>
      <c r="Q317" s="53"/>
      <c r="R317" s="618"/>
      <c r="S317" s="3"/>
      <c r="T317" s="3"/>
      <c r="U317" s="3"/>
      <c r="V317" s="3"/>
      <c r="W317" s="3"/>
      <c r="X317" s="3"/>
      <c r="Y317" s="3"/>
      <c r="Z317" s="3"/>
      <c r="AA317" s="3"/>
      <c r="AB317" s="3"/>
      <c r="AC317" s="3"/>
    </row>
    <row r="318">
      <c r="A318" s="3"/>
      <c r="B318" s="3"/>
      <c r="C318" s="3"/>
      <c r="D318" s="319"/>
      <c r="E318" s="3"/>
      <c r="F318" s="3"/>
      <c r="G318" s="3"/>
      <c r="H318" s="3"/>
      <c r="I318" s="3"/>
      <c r="J318" s="3"/>
      <c r="K318" s="3"/>
      <c r="L318" s="3"/>
      <c r="M318" s="3"/>
      <c r="N318" s="3"/>
      <c r="O318" s="3"/>
      <c r="P318" s="53"/>
      <c r="Q318" s="53"/>
      <c r="R318" s="618"/>
      <c r="S318" s="3"/>
      <c r="T318" s="3"/>
      <c r="U318" s="3"/>
      <c r="V318" s="3"/>
      <c r="W318" s="3"/>
      <c r="X318" s="3"/>
      <c r="Y318" s="3"/>
      <c r="Z318" s="3"/>
      <c r="AA318" s="3"/>
      <c r="AB318" s="3"/>
      <c r="AC318" s="3"/>
    </row>
    <row r="319">
      <c r="A319" s="3"/>
      <c r="B319" s="3"/>
      <c r="C319" s="3"/>
      <c r="D319" s="319"/>
      <c r="E319" s="3"/>
      <c r="F319" s="3"/>
      <c r="G319" s="3"/>
      <c r="H319" s="3"/>
      <c r="I319" s="3"/>
      <c r="J319" s="3"/>
      <c r="K319" s="3"/>
      <c r="L319" s="3"/>
      <c r="M319" s="3"/>
      <c r="N319" s="3"/>
      <c r="O319" s="3"/>
      <c r="P319" s="53"/>
      <c r="Q319" s="53"/>
      <c r="R319" s="618"/>
      <c r="S319" s="3"/>
      <c r="T319" s="3"/>
      <c r="U319" s="3"/>
      <c r="V319" s="3"/>
      <c r="W319" s="3"/>
      <c r="X319" s="3"/>
      <c r="Y319" s="3"/>
      <c r="Z319" s="3"/>
      <c r="AA319" s="3"/>
      <c r="AB319" s="3"/>
      <c r="AC319" s="3"/>
    </row>
    <row r="320">
      <c r="A320" s="3"/>
      <c r="B320" s="3"/>
      <c r="C320" s="3"/>
      <c r="D320" s="319"/>
      <c r="E320" s="3"/>
      <c r="F320" s="3"/>
      <c r="G320" s="3"/>
      <c r="H320" s="3"/>
      <c r="I320" s="3"/>
      <c r="J320" s="3"/>
      <c r="K320" s="3"/>
      <c r="L320" s="3"/>
      <c r="M320" s="3"/>
      <c r="N320" s="3"/>
      <c r="O320" s="3"/>
      <c r="P320" s="53"/>
      <c r="Q320" s="53"/>
      <c r="R320" s="618"/>
      <c r="S320" s="3"/>
      <c r="T320" s="3"/>
      <c r="U320" s="3"/>
      <c r="V320" s="3"/>
      <c r="W320" s="3"/>
      <c r="X320" s="3"/>
      <c r="Y320" s="3"/>
      <c r="Z320" s="3"/>
      <c r="AA320" s="3"/>
      <c r="AB320" s="3"/>
      <c r="AC320" s="3"/>
    </row>
    <row r="321">
      <c r="A321" s="3"/>
      <c r="B321" s="3"/>
      <c r="C321" s="3"/>
      <c r="D321" s="319"/>
      <c r="E321" s="3"/>
      <c r="F321" s="3"/>
      <c r="G321" s="3"/>
      <c r="H321" s="3"/>
      <c r="I321" s="3"/>
      <c r="J321" s="3"/>
      <c r="K321" s="3"/>
      <c r="L321" s="3"/>
      <c r="M321" s="3"/>
      <c r="N321" s="3"/>
      <c r="O321" s="3"/>
      <c r="P321" s="53"/>
      <c r="Q321" s="53"/>
      <c r="R321" s="618"/>
      <c r="S321" s="3"/>
      <c r="T321" s="3"/>
      <c r="U321" s="3"/>
      <c r="V321" s="3"/>
      <c r="W321" s="3"/>
      <c r="X321" s="3"/>
      <c r="Y321" s="3"/>
      <c r="Z321" s="3"/>
      <c r="AA321" s="3"/>
      <c r="AB321" s="3"/>
      <c r="AC321" s="3"/>
    </row>
    <row r="322">
      <c r="A322" s="3"/>
      <c r="B322" s="3"/>
      <c r="C322" s="3"/>
      <c r="D322" s="319"/>
      <c r="E322" s="3"/>
      <c r="F322" s="3"/>
      <c r="G322" s="3"/>
      <c r="H322" s="3"/>
      <c r="I322" s="3"/>
      <c r="J322" s="3"/>
      <c r="K322" s="3"/>
      <c r="L322" s="3"/>
      <c r="M322" s="3"/>
      <c r="N322" s="3"/>
      <c r="O322" s="3"/>
      <c r="P322" s="53"/>
      <c r="Q322" s="53"/>
      <c r="R322" s="618"/>
      <c r="S322" s="3"/>
      <c r="T322" s="3"/>
      <c r="U322" s="3"/>
      <c r="V322" s="3"/>
      <c r="W322" s="3"/>
      <c r="X322" s="3"/>
      <c r="Y322" s="3"/>
      <c r="Z322" s="3"/>
      <c r="AA322" s="3"/>
      <c r="AB322" s="3"/>
      <c r="AC322" s="3"/>
    </row>
    <row r="323">
      <c r="A323" s="3"/>
      <c r="B323" s="3"/>
      <c r="C323" s="3"/>
      <c r="D323" s="319"/>
      <c r="E323" s="3"/>
      <c r="F323" s="3"/>
      <c r="G323" s="3"/>
      <c r="H323" s="3"/>
      <c r="I323" s="3"/>
      <c r="J323" s="3"/>
      <c r="K323" s="3"/>
      <c r="L323" s="3"/>
      <c r="M323" s="3"/>
      <c r="N323" s="3"/>
      <c r="O323" s="3"/>
      <c r="P323" s="53"/>
      <c r="Q323" s="53"/>
      <c r="R323" s="618"/>
      <c r="S323" s="3"/>
      <c r="T323" s="3"/>
      <c r="U323" s="3"/>
      <c r="V323" s="3"/>
      <c r="W323" s="3"/>
      <c r="X323" s="3"/>
      <c r="Y323" s="3"/>
      <c r="Z323" s="3"/>
      <c r="AA323" s="3"/>
      <c r="AB323" s="3"/>
      <c r="AC323" s="3"/>
    </row>
    <row r="324">
      <c r="A324" s="3"/>
      <c r="B324" s="3"/>
      <c r="C324" s="3"/>
      <c r="D324" s="319"/>
      <c r="E324" s="3"/>
      <c r="F324" s="3"/>
      <c r="G324" s="3"/>
      <c r="H324" s="3"/>
      <c r="I324" s="3"/>
      <c r="J324" s="3"/>
      <c r="K324" s="3"/>
      <c r="L324" s="3"/>
      <c r="M324" s="3"/>
      <c r="N324" s="3"/>
      <c r="O324" s="3"/>
      <c r="P324" s="53"/>
      <c r="Q324" s="53"/>
      <c r="R324" s="618"/>
      <c r="S324" s="3"/>
      <c r="T324" s="3"/>
      <c r="U324" s="3"/>
      <c r="V324" s="3"/>
      <c r="W324" s="3"/>
      <c r="X324" s="3"/>
      <c r="Y324" s="3"/>
      <c r="Z324" s="3"/>
      <c r="AA324" s="3"/>
      <c r="AB324" s="3"/>
      <c r="AC324" s="3"/>
    </row>
    <row r="325">
      <c r="A325" s="3"/>
      <c r="B325" s="3"/>
      <c r="C325" s="3"/>
      <c r="D325" s="319"/>
      <c r="E325" s="3"/>
      <c r="F325" s="3"/>
      <c r="G325" s="3"/>
      <c r="H325" s="3"/>
      <c r="I325" s="3"/>
      <c r="J325" s="3"/>
      <c r="K325" s="3"/>
      <c r="L325" s="3"/>
      <c r="M325" s="3"/>
      <c r="N325" s="3"/>
      <c r="O325" s="3"/>
      <c r="P325" s="53"/>
      <c r="Q325" s="53"/>
      <c r="R325" s="618"/>
      <c r="S325" s="3"/>
      <c r="T325" s="3"/>
      <c r="U325" s="3"/>
      <c r="V325" s="3"/>
      <c r="W325" s="3"/>
      <c r="X325" s="3"/>
      <c r="Y325" s="3"/>
      <c r="Z325" s="3"/>
      <c r="AA325" s="3"/>
      <c r="AB325" s="3"/>
      <c r="AC325" s="3"/>
    </row>
    <row r="326">
      <c r="A326" s="3"/>
      <c r="B326" s="3"/>
      <c r="C326" s="3"/>
      <c r="D326" s="319"/>
      <c r="E326" s="3"/>
      <c r="F326" s="3"/>
      <c r="G326" s="3"/>
      <c r="H326" s="3"/>
      <c r="I326" s="3"/>
      <c r="J326" s="3"/>
      <c r="K326" s="3"/>
      <c r="L326" s="3"/>
      <c r="M326" s="3"/>
      <c r="N326" s="3"/>
      <c r="O326" s="3"/>
      <c r="P326" s="53"/>
      <c r="Q326" s="53"/>
      <c r="R326" s="618"/>
      <c r="S326" s="3"/>
      <c r="T326" s="3"/>
      <c r="U326" s="3"/>
      <c r="V326" s="3"/>
      <c r="W326" s="3"/>
      <c r="X326" s="3"/>
      <c r="Y326" s="3"/>
      <c r="Z326" s="3"/>
      <c r="AA326" s="3"/>
      <c r="AB326" s="3"/>
      <c r="AC326" s="3"/>
    </row>
    <row r="327">
      <c r="A327" s="3"/>
      <c r="B327" s="3"/>
      <c r="C327" s="3"/>
      <c r="D327" s="319"/>
      <c r="E327" s="3"/>
      <c r="F327" s="3"/>
      <c r="G327" s="3"/>
      <c r="H327" s="3"/>
      <c r="I327" s="3"/>
      <c r="J327" s="3"/>
      <c r="K327" s="3"/>
      <c r="L327" s="3"/>
      <c r="M327" s="3"/>
      <c r="N327" s="3"/>
      <c r="O327" s="3"/>
      <c r="P327" s="53"/>
      <c r="Q327" s="53"/>
      <c r="R327" s="618"/>
      <c r="S327" s="3"/>
      <c r="T327" s="3"/>
      <c r="U327" s="3"/>
      <c r="V327" s="3"/>
      <c r="W327" s="3"/>
      <c r="X327" s="3"/>
      <c r="Y327" s="3"/>
      <c r="Z327" s="3"/>
      <c r="AA327" s="3"/>
      <c r="AB327" s="3"/>
      <c r="AC327" s="3"/>
    </row>
    <row r="328">
      <c r="A328" s="3"/>
      <c r="B328" s="3"/>
      <c r="C328" s="3"/>
      <c r="D328" s="319"/>
      <c r="E328" s="3"/>
      <c r="F328" s="3"/>
      <c r="G328" s="3"/>
      <c r="H328" s="3"/>
      <c r="I328" s="3"/>
      <c r="J328" s="3"/>
      <c r="K328" s="3"/>
      <c r="L328" s="3"/>
      <c r="M328" s="3"/>
      <c r="N328" s="3"/>
      <c r="O328" s="3"/>
      <c r="P328" s="53"/>
      <c r="Q328" s="53"/>
      <c r="R328" s="618"/>
      <c r="S328" s="3"/>
      <c r="T328" s="3"/>
      <c r="U328" s="3"/>
      <c r="V328" s="3"/>
      <c r="W328" s="3"/>
      <c r="X328" s="3"/>
      <c r="Y328" s="3"/>
      <c r="Z328" s="3"/>
      <c r="AA328" s="3"/>
      <c r="AB328" s="3"/>
      <c r="AC328" s="3"/>
    </row>
    <row r="329">
      <c r="A329" s="3"/>
      <c r="B329" s="3"/>
      <c r="C329" s="3"/>
      <c r="D329" s="319"/>
      <c r="E329" s="3"/>
      <c r="F329" s="3"/>
      <c r="G329" s="3"/>
      <c r="H329" s="3"/>
      <c r="I329" s="3"/>
      <c r="J329" s="3"/>
      <c r="K329" s="3"/>
      <c r="L329" s="3"/>
      <c r="M329" s="3"/>
      <c r="N329" s="3"/>
      <c r="O329" s="3"/>
      <c r="P329" s="53"/>
      <c r="Q329" s="53"/>
      <c r="R329" s="618"/>
      <c r="S329" s="3"/>
      <c r="T329" s="3"/>
      <c r="U329" s="3"/>
      <c r="V329" s="3"/>
      <c r="W329" s="3"/>
      <c r="X329" s="3"/>
      <c r="Y329" s="3"/>
      <c r="Z329" s="3"/>
      <c r="AA329" s="3"/>
      <c r="AB329" s="3"/>
      <c r="AC329" s="3"/>
    </row>
    <row r="330">
      <c r="A330" s="3"/>
      <c r="B330" s="3"/>
      <c r="C330" s="3"/>
      <c r="D330" s="319"/>
      <c r="E330" s="3"/>
      <c r="F330" s="3"/>
      <c r="G330" s="3"/>
      <c r="H330" s="3"/>
      <c r="I330" s="3"/>
      <c r="J330" s="3"/>
      <c r="K330" s="3"/>
      <c r="L330" s="3"/>
      <c r="M330" s="3"/>
      <c r="N330" s="3"/>
      <c r="O330" s="3"/>
      <c r="P330" s="53"/>
      <c r="Q330" s="53"/>
      <c r="R330" s="618"/>
      <c r="S330" s="3"/>
      <c r="T330" s="3"/>
      <c r="U330" s="3"/>
      <c r="V330" s="3"/>
      <c r="W330" s="3"/>
      <c r="X330" s="3"/>
      <c r="Y330" s="3"/>
      <c r="Z330" s="3"/>
      <c r="AA330" s="3"/>
      <c r="AB330" s="3"/>
      <c r="AC330" s="3"/>
    </row>
    <row r="331">
      <c r="A331" s="3"/>
      <c r="B331" s="3"/>
      <c r="C331" s="3"/>
      <c r="D331" s="319"/>
      <c r="E331" s="3"/>
      <c r="F331" s="3"/>
      <c r="G331" s="3"/>
      <c r="H331" s="3"/>
      <c r="I331" s="3"/>
      <c r="J331" s="3"/>
      <c r="K331" s="3"/>
      <c r="L331" s="3"/>
      <c r="M331" s="3"/>
      <c r="N331" s="3"/>
      <c r="O331" s="3"/>
      <c r="P331" s="53"/>
      <c r="Q331" s="53"/>
      <c r="R331" s="618"/>
      <c r="S331" s="3"/>
      <c r="T331" s="3"/>
      <c r="U331" s="3"/>
      <c r="V331" s="3"/>
      <c r="W331" s="3"/>
      <c r="X331" s="3"/>
      <c r="Y331" s="3"/>
      <c r="Z331" s="3"/>
      <c r="AA331" s="3"/>
      <c r="AB331" s="3"/>
      <c r="AC331" s="3"/>
    </row>
    <row r="332">
      <c r="A332" s="3"/>
      <c r="B332" s="3"/>
      <c r="C332" s="3"/>
      <c r="D332" s="319"/>
      <c r="E332" s="3"/>
      <c r="F332" s="3"/>
      <c r="G332" s="3"/>
      <c r="H332" s="3"/>
      <c r="I332" s="3"/>
      <c r="J332" s="3"/>
      <c r="K332" s="3"/>
      <c r="L332" s="3"/>
      <c r="M332" s="3"/>
      <c r="N332" s="3"/>
      <c r="O332" s="3"/>
      <c r="P332" s="53"/>
      <c r="Q332" s="53"/>
      <c r="R332" s="618"/>
      <c r="S332" s="3"/>
      <c r="T332" s="3"/>
      <c r="U332" s="3"/>
      <c r="V332" s="3"/>
      <c r="W332" s="3"/>
      <c r="X332" s="3"/>
      <c r="Y332" s="3"/>
      <c r="Z332" s="3"/>
      <c r="AA332" s="3"/>
      <c r="AB332" s="3"/>
      <c r="AC332" s="3"/>
    </row>
    <row r="333">
      <c r="A333" s="3"/>
      <c r="B333" s="3"/>
      <c r="C333" s="3"/>
      <c r="D333" s="319"/>
      <c r="E333" s="3"/>
      <c r="F333" s="3"/>
      <c r="G333" s="3"/>
      <c r="H333" s="3"/>
      <c r="I333" s="3"/>
      <c r="J333" s="3"/>
      <c r="K333" s="3"/>
      <c r="L333" s="3"/>
      <c r="M333" s="3"/>
      <c r="N333" s="3"/>
      <c r="O333" s="3"/>
      <c r="P333" s="53"/>
      <c r="Q333" s="53"/>
      <c r="R333" s="618"/>
      <c r="S333" s="3"/>
      <c r="T333" s="3"/>
      <c r="U333" s="3"/>
      <c r="V333" s="3"/>
      <c r="W333" s="3"/>
      <c r="X333" s="3"/>
      <c r="Y333" s="3"/>
      <c r="Z333" s="3"/>
      <c r="AA333" s="3"/>
      <c r="AB333" s="3"/>
      <c r="AC333" s="3"/>
    </row>
    <row r="334">
      <c r="A334" s="3"/>
      <c r="B334" s="3"/>
      <c r="C334" s="3"/>
      <c r="D334" s="319"/>
      <c r="E334" s="3"/>
      <c r="F334" s="3"/>
      <c r="G334" s="3"/>
      <c r="H334" s="3"/>
      <c r="I334" s="3"/>
      <c r="J334" s="3"/>
      <c r="K334" s="3"/>
      <c r="L334" s="3"/>
      <c r="M334" s="3"/>
      <c r="N334" s="3"/>
      <c r="O334" s="3"/>
      <c r="P334" s="53"/>
      <c r="Q334" s="53"/>
      <c r="R334" s="618"/>
      <c r="S334" s="3"/>
      <c r="T334" s="3"/>
      <c r="U334" s="3"/>
      <c r="V334" s="3"/>
      <c r="W334" s="3"/>
      <c r="X334" s="3"/>
      <c r="Y334" s="3"/>
      <c r="Z334" s="3"/>
      <c r="AA334" s="3"/>
      <c r="AB334" s="3"/>
      <c r="AC334" s="3"/>
    </row>
    <row r="335">
      <c r="A335" s="3"/>
      <c r="B335" s="3"/>
      <c r="C335" s="3"/>
      <c r="D335" s="319"/>
      <c r="E335" s="3"/>
      <c r="F335" s="3"/>
      <c r="G335" s="3"/>
      <c r="H335" s="3"/>
      <c r="I335" s="3"/>
      <c r="J335" s="3"/>
      <c r="K335" s="3"/>
      <c r="L335" s="3"/>
      <c r="M335" s="3"/>
      <c r="N335" s="3"/>
      <c r="O335" s="3"/>
      <c r="P335" s="53"/>
      <c r="Q335" s="53"/>
      <c r="R335" s="618"/>
      <c r="S335" s="3"/>
      <c r="T335" s="3"/>
      <c r="U335" s="3"/>
      <c r="V335" s="3"/>
      <c r="W335" s="3"/>
      <c r="X335" s="3"/>
      <c r="Y335" s="3"/>
      <c r="Z335" s="3"/>
      <c r="AA335" s="3"/>
      <c r="AB335" s="3"/>
      <c r="AC335" s="3"/>
    </row>
    <row r="336">
      <c r="A336" s="3"/>
      <c r="B336" s="3"/>
      <c r="C336" s="3"/>
      <c r="D336" s="319"/>
      <c r="E336" s="3"/>
      <c r="F336" s="3"/>
      <c r="G336" s="3"/>
      <c r="H336" s="3"/>
      <c r="I336" s="3"/>
      <c r="J336" s="3"/>
      <c r="K336" s="3"/>
      <c r="L336" s="3"/>
      <c r="M336" s="3"/>
      <c r="N336" s="3"/>
      <c r="O336" s="3"/>
      <c r="P336" s="53"/>
      <c r="Q336" s="53"/>
      <c r="R336" s="618"/>
      <c r="S336" s="3"/>
      <c r="T336" s="3"/>
      <c r="U336" s="3"/>
      <c r="V336" s="3"/>
      <c r="W336" s="3"/>
      <c r="X336" s="3"/>
      <c r="Y336" s="3"/>
      <c r="Z336" s="3"/>
      <c r="AA336" s="3"/>
      <c r="AB336" s="3"/>
      <c r="AC336" s="3"/>
    </row>
    <row r="337">
      <c r="A337" s="3"/>
      <c r="B337" s="3"/>
      <c r="C337" s="3"/>
      <c r="D337" s="319"/>
      <c r="E337" s="3"/>
      <c r="F337" s="3"/>
      <c r="G337" s="3"/>
      <c r="H337" s="3"/>
      <c r="I337" s="3"/>
      <c r="J337" s="3"/>
      <c r="K337" s="3"/>
      <c r="L337" s="3"/>
      <c r="M337" s="3"/>
      <c r="N337" s="3"/>
      <c r="O337" s="3"/>
      <c r="P337" s="53"/>
      <c r="Q337" s="53"/>
      <c r="R337" s="618"/>
      <c r="S337" s="3"/>
      <c r="T337" s="3"/>
      <c r="U337" s="3"/>
      <c r="V337" s="3"/>
      <c r="W337" s="3"/>
      <c r="X337" s="3"/>
      <c r="Y337" s="3"/>
      <c r="Z337" s="3"/>
      <c r="AA337" s="3"/>
      <c r="AB337" s="3"/>
      <c r="AC337" s="3"/>
    </row>
    <row r="338">
      <c r="A338" s="3"/>
      <c r="B338" s="3"/>
      <c r="C338" s="3"/>
      <c r="D338" s="319"/>
      <c r="E338" s="3"/>
      <c r="F338" s="3"/>
      <c r="G338" s="3"/>
      <c r="H338" s="3"/>
      <c r="I338" s="3"/>
      <c r="J338" s="3"/>
      <c r="K338" s="3"/>
      <c r="L338" s="3"/>
      <c r="M338" s="3"/>
      <c r="N338" s="3"/>
      <c r="O338" s="3"/>
      <c r="P338" s="53"/>
      <c r="Q338" s="53"/>
      <c r="R338" s="618"/>
      <c r="S338" s="3"/>
      <c r="T338" s="3"/>
      <c r="U338" s="3"/>
      <c r="V338" s="3"/>
      <c r="W338" s="3"/>
      <c r="X338" s="3"/>
      <c r="Y338" s="3"/>
      <c r="Z338" s="3"/>
      <c r="AA338" s="3"/>
      <c r="AB338" s="3"/>
      <c r="AC338" s="3"/>
    </row>
    <row r="339">
      <c r="A339" s="3"/>
      <c r="B339" s="3"/>
      <c r="C339" s="3"/>
      <c r="D339" s="319"/>
      <c r="E339" s="3"/>
      <c r="F339" s="3"/>
      <c r="G339" s="3"/>
      <c r="H339" s="3"/>
      <c r="I339" s="3"/>
      <c r="J339" s="3"/>
      <c r="K339" s="3"/>
      <c r="L339" s="3"/>
      <c r="M339" s="3"/>
      <c r="N339" s="3"/>
      <c r="O339" s="3"/>
      <c r="P339" s="53"/>
      <c r="Q339" s="53"/>
      <c r="R339" s="618"/>
      <c r="S339" s="3"/>
      <c r="T339" s="3"/>
      <c r="U339" s="3"/>
      <c r="V339" s="3"/>
      <c r="W339" s="3"/>
      <c r="X339" s="3"/>
      <c r="Y339" s="3"/>
      <c r="Z339" s="3"/>
      <c r="AA339" s="3"/>
      <c r="AB339" s="3"/>
      <c r="AC339" s="3"/>
    </row>
    <row r="340">
      <c r="A340" s="3"/>
      <c r="B340" s="3"/>
      <c r="C340" s="3"/>
      <c r="D340" s="319"/>
      <c r="E340" s="3"/>
      <c r="F340" s="3"/>
      <c r="G340" s="3"/>
      <c r="H340" s="3"/>
      <c r="I340" s="3"/>
      <c r="J340" s="3"/>
      <c r="K340" s="3"/>
      <c r="L340" s="3"/>
      <c r="M340" s="3"/>
      <c r="N340" s="3"/>
      <c r="O340" s="3"/>
      <c r="P340" s="53"/>
      <c r="Q340" s="53"/>
      <c r="R340" s="618"/>
      <c r="S340" s="3"/>
      <c r="T340" s="3"/>
      <c r="U340" s="3"/>
      <c r="V340" s="3"/>
      <c r="W340" s="3"/>
      <c r="X340" s="3"/>
      <c r="Y340" s="3"/>
      <c r="Z340" s="3"/>
      <c r="AA340" s="3"/>
      <c r="AB340" s="3"/>
      <c r="AC340" s="3"/>
    </row>
    <row r="341">
      <c r="A341" s="3"/>
      <c r="B341" s="3"/>
      <c r="C341" s="3"/>
      <c r="D341" s="319"/>
      <c r="E341" s="3"/>
      <c r="F341" s="3"/>
      <c r="G341" s="3"/>
      <c r="H341" s="3"/>
      <c r="I341" s="3"/>
      <c r="J341" s="3"/>
      <c r="K341" s="3"/>
      <c r="L341" s="3"/>
      <c r="M341" s="3"/>
      <c r="N341" s="3"/>
      <c r="O341" s="3"/>
      <c r="P341" s="53"/>
      <c r="Q341" s="53"/>
      <c r="R341" s="618"/>
      <c r="S341" s="3"/>
      <c r="T341" s="3"/>
      <c r="U341" s="3"/>
      <c r="V341" s="3"/>
      <c r="W341" s="3"/>
      <c r="X341" s="3"/>
      <c r="Y341" s="3"/>
      <c r="Z341" s="3"/>
      <c r="AA341" s="3"/>
      <c r="AB341" s="3"/>
      <c r="AC341" s="3"/>
    </row>
    <row r="342">
      <c r="A342" s="3"/>
      <c r="B342" s="3"/>
      <c r="C342" s="3"/>
      <c r="D342" s="319"/>
      <c r="E342" s="3"/>
      <c r="F342" s="3"/>
      <c r="G342" s="3"/>
      <c r="H342" s="3"/>
      <c r="I342" s="3"/>
      <c r="J342" s="3"/>
      <c r="K342" s="3"/>
      <c r="L342" s="3"/>
      <c r="M342" s="3"/>
      <c r="N342" s="3"/>
      <c r="O342" s="3"/>
      <c r="P342" s="53"/>
      <c r="Q342" s="53"/>
      <c r="R342" s="618"/>
      <c r="S342" s="3"/>
      <c r="T342" s="3"/>
      <c r="U342" s="3"/>
      <c r="V342" s="3"/>
      <c r="W342" s="3"/>
      <c r="X342" s="3"/>
      <c r="Y342" s="3"/>
      <c r="Z342" s="3"/>
      <c r="AA342" s="3"/>
      <c r="AB342" s="3"/>
      <c r="AC342" s="3"/>
    </row>
    <row r="343">
      <c r="A343" s="3"/>
      <c r="B343" s="3"/>
      <c r="C343" s="3"/>
      <c r="D343" s="319"/>
      <c r="E343" s="3"/>
      <c r="F343" s="3"/>
      <c r="G343" s="3"/>
      <c r="H343" s="3"/>
      <c r="I343" s="3"/>
      <c r="J343" s="3"/>
      <c r="K343" s="3"/>
      <c r="L343" s="3"/>
      <c r="M343" s="3"/>
      <c r="N343" s="3"/>
      <c r="O343" s="3"/>
      <c r="P343" s="53"/>
      <c r="Q343" s="53"/>
      <c r="R343" s="618"/>
      <c r="S343" s="3"/>
      <c r="T343" s="3"/>
      <c r="U343" s="3"/>
      <c r="V343" s="3"/>
      <c r="W343" s="3"/>
      <c r="X343" s="3"/>
      <c r="Y343" s="3"/>
      <c r="Z343" s="3"/>
      <c r="AA343" s="3"/>
      <c r="AB343" s="3"/>
      <c r="AC343" s="3"/>
    </row>
    <row r="344">
      <c r="A344" s="3"/>
      <c r="B344" s="3"/>
      <c r="C344" s="3"/>
      <c r="D344" s="319"/>
      <c r="E344" s="3"/>
      <c r="F344" s="3"/>
      <c r="G344" s="3"/>
      <c r="H344" s="3"/>
      <c r="I344" s="3"/>
      <c r="J344" s="3"/>
      <c r="K344" s="3"/>
      <c r="L344" s="3"/>
      <c r="M344" s="3"/>
      <c r="N344" s="3"/>
      <c r="O344" s="3"/>
      <c r="P344" s="53"/>
      <c r="Q344" s="53"/>
      <c r="R344" s="618"/>
      <c r="S344" s="3"/>
      <c r="T344" s="3"/>
      <c r="U344" s="3"/>
      <c r="V344" s="3"/>
      <c r="W344" s="3"/>
      <c r="X344" s="3"/>
      <c r="Y344" s="3"/>
      <c r="Z344" s="3"/>
      <c r="AA344" s="3"/>
      <c r="AB344" s="3"/>
      <c r="AC344" s="3"/>
    </row>
    <row r="345">
      <c r="A345" s="3"/>
      <c r="B345" s="3"/>
      <c r="C345" s="3"/>
      <c r="D345" s="319"/>
      <c r="E345" s="3"/>
      <c r="F345" s="3"/>
      <c r="G345" s="3"/>
      <c r="H345" s="3"/>
      <c r="I345" s="3"/>
      <c r="J345" s="3"/>
      <c r="K345" s="3"/>
      <c r="L345" s="3"/>
      <c r="M345" s="3"/>
      <c r="N345" s="3"/>
      <c r="O345" s="3"/>
      <c r="P345" s="53"/>
      <c r="Q345" s="53"/>
      <c r="R345" s="618"/>
      <c r="S345" s="3"/>
      <c r="T345" s="3"/>
      <c r="U345" s="3"/>
      <c r="V345" s="3"/>
      <c r="W345" s="3"/>
      <c r="X345" s="3"/>
      <c r="Y345" s="3"/>
      <c r="Z345" s="3"/>
      <c r="AA345" s="3"/>
      <c r="AB345" s="3"/>
      <c r="AC345" s="3"/>
    </row>
    <row r="346">
      <c r="A346" s="3"/>
      <c r="B346" s="3"/>
      <c r="C346" s="3"/>
      <c r="D346" s="319"/>
      <c r="E346" s="3"/>
      <c r="F346" s="3"/>
      <c r="G346" s="3"/>
      <c r="H346" s="3"/>
      <c r="I346" s="3"/>
      <c r="J346" s="3"/>
      <c r="K346" s="3"/>
      <c r="L346" s="3"/>
      <c r="M346" s="3"/>
      <c r="N346" s="3"/>
      <c r="O346" s="3"/>
      <c r="P346" s="53"/>
      <c r="Q346" s="53"/>
      <c r="R346" s="618"/>
      <c r="S346" s="3"/>
      <c r="T346" s="3"/>
      <c r="U346" s="3"/>
      <c r="V346" s="3"/>
      <c r="W346" s="3"/>
      <c r="X346" s="3"/>
      <c r="Y346" s="3"/>
      <c r="Z346" s="3"/>
      <c r="AA346" s="3"/>
      <c r="AB346" s="3"/>
      <c r="AC346" s="3"/>
    </row>
    <row r="347">
      <c r="A347" s="3"/>
      <c r="B347" s="3"/>
      <c r="C347" s="3"/>
      <c r="D347" s="319"/>
      <c r="E347" s="3"/>
      <c r="F347" s="3"/>
      <c r="G347" s="3"/>
      <c r="H347" s="3"/>
      <c r="I347" s="3"/>
      <c r="J347" s="3"/>
      <c r="K347" s="3"/>
      <c r="L347" s="3"/>
      <c r="M347" s="3"/>
      <c r="N347" s="3"/>
      <c r="O347" s="3"/>
      <c r="P347" s="53"/>
      <c r="Q347" s="53"/>
      <c r="R347" s="618"/>
      <c r="S347" s="3"/>
      <c r="T347" s="3"/>
      <c r="U347" s="3"/>
      <c r="V347" s="3"/>
      <c r="W347" s="3"/>
      <c r="X347" s="3"/>
      <c r="Y347" s="3"/>
      <c r="Z347" s="3"/>
      <c r="AA347" s="3"/>
      <c r="AB347" s="3"/>
      <c r="AC347" s="3"/>
    </row>
    <row r="348">
      <c r="A348" s="3"/>
      <c r="B348" s="3"/>
      <c r="C348" s="3"/>
      <c r="D348" s="319"/>
      <c r="E348" s="3"/>
      <c r="F348" s="3"/>
      <c r="G348" s="3"/>
      <c r="H348" s="3"/>
      <c r="I348" s="3"/>
      <c r="J348" s="3"/>
      <c r="K348" s="3"/>
      <c r="L348" s="3"/>
      <c r="M348" s="3"/>
      <c r="N348" s="3"/>
      <c r="O348" s="3"/>
      <c r="P348" s="53"/>
      <c r="Q348" s="53"/>
      <c r="R348" s="618"/>
      <c r="S348" s="3"/>
      <c r="T348" s="3"/>
      <c r="U348" s="3"/>
      <c r="V348" s="3"/>
      <c r="W348" s="3"/>
      <c r="X348" s="3"/>
      <c r="Y348" s="3"/>
      <c r="Z348" s="3"/>
      <c r="AA348" s="3"/>
      <c r="AB348" s="3"/>
      <c r="AC348" s="3"/>
    </row>
    <row r="349">
      <c r="A349" s="3"/>
      <c r="B349" s="3"/>
      <c r="C349" s="3"/>
      <c r="D349" s="319"/>
      <c r="E349" s="3"/>
      <c r="F349" s="3"/>
      <c r="G349" s="3"/>
      <c r="H349" s="3"/>
      <c r="I349" s="3"/>
      <c r="J349" s="3"/>
      <c r="K349" s="3"/>
      <c r="L349" s="3"/>
      <c r="M349" s="3"/>
      <c r="N349" s="3"/>
      <c r="O349" s="3"/>
      <c r="P349" s="53"/>
      <c r="Q349" s="53"/>
      <c r="R349" s="618"/>
      <c r="S349" s="3"/>
      <c r="T349" s="3"/>
      <c r="U349" s="3"/>
      <c r="V349" s="3"/>
      <c r="W349" s="3"/>
      <c r="X349" s="3"/>
      <c r="Y349" s="3"/>
      <c r="Z349" s="3"/>
      <c r="AA349" s="3"/>
      <c r="AB349" s="3"/>
      <c r="AC349" s="3"/>
    </row>
    <row r="350">
      <c r="A350" s="3"/>
      <c r="B350" s="3"/>
      <c r="C350" s="3"/>
      <c r="D350" s="319"/>
      <c r="E350" s="3"/>
      <c r="F350" s="3"/>
      <c r="G350" s="3"/>
      <c r="H350" s="3"/>
      <c r="I350" s="3"/>
      <c r="J350" s="3"/>
      <c r="K350" s="3"/>
      <c r="L350" s="3"/>
      <c r="M350" s="3"/>
      <c r="N350" s="3"/>
      <c r="O350" s="3"/>
      <c r="P350" s="53"/>
      <c r="Q350" s="53"/>
      <c r="R350" s="618"/>
      <c r="S350" s="3"/>
      <c r="T350" s="3"/>
      <c r="U350" s="3"/>
      <c r="V350" s="3"/>
      <c r="W350" s="3"/>
      <c r="X350" s="3"/>
      <c r="Y350" s="3"/>
      <c r="Z350" s="3"/>
      <c r="AA350" s="3"/>
      <c r="AB350" s="3"/>
      <c r="AC350" s="3"/>
    </row>
    <row r="351">
      <c r="A351" s="3"/>
      <c r="B351" s="3"/>
      <c r="C351" s="3"/>
      <c r="D351" s="319"/>
      <c r="E351" s="3"/>
      <c r="F351" s="3"/>
      <c r="G351" s="3"/>
      <c r="H351" s="3"/>
      <c r="I351" s="3"/>
      <c r="J351" s="3"/>
      <c r="K351" s="3"/>
      <c r="L351" s="3"/>
      <c r="M351" s="3"/>
      <c r="N351" s="3"/>
      <c r="O351" s="3"/>
      <c r="P351" s="53"/>
      <c r="Q351" s="53"/>
      <c r="R351" s="618"/>
      <c r="S351" s="3"/>
      <c r="T351" s="3"/>
      <c r="U351" s="3"/>
      <c r="V351" s="3"/>
      <c r="W351" s="3"/>
      <c r="X351" s="3"/>
      <c r="Y351" s="3"/>
      <c r="Z351" s="3"/>
      <c r="AA351" s="3"/>
      <c r="AB351" s="3"/>
      <c r="AC351" s="3"/>
    </row>
    <row r="352">
      <c r="A352" s="3"/>
      <c r="B352" s="3"/>
      <c r="C352" s="3"/>
      <c r="D352" s="319"/>
      <c r="E352" s="3"/>
      <c r="F352" s="3"/>
      <c r="G352" s="3"/>
      <c r="H352" s="3"/>
      <c r="I352" s="3"/>
      <c r="J352" s="3"/>
      <c r="K352" s="3"/>
      <c r="L352" s="3"/>
      <c r="M352" s="3"/>
      <c r="N352" s="3"/>
      <c r="O352" s="3"/>
      <c r="P352" s="53"/>
      <c r="Q352" s="53"/>
      <c r="R352" s="618"/>
      <c r="S352" s="3"/>
      <c r="T352" s="3"/>
      <c r="U352" s="3"/>
      <c r="V352" s="3"/>
      <c r="W352" s="3"/>
      <c r="X352" s="3"/>
      <c r="Y352" s="3"/>
      <c r="Z352" s="3"/>
      <c r="AA352" s="3"/>
      <c r="AB352" s="3"/>
      <c r="AC352" s="3"/>
    </row>
    <row r="353">
      <c r="A353" s="3"/>
      <c r="B353" s="3"/>
      <c r="C353" s="3"/>
      <c r="D353" s="319"/>
      <c r="E353" s="3"/>
      <c r="F353" s="3"/>
      <c r="G353" s="3"/>
      <c r="H353" s="3"/>
      <c r="I353" s="3"/>
      <c r="J353" s="3"/>
      <c r="K353" s="3"/>
      <c r="L353" s="3"/>
      <c r="M353" s="3"/>
      <c r="N353" s="3"/>
      <c r="O353" s="3"/>
      <c r="P353" s="53"/>
      <c r="Q353" s="53"/>
      <c r="R353" s="618"/>
      <c r="S353" s="3"/>
      <c r="T353" s="3"/>
      <c r="U353" s="3"/>
      <c r="V353" s="3"/>
      <c r="W353" s="3"/>
      <c r="X353" s="3"/>
      <c r="Y353" s="3"/>
      <c r="Z353" s="3"/>
      <c r="AA353" s="3"/>
      <c r="AB353" s="3"/>
      <c r="AC353" s="3"/>
    </row>
    <row r="354">
      <c r="A354" s="3"/>
      <c r="B354" s="3"/>
      <c r="C354" s="3"/>
      <c r="D354" s="319"/>
      <c r="E354" s="3"/>
      <c r="F354" s="3"/>
      <c r="G354" s="3"/>
      <c r="H354" s="3"/>
      <c r="I354" s="3"/>
      <c r="J354" s="3"/>
      <c r="K354" s="3"/>
      <c r="L354" s="3"/>
      <c r="M354" s="3"/>
      <c r="N354" s="3"/>
      <c r="O354" s="3"/>
      <c r="P354" s="53"/>
      <c r="Q354" s="53"/>
      <c r="R354" s="618"/>
      <c r="S354" s="3"/>
      <c r="T354" s="3"/>
      <c r="U354" s="3"/>
      <c r="V354" s="3"/>
      <c r="W354" s="3"/>
      <c r="X354" s="3"/>
      <c r="Y354" s="3"/>
      <c r="Z354" s="3"/>
      <c r="AA354" s="3"/>
      <c r="AB354" s="3"/>
      <c r="AC354" s="3"/>
    </row>
    <row r="355">
      <c r="A355" s="3"/>
      <c r="B355" s="3"/>
      <c r="C355" s="3"/>
      <c r="D355" s="319"/>
      <c r="E355" s="3"/>
      <c r="F355" s="3"/>
      <c r="G355" s="3"/>
      <c r="H355" s="3"/>
      <c r="I355" s="3"/>
      <c r="J355" s="3"/>
      <c r="K355" s="3"/>
      <c r="L355" s="3"/>
      <c r="M355" s="3"/>
      <c r="N355" s="3"/>
      <c r="O355" s="3"/>
      <c r="P355" s="53"/>
      <c r="Q355" s="53"/>
      <c r="R355" s="618"/>
      <c r="S355" s="3"/>
      <c r="T355" s="3"/>
      <c r="U355" s="3"/>
      <c r="V355" s="3"/>
      <c r="W355" s="3"/>
      <c r="X355" s="3"/>
      <c r="Y355" s="3"/>
      <c r="Z355" s="3"/>
      <c r="AA355" s="3"/>
      <c r="AB355" s="3"/>
      <c r="AC355" s="3"/>
    </row>
    <row r="356">
      <c r="A356" s="3"/>
      <c r="B356" s="3"/>
      <c r="C356" s="3"/>
      <c r="D356" s="319"/>
      <c r="E356" s="3"/>
      <c r="F356" s="3"/>
      <c r="G356" s="3"/>
      <c r="H356" s="3"/>
      <c r="I356" s="3"/>
      <c r="J356" s="3"/>
      <c r="K356" s="3"/>
      <c r="L356" s="3"/>
      <c r="M356" s="3"/>
      <c r="N356" s="3"/>
      <c r="O356" s="3"/>
      <c r="P356" s="53"/>
      <c r="Q356" s="53"/>
      <c r="R356" s="618"/>
      <c r="S356" s="3"/>
      <c r="T356" s="3"/>
      <c r="U356" s="3"/>
      <c r="V356" s="3"/>
      <c r="W356" s="3"/>
      <c r="X356" s="3"/>
      <c r="Y356" s="3"/>
      <c r="Z356" s="3"/>
      <c r="AA356" s="3"/>
      <c r="AB356" s="3"/>
      <c r="AC356" s="3"/>
    </row>
    <row r="357">
      <c r="A357" s="3"/>
      <c r="B357" s="3"/>
      <c r="C357" s="3"/>
      <c r="D357" s="319"/>
      <c r="E357" s="3"/>
      <c r="F357" s="3"/>
      <c r="G357" s="3"/>
      <c r="H357" s="3"/>
      <c r="I357" s="3"/>
      <c r="J357" s="3"/>
      <c r="K357" s="3"/>
      <c r="L357" s="3"/>
      <c r="M357" s="3"/>
      <c r="N357" s="3"/>
      <c r="O357" s="3"/>
      <c r="P357" s="53"/>
      <c r="Q357" s="53"/>
      <c r="R357" s="618"/>
      <c r="S357" s="3"/>
      <c r="T357" s="3"/>
      <c r="U357" s="3"/>
      <c r="V357" s="3"/>
      <c r="W357" s="3"/>
      <c r="X357" s="3"/>
      <c r="Y357" s="3"/>
      <c r="Z357" s="3"/>
      <c r="AA357" s="3"/>
      <c r="AB357" s="3"/>
      <c r="AC357" s="3"/>
    </row>
    <row r="358">
      <c r="A358" s="3"/>
      <c r="B358" s="3"/>
      <c r="C358" s="3"/>
      <c r="D358" s="319"/>
      <c r="E358" s="3"/>
      <c r="F358" s="3"/>
      <c r="G358" s="3"/>
      <c r="H358" s="3"/>
      <c r="I358" s="3"/>
      <c r="J358" s="3"/>
      <c r="K358" s="3"/>
      <c r="L358" s="3"/>
      <c r="M358" s="3"/>
      <c r="N358" s="3"/>
      <c r="O358" s="3"/>
      <c r="P358" s="53"/>
      <c r="Q358" s="53"/>
      <c r="R358" s="618"/>
      <c r="S358" s="3"/>
      <c r="T358" s="3"/>
      <c r="U358" s="3"/>
      <c r="V358" s="3"/>
      <c r="W358" s="3"/>
      <c r="X358" s="3"/>
      <c r="Y358" s="3"/>
      <c r="Z358" s="3"/>
      <c r="AA358" s="3"/>
      <c r="AB358" s="3"/>
      <c r="AC358" s="3"/>
    </row>
    <row r="359">
      <c r="A359" s="3"/>
      <c r="B359" s="3"/>
      <c r="C359" s="3"/>
      <c r="D359" s="319"/>
      <c r="E359" s="3"/>
      <c r="F359" s="3"/>
      <c r="G359" s="3"/>
      <c r="H359" s="3"/>
      <c r="I359" s="3"/>
      <c r="J359" s="3"/>
      <c r="K359" s="3"/>
      <c r="L359" s="3"/>
      <c r="M359" s="3"/>
      <c r="N359" s="3"/>
      <c r="O359" s="3"/>
      <c r="P359" s="53"/>
      <c r="Q359" s="53"/>
      <c r="R359" s="618"/>
      <c r="S359" s="3"/>
      <c r="T359" s="3"/>
      <c r="U359" s="3"/>
      <c r="V359" s="3"/>
      <c r="W359" s="3"/>
      <c r="X359" s="3"/>
      <c r="Y359" s="3"/>
      <c r="Z359" s="3"/>
      <c r="AA359" s="3"/>
      <c r="AB359" s="3"/>
      <c r="AC359" s="3"/>
    </row>
    <row r="360">
      <c r="A360" s="3"/>
      <c r="B360" s="3"/>
      <c r="C360" s="3"/>
      <c r="D360" s="319"/>
      <c r="E360" s="3"/>
      <c r="F360" s="3"/>
      <c r="G360" s="3"/>
      <c r="H360" s="3"/>
      <c r="I360" s="3"/>
      <c r="J360" s="3"/>
      <c r="K360" s="3"/>
      <c r="L360" s="3"/>
      <c r="M360" s="3"/>
      <c r="N360" s="3"/>
      <c r="O360" s="3"/>
      <c r="P360" s="53"/>
      <c r="Q360" s="53"/>
      <c r="R360" s="618"/>
      <c r="S360" s="3"/>
      <c r="T360" s="3"/>
      <c r="U360" s="3"/>
      <c r="V360" s="3"/>
      <c r="W360" s="3"/>
      <c r="X360" s="3"/>
      <c r="Y360" s="3"/>
      <c r="Z360" s="3"/>
      <c r="AA360" s="3"/>
      <c r="AB360" s="3"/>
      <c r="AC360" s="3"/>
    </row>
    <row r="361">
      <c r="A361" s="3"/>
      <c r="B361" s="3"/>
      <c r="C361" s="3"/>
      <c r="D361" s="319"/>
      <c r="E361" s="3"/>
      <c r="F361" s="3"/>
      <c r="G361" s="3"/>
      <c r="H361" s="3"/>
      <c r="I361" s="3"/>
      <c r="J361" s="3"/>
      <c r="K361" s="3"/>
      <c r="L361" s="3"/>
      <c r="M361" s="3"/>
      <c r="N361" s="3"/>
      <c r="O361" s="3"/>
      <c r="P361" s="53"/>
      <c r="Q361" s="53"/>
      <c r="R361" s="618"/>
      <c r="S361" s="3"/>
      <c r="T361" s="3"/>
      <c r="U361" s="3"/>
      <c r="V361" s="3"/>
      <c r="W361" s="3"/>
      <c r="X361" s="3"/>
      <c r="Y361" s="3"/>
      <c r="Z361" s="3"/>
      <c r="AA361" s="3"/>
      <c r="AB361" s="3"/>
      <c r="AC361" s="3"/>
    </row>
    <row r="362">
      <c r="A362" s="3"/>
      <c r="B362" s="3"/>
      <c r="C362" s="3"/>
      <c r="D362" s="319"/>
      <c r="E362" s="3"/>
      <c r="F362" s="3"/>
      <c r="G362" s="3"/>
      <c r="H362" s="3"/>
      <c r="I362" s="3"/>
      <c r="J362" s="3"/>
      <c r="K362" s="3"/>
      <c r="L362" s="3"/>
      <c r="M362" s="3"/>
      <c r="N362" s="3"/>
      <c r="O362" s="3"/>
      <c r="P362" s="53"/>
      <c r="Q362" s="53"/>
      <c r="R362" s="618"/>
      <c r="S362" s="3"/>
      <c r="T362" s="3"/>
      <c r="U362" s="3"/>
      <c r="V362" s="3"/>
      <c r="W362" s="3"/>
      <c r="X362" s="3"/>
      <c r="Y362" s="3"/>
      <c r="Z362" s="3"/>
      <c r="AA362" s="3"/>
      <c r="AB362" s="3"/>
      <c r="AC362" s="3"/>
    </row>
    <row r="363">
      <c r="A363" s="3"/>
      <c r="B363" s="3"/>
      <c r="C363" s="3"/>
      <c r="D363" s="319"/>
      <c r="E363" s="3"/>
      <c r="F363" s="3"/>
      <c r="G363" s="3"/>
      <c r="H363" s="3"/>
      <c r="I363" s="3"/>
      <c r="J363" s="3"/>
      <c r="K363" s="3"/>
      <c r="L363" s="3"/>
      <c r="M363" s="3"/>
      <c r="N363" s="3"/>
      <c r="O363" s="3"/>
      <c r="P363" s="53"/>
      <c r="Q363" s="53"/>
      <c r="R363" s="618"/>
      <c r="S363" s="3"/>
      <c r="T363" s="3"/>
      <c r="U363" s="3"/>
      <c r="V363" s="3"/>
      <c r="W363" s="3"/>
      <c r="X363" s="3"/>
      <c r="Y363" s="3"/>
      <c r="Z363" s="3"/>
      <c r="AA363" s="3"/>
      <c r="AB363" s="3"/>
      <c r="AC363" s="3"/>
    </row>
    <row r="364">
      <c r="A364" s="3"/>
      <c r="B364" s="3"/>
      <c r="C364" s="3"/>
      <c r="D364" s="319"/>
      <c r="E364" s="3"/>
      <c r="F364" s="3"/>
      <c r="G364" s="3"/>
      <c r="H364" s="3"/>
      <c r="I364" s="3"/>
      <c r="J364" s="3"/>
      <c r="K364" s="3"/>
      <c r="L364" s="3"/>
      <c r="M364" s="3"/>
      <c r="N364" s="3"/>
      <c r="O364" s="3"/>
      <c r="P364" s="53"/>
      <c r="Q364" s="53"/>
      <c r="R364" s="618"/>
      <c r="S364" s="3"/>
      <c r="T364" s="3"/>
      <c r="U364" s="3"/>
      <c r="V364" s="3"/>
      <c r="W364" s="3"/>
      <c r="X364" s="3"/>
      <c r="Y364" s="3"/>
      <c r="Z364" s="3"/>
      <c r="AA364" s="3"/>
      <c r="AB364" s="3"/>
      <c r="AC364" s="3"/>
    </row>
    <row r="365">
      <c r="A365" s="3"/>
      <c r="B365" s="3"/>
      <c r="C365" s="3"/>
      <c r="D365" s="319"/>
      <c r="E365" s="3"/>
      <c r="F365" s="3"/>
      <c r="G365" s="3"/>
      <c r="H365" s="3"/>
      <c r="I365" s="3"/>
      <c r="J365" s="3"/>
      <c r="K365" s="3"/>
      <c r="L365" s="3"/>
      <c r="M365" s="3"/>
      <c r="N365" s="3"/>
      <c r="O365" s="3"/>
      <c r="P365" s="53"/>
      <c r="Q365" s="53"/>
      <c r="R365" s="618"/>
      <c r="S365" s="3"/>
      <c r="T365" s="3"/>
      <c r="U365" s="3"/>
      <c r="V365" s="3"/>
      <c r="W365" s="3"/>
      <c r="X365" s="3"/>
      <c r="Y365" s="3"/>
      <c r="Z365" s="3"/>
      <c r="AA365" s="3"/>
      <c r="AB365" s="3"/>
      <c r="AC365" s="3"/>
    </row>
    <row r="366">
      <c r="A366" s="3"/>
      <c r="B366" s="3"/>
      <c r="C366" s="3"/>
      <c r="D366" s="319"/>
      <c r="E366" s="3"/>
      <c r="F366" s="3"/>
      <c r="G366" s="3"/>
      <c r="H366" s="3"/>
      <c r="I366" s="3"/>
      <c r="J366" s="3"/>
      <c r="K366" s="3"/>
      <c r="L366" s="3"/>
      <c r="M366" s="3"/>
      <c r="N366" s="3"/>
      <c r="O366" s="3"/>
      <c r="P366" s="53"/>
      <c r="Q366" s="53"/>
      <c r="R366" s="618"/>
      <c r="S366" s="3"/>
      <c r="T366" s="3"/>
      <c r="U366" s="3"/>
      <c r="V366" s="3"/>
      <c r="W366" s="3"/>
      <c r="X366" s="3"/>
      <c r="Y366" s="3"/>
      <c r="Z366" s="3"/>
      <c r="AA366" s="3"/>
      <c r="AB366" s="3"/>
      <c r="AC366" s="3"/>
    </row>
    <row r="367">
      <c r="A367" s="3"/>
      <c r="B367" s="3"/>
      <c r="C367" s="3"/>
      <c r="D367" s="319"/>
      <c r="E367" s="3"/>
      <c r="F367" s="3"/>
      <c r="G367" s="3"/>
      <c r="H367" s="3"/>
      <c r="I367" s="3"/>
      <c r="J367" s="3"/>
      <c r="K367" s="3"/>
      <c r="L367" s="3"/>
      <c r="M367" s="3"/>
      <c r="N367" s="3"/>
      <c r="O367" s="3"/>
      <c r="P367" s="53"/>
      <c r="Q367" s="53"/>
      <c r="R367" s="618"/>
      <c r="S367" s="3"/>
      <c r="T367" s="3"/>
      <c r="U367" s="3"/>
      <c r="V367" s="3"/>
      <c r="W367" s="3"/>
      <c r="X367" s="3"/>
      <c r="Y367" s="3"/>
      <c r="Z367" s="3"/>
      <c r="AA367" s="3"/>
      <c r="AB367" s="3"/>
      <c r="AC367" s="3"/>
    </row>
    <row r="368">
      <c r="A368" s="3"/>
      <c r="B368" s="3"/>
      <c r="C368" s="3"/>
      <c r="D368" s="319"/>
      <c r="E368" s="3"/>
      <c r="F368" s="3"/>
      <c r="G368" s="3"/>
      <c r="H368" s="3"/>
      <c r="I368" s="3"/>
      <c r="J368" s="3"/>
      <c r="K368" s="3"/>
      <c r="L368" s="3"/>
      <c r="M368" s="3"/>
      <c r="N368" s="3"/>
      <c r="O368" s="3"/>
      <c r="P368" s="53"/>
      <c r="Q368" s="53"/>
      <c r="R368" s="618"/>
      <c r="S368" s="3"/>
      <c r="T368" s="3"/>
      <c r="U368" s="3"/>
      <c r="V368" s="3"/>
      <c r="W368" s="3"/>
      <c r="X368" s="3"/>
      <c r="Y368" s="3"/>
      <c r="Z368" s="3"/>
      <c r="AA368" s="3"/>
      <c r="AB368" s="3"/>
      <c r="AC368" s="3"/>
    </row>
    <row r="369">
      <c r="A369" s="3"/>
      <c r="B369" s="3"/>
      <c r="C369" s="3"/>
      <c r="D369" s="319"/>
      <c r="E369" s="3"/>
      <c r="F369" s="3"/>
      <c r="G369" s="3"/>
      <c r="H369" s="3"/>
      <c r="I369" s="3"/>
      <c r="J369" s="3"/>
      <c r="K369" s="3"/>
      <c r="L369" s="3"/>
      <c r="M369" s="3"/>
      <c r="N369" s="3"/>
      <c r="O369" s="3"/>
      <c r="P369" s="53"/>
      <c r="Q369" s="53"/>
      <c r="R369" s="618"/>
      <c r="S369" s="3"/>
      <c r="T369" s="3"/>
      <c r="U369" s="3"/>
      <c r="V369" s="3"/>
      <c r="W369" s="3"/>
      <c r="X369" s="3"/>
      <c r="Y369" s="3"/>
      <c r="Z369" s="3"/>
      <c r="AA369" s="3"/>
      <c r="AB369" s="3"/>
      <c r="AC369" s="3"/>
    </row>
    <row r="370">
      <c r="A370" s="3"/>
      <c r="B370" s="3"/>
      <c r="C370" s="3"/>
      <c r="D370" s="319"/>
      <c r="E370" s="3"/>
      <c r="F370" s="3"/>
      <c r="G370" s="3"/>
      <c r="H370" s="3"/>
      <c r="I370" s="3"/>
      <c r="J370" s="3"/>
      <c r="K370" s="3"/>
      <c r="L370" s="3"/>
      <c r="M370" s="3"/>
      <c r="N370" s="3"/>
      <c r="O370" s="3"/>
      <c r="P370" s="53"/>
      <c r="Q370" s="53"/>
      <c r="R370" s="618"/>
      <c r="S370" s="3"/>
      <c r="T370" s="3"/>
      <c r="U370" s="3"/>
      <c r="V370" s="3"/>
      <c r="W370" s="3"/>
      <c r="X370" s="3"/>
      <c r="Y370" s="3"/>
      <c r="Z370" s="3"/>
      <c r="AA370" s="3"/>
      <c r="AB370" s="3"/>
      <c r="AC370" s="3"/>
    </row>
    <row r="371">
      <c r="A371" s="3"/>
      <c r="B371" s="3"/>
      <c r="C371" s="3"/>
      <c r="D371" s="319"/>
      <c r="E371" s="3"/>
      <c r="F371" s="3"/>
      <c r="G371" s="3"/>
      <c r="H371" s="3"/>
      <c r="I371" s="3"/>
      <c r="J371" s="3"/>
      <c r="K371" s="3"/>
      <c r="L371" s="3"/>
      <c r="M371" s="3"/>
      <c r="N371" s="3"/>
      <c r="O371" s="3"/>
      <c r="P371" s="53"/>
      <c r="Q371" s="53"/>
      <c r="R371" s="618"/>
      <c r="S371" s="3"/>
      <c r="T371" s="3"/>
      <c r="U371" s="3"/>
      <c r="V371" s="3"/>
      <c r="W371" s="3"/>
      <c r="X371" s="3"/>
      <c r="Y371" s="3"/>
      <c r="Z371" s="3"/>
      <c r="AA371" s="3"/>
      <c r="AB371" s="3"/>
      <c r="AC371" s="3"/>
    </row>
    <row r="372">
      <c r="A372" s="3"/>
      <c r="B372" s="3"/>
      <c r="C372" s="3"/>
      <c r="D372" s="319"/>
      <c r="E372" s="3"/>
      <c r="F372" s="3"/>
      <c r="G372" s="3"/>
      <c r="H372" s="3"/>
      <c r="I372" s="3"/>
      <c r="J372" s="3"/>
      <c r="K372" s="3"/>
      <c r="L372" s="3"/>
      <c r="M372" s="3"/>
      <c r="N372" s="3"/>
      <c r="O372" s="3"/>
      <c r="P372" s="53"/>
      <c r="Q372" s="53"/>
      <c r="R372" s="618"/>
      <c r="S372" s="3"/>
      <c r="T372" s="3"/>
      <c r="U372" s="3"/>
      <c r="V372" s="3"/>
      <c r="W372" s="3"/>
      <c r="X372" s="3"/>
      <c r="Y372" s="3"/>
      <c r="Z372" s="3"/>
      <c r="AA372" s="3"/>
      <c r="AB372" s="3"/>
      <c r="AC372" s="3"/>
    </row>
    <row r="373">
      <c r="A373" s="3"/>
      <c r="B373" s="3"/>
      <c r="C373" s="3"/>
      <c r="D373" s="319"/>
      <c r="E373" s="3"/>
      <c r="F373" s="3"/>
      <c r="G373" s="3"/>
      <c r="H373" s="3"/>
      <c r="I373" s="3"/>
      <c r="J373" s="3"/>
      <c r="K373" s="3"/>
      <c r="L373" s="3"/>
      <c r="M373" s="3"/>
      <c r="N373" s="3"/>
      <c r="O373" s="3"/>
      <c r="P373" s="53"/>
      <c r="Q373" s="53"/>
      <c r="R373" s="618"/>
      <c r="S373" s="3"/>
      <c r="T373" s="3"/>
      <c r="U373" s="3"/>
      <c r="V373" s="3"/>
      <c r="W373" s="3"/>
      <c r="X373" s="3"/>
      <c r="Y373" s="3"/>
      <c r="Z373" s="3"/>
      <c r="AA373" s="3"/>
      <c r="AB373" s="3"/>
      <c r="AC373" s="3"/>
    </row>
    <row r="374">
      <c r="A374" s="3"/>
      <c r="B374" s="3"/>
      <c r="C374" s="3"/>
      <c r="D374" s="319"/>
      <c r="E374" s="3"/>
      <c r="F374" s="3"/>
      <c r="G374" s="3"/>
      <c r="H374" s="3"/>
      <c r="I374" s="3"/>
      <c r="J374" s="3"/>
      <c r="K374" s="3"/>
      <c r="L374" s="3"/>
      <c r="M374" s="3"/>
      <c r="N374" s="3"/>
      <c r="O374" s="3"/>
      <c r="P374" s="53"/>
      <c r="Q374" s="53"/>
      <c r="R374" s="618"/>
      <c r="S374" s="3"/>
      <c r="T374" s="3"/>
      <c r="U374" s="3"/>
      <c r="V374" s="3"/>
      <c r="W374" s="3"/>
      <c r="X374" s="3"/>
      <c r="Y374" s="3"/>
      <c r="Z374" s="3"/>
      <c r="AA374" s="3"/>
      <c r="AB374" s="3"/>
      <c r="AC374" s="3"/>
    </row>
    <row r="375">
      <c r="A375" s="3"/>
      <c r="B375" s="3"/>
      <c r="C375" s="3"/>
      <c r="D375" s="319"/>
      <c r="E375" s="3"/>
      <c r="F375" s="3"/>
      <c r="G375" s="3"/>
      <c r="H375" s="3"/>
      <c r="I375" s="3"/>
      <c r="J375" s="3"/>
      <c r="K375" s="3"/>
      <c r="L375" s="3"/>
      <c r="M375" s="3"/>
      <c r="N375" s="3"/>
      <c r="O375" s="3"/>
      <c r="P375" s="53"/>
      <c r="Q375" s="53"/>
      <c r="R375" s="618"/>
      <c r="S375" s="3"/>
      <c r="T375" s="3"/>
      <c r="U375" s="3"/>
      <c r="V375" s="3"/>
      <c r="W375" s="3"/>
      <c r="X375" s="3"/>
      <c r="Y375" s="3"/>
      <c r="Z375" s="3"/>
      <c r="AA375" s="3"/>
      <c r="AB375" s="3"/>
      <c r="AC375" s="3"/>
    </row>
    <row r="376">
      <c r="A376" s="3"/>
      <c r="B376" s="3"/>
      <c r="C376" s="3"/>
      <c r="D376" s="319"/>
      <c r="E376" s="3"/>
      <c r="F376" s="3"/>
      <c r="G376" s="3"/>
      <c r="H376" s="3"/>
      <c r="I376" s="3"/>
      <c r="J376" s="3"/>
      <c r="K376" s="3"/>
      <c r="L376" s="3"/>
      <c r="M376" s="3"/>
      <c r="N376" s="3"/>
      <c r="O376" s="3"/>
      <c r="P376" s="53"/>
      <c r="Q376" s="53"/>
      <c r="R376" s="618"/>
      <c r="S376" s="3"/>
      <c r="T376" s="3"/>
      <c r="U376" s="3"/>
      <c r="V376" s="3"/>
      <c r="W376" s="3"/>
      <c r="X376" s="3"/>
      <c r="Y376" s="3"/>
      <c r="Z376" s="3"/>
      <c r="AA376" s="3"/>
      <c r="AB376" s="3"/>
      <c r="AC376" s="3"/>
    </row>
    <row r="377">
      <c r="A377" s="3"/>
      <c r="B377" s="3"/>
      <c r="C377" s="3"/>
      <c r="D377" s="319"/>
      <c r="E377" s="3"/>
      <c r="F377" s="3"/>
      <c r="G377" s="3"/>
      <c r="H377" s="3"/>
      <c r="I377" s="3"/>
      <c r="J377" s="3"/>
      <c r="K377" s="3"/>
      <c r="L377" s="3"/>
      <c r="M377" s="3"/>
      <c r="N377" s="3"/>
      <c r="O377" s="3"/>
      <c r="P377" s="53"/>
      <c r="Q377" s="53"/>
      <c r="R377" s="618"/>
      <c r="S377" s="3"/>
      <c r="T377" s="3"/>
      <c r="U377" s="3"/>
      <c r="V377" s="3"/>
      <c r="W377" s="3"/>
      <c r="X377" s="3"/>
      <c r="Y377" s="3"/>
      <c r="Z377" s="3"/>
      <c r="AA377" s="3"/>
      <c r="AB377" s="3"/>
      <c r="AC377" s="3"/>
    </row>
    <row r="378">
      <c r="A378" s="3"/>
      <c r="B378" s="3"/>
      <c r="C378" s="3"/>
      <c r="D378" s="319"/>
      <c r="E378" s="3"/>
      <c r="F378" s="3"/>
      <c r="G378" s="3"/>
      <c r="H378" s="3"/>
      <c r="I378" s="3"/>
      <c r="J378" s="3"/>
      <c r="K378" s="3"/>
      <c r="L378" s="3"/>
      <c r="M378" s="3"/>
      <c r="N378" s="3"/>
      <c r="O378" s="3"/>
      <c r="P378" s="53"/>
      <c r="Q378" s="53"/>
      <c r="R378" s="618"/>
      <c r="S378" s="3"/>
      <c r="T378" s="3"/>
      <c r="U378" s="3"/>
      <c r="V378" s="3"/>
      <c r="W378" s="3"/>
      <c r="X378" s="3"/>
      <c r="Y378" s="3"/>
      <c r="Z378" s="3"/>
      <c r="AA378" s="3"/>
      <c r="AB378" s="3"/>
      <c r="AC378" s="3"/>
    </row>
    <row r="379">
      <c r="A379" s="3"/>
      <c r="B379" s="3"/>
      <c r="C379" s="3"/>
      <c r="D379" s="319"/>
      <c r="E379" s="3"/>
      <c r="F379" s="3"/>
      <c r="G379" s="3"/>
      <c r="H379" s="3"/>
      <c r="I379" s="3"/>
      <c r="J379" s="3"/>
      <c r="K379" s="3"/>
      <c r="L379" s="3"/>
      <c r="M379" s="3"/>
      <c r="N379" s="3"/>
      <c r="O379" s="3"/>
      <c r="P379" s="53"/>
      <c r="Q379" s="53"/>
      <c r="R379" s="618"/>
      <c r="S379" s="3"/>
      <c r="T379" s="3"/>
      <c r="U379" s="3"/>
      <c r="V379" s="3"/>
      <c r="W379" s="3"/>
      <c r="X379" s="3"/>
      <c r="Y379" s="3"/>
      <c r="Z379" s="3"/>
      <c r="AA379" s="3"/>
      <c r="AB379" s="3"/>
      <c r="AC379" s="3"/>
    </row>
    <row r="380">
      <c r="A380" s="3"/>
      <c r="B380" s="3"/>
      <c r="C380" s="3"/>
      <c r="D380" s="319"/>
      <c r="E380" s="3"/>
      <c r="F380" s="3"/>
      <c r="G380" s="3"/>
      <c r="H380" s="3"/>
      <c r="I380" s="3"/>
      <c r="J380" s="3"/>
      <c r="K380" s="3"/>
      <c r="L380" s="3"/>
      <c r="M380" s="3"/>
      <c r="N380" s="3"/>
      <c r="O380" s="3"/>
      <c r="P380" s="53"/>
      <c r="Q380" s="53"/>
      <c r="R380" s="618"/>
      <c r="S380" s="3"/>
      <c r="T380" s="3"/>
      <c r="U380" s="3"/>
      <c r="V380" s="3"/>
      <c r="W380" s="3"/>
      <c r="X380" s="3"/>
      <c r="Y380" s="3"/>
      <c r="Z380" s="3"/>
      <c r="AA380" s="3"/>
      <c r="AB380" s="3"/>
      <c r="AC380" s="3"/>
    </row>
    <row r="381">
      <c r="A381" s="3"/>
      <c r="B381" s="3"/>
      <c r="C381" s="3"/>
      <c r="D381" s="319"/>
      <c r="E381" s="3"/>
      <c r="F381" s="3"/>
      <c r="G381" s="3"/>
      <c r="H381" s="3"/>
      <c r="I381" s="3"/>
      <c r="J381" s="3"/>
      <c r="K381" s="3"/>
      <c r="L381" s="3"/>
      <c r="M381" s="3"/>
      <c r="N381" s="3"/>
      <c r="O381" s="3"/>
      <c r="P381" s="53"/>
      <c r="Q381" s="53"/>
      <c r="R381" s="618"/>
      <c r="S381" s="3"/>
      <c r="T381" s="3"/>
      <c r="U381" s="3"/>
      <c r="V381" s="3"/>
      <c r="W381" s="3"/>
      <c r="X381" s="3"/>
      <c r="Y381" s="3"/>
      <c r="Z381" s="3"/>
      <c r="AA381" s="3"/>
      <c r="AB381" s="3"/>
      <c r="AC381" s="3"/>
    </row>
    <row r="382">
      <c r="A382" s="3"/>
      <c r="B382" s="3"/>
      <c r="C382" s="3"/>
      <c r="D382" s="319"/>
      <c r="E382" s="3"/>
      <c r="F382" s="3"/>
      <c r="G382" s="3"/>
      <c r="H382" s="3"/>
      <c r="I382" s="3"/>
      <c r="J382" s="3"/>
      <c r="K382" s="3"/>
      <c r="L382" s="3"/>
      <c r="M382" s="3"/>
      <c r="N382" s="3"/>
      <c r="O382" s="3"/>
      <c r="P382" s="53"/>
      <c r="Q382" s="53"/>
      <c r="R382" s="618"/>
      <c r="S382" s="3"/>
      <c r="T382" s="3"/>
      <c r="U382" s="3"/>
      <c r="V382" s="3"/>
      <c r="W382" s="3"/>
      <c r="X382" s="3"/>
      <c r="Y382" s="3"/>
      <c r="Z382" s="3"/>
      <c r="AA382" s="3"/>
      <c r="AB382" s="3"/>
      <c r="AC382" s="3"/>
    </row>
    <row r="383">
      <c r="A383" s="3"/>
      <c r="B383" s="3"/>
      <c r="C383" s="3"/>
      <c r="D383" s="319"/>
      <c r="E383" s="3"/>
      <c r="F383" s="3"/>
      <c r="G383" s="3"/>
      <c r="H383" s="3"/>
      <c r="I383" s="3"/>
      <c r="J383" s="3"/>
      <c r="K383" s="3"/>
      <c r="L383" s="3"/>
      <c r="M383" s="3"/>
      <c r="N383" s="3"/>
      <c r="O383" s="3"/>
      <c r="P383" s="53"/>
      <c r="Q383" s="53"/>
      <c r="R383" s="618"/>
      <c r="S383" s="3"/>
      <c r="T383" s="3"/>
      <c r="U383" s="3"/>
      <c r="V383" s="3"/>
      <c r="W383" s="3"/>
      <c r="X383" s="3"/>
      <c r="Y383" s="3"/>
      <c r="Z383" s="3"/>
      <c r="AA383" s="3"/>
      <c r="AB383" s="3"/>
      <c r="AC383" s="3"/>
    </row>
    <row r="384">
      <c r="A384" s="3"/>
      <c r="B384" s="3"/>
      <c r="C384" s="3"/>
      <c r="D384" s="319"/>
      <c r="E384" s="3"/>
      <c r="F384" s="3"/>
      <c r="G384" s="3"/>
      <c r="H384" s="3"/>
      <c r="I384" s="3"/>
      <c r="J384" s="3"/>
      <c r="K384" s="3"/>
      <c r="L384" s="3"/>
      <c r="M384" s="3"/>
      <c r="N384" s="3"/>
      <c r="O384" s="3"/>
      <c r="P384" s="53"/>
      <c r="Q384" s="53"/>
      <c r="R384" s="618"/>
      <c r="S384" s="3"/>
      <c r="T384" s="3"/>
      <c r="U384" s="3"/>
      <c r="V384" s="3"/>
      <c r="W384" s="3"/>
      <c r="X384" s="3"/>
      <c r="Y384" s="3"/>
      <c r="Z384" s="3"/>
      <c r="AA384" s="3"/>
      <c r="AB384" s="3"/>
      <c r="AC384" s="3"/>
    </row>
    <row r="385">
      <c r="A385" s="3"/>
      <c r="B385" s="3"/>
      <c r="C385" s="3"/>
      <c r="D385" s="319"/>
      <c r="E385" s="3"/>
      <c r="F385" s="3"/>
      <c r="G385" s="3"/>
      <c r="H385" s="3"/>
      <c r="I385" s="3"/>
      <c r="J385" s="3"/>
      <c r="K385" s="3"/>
      <c r="L385" s="3"/>
      <c r="M385" s="3"/>
      <c r="N385" s="3"/>
      <c r="O385" s="3"/>
      <c r="P385" s="53"/>
      <c r="Q385" s="53"/>
      <c r="R385" s="618"/>
      <c r="S385" s="3"/>
      <c r="T385" s="3"/>
      <c r="U385" s="3"/>
      <c r="V385" s="3"/>
      <c r="W385" s="3"/>
      <c r="X385" s="3"/>
      <c r="Y385" s="3"/>
      <c r="Z385" s="3"/>
      <c r="AA385" s="3"/>
      <c r="AB385" s="3"/>
      <c r="AC385" s="3"/>
    </row>
    <row r="386">
      <c r="A386" s="3"/>
      <c r="B386" s="3"/>
      <c r="C386" s="3"/>
      <c r="D386" s="319"/>
      <c r="E386" s="3"/>
      <c r="F386" s="3"/>
      <c r="G386" s="3"/>
      <c r="H386" s="3"/>
      <c r="I386" s="3"/>
      <c r="J386" s="3"/>
      <c r="K386" s="3"/>
      <c r="L386" s="3"/>
      <c r="M386" s="3"/>
      <c r="N386" s="3"/>
      <c r="O386" s="3"/>
      <c r="P386" s="53"/>
      <c r="Q386" s="53"/>
      <c r="R386" s="618"/>
      <c r="S386" s="3"/>
      <c r="T386" s="3"/>
      <c r="U386" s="3"/>
      <c r="V386" s="3"/>
      <c r="W386" s="3"/>
      <c r="X386" s="3"/>
      <c r="Y386" s="3"/>
      <c r="Z386" s="3"/>
      <c r="AA386" s="3"/>
      <c r="AB386" s="3"/>
      <c r="AC386" s="3"/>
    </row>
    <row r="387">
      <c r="A387" s="3"/>
      <c r="B387" s="3"/>
      <c r="C387" s="3"/>
      <c r="D387" s="319"/>
      <c r="E387" s="3"/>
      <c r="F387" s="3"/>
      <c r="G387" s="3"/>
      <c r="H387" s="3"/>
      <c r="I387" s="3"/>
      <c r="J387" s="3"/>
      <c r="K387" s="3"/>
      <c r="L387" s="3"/>
      <c r="M387" s="3"/>
      <c r="N387" s="3"/>
      <c r="O387" s="3"/>
      <c r="P387" s="53"/>
      <c r="Q387" s="53"/>
      <c r="R387" s="618"/>
      <c r="S387" s="3"/>
      <c r="T387" s="3"/>
      <c r="U387" s="3"/>
      <c r="V387" s="3"/>
      <c r="W387" s="3"/>
      <c r="X387" s="3"/>
      <c r="Y387" s="3"/>
      <c r="Z387" s="3"/>
      <c r="AA387" s="3"/>
      <c r="AB387" s="3"/>
      <c r="AC387" s="3"/>
    </row>
    <row r="388">
      <c r="A388" s="3"/>
      <c r="B388" s="3"/>
      <c r="C388" s="3"/>
      <c r="D388" s="319"/>
      <c r="E388" s="3"/>
      <c r="F388" s="3"/>
      <c r="G388" s="3"/>
      <c r="H388" s="3"/>
      <c r="I388" s="3"/>
      <c r="J388" s="3"/>
      <c r="K388" s="3"/>
      <c r="L388" s="3"/>
      <c r="M388" s="3"/>
      <c r="N388" s="3"/>
      <c r="O388" s="3"/>
      <c r="P388" s="53"/>
      <c r="Q388" s="53"/>
      <c r="R388" s="618"/>
      <c r="S388" s="3"/>
      <c r="T388" s="3"/>
      <c r="U388" s="3"/>
      <c r="V388" s="3"/>
      <c r="W388" s="3"/>
      <c r="X388" s="3"/>
      <c r="Y388" s="3"/>
      <c r="Z388" s="3"/>
      <c r="AA388" s="3"/>
      <c r="AB388" s="3"/>
      <c r="AC388" s="3"/>
    </row>
    <row r="389">
      <c r="A389" s="3"/>
      <c r="B389" s="3"/>
      <c r="C389" s="3"/>
      <c r="D389" s="319"/>
      <c r="E389" s="3"/>
      <c r="F389" s="3"/>
      <c r="G389" s="3"/>
      <c r="H389" s="3"/>
      <c r="I389" s="3"/>
      <c r="J389" s="3"/>
      <c r="K389" s="3"/>
      <c r="L389" s="3"/>
      <c r="M389" s="3"/>
      <c r="N389" s="3"/>
      <c r="O389" s="3"/>
      <c r="P389" s="53"/>
      <c r="Q389" s="53"/>
      <c r="R389" s="618"/>
      <c r="S389" s="3"/>
      <c r="T389" s="3"/>
      <c r="U389" s="3"/>
      <c r="V389" s="3"/>
      <c r="W389" s="3"/>
      <c r="X389" s="3"/>
      <c r="Y389" s="3"/>
      <c r="Z389" s="3"/>
      <c r="AA389" s="3"/>
      <c r="AB389" s="3"/>
      <c r="AC389" s="3"/>
    </row>
    <row r="390">
      <c r="A390" s="3"/>
      <c r="B390" s="3"/>
      <c r="C390" s="3"/>
      <c r="D390" s="319"/>
      <c r="E390" s="3"/>
      <c r="F390" s="3"/>
      <c r="G390" s="3"/>
      <c r="H390" s="3"/>
      <c r="I390" s="3"/>
      <c r="J390" s="3"/>
      <c r="K390" s="3"/>
      <c r="L390" s="3"/>
      <c r="M390" s="3"/>
      <c r="N390" s="3"/>
      <c r="O390" s="3"/>
      <c r="P390" s="53"/>
      <c r="Q390" s="53"/>
      <c r="R390" s="618"/>
      <c r="S390" s="3"/>
      <c r="T390" s="3"/>
      <c r="U390" s="3"/>
      <c r="V390" s="3"/>
      <c r="W390" s="3"/>
      <c r="X390" s="3"/>
      <c r="Y390" s="3"/>
      <c r="Z390" s="3"/>
      <c r="AA390" s="3"/>
      <c r="AB390" s="3"/>
      <c r="AC390" s="3"/>
    </row>
    <row r="391">
      <c r="A391" s="3"/>
      <c r="B391" s="3"/>
      <c r="C391" s="3"/>
      <c r="D391" s="319"/>
      <c r="E391" s="3"/>
      <c r="F391" s="3"/>
      <c r="G391" s="3"/>
      <c r="H391" s="3"/>
      <c r="I391" s="3"/>
      <c r="J391" s="3"/>
      <c r="K391" s="3"/>
      <c r="L391" s="3"/>
      <c r="M391" s="3"/>
      <c r="N391" s="3"/>
      <c r="O391" s="3"/>
      <c r="P391" s="53"/>
      <c r="Q391" s="53"/>
      <c r="R391" s="618"/>
      <c r="S391" s="3"/>
      <c r="T391" s="3"/>
      <c r="U391" s="3"/>
      <c r="V391" s="3"/>
      <c r="W391" s="3"/>
      <c r="X391" s="3"/>
      <c r="Y391" s="3"/>
      <c r="Z391" s="3"/>
      <c r="AA391" s="3"/>
      <c r="AB391" s="3"/>
      <c r="AC391" s="3"/>
    </row>
    <row r="392">
      <c r="A392" s="3"/>
      <c r="B392" s="3"/>
      <c r="C392" s="3"/>
      <c r="D392" s="319"/>
      <c r="E392" s="3"/>
      <c r="F392" s="3"/>
      <c r="G392" s="3"/>
      <c r="H392" s="3"/>
      <c r="I392" s="3"/>
      <c r="J392" s="3"/>
      <c r="K392" s="3"/>
      <c r="L392" s="3"/>
      <c r="M392" s="3"/>
      <c r="N392" s="3"/>
      <c r="O392" s="3"/>
      <c r="P392" s="53"/>
      <c r="Q392" s="53"/>
      <c r="R392" s="618"/>
      <c r="S392" s="3"/>
      <c r="T392" s="3"/>
      <c r="U392" s="3"/>
      <c r="V392" s="3"/>
      <c r="W392" s="3"/>
      <c r="X392" s="3"/>
      <c r="Y392" s="3"/>
      <c r="Z392" s="3"/>
      <c r="AA392" s="3"/>
      <c r="AB392" s="3"/>
      <c r="AC392" s="3"/>
    </row>
    <row r="393">
      <c r="A393" s="3"/>
      <c r="B393" s="3"/>
      <c r="C393" s="3"/>
      <c r="D393" s="319"/>
      <c r="E393" s="3"/>
      <c r="F393" s="3"/>
      <c r="G393" s="3"/>
      <c r="H393" s="3"/>
      <c r="I393" s="3"/>
      <c r="J393" s="3"/>
      <c r="K393" s="3"/>
      <c r="L393" s="3"/>
      <c r="M393" s="3"/>
      <c r="N393" s="3"/>
      <c r="O393" s="3"/>
      <c r="P393" s="53"/>
      <c r="Q393" s="53"/>
      <c r="R393" s="618"/>
      <c r="S393" s="3"/>
      <c r="T393" s="3"/>
      <c r="U393" s="3"/>
      <c r="V393" s="3"/>
      <c r="W393" s="3"/>
      <c r="X393" s="3"/>
      <c r="Y393" s="3"/>
      <c r="Z393" s="3"/>
      <c r="AA393" s="3"/>
      <c r="AB393" s="3"/>
      <c r="AC393" s="3"/>
    </row>
    <row r="394">
      <c r="A394" s="3"/>
      <c r="B394" s="3"/>
      <c r="C394" s="3"/>
      <c r="D394" s="319"/>
      <c r="E394" s="3"/>
      <c r="F394" s="3"/>
      <c r="G394" s="3"/>
      <c r="H394" s="3"/>
      <c r="I394" s="3"/>
      <c r="J394" s="3"/>
      <c r="K394" s="3"/>
      <c r="L394" s="3"/>
      <c r="M394" s="3"/>
      <c r="N394" s="3"/>
      <c r="O394" s="3"/>
      <c r="P394" s="53"/>
      <c r="Q394" s="53"/>
      <c r="R394" s="618"/>
      <c r="S394" s="3"/>
      <c r="T394" s="3"/>
      <c r="U394" s="3"/>
      <c r="V394" s="3"/>
      <c r="W394" s="3"/>
      <c r="X394" s="3"/>
      <c r="Y394" s="3"/>
      <c r="Z394" s="3"/>
      <c r="AA394" s="3"/>
      <c r="AB394" s="3"/>
      <c r="AC394" s="3"/>
    </row>
    <row r="395">
      <c r="A395" s="3"/>
      <c r="B395" s="3"/>
      <c r="C395" s="3"/>
      <c r="D395" s="319"/>
      <c r="E395" s="3"/>
      <c r="F395" s="3"/>
      <c r="G395" s="3"/>
      <c r="H395" s="3"/>
      <c r="I395" s="3"/>
      <c r="J395" s="3"/>
      <c r="K395" s="3"/>
      <c r="L395" s="3"/>
      <c r="M395" s="3"/>
      <c r="N395" s="3"/>
      <c r="O395" s="3"/>
      <c r="P395" s="53"/>
      <c r="Q395" s="53"/>
      <c r="R395" s="618"/>
      <c r="S395" s="3"/>
      <c r="T395" s="3"/>
      <c r="U395" s="3"/>
      <c r="V395" s="3"/>
      <c r="W395" s="3"/>
      <c r="X395" s="3"/>
      <c r="Y395" s="3"/>
      <c r="Z395" s="3"/>
      <c r="AA395" s="3"/>
      <c r="AB395" s="3"/>
      <c r="AC395" s="3"/>
    </row>
    <row r="396">
      <c r="A396" s="3"/>
      <c r="B396" s="3"/>
      <c r="C396" s="3"/>
      <c r="D396" s="319"/>
      <c r="E396" s="3"/>
      <c r="F396" s="3"/>
      <c r="G396" s="3"/>
      <c r="H396" s="3"/>
      <c r="I396" s="3"/>
      <c r="J396" s="3"/>
      <c r="K396" s="3"/>
      <c r="L396" s="3"/>
      <c r="M396" s="3"/>
      <c r="N396" s="3"/>
      <c r="O396" s="3"/>
      <c r="P396" s="53"/>
      <c r="Q396" s="53"/>
      <c r="R396" s="618"/>
      <c r="S396" s="3"/>
      <c r="T396" s="3"/>
      <c r="U396" s="3"/>
      <c r="V396" s="3"/>
      <c r="W396" s="3"/>
      <c r="X396" s="3"/>
      <c r="Y396" s="3"/>
      <c r="Z396" s="3"/>
      <c r="AA396" s="3"/>
      <c r="AB396" s="3"/>
      <c r="AC396" s="3"/>
    </row>
    <row r="397">
      <c r="A397" s="3"/>
      <c r="B397" s="3"/>
      <c r="C397" s="3"/>
      <c r="D397" s="319"/>
      <c r="E397" s="3"/>
      <c r="F397" s="3"/>
      <c r="G397" s="3"/>
      <c r="H397" s="3"/>
      <c r="I397" s="3"/>
      <c r="J397" s="3"/>
      <c r="K397" s="3"/>
      <c r="L397" s="3"/>
      <c r="M397" s="3"/>
      <c r="N397" s="3"/>
      <c r="O397" s="3"/>
      <c r="P397" s="53"/>
      <c r="Q397" s="53"/>
      <c r="R397" s="618"/>
      <c r="S397" s="3"/>
      <c r="T397" s="3"/>
      <c r="U397" s="3"/>
      <c r="V397" s="3"/>
      <c r="W397" s="3"/>
      <c r="X397" s="3"/>
      <c r="Y397" s="3"/>
      <c r="Z397" s="3"/>
      <c r="AA397" s="3"/>
      <c r="AB397" s="3"/>
      <c r="AC397" s="3"/>
    </row>
    <row r="398">
      <c r="A398" s="3"/>
      <c r="B398" s="3"/>
      <c r="C398" s="3"/>
      <c r="D398" s="319"/>
      <c r="E398" s="3"/>
      <c r="F398" s="3"/>
      <c r="G398" s="3"/>
      <c r="H398" s="3"/>
      <c r="I398" s="3"/>
      <c r="J398" s="3"/>
      <c r="K398" s="3"/>
      <c r="L398" s="3"/>
      <c r="M398" s="3"/>
      <c r="N398" s="3"/>
      <c r="O398" s="3"/>
      <c r="P398" s="53"/>
      <c r="Q398" s="53"/>
      <c r="R398" s="618"/>
      <c r="S398" s="3"/>
      <c r="T398" s="3"/>
      <c r="U398" s="3"/>
      <c r="V398" s="3"/>
      <c r="W398" s="3"/>
      <c r="X398" s="3"/>
      <c r="Y398" s="3"/>
      <c r="Z398" s="3"/>
      <c r="AA398" s="3"/>
      <c r="AB398" s="3"/>
      <c r="AC398" s="3"/>
    </row>
    <row r="399">
      <c r="A399" s="3"/>
      <c r="B399" s="3"/>
      <c r="C399" s="3"/>
      <c r="D399" s="319"/>
      <c r="E399" s="3"/>
      <c r="F399" s="3"/>
      <c r="G399" s="3"/>
      <c r="H399" s="3"/>
      <c r="I399" s="3"/>
      <c r="J399" s="3"/>
      <c r="K399" s="3"/>
      <c r="L399" s="3"/>
      <c r="M399" s="3"/>
      <c r="N399" s="3"/>
      <c r="O399" s="3"/>
      <c r="P399" s="53"/>
      <c r="Q399" s="53"/>
      <c r="R399" s="618"/>
      <c r="S399" s="3"/>
      <c r="T399" s="3"/>
      <c r="U399" s="3"/>
      <c r="V399" s="3"/>
      <c r="W399" s="3"/>
      <c r="X399" s="3"/>
      <c r="Y399" s="3"/>
      <c r="Z399" s="3"/>
      <c r="AA399" s="3"/>
      <c r="AB399" s="3"/>
      <c r="AC399" s="3"/>
    </row>
    <row r="400">
      <c r="A400" s="3"/>
      <c r="B400" s="3"/>
      <c r="C400" s="3"/>
      <c r="D400" s="319"/>
      <c r="E400" s="3"/>
      <c r="F400" s="3"/>
      <c r="G400" s="3"/>
      <c r="H400" s="3"/>
      <c r="I400" s="3"/>
      <c r="J400" s="3"/>
      <c r="K400" s="3"/>
      <c r="L400" s="3"/>
      <c r="M400" s="3"/>
      <c r="N400" s="3"/>
      <c r="O400" s="3"/>
      <c r="P400" s="53"/>
      <c r="Q400" s="53"/>
      <c r="R400" s="618"/>
      <c r="S400" s="3"/>
      <c r="T400" s="3"/>
      <c r="U400" s="3"/>
      <c r="V400" s="3"/>
      <c r="W400" s="3"/>
      <c r="X400" s="3"/>
      <c r="Y400" s="3"/>
      <c r="Z400" s="3"/>
      <c r="AA400" s="3"/>
      <c r="AB400" s="3"/>
      <c r="AC400" s="3"/>
    </row>
    <row r="401">
      <c r="A401" s="3"/>
      <c r="B401" s="3"/>
      <c r="C401" s="3"/>
      <c r="D401" s="319"/>
      <c r="E401" s="3"/>
      <c r="F401" s="3"/>
      <c r="G401" s="3"/>
      <c r="H401" s="3"/>
      <c r="I401" s="3"/>
      <c r="J401" s="3"/>
      <c r="K401" s="3"/>
      <c r="L401" s="3"/>
      <c r="M401" s="3"/>
      <c r="N401" s="3"/>
      <c r="O401" s="3"/>
      <c r="P401" s="53"/>
      <c r="Q401" s="53"/>
      <c r="R401" s="618"/>
      <c r="S401" s="3"/>
      <c r="T401" s="3"/>
      <c r="U401" s="3"/>
      <c r="V401" s="3"/>
      <c r="W401" s="3"/>
      <c r="X401" s="3"/>
      <c r="Y401" s="3"/>
      <c r="Z401" s="3"/>
      <c r="AA401" s="3"/>
      <c r="AB401" s="3"/>
      <c r="AC401" s="3"/>
    </row>
    <row r="402">
      <c r="A402" s="3"/>
      <c r="B402" s="3"/>
      <c r="C402" s="3"/>
      <c r="D402" s="319"/>
      <c r="E402" s="3"/>
      <c r="F402" s="3"/>
      <c r="G402" s="3"/>
      <c r="H402" s="3"/>
      <c r="I402" s="3"/>
      <c r="J402" s="3"/>
      <c r="K402" s="3"/>
      <c r="L402" s="3"/>
      <c r="M402" s="3"/>
      <c r="N402" s="3"/>
      <c r="O402" s="3"/>
      <c r="P402" s="53"/>
      <c r="Q402" s="53"/>
      <c r="R402" s="618"/>
      <c r="S402" s="3"/>
      <c r="T402" s="3"/>
      <c r="U402" s="3"/>
      <c r="V402" s="3"/>
      <c r="W402" s="3"/>
      <c r="X402" s="3"/>
      <c r="Y402" s="3"/>
      <c r="Z402" s="3"/>
      <c r="AA402" s="3"/>
      <c r="AB402" s="3"/>
      <c r="AC402" s="3"/>
    </row>
    <row r="403">
      <c r="A403" s="3"/>
      <c r="B403" s="3"/>
      <c r="C403" s="3"/>
      <c r="D403" s="319"/>
      <c r="E403" s="3"/>
      <c r="F403" s="3"/>
      <c r="G403" s="3"/>
      <c r="H403" s="3"/>
      <c r="I403" s="3"/>
      <c r="J403" s="3"/>
      <c r="K403" s="3"/>
      <c r="L403" s="3"/>
      <c r="M403" s="3"/>
      <c r="N403" s="3"/>
      <c r="O403" s="3"/>
      <c r="P403" s="53"/>
      <c r="Q403" s="53"/>
      <c r="R403" s="618"/>
      <c r="S403" s="3"/>
      <c r="T403" s="3"/>
      <c r="U403" s="3"/>
      <c r="V403" s="3"/>
      <c r="W403" s="3"/>
      <c r="X403" s="3"/>
      <c r="Y403" s="3"/>
      <c r="Z403" s="3"/>
      <c r="AA403" s="3"/>
      <c r="AB403" s="3"/>
      <c r="AC403" s="3"/>
    </row>
    <row r="404">
      <c r="A404" s="3"/>
      <c r="B404" s="3"/>
      <c r="C404" s="3"/>
      <c r="D404" s="319"/>
      <c r="E404" s="3"/>
      <c r="F404" s="3"/>
      <c r="G404" s="3"/>
      <c r="H404" s="3"/>
      <c r="I404" s="3"/>
      <c r="J404" s="3"/>
      <c r="K404" s="3"/>
      <c r="L404" s="3"/>
      <c r="M404" s="3"/>
      <c r="N404" s="3"/>
      <c r="O404" s="3"/>
      <c r="P404" s="53"/>
      <c r="Q404" s="53"/>
      <c r="R404" s="618"/>
      <c r="S404" s="3"/>
      <c r="T404" s="3"/>
      <c r="U404" s="3"/>
      <c r="V404" s="3"/>
      <c r="W404" s="3"/>
      <c r="X404" s="3"/>
      <c r="Y404" s="3"/>
      <c r="Z404" s="3"/>
      <c r="AA404" s="3"/>
      <c r="AB404" s="3"/>
      <c r="AC404" s="3"/>
    </row>
    <row r="405">
      <c r="A405" s="3"/>
      <c r="B405" s="3"/>
      <c r="C405" s="3"/>
      <c r="D405" s="319"/>
      <c r="E405" s="3"/>
      <c r="F405" s="3"/>
      <c r="G405" s="3"/>
      <c r="H405" s="3"/>
      <c r="I405" s="3"/>
      <c r="J405" s="3"/>
      <c r="K405" s="3"/>
      <c r="L405" s="3"/>
      <c r="M405" s="3"/>
      <c r="N405" s="3"/>
      <c r="O405" s="3"/>
      <c r="P405" s="53"/>
      <c r="Q405" s="53"/>
      <c r="R405" s="618"/>
      <c r="S405" s="3"/>
      <c r="T405" s="3"/>
      <c r="U405" s="3"/>
      <c r="V405" s="3"/>
      <c r="W405" s="3"/>
      <c r="X405" s="3"/>
      <c r="Y405" s="3"/>
      <c r="Z405" s="3"/>
      <c r="AA405" s="3"/>
      <c r="AB405" s="3"/>
      <c r="AC405" s="3"/>
    </row>
    <row r="406">
      <c r="A406" s="3"/>
      <c r="B406" s="3"/>
      <c r="C406" s="3"/>
      <c r="D406" s="319"/>
      <c r="E406" s="3"/>
      <c r="F406" s="3"/>
      <c r="G406" s="3"/>
      <c r="H406" s="3"/>
      <c r="I406" s="3"/>
      <c r="J406" s="3"/>
      <c r="K406" s="3"/>
      <c r="L406" s="3"/>
      <c r="M406" s="3"/>
      <c r="N406" s="3"/>
      <c r="O406" s="3"/>
      <c r="P406" s="53"/>
      <c r="Q406" s="53"/>
      <c r="R406" s="618"/>
      <c r="S406" s="3"/>
      <c r="T406" s="3"/>
      <c r="U406" s="3"/>
      <c r="V406" s="3"/>
      <c r="W406" s="3"/>
      <c r="X406" s="3"/>
      <c r="Y406" s="3"/>
      <c r="Z406" s="3"/>
      <c r="AA406" s="3"/>
      <c r="AB406" s="3"/>
      <c r="AC406" s="3"/>
    </row>
    <row r="407">
      <c r="A407" s="3"/>
      <c r="B407" s="3"/>
      <c r="C407" s="3"/>
      <c r="D407" s="319"/>
      <c r="E407" s="3"/>
      <c r="F407" s="3"/>
      <c r="G407" s="3"/>
      <c r="H407" s="3"/>
      <c r="I407" s="3"/>
      <c r="J407" s="3"/>
      <c r="K407" s="3"/>
      <c r="L407" s="3"/>
      <c r="M407" s="3"/>
      <c r="N407" s="3"/>
      <c r="O407" s="3"/>
      <c r="P407" s="53"/>
      <c r="Q407" s="53"/>
      <c r="R407" s="618"/>
      <c r="S407" s="3"/>
      <c r="T407" s="3"/>
      <c r="U407" s="3"/>
      <c r="V407" s="3"/>
      <c r="W407" s="3"/>
      <c r="X407" s="3"/>
      <c r="Y407" s="3"/>
      <c r="Z407" s="3"/>
      <c r="AA407" s="3"/>
      <c r="AB407" s="3"/>
      <c r="AC407" s="3"/>
    </row>
    <row r="408">
      <c r="A408" s="3"/>
      <c r="B408" s="3"/>
      <c r="C408" s="3"/>
      <c r="D408" s="319"/>
      <c r="E408" s="3"/>
      <c r="F408" s="3"/>
      <c r="G408" s="3"/>
      <c r="H408" s="3"/>
      <c r="I408" s="3"/>
      <c r="J408" s="3"/>
      <c r="K408" s="3"/>
      <c r="L408" s="3"/>
      <c r="M408" s="3"/>
      <c r="N408" s="3"/>
      <c r="O408" s="3"/>
      <c r="P408" s="53"/>
      <c r="Q408" s="53"/>
      <c r="R408" s="618"/>
      <c r="S408" s="3"/>
      <c r="T408" s="3"/>
      <c r="U408" s="3"/>
      <c r="V408" s="3"/>
      <c r="W408" s="3"/>
      <c r="X408" s="3"/>
      <c r="Y408" s="3"/>
      <c r="Z408" s="3"/>
      <c r="AA408" s="3"/>
      <c r="AB408" s="3"/>
      <c r="AC408" s="3"/>
    </row>
    <row r="409">
      <c r="A409" s="3"/>
      <c r="B409" s="3"/>
      <c r="C409" s="3"/>
      <c r="D409" s="319"/>
      <c r="E409" s="3"/>
      <c r="F409" s="3"/>
      <c r="G409" s="3"/>
      <c r="H409" s="3"/>
      <c r="I409" s="3"/>
      <c r="J409" s="3"/>
      <c r="K409" s="3"/>
      <c r="L409" s="3"/>
      <c r="M409" s="3"/>
      <c r="N409" s="3"/>
      <c r="O409" s="3"/>
      <c r="P409" s="53"/>
      <c r="Q409" s="53"/>
      <c r="R409" s="618"/>
      <c r="S409" s="3"/>
      <c r="T409" s="3"/>
      <c r="U409" s="3"/>
      <c r="V409" s="3"/>
      <c r="W409" s="3"/>
      <c r="X409" s="3"/>
      <c r="Y409" s="3"/>
      <c r="Z409" s="3"/>
      <c r="AA409" s="3"/>
      <c r="AB409" s="3"/>
      <c r="AC409" s="3"/>
    </row>
    <row r="410">
      <c r="A410" s="3"/>
      <c r="B410" s="3"/>
      <c r="C410" s="3"/>
      <c r="D410" s="319"/>
      <c r="E410" s="3"/>
      <c r="F410" s="3"/>
      <c r="G410" s="3"/>
      <c r="H410" s="3"/>
      <c r="I410" s="3"/>
      <c r="J410" s="3"/>
      <c r="K410" s="3"/>
      <c r="L410" s="3"/>
      <c r="M410" s="3"/>
      <c r="N410" s="3"/>
      <c r="O410" s="3"/>
      <c r="P410" s="53"/>
      <c r="Q410" s="53"/>
      <c r="R410" s="618"/>
      <c r="S410" s="3"/>
      <c r="T410" s="3"/>
      <c r="U410" s="3"/>
      <c r="V410" s="3"/>
      <c r="W410" s="3"/>
      <c r="X410" s="3"/>
      <c r="Y410" s="3"/>
      <c r="Z410" s="3"/>
      <c r="AA410" s="3"/>
      <c r="AB410" s="3"/>
      <c r="AC410" s="3"/>
    </row>
    <row r="411">
      <c r="A411" s="3"/>
      <c r="B411" s="3"/>
      <c r="C411" s="3"/>
      <c r="D411" s="319"/>
      <c r="E411" s="3"/>
      <c r="F411" s="3"/>
      <c r="G411" s="3"/>
      <c r="H411" s="3"/>
      <c r="I411" s="3"/>
      <c r="J411" s="3"/>
      <c r="K411" s="3"/>
      <c r="L411" s="3"/>
      <c r="M411" s="3"/>
      <c r="N411" s="3"/>
      <c r="O411" s="3"/>
      <c r="P411" s="53"/>
      <c r="Q411" s="53"/>
      <c r="R411" s="618"/>
      <c r="S411" s="3"/>
      <c r="T411" s="3"/>
      <c r="U411" s="3"/>
      <c r="V411" s="3"/>
      <c r="W411" s="3"/>
      <c r="X411" s="3"/>
      <c r="Y411" s="3"/>
      <c r="Z411" s="3"/>
      <c r="AA411" s="3"/>
      <c r="AB411" s="3"/>
      <c r="AC411" s="3"/>
    </row>
    <row r="412">
      <c r="A412" s="3"/>
      <c r="B412" s="3"/>
      <c r="C412" s="3"/>
      <c r="D412" s="319"/>
      <c r="E412" s="3"/>
      <c r="F412" s="3"/>
      <c r="G412" s="3"/>
      <c r="H412" s="3"/>
      <c r="I412" s="3"/>
      <c r="J412" s="3"/>
      <c r="K412" s="3"/>
      <c r="L412" s="3"/>
      <c r="M412" s="3"/>
      <c r="N412" s="3"/>
      <c r="O412" s="3"/>
      <c r="P412" s="53"/>
      <c r="Q412" s="53"/>
      <c r="R412" s="618"/>
      <c r="S412" s="3"/>
      <c r="T412" s="3"/>
      <c r="U412" s="3"/>
      <c r="V412" s="3"/>
      <c r="W412" s="3"/>
      <c r="X412" s="3"/>
      <c r="Y412" s="3"/>
      <c r="Z412" s="3"/>
      <c r="AA412" s="3"/>
      <c r="AB412" s="3"/>
      <c r="AC412" s="3"/>
    </row>
    <row r="413">
      <c r="A413" s="3"/>
      <c r="B413" s="3"/>
      <c r="C413" s="3"/>
      <c r="D413" s="319"/>
      <c r="E413" s="3"/>
      <c r="F413" s="3"/>
      <c r="G413" s="3"/>
      <c r="H413" s="3"/>
      <c r="I413" s="3"/>
      <c r="J413" s="3"/>
      <c r="K413" s="3"/>
      <c r="L413" s="3"/>
      <c r="M413" s="3"/>
      <c r="N413" s="3"/>
      <c r="O413" s="3"/>
      <c r="P413" s="53"/>
      <c r="Q413" s="53"/>
      <c r="R413" s="618"/>
      <c r="S413" s="3"/>
      <c r="T413" s="3"/>
      <c r="U413" s="3"/>
      <c r="V413" s="3"/>
      <c r="W413" s="3"/>
      <c r="X413" s="3"/>
      <c r="Y413" s="3"/>
      <c r="Z413" s="3"/>
      <c r="AA413" s="3"/>
      <c r="AB413" s="3"/>
      <c r="AC413" s="3"/>
    </row>
    <row r="414">
      <c r="A414" s="3"/>
      <c r="B414" s="3"/>
      <c r="C414" s="3"/>
      <c r="D414" s="319"/>
      <c r="E414" s="3"/>
      <c r="F414" s="3"/>
      <c r="G414" s="3"/>
      <c r="H414" s="3"/>
      <c r="I414" s="3"/>
      <c r="J414" s="3"/>
      <c r="K414" s="3"/>
      <c r="L414" s="3"/>
      <c r="M414" s="3"/>
      <c r="N414" s="3"/>
      <c r="O414" s="3"/>
      <c r="P414" s="53"/>
      <c r="Q414" s="53"/>
      <c r="R414" s="618"/>
      <c r="S414" s="3"/>
      <c r="T414" s="3"/>
      <c r="U414" s="3"/>
      <c r="V414" s="3"/>
      <c r="W414" s="3"/>
      <c r="X414" s="3"/>
      <c r="Y414" s="3"/>
      <c r="Z414" s="3"/>
      <c r="AA414" s="3"/>
      <c r="AB414" s="3"/>
      <c r="AC414" s="3"/>
    </row>
    <row r="415">
      <c r="A415" s="3"/>
      <c r="B415" s="3"/>
      <c r="C415" s="3"/>
      <c r="D415" s="319"/>
      <c r="E415" s="3"/>
      <c r="F415" s="3"/>
      <c r="G415" s="3"/>
      <c r="H415" s="3"/>
      <c r="I415" s="3"/>
      <c r="J415" s="3"/>
      <c r="K415" s="3"/>
      <c r="L415" s="3"/>
      <c r="M415" s="3"/>
      <c r="N415" s="3"/>
      <c r="O415" s="3"/>
      <c r="P415" s="53"/>
      <c r="Q415" s="53"/>
      <c r="R415" s="618"/>
      <c r="S415" s="3"/>
      <c r="T415" s="3"/>
      <c r="U415" s="3"/>
      <c r="V415" s="3"/>
      <c r="W415" s="3"/>
      <c r="X415" s="3"/>
      <c r="Y415" s="3"/>
      <c r="Z415" s="3"/>
      <c r="AA415" s="3"/>
      <c r="AB415" s="3"/>
      <c r="AC415" s="3"/>
    </row>
    <row r="416">
      <c r="A416" s="3"/>
      <c r="B416" s="3"/>
      <c r="C416" s="3"/>
      <c r="D416" s="319"/>
      <c r="E416" s="3"/>
      <c r="F416" s="3"/>
      <c r="G416" s="3"/>
      <c r="H416" s="3"/>
      <c r="I416" s="3"/>
      <c r="J416" s="3"/>
      <c r="K416" s="3"/>
      <c r="L416" s="3"/>
      <c r="M416" s="3"/>
      <c r="N416" s="3"/>
      <c r="O416" s="3"/>
      <c r="P416" s="53"/>
      <c r="Q416" s="53"/>
      <c r="R416" s="618"/>
      <c r="S416" s="3"/>
      <c r="T416" s="3"/>
      <c r="U416" s="3"/>
      <c r="V416" s="3"/>
      <c r="W416" s="3"/>
      <c r="X416" s="3"/>
      <c r="Y416" s="3"/>
      <c r="Z416" s="3"/>
      <c r="AA416" s="3"/>
      <c r="AB416" s="3"/>
      <c r="AC416" s="3"/>
    </row>
    <row r="417">
      <c r="A417" s="3"/>
      <c r="B417" s="3"/>
      <c r="C417" s="3"/>
      <c r="D417" s="319"/>
      <c r="E417" s="3"/>
      <c r="F417" s="3"/>
      <c r="G417" s="3"/>
      <c r="H417" s="3"/>
      <c r="I417" s="3"/>
      <c r="J417" s="3"/>
      <c r="K417" s="3"/>
      <c r="L417" s="3"/>
      <c r="M417" s="3"/>
      <c r="N417" s="3"/>
      <c r="O417" s="3"/>
      <c r="P417" s="53"/>
      <c r="Q417" s="53"/>
      <c r="R417" s="618"/>
      <c r="S417" s="3"/>
      <c r="T417" s="3"/>
      <c r="U417" s="3"/>
      <c r="V417" s="3"/>
      <c r="W417" s="3"/>
      <c r="X417" s="3"/>
      <c r="Y417" s="3"/>
      <c r="Z417" s="3"/>
      <c r="AA417" s="3"/>
      <c r="AB417" s="3"/>
      <c r="AC417" s="3"/>
    </row>
    <row r="418">
      <c r="A418" s="3"/>
      <c r="B418" s="3"/>
      <c r="C418" s="3"/>
      <c r="D418" s="319"/>
      <c r="E418" s="3"/>
      <c r="F418" s="3"/>
      <c r="G418" s="3"/>
      <c r="H418" s="3"/>
      <c r="I418" s="3"/>
      <c r="J418" s="3"/>
      <c r="K418" s="3"/>
      <c r="L418" s="3"/>
      <c r="M418" s="3"/>
      <c r="N418" s="3"/>
      <c r="O418" s="3"/>
      <c r="P418" s="53"/>
      <c r="Q418" s="53"/>
      <c r="R418" s="618"/>
      <c r="S418" s="3"/>
      <c r="T418" s="3"/>
      <c r="U418" s="3"/>
      <c r="V418" s="3"/>
      <c r="W418" s="3"/>
      <c r="X418" s="3"/>
      <c r="Y418" s="3"/>
      <c r="Z418" s="3"/>
      <c r="AA418" s="3"/>
      <c r="AB418" s="3"/>
      <c r="AC418" s="3"/>
    </row>
    <row r="419">
      <c r="A419" s="3"/>
      <c r="B419" s="3"/>
      <c r="C419" s="3"/>
      <c r="D419" s="319"/>
      <c r="E419" s="3"/>
      <c r="F419" s="3"/>
      <c r="G419" s="3"/>
      <c r="H419" s="3"/>
      <c r="I419" s="3"/>
      <c r="J419" s="3"/>
      <c r="K419" s="3"/>
      <c r="L419" s="3"/>
      <c r="M419" s="3"/>
      <c r="N419" s="3"/>
      <c r="O419" s="3"/>
      <c r="P419" s="53"/>
      <c r="Q419" s="53"/>
      <c r="R419" s="618"/>
      <c r="S419" s="3"/>
      <c r="T419" s="3"/>
      <c r="U419" s="3"/>
      <c r="V419" s="3"/>
      <c r="W419" s="3"/>
      <c r="X419" s="3"/>
      <c r="Y419" s="3"/>
      <c r="Z419" s="3"/>
      <c r="AA419" s="3"/>
      <c r="AB419" s="3"/>
      <c r="AC419" s="3"/>
    </row>
    <row r="420">
      <c r="A420" s="3"/>
      <c r="B420" s="3"/>
      <c r="C420" s="3"/>
      <c r="D420" s="319"/>
      <c r="E420" s="3"/>
      <c r="F420" s="3"/>
      <c r="G420" s="3"/>
      <c r="H420" s="3"/>
      <c r="I420" s="3"/>
      <c r="J420" s="3"/>
      <c r="K420" s="3"/>
      <c r="L420" s="3"/>
      <c r="M420" s="3"/>
      <c r="N420" s="3"/>
      <c r="O420" s="3"/>
      <c r="P420" s="53"/>
      <c r="Q420" s="53"/>
      <c r="R420" s="618"/>
      <c r="S420" s="3"/>
      <c r="T420" s="3"/>
      <c r="U420" s="3"/>
      <c r="V420" s="3"/>
      <c r="W420" s="3"/>
      <c r="X420" s="3"/>
      <c r="Y420" s="3"/>
      <c r="Z420" s="3"/>
      <c r="AA420" s="3"/>
      <c r="AB420" s="3"/>
      <c r="AC420" s="3"/>
    </row>
    <row r="421">
      <c r="A421" s="3"/>
      <c r="B421" s="3"/>
      <c r="C421" s="3"/>
      <c r="D421" s="319"/>
      <c r="E421" s="3"/>
      <c r="F421" s="3"/>
      <c r="G421" s="3"/>
      <c r="H421" s="3"/>
      <c r="I421" s="3"/>
      <c r="J421" s="3"/>
      <c r="K421" s="3"/>
      <c r="L421" s="3"/>
      <c r="M421" s="3"/>
      <c r="N421" s="3"/>
      <c r="O421" s="3"/>
      <c r="P421" s="53"/>
      <c r="Q421" s="53"/>
      <c r="R421" s="618"/>
      <c r="S421" s="3"/>
      <c r="T421" s="3"/>
      <c r="U421" s="3"/>
      <c r="V421" s="3"/>
      <c r="W421" s="3"/>
      <c r="X421" s="3"/>
      <c r="Y421" s="3"/>
      <c r="Z421" s="3"/>
      <c r="AA421" s="3"/>
      <c r="AB421" s="3"/>
      <c r="AC421" s="3"/>
    </row>
    <row r="422">
      <c r="A422" s="3"/>
      <c r="B422" s="3"/>
      <c r="C422" s="3"/>
      <c r="D422" s="319"/>
      <c r="E422" s="3"/>
      <c r="F422" s="3"/>
      <c r="G422" s="3"/>
      <c r="H422" s="3"/>
      <c r="I422" s="3"/>
      <c r="J422" s="3"/>
      <c r="K422" s="3"/>
      <c r="L422" s="3"/>
      <c r="M422" s="3"/>
      <c r="N422" s="3"/>
      <c r="O422" s="3"/>
      <c r="P422" s="53"/>
      <c r="Q422" s="53"/>
      <c r="R422" s="618"/>
      <c r="S422" s="3"/>
      <c r="T422" s="3"/>
      <c r="U422" s="3"/>
      <c r="V422" s="3"/>
      <c r="W422" s="3"/>
      <c r="X422" s="3"/>
      <c r="Y422" s="3"/>
      <c r="Z422" s="3"/>
      <c r="AA422" s="3"/>
      <c r="AB422" s="3"/>
      <c r="AC422" s="3"/>
    </row>
    <row r="423">
      <c r="A423" s="3"/>
      <c r="B423" s="3"/>
      <c r="C423" s="3"/>
      <c r="D423" s="319"/>
      <c r="E423" s="3"/>
      <c r="F423" s="3"/>
      <c r="G423" s="3"/>
      <c r="H423" s="3"/>
      <c r="I423" s="3"/>
      <c r="J423" s="3"/>
      <c r="K423" s="3"/>
      <c r="L423" s="3"/>
      <c r="M423" s="3"/>
      <c r="N423" s="3"/>
      <c r="O423" s="3"/>
      <c r="P423" s="53"/>
      <c r="Q423" s="53"/>
      <c r="R423" s="618"/>
      <c r="S423" s="3"/>
      <c r="T423" s="3"/>
      <c r="U423" s="3"/>
      <c r="V423" s="3"/>
      <c r="W423" s="3"/>
      <c r="X423" s="3"/>
      <c r="Y423" s="3"/>
      <c r="Z423" s="3"/>
      <c r="AA423" s="3"/>
      <c r="AB423" s="3"/>
      <c r="AC423" s="3"/>
    </row>
    <row r="424">
      <c r="A424" s="3"/>
      <c r="B424" s="3"/>
      <c r="C424" s="3"/>
      <c r="D424" s="319"/>
      <c r="E424" s="3"/>
      <c r="F424" s="3"/>
      <c r="G424" s="3"/>
      <c r="H424" s="3"/>
      <c r="I424" s="3"/>
      <c r="J424" s="3"/>
      <c r="K424" s="3"/>
      <c r="L424" s="3"/>
      <c r="M424" s="3"/>
      <c r="N424" s="3"/>
      <c r="O424" s="3"/>
      <c r="P424" s="53"/>
      <c r="Q424" s="53"/>
      <c r="R424" s="618"/>
      <c r="S424" s="3"/>
      <c r="T424" s="3"/>
      <c r="U424" s="3"/>
      <c r="V424" s="3"/>
      <c r="W424" s="3"/>
      <c r="X424" s="3"/>
      <c r="Y424" s="3"/>
      <c r="Z424" s="3"/>
      <c r="AA424" s="3"/>
      <c r="AB424" s="3"/>
      <c r="AC424" s="3"/>
    </row>
    <row r="425">
      <c r="A425" s="3"/>
      <c r="B425" s="3"/>
      <c r="C425" s="3"/>
      <c r="D425" s="319"/>
      <c r="E425" s="3"/>
      <c r="F425" s="3"/>
      <c r="G425" s="3"/>
      <c r="H425" s="3"/>
      <c r="I425" s="3"/>
      <c r="J425" s="3"/>
      <c r="K425" s="3"/>
      <c r="L425" s="3"/>
      <c r="M425" s="3"/>
      <c r="N425" s="3"/>
      <c r="O425" s="3"/>
      <c r="P425" s="53"/>
      <c r="Q425" s="53"/>
      <c r="R425" s="618"/>
      <c r="S425" s="3"/>
      <c r="T425" s="3"/>
      <c r="U425" s="3"/>
      <c r="V425" s="3"/>
      <c r="W425" s="3"/>
      <c r="X425" s="3"/>
      <c r="Y425" s="3"/>
      <c r="Z425" s="3"/>
      <c r="AA425" s="3"/>
      <c r="AB425" s="3"/>
      <c r="AC425" s="3"/>
    </row>
    <row r="426">
      <c r="A426" s="3"/>
      <c r="B426" s="3"/>
      <c r="C426" s="3"/>
      <c r="D426" s="319"/>
      <c r="E426" s="3"/>
      <c r="F426" s="3"/>
      <c r="G426" s="3"/>
      <c r="H426" s="3"/>
      <c r="I426" s="3"/>
      <c r="J426" s="3"/>
      <c r="K426" s="3"/>
      <c r="L426" s="3"/>
      <c r="M426" s="3"/>
      <c r="N426" s="3"/>
      <c r="O426" s="3"/>
      <c r="P426" s="53"/>
      <c r="Q426" s="53"/>
      <c r="R426" s="618"/>
      <c r="S426" s="3"/>
      <c r="T426" s="3"/>
      <c r="U426" s="3"/>
      <c r="V426" s="3"/>
      <c r="W426" s="3"/>
      <c r="X426" s="3"/>
      <c r="Y426" s="3"/>
      <c r="Z426" s="3"/>
      <c r="AA426" s="3"/>
      <c r="AB426" s="3"/>
      <c r="AC426" s="3"/>
    </row>
    <row r="427">
      <c r="A427" s="3"/>
      <c r="B427" s="3"/>
      <c r="C427" s="3"/>
      <c r="D427" s="319"/>
      <c r="E427" s="3"/>
      <c r="F427" s="3"/>
      <c r="G427" s="3"/>
      <c r="H427" s="3"/>
      <c r="I427" s="3"/>
      <c r="J427" s="3"/>
      <c r="K427" s="3"/>
      <c r="L427" s="3"/>
      <c r="M427" s="3"/>
      <c r="N427" s="3"/>
      <c r="O427" s="3"/>
      <c r="P427" s="53"/>
      <c r="Q427" s="53"/>
      <c r="R427" s="618"/>
      <c r="S427" s="3"/>
      <c r="T427" s="3"/>
      <c r="U427" s="3"/>
      <c r="V427" s="3"/>
      <c r="W427" s="3"/>
      <c r="X427" s="3"/>
      <c r="Y427" s="3"/>
      <c r="Z427" s="3"/>
      <c r="AA427" s="3"/>
      <c r="AB427" s="3"/>
      <c r="AC427" s="3"/>
    </row>
    <row r="428">
      <c r="A428" s="3"/>
      <c r="B428" s="3"/>
      <c r="C428" s="3"/>
      <c r="D428" s="319"/>
      <c r="E428" s="3"/>
      <c r="F428" s="3"/>
      <c r="G428" s="3"/>
      <c r="H428" s="3"/>
      <c r="I428" s="3"/>
      <c r="J428" s="3"/>
      <c r="K428" s="3"/>
      <c r="L428" s="3"/>
      <c r="M428" s="3"/>
      <c r="N428" s="3"/>
      <c r="O428" s="3"/>
      <c r="P428" s="53"/>
      <c r="Q428" s="53"/>
      <c r="R428" s="618"/>
      <c r="S428" s="3"/>
      <c r="T428" s="3"/>
      <c r="U428" s="3"/>
      <c r="V428" s="3"/>
      <c r="W428" s="3"/>
      <c r="X428" s="3"/>
      <c r="Y428" s="3"/>
      <c r="Z428" s="3"/>
      <c r="AA428" s="3"/>
      <c r="AB428" s="3"/>
      <c r="AC428" s="3"/>
    </row>
    <row r="429">
      <c r="A429" s="3"/>
      <c r="B429" s="3"/>
      <c r="C429" s="3"/>
      <c r="D429" s="319"/>
      <c r="E429" s="3"/>
      <c r="F429" s="3"/>
      <c r="G429" s="3"/>
      <c r="H429" s="3"/>
      <c r="I429" s="3"/>
      <c r="J429" s="3"/>
      <c r="K429" s="3"/>
      <c r="L429" s="3"/>
      <c r="M429" s="3"/>
      <c r="N429" s="3"/>
      <c r="O429" s="3"/>
      <c r="P429" s="53"/>
      <c r="Q429" s="53"/>
      <c r="R429" s="618"/>
      <c r="S429" s="3"/>
      <c r="T429" s="3"/>
      <c r="U429" s="3"/>
      <c r="V429" s="3"/>
      <c r="W429" s="3"/>
      <c r="X429" s="3"/>
      <c r="Y429" s="3"/>
      <c r="Z429" s="3"/>
      <c r="AA429" s="3"/>
      <c r="AB429" s="3"/>
      <c r="AC429" s="3"/>
    </row>
    <row r="430">
      <c r="A430" s="3"/>
      <c r="B430" s="3"/>
      <c r="C430" s="3"/>
      <c r="D430" s="319"/>
      <c r="E430" s="3"/>
      <c r="F430" s="3"/>
      <c r="G430" s="3"/>
      <c r="H430" s="3"/>
      <c r="I430" s="3"/>
      <c r="J430" s="3"/>
      <c r="K430" s="3"/>
      <c r="L430" s="3"/>
      <c r="M430" s="3"/>
      <c r="N430" s="3"/>
      <c r="O430" s="3"/>
      <c r="P430" s="53"/>
      <c r="Q430" s="53"/>
      <c r="R430" s="618"/>
      <c r="S430" s="3"/>
      <c r="T430" s="3"/>
      <c r="U430" s="3"/>
      <c r="V430" s="3"/>
      <c r="W430" s="3"/>
      <c r="X430" s="3"/>
      <c r="Y430" s="3"/>
      <c r="Z430" s="3"/>
      <c r="AA430" s="3"/>
      <c r="AB430" s="3"/>
      <c r="AC430" s="3"/>
    </row>
    <row r="431">
      <c r="A431" s="3"/>
      <c r="B431" s="3"/>
      <c r="C431" s="3"/>
      <c r="D431" s="319"/>
      <c r="E431" s="3"/>
      <c r="F431" s="3"/>
      <c r="G431" s="3"/>
      <c r="H431" s="3"/>
      <c r="I431" s="3"/>
      <c r="J431" s="3"/>
      <c r="K431" s="3"/>
      <c r="L431" s="3"/>
      <c r="M431" s="3"/>
      <c r="N431" s="3"/>
      <c r="O431" s="3"/>
      <c r="P431" s="53"/>
      <c r="Q431" s="53"/>
      <c r="R431" s="618"/>
      <c r="S431" s="3"/>
      <c r="T431" s="3"/>
      <c r="U431" s="3"/>
      <c r="V431" s="3"/>
      <c r="W431" s="3"/>
      <c r="X431" s="3"/>
      <c r="Y431" s="3"/>
      <c r="Z431" s="3"/>
      <c r="AA431" s="3"/>
      <c r="AB431" s="3"/>
      <c r="AC431" s="3"/>
    </row>
    <row r="432">
      <c r="A432" s="3"/>
      <c r="B432" s="3"/>
      <c r="C432" s="3"/>
      <c r="D432" s="319"/>
      <c r="E432" s="3"/>
      <c r="F432" s="3"/>
      <c r="G432" s="3"/>
      <c r="H432" s="3"/>
      <c r="I432" s="3"/>
      <c r="J432" s="3"/>
      <c r="K432" s="3"/>
      <c r="L432" s="3"/>
      <c r="M432" s="3"/>
      <c r="N432" s="3"/>
      <c r="O432" s="3"/>
      <c r="P432" s="53"/>
      <c r="Q432" s="53"/>
      <c r="R432" s="618"/>
      <c r="S432" s="3"/>
      <c r="T432" s="3"/>
      <c r="U432" s="3"/>
      <c r="V432" s="3"/>
      <c r="W432" s="3"/>
      <c r="X432" s="3"/>
      <c r="Y432" s="3"/>
      <c r="Z432" s="3"/>
      <c r="AA432" s="3"/>
      <c r="AB432" s="3"/>
      <c r="AC432" s="3"/>
    </row>
    <row r="433">
      <c r="A433" s="3"/>
      <c r="B433" s="3"/>
      <c r="C433" s="3"/>
      <c r="D433" s="319"/>
      <c r="E433" s="3"/>
      <c r="F433" s="3"/>
      <c r="G433" s="3"/>
      <c r="H433" s="3"/>
      <c r="I433" s="3"/>
      <c r="J433" s="3"/>
      <c r="K433" s="3"/>
      <c r="L433" s="3"/>
      <c r="M433" s="3"/>
      <c r="N433" s="3"/>
      <c r="O433" s="3"/>
      <c r="P433" s="53"/>
      <c r="Q433" s="53"/>
      <c r="R433" s="618"/>
      <c r="S433" s="3"/>
      <c r="T433" s="3"/>
      <c r="U433" s="3"/>
      <c r="V433" s="3"/>
      <c r="W433" s="3"/>
      <c r="X433" s="3"/>
      <c r="Y433" s="3"/>
      <c r="Z433" s="3"/>
      <c r="AA433" s="3"/>
      <c r="AB433" s="3"/>
      <c r="AC433" s="3"/>
    </row>
    <row r="434">
      <c r="A434" s="3"/>
      <c r="B434" s="3"/>
      <c r="C434" s="3"/>
      <c r="D434" s="319"/>
      <c r="E434" s="3"/>
      <c r="F434" s="3"/>
      <c r="G434" s="3"/>
      <c r="H434" s="3"/>
      <c r="I434" s="3"/>
      <c r="J434" s="3"/>
      <c r="K434" s="3"/>
      <c r="L434" s="3"/>
      <c r="M434" s="3"/>
      <c r="N434" s="3"/>
      <c r="O434" s="3"/>
      <c r="P434" s="53"/>
      <c r="Q434" s="53"/>
      <c r="R434" s="618"/>
      <c r="S434" s="3"/>
      <c r="T434" s="3"/>
      <c r="U434" s="3"/>
      <c r="V434" s="3"/>
      <c r="W434" s="3"/>
      <c r="X434" s="3"/>
      <c r="Y434" s="3"/>
      <c r="Z434" s="3"/>
      <c r="AA434" s="3"/>
      <c r="AB434" s="3"/>
      <c r="AC434" s="3"/>
    </row>
    <row r="435">
      <c r="A435" s="3"/>
      <c r="B435" s="3"/>
      <c r="C435" s="3"/>
      <c r="D435" s="319"/>
      <c r="E435" s="3"/>
      <c r="F435" s="3"/>
      <c r="G435" s="3"/>
      <c r="H435" s="3"/>
      <c r="I435" s="3"/>
      <c r="J435" s="3"/>
      <c r="K435" s="3"/>
      <c r="L435" s="3"/>
      <c r="M435" s="3"/>
      <c r="N435" s="3"/>
      <c r="O435" s="3"/>
      <c r="P435" s="53"/>
      <c r="Q435" s="53"/>
      <c r="R435" s="618"/>
      <c r="S435" s="3"/>
      <c r="T435" s="3"/>
      <c r="U435" s="3"/>
      <c r="V435" s="3"/>
      <c r="W435" s="3"/>
      <c r="X435" s="3"/>
      <c r="Y435" s="3"/>
      <c r="Z435" s="3"/>
      <c r="AA435" s="3"/>
      <c r="AB435" s="3"/>
      <c r="AC435" s="3"/>
    </row>
    <row r="436">
      <c r="A436" s="3"/>
      <c r="B436" s="3"/>
      <c r="C436" s="3"/>
      <c r="D436" s="319"/>
      <c r="E436" s="3"/>
      <c r="F436" s="3"/>
      <c r="G436" s="3"/>
      <c r="H436" s="3"/>
      <c r="I436" s="3"/>
      <c r="J436" s="3"/>
      <c r="K436" s="3"/>
      <c r="L436" s="3"/>
      <c r="M436" s="3"/>
      <c r="N436" s="3"/>
      <c r="O436" s="3"/>
      <c r="P436" s="53"/>
      <c r="Q436" s="53"/>
      <c r="R436" s="618"/>
      <c r="S436" s="3"/>
      <c r="T436" s="3"/>
      <c r="U436" s="3"/>
      <c r="V436" s="3"/>
      <c r="W436" s="3"/>
      <c r="X436" s="3"/>
      <c r="Y436" s="3"/>
      <c r="Z436" s="3"/>
      <c r="AA436" s="3"/>
      <c r="AB436" s="3"/>
      <c r="AC436" s="3"/>
    </row>
    <row r="437">
      <c r="A437" s="3"/>
      <c r="B437" s="3"/>
      <c r="C437" s="3"/>
      <c r="D437" s="319"/>
      <c r="E437" s="3"/>
      <c r="F437" s="3"/>
      <c r="G437" s="3"/>
      <c r="H437" s="3"/>
      <c r="I437" s="3"/>
      <c r="J437" s="3"/>
      <c r="K437" s="3"/>
      <c r="L437" s="3"/>
      <c r="M437" s="3"/>
      <c r="N437" s="3"/>
      <c r="O437" s="3"/>
      <c r="P437" s="53"/>
      <c r="Q437" s="53"/>
      <c r="R437" s="618"/>
      <c r="S437" s="3"/>
      <c r="T437" s="3"/>
      <c r="U437" s="3"/>
      <c r="V437" s="3"/>
      <c r="W437" s="3"/>
      <c r="X437" s="3"/>
      <c r="Y437" s="3"/>
      <c r="Z437" s="3"/>
      <c r="AA437" s="3"/>
      <c r="AB437" s="3"/>
      <c r="AC437" s="3"/>
    </row>
    <row r="438">
      <c r="A438" s="3"/>
      <c r="B438" s="3"/>
      <c r="C438" s="3"/>
      <c r="D438" s="319"/>
      <c r="E438" s="3"/>
      <c r="F438" s="3"/>
      <c r="G438" s="3"/>
      <c r="H438" s="3"/>
      <c r="I438" s="3"/>
      <c r="J438" s="3"/>
      <c r="K438" s="3"/>
      <c r="L438" s="3"/>
      <c r="M438" s="3"/>
      <c r="N438" s="3"/>
      <c r="O438" s="3"/>
      <c r="P438" s="53"/>
      <c r="Q438" s="53"/>
      <c r="R438" s="618"/>
      <c r="S438" s="3"/>
      <c r="T438" s="3"/>
      <c r="U438" s="3"/>
      <c r="V438" s="3"/>
      <c r="W438" s="3"/>
      <c r="X438" s="3"/>
      <c r="Y438" s="3"/>
      <c r="Z438" s="3"/>
      <c r="AA438" s="3"/>
      <c r="AB438" s="3"/>
      <c r="AC438" s="3"/>
    </row>
    <row r="439">
      <c r="A439" s="3"/>
      <c r="B439" s="3"/>
      <c r="C439" s="3"/>
      <c r="D439" s="319"/>
      <c r="E439" s="3"/>
      <c r="F439" s="3"/>
      <c r="G439" s="3"/>
      <c r="H439" s="3"/>
      <c r="I439" s="3"/>
      <c r="J439" s="3"/>
      <c r="K439" s="3"/>
      <c r="L439" s="3"/>
      <c r="M439" s="3"/>
      <c r="N439" s="3"/>
      <c r="O439" s="3"/>
      <c r="P439" s="53"/>
      <c r="Q439" s="53"/>
      <c r="R439" s="618"/>
      <c r="S439" s="3"/>
      <c r="T439" s="3"/>
      <c r="U439" s="3"/>
      <c r="V439" s="3"/>
      <c r="W439" s="3"/>
      <c r="X439" s="3"/>
      <c r="Y439" s="3"/>
      <c r="Z439" s="3"/>
      <c r="AA439" s="3"/>
      <c r="AB439" s="3"/>
      <c r="AC439" s="3"/>
    </row>
    <row r="440">
      <c r="A440" s="3"/>
      <c r="B440" s="3"/>
      <c r="C440" s="3"/>
      <c r="D440" s="319"/>
      <c r="E440" s="3"/>
      <c r="F440" s="3"/>
      <c r="G440" s="3"/>
      <c r="H440" s="3"/>
      <c r="I440" s="3"/>
      <c r="J440" s="3"/>
      <c r="K440" s="3"/>
      <c r="L440" s="3"/>
      <c r="M440" s="3"/>
      <c r="N440" s="3"/>
      <c r="O440" s="3"/>
      <c r="P440" s="53"/>
      <c r="Q440" s="53"/>
      <c r="R440" s="618"/>
      <c r="S440" s="3"/>
      <c r="T440" s="3"/>
      <c r="U440" s="3"/>
      <c r="V440" s="3"/>
      <c r="W440" s="3"/>
      <c r="X440" s="3"/>
      <c r="Y440" s="3"/>
      <c r="Z440" s="3"/>
      <c r="AA440" s="3"/>
      <c r="AB440" s="3"/>
      <c r="AC440" s="3"/>
    </row>
    <row r="441">
      <c r="A441" s="3"/>
      <c r="B441" s="3"/>
      <c r="C441" s="3"/>
      <c r="D441" s="319"/>
      <c r="E441" s="3"/>
      <c r="F441" s="3"/>
      <c r="G441" s="3"/>
      <c r="H441" s="3"/>
      <c r="I441" s="3"/>
      <c r="J441" s="3"/>
      <c r="K441" s="3"/>
      <c r="L441" s="3"/>
      <c r="M441" s="3"/>
      <c r="N441" s="3"/>
      <c r="O441" s="3"/>
      <c r="P441" s="53"/>
      <c r="Q441" s="53"/>
      <c r="R441" s="618"/>
      <c r="S441" s="3"/>
      <c r="T441" s="3"/>
      <c r="U441" s="3"/>
      <c r="V441" s="3"/>
      <c r="W441" s="3"/>
      <c r="X441" s="3"/>
      <c r="Y441" s="3"/>
      <c r="Z441" s="3"/>
      <c r="AA441" s="3"/>
      <c r="AB441" s="3"/>
      <c r="AC441" s="3"/>
    </row>
    <row r="442">
      <c r="A442" s="3"/>
      <c r="B442" s="3"/>
      <c r="C442" s="3"/>
      <c r="D442" s="319"/>
      <c r="E442" s="3"/>
      <c r="F442" s="3"/>
      <c r="G442" s="3"/>
      <c r="H442" s="3"/>
      <c r="I442" s="3"/>
      <c r="J442" s="3"/>
      <c r="K442" s="3"/>
      <c r="L442" s="3"/>
      <c r="M442" s="3"/>
      <c r="N442" s="3"/>
      <c r="O442" s="3"/>
      <c r="P442" s="53"/>
      <c r="Q442" s="53"/>
      <c r="R442" s="618"/>
      <c r="S442" s="3"/>
      <c r="T442" s="3"/>
      <c r="U442" s="3"/>
      <c r="V442" s="3"/>
      <c r="W442" s="3"/>
      <c r="X442" s="3"/>
      <c r="Y442" s="3"/>
      <c r="Z442" s="3"/>
      <c r="AA442" s="3"/>
      <c r="AB442" s="3"/>
      <c r="AC442" s="3"/>
    </row>
    <row r="443">
      <c r="A443" s="3"/>
      <c r="B443" s="3"/>
      <c r="C443" s="3"/>
      <c r="D443" s="319"/>
      <c r="E443" s="3"/>
      <c r="F443" s="3"/>
      <c r="G443" s="3"/>
      <c r="H443" s="3"/>
      <c r="I443" s="3"/>
      <c r="J443" s="3"/>
      <c r="K443" s="3"/>
      <c r="L443" s="3"/>
      <c r="M443" s="3"/>
      <c r="N443" s="3"/>
      <c r="O443" s="3"/>
      <c r="P443" s="53"/>
      <c r="Q443" s="53"/>
      <c r="R443" s="618"/>
      <c r="S443" s="3"/>
      <c r="T443" s="3"/>
      <c r="U443" s="3"/>
      <c r="V443" s="3"/>
      <c r="W443" s="3"/>
      <c r="X443" s="3"/>
      <c r="Y443" s="3"/>
      <c r="Z443" s="3"/>
      <c r="AA443" s="3"/>
      <c r="AB443" s="3"/>
      <c r="AC443" s="3"/>
    </row>
    <row r="444">
      <c r="A444" s="3"/>
      <c r="B444" s="3"/>
      <c r="C444" s="3"/>
      <c r="D444" s="319"/>
      <c r="E444" s="3"/>
      <c r="F444" s="3"/>
      <c r="G444" s="3"/>
      <c r="H444" s="3"/>
      <c r="I444" s="3"/>
      <c r="J444" s="3"/>
      <c r="K444" s="3"/>
      <c r="L444" s="3"/>
      <c r="M444" s="3"/>
      <c r="N444" s="3"/>
      <c r="O444" s="3"/>
      <c r="P444" s="53"/>
      <c r="Q444" s="53"/>
      <c r="R444" s="618"/>
      <c r="S444" s="3"/>
      <c r="T444" s="3"/>
      <c r="U444" s="3"/>
      <c r="V444" s="3"/>
      <c r="W444" s="3"/>
      <c r="X444" s="3"/>
      <c r="Y444" s="3"/>
      <c r="Z444" s="3"/>
      <c r="AA444" s="3"/>
      <c r="AB444" s="3"/>
      <c r="AC444" s="3"/>
    </row>
    <row r="445">
      <c r="A445" s="3"/>
      <c r="B445" s="3"/>
      <c r="C445" s="3"/>
      <c r="D445" s="319"/>
      <c r="E445" s="3"/>
      <c r="F445" s="3"/>
      <c r="G445" s="3"/>
      <c r="H445" s="3"/>
      <c r="I445" s="3"/>
      <c r="J445" s="3"/>
      <c r="K445" s="3"/>
      <c r="L445" s="3"/>
      <c r="M445" s="3"/>
      <c r="N445" s="3"/>
      <c r="O445" s="3"/>
      <c r="P445" s="53"/>
      <c r="Q445" s="53"/>
      <c r="R445" s="618"/>
      <c r="S445" s="3"/>
      <c r="T445" s="3"/>
      <c r="U445" s="3"/>
      <c r="V445" s="3"/>
      <c r="W445" s="3"/>
      <c r="X445" s="3"/>
      <c r="Y445" s="3"/>
      <c r="Z445" s="3"/>
      <c r="AA445" s="3"/>
      <c r="AB445" s="3"/>
      <c r="AC445" s="3"/>
    </row>
    <row r="446">
      <c r="A446" s="3"/>
      <c r="B446" s="3"/>
      <c r="C446" s="3"/>
      <c r="D446" s="319"/>
      <c r="E446" s="3"/>
      <c r="F446" s="3"/>
      <c r="G446" s="3"/>
      <c r="H446" s="3"/>
      <c r="I446" s="3"/>
      <c r="J446" s="3"/>
      <c r="K446" s="3"/>
      <c r="L446" s="3"/>
      <c r="M446" s="3"/>
      <c r="N446" s="3"/>
      <c r="O446" s="3"/>
      <c r="P446" s="53"/>
      <c r="Q446" s="53"/>
      <c r="R446" s="618"/>
      <c r="S446" s="3"/>
      <c r="T446" s="3"/>
      <c r="U446" s="3"/>
      <c r="V446" s="3"/>
      <c r="W446" s="3"/>
      <c r="X446" s="3"/>
      <c r="Y446" s="3"/>
      <c r="Z446" s="3"/>
      <c r="AA446" s="3"/>
      <c r="AB446" s="3"/>
      <c r="AC446" s="3"/>
    </row>
    <row r="447">
      <c r="A447" s="3"/>
      <c r="B447" s="3"/>
      <c r="C447" s="3"/>
      <c r="D447" s="319"/>
      <c r="E447" s="3"/>
      <c r="F447" s="3"/>
      <c r="G447" s="3"/>
      <c r="H447" s="3"/>
      <c r="I447" s="3"/>
      <c r="J447" s="3"/>
      <c r="K447" s="3"/>
      <c r="L447" s="3"/>
      <c r="M447" s="3"/>
      <c r="N447" s="3"/>
      <c r="O447" s="3"/>
      <c r="P447" s="53"/>
      <c r="Q447" s="53"/>
      <c r="R447" s="618"/>
      <c r="S447" s="3"/>
      <c r="T447" s="3"/>
      <c r="U447" s="3"/>
      <c r="V447" s="3"/>
      <c r="W447" s="3"/>
      <c r="X447" s="3"/>
      <c r="Y447" s="3"/>
      <c r="Z447" s="3"/>
      <c r="AA447" s="3"/>
      <c r="AB447" s="3"/>
      <c r="AC447" s="3"/>
    </row>
    <row r="448">
      <c r="A448" s="3"/>
      <c r="B448" s="3"/>
      <c r="C448" s="3"/>
      <c r="D448" s="319"/>
      <c r="E448" s="3"/>
      <c r="F448" s="3"/>
      <c r="G448" s="3"/>
      <c r="H448" s="3"/>
      <c r="I448" s="3"/>
      <c r="J448" s="3"/>
      <c r="K448" s="3"/>
      <c r="L448" s="3"/>
      <c r="M448" s="3"/>
      <c r="N448" s="3"/>
      <c r="O448" s="3"/>
      <c r="P448" s="53"/>
      <c r="Q448" s="53"/>
      <c r="R448" s="618"/>
      <c r="S448" s="3"/>
      <c r="T448" s="3"/>
      <c r="U448" s="3"/>
      <c r="V448" s="3"/>
      <c r="W448" s="3"/>
      <c r="X448" s="3"/>
      <c r="Y448" s="3"/>
      <c r="Z448" s="3"/>
      <c r="AA448" s="3"/>
      <c r="AB448" s="3"/>
      <c r="AC448" s="3"/>
    </row>
    <row r="449">
      <c r="A449" s="3"/>
      <c r="B449" s="3"/>
      <c r="C449" s="3"/>
      <c r="D449" s="319"/>
      <c r="E449" s="3"/>
      <c r="F449" s="3"/>
      <c r="G449" s="3"/>
      <c r="H449" s="3"/>
      <c r="I449" s="3"/>
      <c r="J449" s="3"/>
      <c r="K449" s="3"/>
      <c r="L449" s="3"/>
      <c r="M449" s="3"/>
      <c r="N449" s="3"/>
      <c r="O449" s="3"/>
      <c r="P449" s="53"/>
      <c r="Q449" s="53"/>
      <c r="R449" s="618"/>
      <c r="S449" s="3"/>
      <c r="T449" s="3"/>
      <c r="U449" s="3"/>
      <c r="V449" s="3"/>
      <c r="W449" s="3"/>
      <c r="X449" s="3"/>
      <c r="Y449" s="3"/>
      <c r="Z449" s="3"/>
      <c r="AA449" s="3"/>
      <c r="AB449" s="3"/>
      <c r="AC449" s="3"/>
    </row>
    <row r="450">
      <c r="A450" s="3"/>
      <c r="B450" s="3"/>
      <c r="C450" s="3"/>
      <c r="D450" s="319"/>
      <c r="E450" s="3"/>
      <c r="F450" s="3"/>
      <c r="G450" s="3"/>
      <c r="H450" s="3"/>
      <c r="I450" s="3"/>
      <c r="J450" s="3"/>
      <c r="K450" s="3"/>
      <c r="L450" s="3"/>
      <c r="M450" s="3"/>
      <c r="N450" s="3"/>
      <c r="O450" s="3"/>
      <c r="P450" s="53"/>
      <c r="Q450" s="53"/>
      <c r="R450" s="618"/>
      <c r="S450" s="3"/>
      <c r="T450" s="3"/>
      <c r="U450" s="3"/>
      <c r="V450" s="3"/>
      <c r="W450" s="3"/>
      <c r="X450" s="3"/>
      <c r="Y450" s="3"/>
      <c r="Z450" s="3"/>
      <c r="AA450" s="3"/>
      <c r="AB450" s="3"/>
      <c r="AC450" s="3"/>
    </row>
    <row r="451">
      <c r="A451" s="3"/>
      <c r="B451" s="3"/>
      <c r="C451" s="3"/>
      <c r="D451" s="319"/>
      <c r="E451" s="3"/>
      <c r="F451" s="3"/>
      <c r="G451" s="3"/>
      <c r="H451" s="3"/>
      <c r="I451" s="3"/>
      <c r="J451" s="3"/>
      <c r="K451" s="3"/>
      <c r="L451" s="3"/>
      <c r="M451" s="3"/>
      <c r="N451" s="3"/>
      <c r="O451" s="3"/>
      <c r="P451" s="53"/>
      <c r="Q451" s="53"/>
      <c r="R451" s="618"/>
      <c r="S451" s="3"/>
      <c r="T451" s="3"/>
      <c r="U451" s="3"/>
      <c r="V451" s="3"/>
      <c r="W451" s="3"/>
      <c r="X451" s="3"/>
      <c r="Y451" s="3"/>
      <c r="Z451" s="3"/>
      <c r="AA451" s="3"/>
      <c r="AB451" s="3"/>
      <c r="AC451" s="3"/>
    </row>
    <row r="452">
      <c r="A452" s="3"/>
      <c r="B452" s="3"/>
      <c r="C452" s="3"/>
      <c r="D452" s="319"/>
      <c r="E452" s="3"/>
      <c r="F452" s="3"/>
      <c r="G452" s="3"/>
      <c r="H452" s="3"/>
      <c r="I452" s="3"/>
      <c r="J452" s="3"/>
      <c r="K452" s="3"/>
      <c r="L452" s="3"/>
      <c r="M452" s="3"/>
      <c r="N452" s="3"/>
      <c r="O452" s="3"/>
      <c r="P452" s="53"/>
      <c r="Q452" s="53"/>
      <c r="R452" s="618"/>
      <c r="S452" s="3"/>
      <c r="T452" s="3"/>
      <c r="U452" s="3"/>
      <c r="V452" s="3"/>
      <c r="W452" s="3"/>
      <c r="X452" s="3"/>
      <c r="Y452" s="3"/>
      <c r="Z452" s="3"/>
      <c r="AA452" s="3"/>
      <c r="AB452" s="3"/>
      <c r="AC452" s="3"/>
    </row>
    <row r="453">
      <c r="A453" s="3"/>
      <c r="B453" s="3"/>
      <c r="C453" s="3"/>
      <c r="D453" s="319"/>
      <c r="E453" s="3"/>
      <c r="F453" s="3"/>
      <c r="G453" s="3"/>
      <c r="H453" s="3"/>
      <c r="I453" s="3"/>
      <c r="J453" s="3"/>
      <c r="K453" s="3"/>
      <c r="L453" s="3"/>
      <c r="M453" s="3"/>
      <c r="N453" s="3"/>
      <c r="O453" s="3"/>
      <c r="P453" s="53"/>
      <c r="Q453" s="53"/>
      <c r="R453" s="618"/>
      <c r="S453" s="3"/>
      <c r="T453" s="3"/>
      <c r="U453" s="3"/>
      <c r="V453" s="3"/>
      <c r="W453" s="3"/>
      <c r="X453" s="3"/>
      <c r="Y453" s="3"/>
      <c r="Z453" s="3"/>
      <c r="AA453" s="3"/>
      <c r="AB453" s="3"/>
      <c r="AC453" s="3"/>
    </row>
    <row r="454">
      <c r="A454" s="3"/>
      <c r="B454" s="3"/>
      <c r="C454" s="3"/>
      <c r="D454" s="319"/>
      <c r="E454" s="3"/>
      <c r="F454" s="3"/>
      <c r="G454" s="3"/>
      <c r="H454" s="3"/>
      <c r="I454" s="3"/>
      <c r="J454" s="3"/>
      <c r="K454" s="3"/>
      <c r="L454" s="3"/>
      <c r="M454" s="3"/>
      <c r="N454" s="3"/>
      <c r="O454" s="3"/>
      <c r="P454" s="53"/>
      <c r="Q454" s="53"/>
      <c r="R454" s="618"/>
      <c r="S454" s="3"/>
      <c r="T454" s="3"/>
      <c r="U454" s="3"/>
      <c r="V454" s="3"/>
      <c r="W454" s="3"/>
      <c r="X454" s="3"/>
      <c r="Y454" s="3"/>
      <c r="Z454" s="3"/>
      <c r="AA454" s="3"/>
      <c r="AB454" s="3"/>
      <c r="AC454" s="3"/>
    </row>
    <row r="455">
      <c r="A455" s="3"/>
      <c r="B455" s="3"/>
      <c r="C455" s="3"/>
      <c r="D455" s="319"/>
      <c r="E455" s="3"/>
      <c r="F455" s="3"/>
      <c r="G455" s="3"/>
      <c r="H455" s="3"/>
      <c r="I455" s="3"/>
      <c r="J455" s="3"/>
      <c r="K455" s="3"/>
      <c r="L455" s="3"/>
      <c r="M455" s="3"/>
      <c r="N455" s="3"/>
      <c r="O455" s="3"/>
      <c r="P455" s="53"/>
      <c r="Q455" s="53"/>
      <c r="R455" s="618"/>
      <c r="S455" s="3"/>
      <c r="T455" s="3"/>
      <c r="U455" s="3"/>
      <c r="V455" s="3"/>
      <c r="W455" s="3"/>
      <c r="X455" s="3"/>
      <c r="Y455" s="3"/>
      <c r="Z455" s="3"/>
      <c r="AA455" s="3"/>
      <c r="AB455" s="3"/>
      <c r="AC455" s="3"/>
    </row>
    <row r="456">
      <c r="A456" s="3"/>
      <c r="B456" s="3"/>
      <c r="C456" s="3"/>
      <c r="D456" s="319"/>
      <c r="E456" s="3"/>
      <c r="F456" s="3"/>
      <c r="G456" s="3"/>
      <c r="H456" s="3"/>
      <c r="I456" s="3"/>
      <c r="J456" s="3"/>
      <c r="K456" s="3"/>
      <c r="L456" s="3"/>
      <c r="M456" s="3"/>
      <c r="N456" s="3"/>
      <c r="O456" s="3"/>
      <c r="P456" s="53"/>
      <c r="Q456" s="53"/>
      <c r="R456" s="618"/>
      <c r="S456" s="3"/>
      <c r="T456" s="3"/>
      <c r="U456" s="3"/>
      <c r="V456" s="3"/>
      <c r="W456" s="3"/>
      <c r="X456" s="3"/>
      <c r="Y456" s="3"/>
      <c r="Z456" s="3"/>
      <c r="AA456" s="3"/>
      <c r="AB456" s="3"/>
      <c r="AC456" s="3"/>
    </row>
    <row r="457">
      <c r="A457" s="3"/>
      <c r="B457" s="3"/>
      <c r="C457" s="3"/>
      <c r="D457" s="319"/>
      <c r="E457" s="3"/>
      <c r="F457" s="3"/>
      <c r="G457" s="3"/>
      <c r="H457" s="3"/>
      <c r="I457" s="3"/>
      <c r="J457" s="3"/>
      <c r="K457" s="3"/>
      <c r="L457" s="3"/>
      <c r="M457" s="3"/>
      <c r="N457" s="3"/>
      <c r="O457" s="3"/>
      <c r="P457" s="53"/>
      <c r="Q457" s="53"/>
      <c r="R457" s="618"/>
      <c r="S457" s="3"/>
      <c r="T457" s="3"/>
      <c r="U457" s="3"/>
      <c r="V457" s="3"/>
      <c r="W457" s="3"/>
      <c r="X457" s="3"/>
      <c r="Y457" s="3"/>
      <c r="Z457" s="3"/>
      <c r="AA457" s="3"/>
      <c r="AB457" s="3"/>
      <c r="AC457" s="3"/>
    </row>
    <row r="458">
      <c r="A458" s="3"/>
      <c r="B458" s="3"/>
      <c r="C458" s="3"/>
      <c r="D458" s="319"/>
      <c r="E458" s="3"/>
      <c r="F458" s="3"/>
      <c r="G458" s="3"/>
      <c r="H458" s="3"/>
      <c r="I458" s="3"/>
      <c r="J458" s="3"/>
      <c r="K458" s="3"/>
      <c r="L458" s="3"/>
      <c r="M458" s="3"/>
      <c r="N458" s="3"/>
      <c r="O458" s="3"/>
      <c r="P458" s="53"/>
      <c r="Q458" s="53"/>
      <c r="R458" s="618"/>
      <c r="S458" s="3"/>
      <c r="T458" s="3"/>
      <c r="U458" s="3"/>
      <c r="V458" s="3"/>
      <c r="W458" s="3"/>
      <c r="X458" s="3"/>
      <c r="Y458" s="3"/>
      <c r="Z458" s="3"/>
      <c r="AA458" s="3"/>
      <c r="AB458" s="3"/>
      <c r="AC458" s="3"/>
    </row>
    <row r="459">
      <c r="A459" s="3"/>
      <c r="B459" s="3"/>
      <c r="C459" s="3"/>
      <c r="D459" s="319"/>
      <c r="E459" s="3"/>
      <c r="F459" s="3"/>
      <c r="G459" s="3"/>
      <c r="H459" s="3"/>
      <c r="I459" s="3"/>
      <c r="J459" s="3"/>
      <c r="K459" s="3"/>
      <c r="L459" s="3"/>
      <c r="M459" s="3"/>
      <c r="N459" s="3"/>
      <c r="O459" s="3"/>
      <c r="P459" s="53"/>
      <c r="Q459" s="53"/>
      <c r="R459" s="618"/>
      <c r="S459" s="3"/>
      <c r="T459" s="3"/>
      <c r="U459" s="3"/>
      <c r="V459" s="3"/>
      <c r="W459" s="3"/>
      <c r="X459" s="3"/>
      <c r="Y459" s="3"/>
      <c r="Z459" s="3"/>
      <c r="AA459" s="3"/>
      <c r="AB459" s="3"/>
      <c r="AC459" s="3"/>
    </row>
    <row r="460">
      <c r="A460" s="3"/>
      <c r="B460" s="3"/>
      <c r="C460" s="3"/>
      <c r="D460" s="319"/>
      <c r="E460" s="3"/>
      <c r="F460" s="3"/>
      <c r="G460" s="3"/>
      <c r="H460" s="3"/>
      <c r="I460" s="3"/>
      <c r="J460" s="3"/>
      <c r="K460" s="3"/>
      <c r="L460" s="3"/>
      <c r="M460" s="3"/>
      <c r="N460" s="3"/>
      <c r="O460" s="3"/>
      <c r="P460" s="53"/>
      <c r="Q460" s="53"/>
      <c r="R460" s="618"/>
      <c r="S460" s="3"/>
      <c r="T460" s="3"/>
      <c r="U460" s="3"/>
      <c r="V460" s="3"/>
      <c r="W460" s="3"/>
      <c r="X460" s="3"/>
      <c r="Y460" s="3"/>
      <c r="Z460" s="3"/>
      <c r="AA460" s="3"/>
      <c r="AB460" s="3"/>
      <c r="AC460" s="3"/>
    </row>
    <row r="461">
      <c r="A461" s="3"/>
      <c r="B461" s="3"/>
      <c r="C461" s="3"/>
      <c r="D461" s="319"/>
      <c r="E461" s="3"/>
      <c r="F461" s="3"/>
      <c r="G461" s="3"/>
      <c r="H461" s="3"/>
      <c r="I461" s="3"/>
      <c r="J461" s="3"/>
      <c r="K461" s="3"/>
      <c r="L461" s="3"/>
      <c r="M461" s="3"/>
      <c r="N461" s="3"/>
      <c r="O461" s="3"/>
      <c r="P461" s="53"/>
      <c r="Q461" s="53"/>
      <c r="R461" s="618"/>
      <c r="S461" s="3"/>
      <c r="T461" s="3"/>
      <c r="U461" s="3"/>
      <c r="V461" s="3"/>
      <c r="W461" s="3"/>
      <c r="X461" s="3"/>
      <c r="Y461" s="3"/>
      <c r="Z461" s="3"/>
      <c r="AA461" s="3"/>
      <c r="AB461" s="3"/>
      <c r="AC461" s="3"/>
    </row>
    <row r="462">
      <c r="A462" s="3"/>
      <c r="B462" s="3"/>
      <c r="C462" s="3"/>
      <c r="D462" s="319"/>
      <c r="E462" s="3"/>
      <c r="F462" s="3"/>
      <c r="G462" s="3"/>
      <c r="H462" s="3"/>
      <c r="I462" s="3"/>
      <c r="J462" s="3"/>
      <c r="K462" s="3"/>
      <c r="L462" s="3"/>
      <c r="M462" s="3"/>
      <c r="N462" s="3"/>
      <c r="O462" s="3"/>
      <c r="P462" s="53"/>
      <c r="Q462" s="53"/>
      <c r="R462" s="618"/>
      <c r="S462" s="3"/>
      <c r="T462" s="3"/>
      <c r="U462" s="3"/>
      <c r="V462" s="3"/>
      <c r="W462" s="3"/>
      <c r="X462" s="3"/>
      <c r="Y462" s="3"/>
      <c r="Z462" s="3"/>
      <c r="AA462" s="3"/>
      <c r="AB462" s="3"/>
      <c r="AC462" s="3"/>
    </row>
    <row r="463">
      <c r="A463" s="3"/>
      <c r="B463" s="3"/>
      <c r="C463" s="3"/>
      <c r="D463" s="319"/>
      <c r="E463" s="3"/>
      <c r="F463" s="3"/>
      <c r="G463" s="3"/>
      <c r="H463" s="3"/>
      <c r="I463" s="3"/>
      <c r="J463" s="3"/>
      <c r="K463" s="3"/>
      <c r="L463" s="3"/>
      <c r="M463" s="3"/>
      <c r="N463" s="3"/>
      <c r="O463" s="3"/>
      <c r="P463" s="53"/>
      <c r="Q463" s="53"/>
      <c r="R463" s="618"/>
      <c r="S463" s="3"/>
      <c r="T463" s="3"/>
      <c r="U463" s="3"/>
      <c r="V463" s="3"/>
      <c r="W463" s="3"/>
      <c r="X463" s="3"/>
      <c r="Y463" s="3"/>
      <c r="Z463" s="3"/>
      <c r="AA463" s="3"/>
      <c r="AB463" s="3"/>
      <c r="AC463" s="3"/>
    </row>
    <row r="464">
      <c r="A464" s="3"/>
      <c r="B464" s="3"/>
      <c r="C464" s="3"/>
      <c r="D464" s="319"/>
      <c r="E464" s="3"/>
      <c r="F464" s="3"/>
      <c r="G464" s="3"/>
      <c r="H464" s="3"/>
      <c r="I464" s="3"/>
      <c r="J464" s="3"/>
      <c r="K464" s="3"/>
      <c r="L464" s="3"/>
      <c r="M464" s="3"/>
      <c r="N464" s="3"/>
      <c r="O464" s="3"/>
      <c r="P464" s="53"/>
      <c r="Q464" s="53"/>
      <c r="R464" s="618"/>
      <c r="S464" s="3"/>
      <c r="T464" s="3"/>
      <c r="U464" s="3"/>
      <c r="V464" s="3"/>
      <c r="W464" s="3"/>
      <c r="X464" s="3"/>
      <c r="Y464" s="3"/>
      <c r="Z464" s="3"/>
      <c r="AA464" s="3"/>
      <c r="AB464" s="3"/>
      <c r="AC464" s="3"/>
    </row>
    <row r="465">
      <c r="A465" s="3"/>
      <c r="B465" s="3"/>
      <c r="C465" s="3"/>
      <c r="D465" s="319"/>
      <c r="E465" s="3"/>
      <c r="F465" s="3"/>
      <c r="G465" s="3"/>
      <c r="H465" s="3"/>
      <c r="I465" s="3"/>
      <c r="J465" s="3"/>
      <c r="K465" s="3"/>
      <c r="L465" s="3"/>
      <c r="M465" s="3"/>
      <c r="N465" s="3"/>
      <c r="O465" s="3"/>
      <c r="P465" s="53"/>
      <c r="Q465" s="53"/>
      <c r="R465" s="618"/>
      <c r="S465" s="3"/>
      <c r="T465" s="3"/>
      <c r="U465" s="3"/>
      <c r="V465" s="3"/>
      <c r="W465" s="3"/>
      <c r="X465" s="3"/>
      <c r="Y465" s="3"/>
      <c r="Z465" s="3"/>
      <c r="AA465" s="3"/>
      <c r="AB465" s="3"/>
      <c r="AC465" s="3"/>
    </row>
    <row r="466">
      <c r="A466" s="3"/>
      <c r="B466" s="3"/>
      <c r="C466" s="3"/>
      <c r="D466" s="319"/>
      <c r="E466" s="3"/>
      <c r="F466" s="3"/>
      <c r="G466" s="3"/>
      <c r="H466" s="3"/>
      <c r="I466" s="3"/>
      <c r="J466" s="3"/>
      <c r="K466" s="3"/>
      <c r="L466" s="3"/>
      <c r="M466" s="3"/>
      <c r="N466" s="3"/>
      <c r="O466" s="3"/>
      <c r="P466" s="53"/>
      <c r="Q466" s="53"/>
      <c r="R466" s="618"/>
      <c r="S466" s="3"/>
      <c r="T466" s="3"/>
      <c r="U466" s="3"/>
      <c r="V466" s="3"/>
      <c r="W466" s="3"/>
      <c r="X466" s="3"/>
      <c r="Y466" s="3"/>
      <c r="Z466" s="3"/>
      <c r="AA466" s="3"/>
      <c r="AB466" s="3"/>
      <c r="AC466" s="3"/>
    </row>
    <row r="467">
      <c r="A467" s="3"/>
      <c r="B467" s="3"/>
      <c r="C467" s="3"/>
      <c r="D467" s="319"/>
      <c r="E467" s="3"/>
      <c r="F467" s="3"/>
      <c r="G467" s="3"/>
      <c r="H467" s="3"/>
      <c r="I467" s="3"/>
      <c r="J467" s="3"/>
      <c r="K467" s="3"/>
      <c r="L467" s="3"/>
      <c r="M467" s="3"/>
      <c r="N467" s="3"/>
      <c r="O467" s="3"/>
      <c r="P467" s="53"/>
      <c r="Q467" s="53"/>
      <c r="R467" s="618"/>
      <c r="S467" s="3"/>
      <c r="T467" s="3"/>
      <c r="U467" s="3"/>
      <c r="V467" s="3"/>
      <c r="W467" s="3"/>
      <c r="X467" s="3"/>
      <c r="Y467" s="3"/>
      <c r="Z467" s="3"/>
      <c r="AA467" s="3"/>
      <c r="AB467" s="3"/>
      <c r="AC467" s="3"/>
    </row>
    <row r="468">
      <c r="A468" s="3"/>
      <c r="B468" s="3"/>
      <c r="C468" s="3"/>
      <c r="D468" s="319"/>
      <c r="E468" s="3"/>
      <c r="F468" s="3"/>
      <c r="G468" s="3"/>
      <c r="H468" s="3"/>
      <c r="I468" s="3"/>
      <c r="J468" s="3"/>
      <c r="K468" s="3"/>
      <c r="L468" s="3"/>
      <c r="M468" s="3"/>
      <c r="N468" s="3"/>
      <c r="O468" s="3"/>
      <c r="P468" s="53"/>
      <c r="Q468" s="53"/>
      <c r="R468" s="618"/>
      <c r="S468" s="3"/>
      <c r="T468" s="3"/>
      <c r="U468" s="3"/>
      <c r="V468" s="3"/>
      <c r="W468" s="3"/>
      <c r="X468" s="3"/>
      <c r="Y468" s="3"/>
      <c r="Z468" s="3"/>
      <c r="AA468" s="3"/>
      <c r="AB468" s="3"/>
      <c r="AC468" s="3"/>
    </row>
    <row r="469">
      <c r="A469" s="3"/>
      <c r="B469" s="3"/>
      <c r="C469" s="3"/>
      <c r="D469" s="319"/>
      <c r="E469" s="3"/>
      <c r="F469" s="3"/>
      <c r="G469" s="3"/>
      <c r="H469" s="3"/>
      <c r="I469" s="3"/>
      <c r="J469" s="3"/>
      <c r="K469" s="3"/>
      <c r="L469" s="3"/>
      <c r="M469" s="3"/>
      <c r="N469" s="3"/>
      <c r="O469" s="3"/>
      <c r="P469" s="53"/>
      <c r="Q469" s="53"/>
      <c r="R469" s="618"/>
      <c r="S469" s="3"/>
      <c r="T469" s="3"/>
      <c r="U469" s="3"/>
      <c r="V469" s="3"/>
      <c r="W469" s="3"/>
      <c r="X469" s="3"/>
      <c r="Y469" s="3"/>
      <c r="Z469" s="3"/>
      <c r="AA469" s="3"/>
      <c r="AB469" s="3"/>
      <c r="AC469" s="3"/>
    </row>
    <row r="470">
      <c r="A470" s="3"/>
      <c r="B470" s="3"/>
      <c r="C470" s="3"/>
      <c r="D470" s="319"/>
      <c r="E470" s="3"/>
      <c r="F470" s="3"/>
      <c r="G470" s="3"/>
      <c r="H470" s="3"/>
      <c r="I470" s="3"/>
      <c r="J470" s="3"/>
      <c r="K470" s="3"/>
      <c r="L470" s="3"/>
      <c r="M470" s="3"/>
      <c r="N470" s="3"/>
      <c r="O470" s="3"/>
      <c r="P470" s="53"/>
      <c r="Q470" s="53"/>
      <c r="R470" s="618"/>
      <c r="S470" s="3"/>
      <c r="T470" s="3"/>
      <c r="U470" s="3"/>
      <c r="V470" s="3"/>
      <c r="W470" s="3"/>
      <c r="X470" s="3"/>
      <c r="Y470" s="3"/>
      <c r="Z470" s="3"/>
      <c r="AA470" s="3"/>
      <c r="AB470" s="3"/>
      <c r="AC470" s="3"/>
    </row>
    <row r="471">
      <c r="A471" s="3"/>
      <c r="B471" s="3"/>
      <c r="C471" s="3"/>
      <c r="D471" s="319"/>
      <c r="E471" s="3"/>
      <c r="F471" s="3"/>
      <c r="G471" s="3"/>
      <c r="H471" s="3"/>
      <c r="I471" s="3"/>
      <c r="J471" s="3"/>
      <c r="K471" s="3"/>
      <c r="L471" s="3"/>
      <c r="M471" s="3"/>
      <c r="N471" s="3"/>
      <c r="O471" s="3"/>
      <c r="P471" s="53"/>
      <c r="Q471" s="53"/>
      <c r="R471" s="618"/>
      <c r="S471" s="3"/>
      <c r="T471" s="3"/>
      <c r="U471" s="3"/>
      <c r="V471" s="3"/>
      <c r="W471" s="3"/>
      <c r="X471" s="3"/>
      <c r="Y471" s="3"/>
      <c r="Z471" s="3"/>
      <c r="AA471" s="3"/>
      <c r="AB471" s="3"/>
      <c r="AC471" s="3"/>
    </row>
    <row r="472">
      <c r="A472" s="3"/>
      <c r="B472" s="3"/>
      <c r="C472" s="3"/>
      <c r="D472" s="319"/>
      <c r="E472" s="3"/>
      <c r="F472" s="3"/>
      <c r="G472" s="3"/>
      <c r="H472" s="3"/>
      <c r="I472" s="3"/>
      <c r="J472" s="3"/>
      <c r="K472" s="3"/>
      <c r="L472" s="3"/>
      <c r="M472" s="3"/>
      <c r="N472" s="3"/>
      <c r="O472" s="3"/>
      <c r="P472" s="53"/>
      <c r="Q472" s="53"/>
      <c r="R472" s="618"/>
      <c r="S472" s="3"/>
      <c r="T472" s="3"/>
      <c r="U472" s="3"/>
      <c r="V472" s="3"/>
      <c r="W472" s="3"/>
      <c r="X472" s="3"/>
      <c r="Y472" s="3"/>
      <c r="Z472" s="3"/>
      <c r="AA472" s="3"/>
      <c r="AB472" s="3"/>
      <c r="AC472" s="3"/>
    </row>
    <row r="473">
      <c r="A473" s="3"/>
      <c r="B473" s="3"/>
      <c r="C473" s="3"/>
      <c r="D473" s="319"/>
      <c r="E473" s="3"/>
      <c r="F473" s="3"/>
      <c r="G473" s="3"/>
      <c r="H473" s="3"/>
      <c r="I473" s="3"/>
      <c r="J473" s="3"/>
      <c r="K473" s="3"/>
      <c r="L473" s="3"/>
      <c r="M473" s="3"/>
      <c r="N473" s="3"/>
      <c r="O473" s="3"/>
      <c r="P473" s="53"/>
      <c r="Q473" s="53"/>
      <c r="R473" s="618"/>
      <c r="S473" s="3"/>
      <c r="T473" s="3"/>
      <c r="U473" s="3"/>
      <c r="V473" s="3"/>
      <c r="W473" s="3"/>
      <c r="X473" s="3"/>
      <c r="Y473" s="3"/>
      <c r="Z473" s="3"/>
      <c r="AA473" s="3"/>
      <c r="AB473" s="3"/>
      <c r="AC473" s="3"/>
    </row>
    <row r="474">
      <c r="A474" s="3"/>
      <c r="B474" s="3"/>
      <c r="C474" s="3"/>
      <c r="D474" s="319"/>
      <c r="E474" s="3"/>
      <c r="F474" s="3"/>
      <c r="G474" s="3"/>
      <c r="H474" s="3"/>
      <c r="I474" s="3"/>
      <c r="J474" s="3"/>
      <c r="K474" s="3"/>
      <c r="L474" s="3"/>
      <c r="M474" s="3"/>
      <c r="N474" s="3"/>
      <c r="O474" s="3"/>
      <c r="P474" s="53"/>
      <c r="Q474" s="53"/>
      <c r="R474" s="618"/>
      <c r="S474" s="3"/>
      <c r="T474" s="3"/>
      <c r="U474" s="3"/>
      <c r="V474" s="3"/>
      <c r="W474" s="3"/>
      <c r="X474" s="3"/>
      <c r="Y474" s="3"/>
      <c r="Z474" s="3"/>
      <c r="AA474" s="3"/>
      <c r="AB474" s="3"/>
      <c r="AC474" s="3"/>
    </row>
    <row r="475">
      <c r="A475" s="3"/>
      <c r="B475" s="3"/>
      <c r="C475" s="3"/>
      <c r="D475" s="319"/>
      <c r="E475" s="3"/>
      <c r="F475" s="3"/>
      <c r="G475" s="3"/>
      <c r="H475" s="3"/>
      <c r="I475" s="3"/>
      <c r="J475" s="3"/>
      <c r="K475" s="3"/>
      <c r="L475" s="3"/>
      <c r="M475" s="3"/>
      <c r="N475" s="3"/>
      <c r="O475" s="3"/>
      <c r="P475" s="53"/>
      <c r="Q475" s="53"/>
      <c r="R475" s="618"/>
      <c r="S475" s="3"/>
      <c r="T475" s="3"/>
      <c r="U475" s="3"/>
      <c r="V475" s="3"/>
      <c r="W475" s="3"/>
      <c r="X475" s="3"/>
      <c r="Y475" s="3"/>
      <c r="Z475" s="3"/>
      <c r="AA475" s="3"/>
      <c r="AB475" s="3"/>
      <c r="AC475" s="3"/>
    </row>
    <row r="476">
      <c r="A476" s="3"/>
      <c r="B476" s="3"/>
      <c r="C476" s="3"/>
      <c r="D476" s="319"/>
      <c r="E476" s="3"/>
      <c r="F476" s="3"/>
      <c r="G476" s="3"/>
      <c r="H476" s="3"/>
      <c r="I476" s="3"/>
      <c r="J476" s="3"/>
      <c r="K476" s="3"/>
      <c r="L476" s="3"/>
      <c r="M476" s="3"/>
      <c r="N476" s="3"/>
      <c r="O476" s="3"/>
      <c r="P476" s="53"/>
      <c r="Q476" s="53"/>
      <c r="R476" s="618"/>
      <c r="S476" s="3"/>
      <c r="T476" s="3"/>
      <c r="U476" s="3"/>
      <c r="V476" s="3"/>
      <c r="W476" s="3"/>
      <c r="X476" s="3"/>
      <c r="Y476" s="3"/>
      <c r="Z476" s="3"/>
      <c r="AA476" s="3"/>
      <c r="AB476" s="3"/>
      <c r="AC476" s="3"/>
    </row>
    <row r="477">
      <c r="A477" s="3"/>
      <c r="B477" s="3"/>
      <c r="C477" s="3"/>
      <c r="D477" s="319"/>
      <c r="E477" s="3"/>
      <c r="F477" s="3"/>
      <c r="G477" s="3"/>
      <c r="H477" s="3"/>
      <c r="I477" s="3"/>
      <c r="J477" s="3"/>
      <c r="K477" s="3"/>
      <c r="L477" s="3"/>
      <c r="M477" s="3"/>
      <c r="N477" s="3"/>
      <c r="O477" s="3"/>
      <c r="P477" s="53"/>
      <c r="Q477" s="53"/>
      <c r="R477" s="618"/>
      <c r="S477" s="3"/>
      <c r="T477" s="3"/>
      <c r="U477" s="3"/>
      <c r="V477" s="3"/>
      <c r="W477" s="3"/>
      <c r="X477" s="3"/>
      <c r="Y477" s="3"/>
      <c r="Z477" s="3"/>
      <c r="AA477" s="3"/>
      <c r="AB477" s="3"/>
      <c r="AC477" s="3"/>
    </row>
    <row r="478">
      <c r="A478" s="3"/>
      <c r="B478" s="3"/>
      <c r="C478" s="3"/>
      <c r="D478" s="319"/>
      <c r="E478" s="3"/>
      <c r="F478" s="3"/>
      <c r="G478" s="3"/>
      <c r="H478" s="3"/>
      <c r="I478" s="3"/>
      <c r="J478" s="3"/>
      <c r="K478" s="3"/>
      <c r="L478" s="3"/>
      <c r="M478" s="3"/>
      <c r="N478" s="3"/>
      <c r="O478" s="3"/>
      <c r="P478" s="53"/>
      <c r="Q478" s="53"/>
      <c r="R478" s="618"/>
      <c r="S478" s="3"/>
      <c r="T478" s="3"/>
      <c r="U478" s="3"/>
      <c r="V478" s="3"/>
      <c r="W478" s="3"/>
      <c r="X478" s="3"/>
      <c r="Y478" s="3"/>
      <c r="Z478" s="3"/>
      <c r="AA478" s="3"/>
      <c r="AB478" s="3"/>
      <c r="AC478" s="3"/>
    </row>
    <row r="479">
      <c r="A479" s="3"/>
      <c r="B479" s="3"/>
      <c r="C479" s="3"/>
      <c r="D479" s="319"/>
      <c r="E479" s="3"/>
      <c r="F479" s="3"/>
      <c r="G479" s="3"/>
      <c r="H479" s="3"/>
      <c r="I479" s="3"/>
      <c r="J479" s="3"/>
      <c r="K479" s="3"/>
      <c r="L479" s="3"/>
      <c r="M479" s="3"/>
      <c r="N479" s="3"/>
      <c r="O479" s="3"/>
      <c r="P479" s="53"/>
      <c r="Q479" s="53"/>
      <c r="R479" s="618"/>
      <c r="S479" s="3"/>
      <c r="T479" s="3"/>
      <c r="U479" s="3"/>
      <c r="V479" s="3"/>
      <c r="W479" s="3"/>
      <c r="X479" s="3"/>
      <c r="Y479" s="3"/>
      <c r="Z479" s="3"/>
      <c r="AA479" s="3"/>
      <c r="AB479" s="3"/>
      <c r="AC479" s="3"/>
    </row>
    <row r="480">
      <c r="A480" s="3"/>
      <c r="B480" s="3"/>
      <c r="C480" s="3"/>
      <c r="D480" s="319"/>
      <c r="E480" s="3"/>
      <c r="F480" s="3"/>
      <c r="G480" s="3"/>
      <c r="H480" s="3"/>
      <c r="I480" s="3"/>
      <c r="J480" s="3"/>
      <c r="K480" s="3"/>
      <c r="L480" s="3"/>
      <c r="M480" s="3"/>
      <c r="N480" s="3"/>
      <c r="O480" s="3"/>
      <c r="P480" s="53"/>
      <c r="Q480" s="53"/>
      <c r="R480" s="618"/>
      <c r="S480" s="3"/>
      <c r="T480" s="3"/>
      <c r="U480" s="3"/>
      <c r="V480" s="3"/>
      <c r="W480" s="3"/>
      <c r="X480" s="3"/>
      <c r="Y480" s="3"/>
      <c r="Z480" s="3"/>
      <c r="AA480" s="3"/>
      <c r="AB480" s="3"/>
      <c r="AC480" s="3"/>
    </row>
    <row r="481">
      <c r="A481" s="3"/>
      <c r="B481" s="3"/>
      <c r="C481" s="3"/>
      <c r="D481" s="319"/>
      <c r="E481" s="3"/>
      <c r="F481" s="3"/>
      <c r="G481" s="3"/>
      <c r="H481" s="3"/>
      <c r="I481" s="3"/>
      <c r="J481" s="3"/>
      <c r="K481" s="3"/>
      <c r="L481" s="3"/>
      <c r="M481" s="3"/>
      <c r="N481" s="3"/>
      <c r="O481" s="3"/>
      <c r="P481" s="53"/>
      <c r="Q481" s="53"/>
      <c r="R481" s="618"/>
      <c r="S481" s="3"/>
      <c r="T481" s="3"/>
      <c r="U481" s="3"/>
      <c r="V481" s="3"/>
      <c r="W481" s="3"/>
      <c r="X481" s="3"/>
      <c r="Y481" s="3"/>
      <c r="Z481" s="3"/>
      <c r="AA481" s="3"/>
      <c r="AB481" s="3"/>
      <c r="AC481" s="3"/>
    </row>
    <row r="482">
      <c r="A482" s="3"/>
      <c r="B482" s="3"/>
      <c r="C482" s="3"/>
      <c r="D482" s="319"/>
      <c r="E482" s="3"/>
      <c r="F482" s="3"/>
      <c r="G482" s="3"/>
      <c r="H482" s="3"/>
      <c r="I482" s="3"/>
      <c r="J482" s="3"/>
      <c r="K482" s="3"/>
      <c r="L482" s="3"/>
      <c r="M482" s="3"/>
      <c r="N482" s="3"/>
      <c r="O482" s="3"/>
      <c r="P482" s="53"/>
      <c r="Q482" s="53"/>
      <c r="R482" s="618"/>
      <c r="S482" s="3"/>
      <c r="T482" s="3"/>
      <c r="U482" s="3"/>
      <c r="V482" s="3"/>
      <c r="W482" s="3"/>
      <c r="X482" s="3"/>
      <c r="Y482" s="3"/>
      <c r="Z482" s="3"/>
      <c r="AA482" s="3"/>
      <c r="AB482" s="3"/>
      <c r="AC482" s="3"/>
    </row>
    <row r="483">
      <c r="A483" s="3"/>
      <c r="B483" s="3"/>
      <c r="C483" s="3"/>
      <c r="D483" s="319"/>
      <c r="E483" s="3"/>
      <c r="F483" s="3"/>
      <c r="G483" s="3"/>
      <c r="H483" s="3"/>
      <c r="I483" s="3"/>
      <c r="J483" s="3"/>
      <c r="K483" s="3"/>
      <c r="L483" s="3"/>
      <c r="M483" s="3"/>
      <c r="N483" s="3"/>
      <c r="O483" s="3"/>
      <c r="P483" s="53"/>
      <c r="Q483" s="53"/>
      <c r="R483" s="618"/>
      <c r="S483" s="3"/>
      <c r="T483" s="3"/>
      <c r="U483" s="3"/>
      <c r="V483" s="3"/>
      <c r="W483" s="3"/>
      <c r="X483" s="3"/>
      <c r="Y483" s="3"/>
      <c r="Z483" s="3"/>
      <c r="AA483" s="3"/>
      <c r="AB483" s="3"/>
      <c r="AC483" s="3"/>
    </row>
    <row r="484">
      <c r="A484" s="3"/>
      <c r="B484" s="3"/>
      <c r="C484" s="3"/>
      <c r="D484" s="319"/>
      <c r="E484" s="3"/>
      <c r="F484" s="3"/>
      <c r="G484" s="3"/>
      <c r="H484" s="3"/>
      <c r="I484" s="3"/>
      <c r="J484" s="3"/>
      <c r="K484" s="3"/>
      <c r="L484" s="3"/>
      <c r="M484" s="3"/>
      <c r="N484" s="3"/>
      <c r="O484" s="3"/>
      <c r="P484" s="53"/>
      <c r="Q484" s="53"/>
      <c r="R484" s="618"/>
      <c r="S484" s="3"/>
      <c r="T484" s="3"/>
      <c r="U484" s="3"/>
      <c r="V484" s="3"/>
      <c r="W484" s="3"/>
      <c r="X484" s="3"/>
      <c r="Y484" s="3"/>
      <c r="Z484" s="3"/>
      <c r="AA484" s="3"/>
      <c r="AB484" s="3"/>
      <c r="AC484" s="3"/>
    </row>
    <row r="485">
      <c r="A485" s="3"/>
      <c r="B485" s="3"/>
      <c r="C485" s="3"/>
      <c r="D485" s="319"/>
      <c r="E485" s="3"/>
      <c r="F485" s="3"/>
      <c r="G485" s="3"/>
      <c r="H485" s="3"/>
      <c r="I485" s="3"/>
      <c r="J485" s="3"/>
      <c r="K485" s="3"/>
      <c r="L485" s="3"/>
      <c r="M485" s="3"/>
      <c r="N485" s="3"/>
      <c r="O485" s="3"/>
      <c r="P485" s="53"/>
      <c r="Q485" s="53"/>
      <c r="R485" s="618"/>
      <c r="S485" s="3"/>
      <c r="T485" s="3"/>
      <c r="U485" s="3"/>
      <c r="V485" s="3"/>
      <c r="W485" s="3"/>
      <c r="X485" s="3"/>
      <c r="Y485" s="3"/>
      <c r="Z485" s="3"/>
      <c r="AA485" s="3"/>
      <c r="AB485" s="3"/>
      <c r="AC485" s="3"/>
    </row>
    <row r="486">
      <c r="A486" s="3"/>
      <c r="B486" s="3"/>
      <c r="C486" s="3"/>
      <c r="D486" s="319"/>
      <c r="E486" s="3"/>
      <c r="F486" s="3"/>
      <c r="G486" s="3"/>
      <c r="H486" s="3"/>
      <c r="I486" s="3"/>
      <c r="J486" s="3"/>
      <c r="K486" s="3"/>
      <c r="L486" s="3"/>
      <c r="M486" s="3"/>
      <c r="N486" s="3"/>
      <c r="O486" s="3"/>
      <c r="P486" s="53"/>
      <c r="Q486" s="53"/>
      <c r="R486" s="618"/>
      <c r="S486" s="3"/>
      <c r="T486" s="3"/>
      <c r="U486" s="3"/>
      <c r="V486" s="3"/>
      <c r="W486" s="3"/>
      <c r="X486" s="3"/>
      <c r="Y486" s="3"/>
      <c r="Z486" s="3"/>
      <c r="AA486" s="3"/>
      <c r="AB486" s="3"/>
      <c r="AC486" s="3"/>
    </row>
    <row r="487">
      <c r="A487" s="3"/>
      <c r="B487" s="3"/>
      <c r="C487" s="3"/>
      <c r="D487" s="319"/>
      <c r="E487" s="3"/>
      <c r="F487" s="3"/>
      <c r="G487" s="3"/>
      <c r="H487" s="3"/>
      <c r="I487" s="3"/>
      <c r="J487" s="3"/>
      <c r="K487" s="3"/>
      <c r="L487" s="3"/>
      <c r="M487" s="3"/>
      <c r="N487" s="3"/>
      <c r="O487" s="3"/>
      <c r="P487" s="53"/>
      <c r="Q487" s="53"/>
      <c r="R487" s="618"/>
      <c r="S487" s="3"/>
      <c r="T487" s="3"/>
      <c r="U487" s="3"/>
      <c r="V487" s="3"/>
      <c r="W487" s="3"/>
      <c r="X487" s="3"/>
      <c r="Y487" s="3"/>
      <c r="Z487" s="3"/>
      <c r="AA487" s="3"/>
      <c r="AB487" s="3"/>
      <c r="AC487" s="3"/>
    </row>
    <row r="488">
      <c r="A488" s="3"/>
      <c r="B488" s="3"/>
      <c r="C488" s="3"/>
      <c r="D488" s="319"/>
      <c r="E488" s="3"/>
      <c r="F488" s="3"/>
      <c r="G488" s="3"/>
      <c r="H488" s="3"/>
      <c r="I488" s="3"/>
      <c r="J488" s="3"/>
      <c r="K488" s="3"/>
      <c r="L488" s="3"/>
      <c r="M488" s="3"/>
      <c r="N488" s="3"/>
      <c r="O488" s="3"/>
      <c r="P488" s="53"/>
      <c r="Q488" s="53"/>
      <c r="R488" s="618"/>
      <c r="S488" s="3"/>
      <c r="T488" s="3"/>
      <c r="U488" s="3"/>
      <c r="V488" s="3"/>
      <c r="W488" s="3"/>
      <c r="X488" s="3"/>
      <c r="Y488" s="3"/>
      <c r="Z488" s="3"/>
      <c r="AA488" s="3"/>
      <c r="AB488" s="3"/>
      <c r="AC488" s="3"/>
    </row>
    <row r="489">
      <c r="A489" s="3"/>
      <c r="B489" s="3"/>
      <c r="C489" s="3"/>
      <c r="D489" s="319"/>
      <c r="E489" s="3"/>
      <c r="F489" s="3"/>
      <c r="G489" s="3"/>
      <c r="H489" s="3"/>
      <c r="I489" s="3"/>
      <c r="J489" s="3"/>
      <c r="K489" s="3"/>
      <c r="L489" s="3"/>
      <c r="M489" s="3"/>
      <c r="N489" s="3"/>
      <c r="O489" s="3"/>
      <c r="P489" s="53"/>
      <c r="Q489" s="53"/>
      <c r="R489" s="618"/>
      <c r="S489" s="3"/>
      <c r="T489" s="3"/>
      <c r="U489" s="3"/>
      <c r="V489" s="3"/>
      <c r="W489" s="3"/>
      <c r="X489" s="3"/>
      <c r="Y489" s="3"/>
      <c r="Z489" s="3"/>
      <c r="AA489" s="3"/>
      <c r="AB489" s="3"/>
      <c r="AC489" s="3"/>
    </row>
    <row r="490">
      <c r="A490" s="3"/>
      <c r="B490" s="3"/>
      <c r="C490" s="3"/>
      <c r="D490" s="319"/>
      <c r="E490" s="3"/>
      <c r="F490" s="3"/>
      <c r="G490" s="3"/>
      <c r="H490" s="3"/>
      <c r="I490" s="3"/>
      <c r="J490" s="3"/>
      <c r="K490" s="3"/>
      <c r="L490" s="3"/>
      <c r="M490" s="3"/>
      <c r="N490" s="3"/>
      <c r="O490" s="3"/>
      <c r="P490" s="53"/>
      <c r="Q490" s="53"/>
      <c r="R490" s="618"/>
      <c r="S490" s="3"/>
      <c r="T490" s="3"/>
      <c r="U490" s="3"/>
      <c r="V490" s="3"/>
      <c r="W490" s="3"/>
      <c r="X490" s="3"/>
      <c r="Y490" s="3"/>
      <c r="Z490" s="3"/>
      <c r="AA490" s="3"/>
      <c r="AB490" s="3"/>
      <c r="AC490" s="3"/>
    </row>
    <row r="491">
      <c r="A491" s="3"/>
      <c r="B491" s="3"/>
      <c r="C491" s="3"/>
      <c r="D491" s="319"/>
      <c r="E491" s="3"/>
      <c r="F491" s="3"/>
      <c r="G491" s="3"/>
      <c r="H491" s="3"/>
      <c r="I491" s="3"/>
      <c r="J491" s="3"/>
      <c r="K491" s="3"/>
      <c r="L491" s="3"/>
      <c r="M491" s="3"/>
      <c r="N491" s="3"/>
      <c r="O491" s="3"/>
      <c r="P491" s="53"/>
      <c r="Q491" s="53"/>
      <c r="R491" s="618"/>
      <c r="S491" s="3"/>
      <c r="T491" s="3"/>
      <c r="U491" s="3"/>
      <c r="V491" s="3"/>
      <c r="W491" s="3"/>
      <c r="X491" s="3"/>
      <c r="Y491" s="3"/>
      <c r="Z491" s="3"/>
      <c r="AA491" s="3"/>
      <c r="AB491" s="3"/>
      <c r="AC491" s="3"/>
    </row>
    <row r="492">
      <c r="A492" s="3"/>
      <c r="B492" s="3"/>
      <c r="C492" s="3"/>
      <c r="D492" s="319"/>
      <c r="E492" s="3"/>
      <c r="F492" s="3"/>
      <c r="G492" s="3"/>
      <c r="H492" s="3"/>
      <c r="I492" s="3"/>
      <c r="J492" s="3"/>
      <c r="K492" s="3"/>
      <c r="L492" s="3"/>
      <c r="M492" s="3"/>
      <c r="N492" s="3"/>
      <c r="O492" s="3"/>
      <c r="P492" s="53"/>
      <c r="Q492" s="53"/>
      <c r="R492" s="618"/>
      <c r="S492" s="3"/>
      <c r="T492" s="3"/>
      <c r="U492" s="3"/>
      <c r="V492" s="3"/>
      <c r="W492" s="3"/>
      <c r="X492" s="3"/>
      <c r="Y492" s="3"/>
      <c r="Z492" s="3"/>
      <c r="AA492" s="3"/>
      <c r="AB492" s="3"/>
      <c r="AC492" s="3"/>
    </row>
    <row r="493">
      <c r="A493" s="3"/>
      <c r="B493" s="3"/>
      <c r="C493" s="3"/>
      <c r="D493" s="319"/>
      <c r="E493" s="3"/>
      <c r="F493" s="3"/>
      <c r="G493" s="3"/>
      <c r="H493" s="3"/>
      <c r="I493" s="3"/>
      <c r="J493" s="3"/>
      <c r="K493" s="3"/>
      <c r="L493" s="3"/>
      <c r="M493" s="3"/>
      <c r="N493" s="3"/>
      <c r="O493" s="3"/>
      <c r="P493" s="53"/>
      <c r="Q493" s="53"/>
      <c r="R493" s="618"/>
      <c r="S493" s="3"/>
      <c r="T493" s="3"/>
      <c r="U493" s="3"/>
      <c r="V493" s="3"/>
      <c r="W493" s="3"/>
      <c r="X493" s="3"/>
      <c r="Y493" s="3"/>
      <c r="Z493" s="3"/>
      <c r="AA493" s="3"/>
      <c r="AB493" s="3"/>
      <c r="AC493" s="3"/>
    </row>
    <row r="494">
      <c r="A494" s="3"/>
      <c r="B494" s="3"/>
      <c r="C494" s="3"/>
      <c r="D494" s="319"/>
      <c r="E494" s="3"/>
      <c r="F494" s="3"/>
      <c r="G494" s="3"/>
      <c r="H494" s="3"/>
      <c r="I494" s="3"/>
      <c r="J494" s="3"/>
      <c r="K494" s="3"/>
      <c r="L494" s="3"/>
      <c r="M494" s="3"/>
      <c r="N494" s="3"/>
      <c r="O494" s="3"/>
      <c r="P494" s="53"/>
      <c r="Q494" s="53"/>
      <c r="R494" s="618"/>
      <c r="S494" s="3"/>
      <c r="T494" s="3"/>
      <c r="U494" s="3"/>
      <c r="V494" s="3"/>
      <c r="W494" s="3"/>
      <c r="X494" s="3"/>
      <c r="Y494" s="3"/>
      <c r="Z494" s="3"/>
      <c r="AA494" s="3"/>
      <c r="AB494" s="3"/>
      <c r="AC494" s="3"/>
    </row>
    <row r="495">
      <c r="A495" s="3"/>
      <c r="B495" s="3"/>
      <c r="C495" s="3"/>
      <c r="D495" s="319"/>
      <c r="E495" s="3"/>
      <c r="F495" s="3"/>
      <c r="G495" s="3"/>
      <c r="H495" s="3"/>
      <c r="I495" s="3"/>
      <c r="J495" s="3"/>
      <c r="K495" s="3"/>
      <c r="L495" s="3"/>
      <c r="M495" s="3"/>
      <c r="N495" s="3"/>
      <c r="O495" s="3"/>
      <c r="P495" s="53"/>
      <c r="Q495" s="53"/>
      <c r="R495" s="618"/>
      <c r="S495" s="3"/>
      <c r="T495" s="3"/>
      <c r="U495" s="3"/>
      <c r="V495" s="3"/>
      <c r="W495" s="3"/>
      <c r="X495" s="3"/>
      <c r="Y495" s="3"/>
      <c r="Z495" s="3"/>
      <c r="AA495" s="3"/>
      <c r="AB495" s="3"/>
      <c r="AC495" s="3"/>
    </row>
    <row r="496">
      <c r="A496" s="3"/>
      <c r="B496" s="3"/>
      <c r="C496" s="3"/>
      <c r="D496" s="319"/>
      <c r="E496" s="3"/>
      <c r="F496" s="3"/>
      <c r="G496" s="3"/>
      <c r="H496" s="3"/>
      <c r="I496" s="3"/>
      <c r="J496" s="3"/>
      <c r="K496" s="3"/>
      <c r="L496" s="3"/>
      <c r="M496" s="3"/>
      <c r="N496" s="3"/>
      <c r="O496" s="3"/>
      <c r="P496" s="53"/>
      <c r="Q496" s="53"/>
      <c r="R496" s="618"/>
      <c r="S496" s="3"/>
      <c r="T496" s="3"/>
      <c r="U496" s="3"/>
      <c r="V496" s="3"/>
      <c r="W496" s="3"/>
      <c r="X496" s="3"/>
      <c r="Y496" s="3"/>
      <c r="Z496" s="3"/>
      <c r="AA496" s="3"/>
      <c r="AB496" s="3"/>
      <c r="AC496" s="3"/>
    </row>
    <row r="497">
      <c r="A497" s="3"/>
      <c r="B497" s="3"/>
      <c r="C497" s="3"/>
      <c r="D497" s="319"/>
      <c r="E497" s="3"/>
      <c r="F497" s="3"/>
      <c r="G497" s="3"/>
      <c r="H497" s="3"/>
      <c r="I497" s="3"/>
      <c r="J497" s="3"/>
      <c r="K497" s="3"/>
      <c r="L497" s="3"/>
      <c r="M497" s="3"/>
      <c r="N497" s="3"/>
      <c r="O497" s="3"/>
      <c r="P497" s="53"/>
      <c r="Q497" s="53"/>
      <c r="R497" s="618"/>
      <c r="S497" s="3"/>
      <c r="T497" s="3"/>
      <c r="U497" s="3"/>
      <c r="V497" s="3"/>
      <c r="W497" s="3"/>
      <c r="X497" s="3"/>
      <c r="Y497" s="3"/>
      <c r="Z497" s="3"/>
      <c r="AA497" s="3"/>
      <c r="AB497" s="3"/>
      <c r="AC497" s="3"/>
    </row>
    <row r="498">
      <c r="A498" s="3"/>
      <c r="B498" s="3"/>
      <c r="C498" s="3"/>
      <c r="D498" s="319"/>
      <c r="E498" s="3"/>
      <c r="F498" s="3"/>
      <c r="G498" s="3"/>
      <c r="H498" s="3"/>
      <c r="I498" s="3"/>
      <c r="J498" s="3"/>
      <c r="K498" s="3"/>
      <c r="L498" s="3"/>
      <c r="M498" s="3"/>
      <c r="N498" s="3"/>
      <c r="O498" s="3"/>
      <c r="P498" s="53"/>
      <c r="Q498" s="53"/>
      <c r="R498" s="618"/>
      <c r="S498" s="3"/>
      <c r="T498" s="3"/>
      <c r="U498" s="3"/>
      <c r="V498" s="3"/>
      <c r="W498" s="3"/>
      <c r="X498" s="3"/>
      <c r="Y498" s="3"/>
      <c r="Z498" s="3"/>
      <c r="AA498" s="3"/>
      <c r="AB498" s="3"/>
      <c r="AC498" s="3"/>
    </row>
    <row r="499">
      <c r="A499" s="3"/>
      <c r="B499" s="3"/>
      <c r="C499" s="3"/>
      <c r="D499" s="319"/>
      <c r="E499" s="3"/>
      <c r="F499" s="3"/>
      <c r="G499" s="3"/>
      <c r="H499" s="3"/>
      <c r="I499" s="3"/>
      <c r="J499" s="3"/>
      <c r="K499" s="3"/>
      <c r="L499" s="3"/>
      <c r="M499" s="3"/>
      <c r="N499" s="3"/>
      <c r="O499" s="3"/>
      <c r="P499" s="53"/>
      <c r="Q499" s="53"/>
      <c r="R499" s="618"/>
      <c r="S499" s="3"/>
      <c r="T499" s="3"/>
      <c r="U499" s="3"/>
      <c r="V499" s="3"/>
      <c r="W499" s="3"/>
      <c r="X499" s="3"/>
      <c r="Y499" s="3"/>
      <c r="Z499" s="3"/>
      <c r="AA499" s="3"/>
      <c r="AB499" s="3"/>
      <c r="AC499" s="3"/>
    </row>
    <row r="500">
      <c r="A500" s="3"/>
      <c r="B500" s="3"/>
      <c r="C500" s="3"/>
      <c r="D500" s="319"/>
      <c r="E500" s="3"/>
      <c r="F500" s="3"/>
      <c r="G500" s="3"/>
      <c r="H500" s="3"/>
      <c r="I500" s="3"/>
      <c r="J500" s="3"/>
      <c r="K500" s="3"/>
      <c r="L500" s="3"/>
      <c r="M500" s="3"/>
      <c r="N500" s="3"/>
      <c r="O500" s="3"/>
      <c r="P500" s="53"/>
      <c r="Q500" s="53"/>
      <c r="R500" s="618"/>
      <c r="S500" s="3"/>
      <c r="T500" s="3"/>
      <c r="U500" s="3"/>
      <c r="V500" s="3"/>
      <c r="W500" s="3"/>
      <c r="X500" s="3"/>
      <c r="Y500" s="3"/>
      <c r="Z500" s="3"/>
      <c r="AA500" s="3"/>
      <c r="AB500" s="3"/>
      <c r="AC500" s="3"/>
    </row>
    <row r="501">
      <c r="A501" s="3"/>
      <c r="B501" s="3"/>
      <c r="C501" s="3"/>
      <c r="D501" s="319"/>
      <c r="E501" s="3"/>
      <c r="F501" s="3"/>
      <c r="G501" s="3"/>
      <c r="H501" s="3"/>
      <c r="I501" s="3"/>
      <c r="J501" s="3"/>
      <c r="K501" s="3"/>
      <c r="L501" s="3"/>
      <c r="M501" s="3"/>
      <c r="N501" s="3"/>
      <c r="O501" s="3"/>
      <c r="P501" s="53"/>
      <c r="Q501" s="53"/>
      <c r="R501" s="618"/>
      <c r="S501" s="3"/>
      <c r="T501" s="3"/>
      <c r="U501" s="3"/>
      <c r="V501" s="3"/>
      <c r="W501" s="3"/>
      <c r="X501" s="3"/>
      <c r="Y501" s="3"/>
      <c r="Z501" s="3"/>
      <c r="AA501" s="3"/>
      <c r="AB501" s="3"/>
      <c r="AC501" s="3"/>
    </row>
    <row r="502">
      <c r="A502" s="3"/>
      <c r="B502" s="3"/>
      <c r="C502" s="3"/>
      <c r="D502" s="319"/>
      <c r="E502" s="3"/>
      <c r="F502" s="3"/>
      <c r="G502" s="3"/>
      <c r="H502" s="3"/>
      <c r="I502" s="3"/>
      <c r="J502" s="3"/>
      <c r="K502" s="3"/>
      <c r="L502" s="3"/>
      <c r="M502" s="3"/>
      <c r="N502" s="3"/>
      <c r="O502" s="3"/>
      <c r="P502" s="53"/>
      <c r="Q502" s="53"/>
      <c r="R502" s="618"/>
      <c r="S502" s="3"/>
      <c r="T502" s="3"/>
      <c r="U502" s="3"/>
      <c r="V502" s="3"/>
      <c r="W502" s="3"/>
      <c r="X502" s="3"/>
      <c r="Y502" s="3"/>
      <c r="Z502" s="3"/>
      <c r="AA502" s="3"/>
      <c r="AB502" s="3"/>
      <c r="AC502" s="3"/>
    </row>
    <row r="503">
      <c r="A503" s="3"/>
      <c r="B503" s="3"/>
      <c r="C503" s="3"/>
      <c r="D503" s="319"/>
      <c r="E503" s="3"/>
      <c r="F503" s="3"/>
      <c r="G503" s="3"/>
      <c r="H503" s="3"/>
      <c r="I503" s="3"/>
      <c r="J503" s="3"/>
      <c r="K503" s="3"/>
      <c r="L503" s="3"/>
      <c r="M503" s="3"/>
      <c r="N503" s="3"/>
      <c r="O503" s="3"/>
      <c r="P503" s="53"/>
      <c r="Q503" s="53"/>
      <c r="R503" s="618"/>
      <c r="S503" s="3"/>
      <c r="T503" s="3"/>
      <c r="U503" s="3"/>
      <c r="V503" s="3"/>
      <c r="W503" s="3"/>
      <c r="X503" s="3"/>
      <c r="Y503" s="3"/>
      <c r="Z503" s="3"/>
      <c r="AA503" s="3"/>
      <c r="AB503" s="3"/>
      <c r="AC503" s="3"/>
    </row>
    <row r="504">
      <c r="A504" s="3"/>
      <c r="B504" s="3"/>
      <c r="C504" s="3"/>
      <c r="D504" s="319"/>
      <c r="E504" s="3"/>
      <c r="F504" s="3"/>
      <c r="G504" s="3"/>
      <c r="H504" s="3"/>
      <c r="I504" s="3"/>
      <c r="J504" s="3"/>
      <c r="K504" s="3"/>
      <c r="L504" s="3"/>
      <c r="M504" s="3"/>
      <c r="N504" s="3"/>
      <c r="O504" s="3"/>
      <c r="P504" s="53"/>
      <c r="Q504" s="53"/>
      <c r="R504" s="618"/>
      <c r="S504" s="3"/>
      <c r="T504" s="3"/>
      <c r="U504" s="3"/>
      <c r="V504" s="3"/>
      <c r="W504" s="3"/>
      <c r="X504" s="3"/>
      <c r="Y504" s="3"/>
      <c r="Z504" s="3"/>
      <c r="AA504" s="3"/>
      <c r="AB504" s="3"/>
      <c r="AC504" s="3"/>
    </row>
    <row r="505">
      <c r="A505" s="3"/>
      <c r="B505" s="3"/>
      <c r="C505" s="3"/>
      <c r="D505" s="319"/>
      <c r="E505" s="3"/>
      <c r="F505" s="3"/>
      <c r="G505" s="3"/>
      <c r="H505" s="3"/>
      <c r="I505" s="3"/>
      <c r="J505" s="3"/>
      <c r="K505" s="3"/>
      <c r="L505" s="3"/>
      <c r="M505" s="3"/>
      <c r="N505" s="3"/>
      <c r="O505" s="3"/>
      <c r="P505" s="53"/>
      <c r="Q505" s="53"/>
      <c r="R505" s="618"/>
      <c r="S505" s="3"/>
      <c r="T505" s="3"/>
      <c r="U505" s="3"/>
      <c r="V505" s="3"/>
      <c r="W505" s="3"/>
      <c r="X505" s="3"/>
      <c r="Y505" s="3"/>
      <c r="Z505" s="3"/>
      <c r="AA505" s="3"/>
      <c r="AB505" s="3"/>
      <c r="AC505" s="3"/>
    </row>
    <row r="506">
      <c r="A506" s="3"/>
      <c r="B506" s="3"/>
      <c r="C506" s="3"/>
      <c r="D506" s="319"/>
      <c r="E506" s="3"/>
      <c r="F506" s="3"/>
      <c r="G506" s="3"/>
      <c r="H506" s="3"/>
      <c r="I506" s="3"/>
      <c r="J506" s="3"/>
      <c r="K506" s="3"/>
      <c r="L506" s="3"/>
      <c r="M506" s="3"/>
      <c r="N506" s="3"/>
      <c r="O506" s="3"/>
      <c r="P506" s="53"/>
      <c r="Q506" s="53"/>
      <c r="R506" s="618"/>
      <c r="S506" s="3"/>
      <c r="T506" s="3"/>
      <c r="U506" s="3"/>
      <c r="V506" s="3"/>
      <c r="W506" s="3"/>
      <c r="X506" s="3"/>
      <c r="Y506" s="3"/>
      <c r="Z506" s="3"/>
      <c r="AA506" s="3"/>
      <c r="AB506" s="3"/>
      <c r="AC506" s="3"/>
    </row>
    <row r="507">
      <c r="A507" s="3"/>
      <c r="B507" s="3"/>
      <c r="C507" s="3"/>
      <c r="D507" s="319"/>
      <c r="E507" s="3"/>
      <c r="F507" s="3"/>
      <c r="G507" s="3"/>
      <c r="H507" s="3"/>
      <c r="I507" s="3"/>
      <c r="J507" s="3"/>
      <c r="K507" s="3"/>
      <c r="L507" s="3"/>
      <c r="M507" s="3"/>
      <c r="N507" s="3"/>
      <c r="O507" s="3"/>
      <c r="P507" s="53"/>
      <c r="Q507" s="53"/>
      <c r="R507" s="618"/>
      <c r="S507" s="3"/>
      <c r="T507" s="3"/>
      <c r="U507" s="3"/>
      <c r="V507" s="3"/>
      <c r="W507" s="3"/>
      <c r="X507" s="3"/>
      <c r="Y507" s="3"/>
      <c r="Z507" s="3"/>
      <c r="AA507" s="3"/>
      <c r="AB507" s="3"/>
      <c r="AC507" s="3"/>
    </row>
    <row r="508">
      <c r="A508" s="3"/>
      <c r="B508" s="3"/>
      <c r="C508" s="3"/>
      <c r="D508" s="319"/>
      <c r="E508" s="3"/>
      <c r="F508" s="3"/>
      <c r="G508" s="3"/>
      <c r="H508" s="3"/>
      <c r="I508" s="3"/>
      <c r="J508" s="3"/>
      <c r="K508" s="3"/>
      <c r="L508" s="3"/>
      <c r="M508" s="3"/>
      <c r="N508" s="3"/>
      <c r="O508" s="3"/>
      <c r="P508" s="53"/>
      <c r="Q508" s="53"/>
      <c r="R508" s="618"/>
      <c r="S508" s="3"/>
      <c r="T508" s="3"/>
      <c r="U508" s="3"/>
      <c r="V508" s="3"/>
      <c r="W508" s="3"/>
      <c r="X508" s="3"/>
      <c r="Y508" s="3"/>
      <c r="Z508" s="3"/>
      <c r="AA508" s="3"/>
      <c r="AB508" s="3"/>
      <c r="AC508" s="3"/>
    </row>
    <row r="509">
      <c r="A509" s="3"/>
      <c r="B509" s="3"/>
      <c r="C509" s="3"/>
      <c r="D509" s="319"/>
      <c r="E509" s="3"/>
      <c r="F509" s="3"/>
      <c r="G509" s="3"/>
      <c r="H509" s="3"/>
      <c r="I509" s="3"/>
      <c r="J509" s="3"/>
      <c r="K509" s="3"/>
      <c r="L509" s="3"/>
      <c r="M509" s="3"/>
      <c r="N509" s="3"/>
      <c r="O509" s="3"/>
      <c r="P509" s="53"/>
      <c r="Q509" s="53"/>
      <c r="R509" s="618"/>
      <c r="S509" s="3"/>
      <c r="T509" s="3"/>
      <c r="U509" s="3"/>
      <c r="V509" s="3"/>
      <c r="W509" s="3"/>
      <c r="X509" s="3"/>
      <c r="Y509" s="3"/>
      <c r="Z509" s="3"/>
      <c r="AA509" s="3"/>
      <c r="AB509" s="3"/>
      <c r="AC509" s="3"/>
    </row>
    <row r="510">
      <c r="A510" s="3"/>
      <c r="B510" s="3"/>
      <c r="C510" s="3"/>
      <c r="D510" s="319"/>
      <c r="E510" s="3"/>
      <c r="F510" s="3"/>
      <c r="G510" s="3"/>
      <c r="H510" s="3"/>
      <c r="I510" s="3"/>
      <c r="J510" s="3"/>
      <c r="K510" s="3"/>
      <c r="L510" s="3"/>
      <c r="M510" s="3"/>
      <c r="N510" s="3"/>
      <c r="O510" s="3"/>
      <c r="P510" s="53"/>
      <c r="Q510" s="53"/>
      <c r="R510" s="618"/>
      <c r="S510" s="3"/>
      <c r="T510" s="3"/>
      <c r="U510" s="3"/>
      <c r="V510" s="3"/>
      <c r="W510" s="3"/>
      <c r="X510" s="3"/>
      <c r="Y510" s="3"/>
      <c r="Z510" s="3"/>
      <c r="AA510" s="3"/>
      <c r="AB510" s="3"/>
      <c r="AC510" s="3"/>
    </row>
    <row r="511">
      <c r="A511" s="3"/>
      <c r="B511" s="3"/>
      <c r="C511" s="3"/>
      <c r="D511" s="319"/>
      <c r="E511" s="3"/>
      <c r="F511" s="3"/>
      <c r="G511" s="3"/>
      <c r="H511" s="3"/>
      <c r="I511" s="3"/>
      <c r="J511" s="3"/>
      <c r="K511" s="3"/>
      <c r="L511" s="3"/>
      <c r="M511" s="3"/>
      <c r="N511" s="3"/>
      <c r="O511" s="3"/>
      <c r="P511" s="53"/>
      <c r="Q511" s="53"/>
      <c r="R511" s="618"/>
      <c r="S511" s="3"/>
      <c r="T511" s="3"/>
      <c r="U511" s="3"/>
      <c r="V511" s="3"/>
      <c r="W511" s="3"/>
      <c r="X511" s="3"/>
      <c r="Y511" s="3"/>
      <c r="Z511" s="3"/>
      <c r="AA511" s="3"/>
      <c r="AB511" s="3"/>
      <c r="AC511" s="3"/>
    </row>
    <row r="512">
      <c r="A512" s="3"/>
      <c r="B512" s="3"/>
      <c r="C512" s="3"/>
      <c r="D512" s="319"/>
      <c r="E512" s="3"/>
      <c r="F512" s="3"/>
      <c r="G512" s="3"/>
      <c r="H512" s="3"/>
      <c r="I512" s="3"/>
      <c r="J512" s="3"/>
      <c r="K512" s="3"/>
      <c r="L512" s="3"/>
      <c r="M512" s="3"/>
      <c r="N512" s="3"/>
      <c r="O512" s="3"/>
      <c r="P512" s="53"/>
      <c r="Q512" s="53"/>
      <c r="R512" s="618"/>
      <c r="S512" s="3"/>
      <c r="T512" s="3"/>
      <c r="U512" s="3"/>
      <c r="V512" s="3"/>
      <c r="W512" s="3"/>
      <c r="X512" s="3"/>
      <c r="Y512" s="3"/>
      <c r="Z512" s="3"/>
      <c r="AA512" s="3"/>
      <c r="AB512" s="3"/>
      <c r="AC512" s="3"/>
    </row>
    <row r="513">
      <c r="A513" s="3"/>
      <c r="B513" s="3"/>
      <c r="C513" s="3"/>
      <c r="D513" s="319"/>
      <c r="E513" s="3"/>
      <c r="F513" s="3"/>
      <c r="G513" s="3"/>
      <c r="H513" s="3"/>
      <c r="I513" s="3"/>
      <c r="J513" s="3"/>
      <c r="K513" s="3"/>
      <c r="L513" s="3"/>
      <c r="M513" s="3"/>
      <c r="N513" s="3"/>
      <c r="O513" s="3"/>
      <c r="P513" s="53"/>
      <c r="Q513" s="53"/>
      <c r="R513" s="618"/>
      <c r="S513" s="3"/>
      <c r="T513" s="3"/>
      <c r="U513" s="3"/>
      <c r="V513" s="3"/>
      <c r="W513" s="3"/>
      <c r="X513" s="3"/>
      <c r="Y513" s="3"/>
      <c r="Z513" s="3"/>
      <c r="AA513" s="3"/>
      <c r="AB513" s="3"/>
      <c r="AC513" s="3"/>
    </row>
    <row r="514">
      <c r="A514" s="3"/>
      <c r="B514" s="3"/>
      <c r="C514" s="3"/>
      <c r="D514" s="319"/>
      <c r="E514" s="3"/>
      <c r="F514" s="3"/>
      <c r="G514" s="3"/>
      <c r="H514" s="3"/>
      <c r="I514" s="3"/>
      <c r="J514" s="3"/>
      <c r="K514" s="3"/>
      <c r="L514" s="3"/>
      <c r="M514" s="3"/>
      <c r="N514" s="3"/>
      <c r="O514" s="3"/>
      <c r="P514" s="53"/>
      <c r="Q514" s="53"/>
      <c r="R514" s="618"/>
      <c r="S514" s="3"/>
      <c r="T514" s="3"/>
      <c r="U514" s="3"/>
      <c r="V514" s="3"/>
      <c r="W514" s="3"/>
      <c r="X514" s="3"/>
      <c r="Y514" s="3"/>
      <c r="Z514" s="3"/>
      <c r="AA514" s="3"/>
      <c r="AB514" s="3"/>
      <c r="AC514" s="3"/>
    </row>
    <row r="515">
      <c r="A515" s="3"/>
      <c r="B515" s="3"/>
      <c r="C515" s="3"/>
      <c r="D515" s="319"/>
      <c r="E515" s="3"/>
      <c r="F515" s="3"/>
      <c r="G515" s="3"/>
      <c r="H515" s="3"/>
      <c r="I515" s="3"/>
      <c r="J515" s="3"/>
      <c r="K515" s="3"/>
      <c r="L515" s="3"/>
      <c r="M515" s="3"/>
      <c r="N515" s="3"/>
      <c r="O515" s="3"/>
      <c r="P515" s="53"/>
      <c r="Q515" s="53"/>
      <c r="R515" s="618"/>
      <c r="S515" s="3"/>
      <c r="T515" s="3"/>
      <c r="U515" s="3"/>
      <c r="V515" s="3"/>
      <c r="W515" s="3"/>
      <c r="X515" s="3"/>
      <c r="Y515" s="3"/>
      <c r="Z515" s="3"/>
      <c r="AA515" s="3"/>
      <c r="AB515" s="3"/>
      <c r="AC515" s="3"/>
    </row>
    <row r="516">
      <c r="A516" s="3"/>
      <c r="B516" s="3"/>
      <c r="C516" s="3"/>
      <c r="D516" s="319"/>
      <c r="E516" s="3"/>
      <c r="F516" s="3"/>
      <c r="G516" s="3"/>
      <c r="H516" s="3"/>
      <c r="I516" s="3"/>
      <c r="J516" s="3"/>
      <c r="K516" s="3"/>
      <c r="L516" s="3"/>
      <c r="M516" s="3"/>
      <c r="N516" s="3"/>
      <c r="O516" s="3"/>
      <c r="P516" s="53"/>
      <c r="Q516" s="53"/>
      <c r="R516" s="618"/>
      <c r="S516" s="3"/>
      <c r="T516" s="3"/>
      <c r="U516" s="3"/>
      <c r="V516" s="3"/>
      <c r="W516" s="3"/>
      <c r="X516" s="3"/>
      <c r="Y516" s="3"/>
      <c r="Z516" s="3"/>
      <c r="AA516" s="3"/>
      <c r="AB516" s="3"/>
      <c r="AC516" s="3"/>
    </row>
    <row r="517">
      <c r="A517" s="3"/>
      <c r="B517" s="3"/>
      <c r="C517" s="3"/>
      <c r="D517" s="319"/>
      <c r="E517" s="3"/>
      <c r="F517" s="3"/>
      <c r="G517" s="3"/>
      <c r="H517" s="3"/>
      <c r="I517" s="3"/>
      <c r="J517" s="3"/>
      <c r="K517" s="3"/>
      <c r="L517" s="3"/>
      <c r="M517" s="3"/>
      <c r="N517" s="3"/>
      <c r="O517" s="3"/>
      <c r="P517" s="53"/>
      <c r="Q517" s="53"/>
      <c r="R517" s="618"/>
      <c r="S517" s="3"/>
      <c r="T517" s="3"/>
      <c r="U517" s="3"/>
      <c r="V517" s="3"/>
      <c r="W517" s="3"/>
      <c r="X517" s="3"/>
      <c r="Y517" s="3"/>
      <c r="Z517" s="3"/>
      <c r="AA517" s="3"/>
      <c r="AB517" s="3"/>
      <c r="AC517" s="3"/>
    </row>
    <row r="518">
      <c r="A518" s="3"/>
      <c r="B518" s="3"/>
      <c r="C518" s="3"/>
      <c r="D518" s="319"/>
      <c r="E518" s="3"/>
      <c r="F518" s="3"/>
      <c r="G518" s="3"/>
      <c r="H518" s="3"/>
      <c r="I518" s="3"/>
      <c r="J518" s="3"/>
      <c r="K518" s="3"/>
      <c r="L518" s="3"/>
      <c r="M518" s="3"/>
      <c r="N518" s="3"/>
      <c r="O518" s="3"/>
      <c r="P518" s="53"/>
      <c r="Q518" s="53"/>
      <c r="R518" s="618"/>
      <c r="S518" s="3"/>
      <c r="T518" s="3"/>
      <c r="U518" s="3"/>
      <c r="V518" s="3"/>
      <c r="W518" s="3"/>
      <c r="X518" s="3"/>
      <c r="Y518" s="3"/>
      <c r="Z518" s="3"/>
      <c r="AA518" s="3"/>
      <c r="AB518" s="3"/>
      <c r="AC518" s="3"/>
    </row>
    <row r="519">
      <c r="A519" s="3"/>
      <c r="B519" s="3"/>
      <c r="C519" s="3"/>
      <c r="D519" s="319"/>
      <c r="E519" s="3"/>
      <c r="F519" s="3"/>
      <c r="G519" s="3"/>
      <c r="H519" s="3"/>
      <c r="I519" s="3"/>
      <c r="J519" s="3"/>
      <c r="K519" s="3"/>
      <c r="L519" s="3"/>
      <c r="M519" s="3"/>
      <c r="N519" s="3"/>
      <c r="O519" s="3"/>
      <c r="P519" s="53"/>
      <c r="Q519" s="53"/>
      <c r="R519" s="618"/>
      <c r="S519" s="3"/>
      <c r="T519" s="3"/>
      <c r="U519" s="3"/>
      <c r="V519" s="3"/>
      <c r="W519" s="3"/>
      <c r="X519" s="3"/>
      <c r="Y519" s="3"/>
      <c r="Z519" s="3"/>
      <c r="AA519" s="3"/>
      <c r="AB519" s="3"/>
      <c r="AC519" s="3"/>
    </row>
    <row r="520">
      <c r="A520" s="3"/>
      <c r="B520" s="3"/>
      <c r="C520" s="3"/>
      <c r="D520" s="319"/>
      <c r="E520" s="3"/>
      <c r="F520" s="3"/>
      <c r="G520" s="3"/>
      <c r="H520" s="3"/>
      <c r="I520" s="3"/>
      <c r="J520" s="3"/>
      <c r="K520" s="3"/>
      <c r="L520" s="3"/>
      <c r="M520" s="3"/>
      <c r="N520" s="3"/>
      <c r="O520" s="3"/>
      <c r="P520" s="53"/>
      <c r="Q520" s="53"/>
      <c r="R520" s="618"/>
      <c r="S520" s="3"/>
      <c r="T520" s="3"/>
      <c r="U520" s="3"/>
      <c r="V520" s="3"/>
      <c r="W520" s="3"/>
      <c r="X520" s="3"/>
      <c r="Y520" s="3"/>
      <c r="Z520" s="3"/>
      <c r="AA520" s="3"/>
      <c r="AB520" s="3"/>
      <c r="AC520" s="3"/>
    </row>
    <row r="521">
      <c r="A521" s="3"/>
      <c r="B521" s="3"/>
      <c r="C521" s="3"/>
      <c r="D521" s="319"/>
      <c r="E521" s="3"/>
      <c r="F521" s="3"/>
      <c r="G521" s="3"/>
      <c r="H521" s="3"/>
      <c r="I521" s="3"/>
      <c r="J521" s="3"/>
      <c r="K521" s="3"/>
      <c r="L521" s="3"/>
      <c r="M521" s="3"/>
      <c r="N521" s="3"/>
      <c r="O521" s="3"/>
      <c r="P521" s="53"/>
      <c r="Q521" s="53"/>
      <c r="R521" s="618"/>
      <c r="S521" s="3"/>
      <c r="T521" s="3"/>
      <c r="U521" s="3"/>
      <c r="V521" s="3"/>
      <c r="W521" s="3"/>
      <c r="X521" s="3"/>
      <c r="Y521" s="3"/>
      <c r="Z521" s="3"/>
      <c r="AA521" s="3"/>
      <c r="AB521" s="3"/>
      <c r="AC521" s="3"/>
    </row>
    <row r="522">
      <c r="A522" s="3"/>
      <c r="B522" s="3"/>
      <c r="C522" s="3"/>
      <c r="D522" s="319"/>
      <c r="E522" s="3"/>
      <c r="F522" s="3"/>
      <c r="G522" s="3"/>
      <c r="H522" s="3"/>
      <c r="I522" s="3"/>
      <c r="J522" s="3"/>
      <c r="K522" s="3"/>
      <c r="L522" s="3"/>
      <c r="M522" s="3"/>
      <c r="N522" s="3"/>
      <c r="O522" s="3"/>
      <c r="P522" s="53"/>
      <c r="Q522" s="53"/>
      <c r="R522" s="618"/>
      <c r="S522" s="3"/>
      <c r="T522" s="3"/>
      <c r="U522" s="3"/>
      <c r="V522" s="3"/>
      <c r="W522" s="3"/>
      <c r="X522" s="3"/>
      <c r="Y522" s="3"/>
      <c r="Z522" s="3"/>
      <c r="AA522" s="3"/>
      <c r="AB522" s="3"/>
      <c r="AC522" s="3"/>
    </row>
    <row r="523">
      <c r="A523" s="3"/>
      <c r="B523" s="3"/>
      <c r="C523" s="3"/>
      <c r="D523" s="319"/>
      <c r="E523" s="3"/>
      <c r="F523" s="3"/>
      <c r="G523" s="3"/>
      <c r="H523" s="3"/>
      <c r="I523" s="3"/>
      <c r="J523" s="3"/>
      <c r="K523" s="3"/>
      <c r="L523" s="3"/>
      <c r="M523" s="3"/>
      <c r="N523" s="3"/>
      <c r="O523" s="3"/>
      <c r="P523" s="53"/>
      <c r="Q523" s="53"/>
      <c r="R523" s="618"/>
      <c r="S523" s="3"/>
      <c r="T523" s="3"/>
      <c r="U523" s="3"/>
      <c r="V523" s="3"/>
      <c r="W523" s="3"/>
      <c r="X523" s="3"/>
      <c r="Y523" s="3"/>
      <c r="Z523" s="3"/>
      <c r="AA523" s="3"/>
      <c r="AB523" s="3"/>
      <c r="AC523" s="3"/>
    </row>
    <row r="524">
      <c r="A524" s="3"/>
      <c r="B524" s="3"/>
      <c r="C524" s="3"/>
      <c r="D524" s="319"/>
      <c r="E524" s="3"/>
      <c r="F524" s="3"/>
      <c r="G524" s="3"/>
      <c r="H524" s="3"/>
      <c r="I524" s="3"/>
      <c r="J524" s="3"/>
      <c r="K524" s="3"/>
      <c r="L524" s="3"/>
      <c r="M524" s="3"/>
      <c r="N524" s="3"/>
      <c r="O524" s="3"/>
      <c r="P524" s="53"/>
      <c r="Q524" s="53"/>
      <c r="R524" s="618"/>
      <c r="S524" s="3"/>
      <c r="T524" s="3"/>
      <c r="U524" s="3"/>
      <c r="V524" s="3"/>
      <c r="W524" s="3"/>
      <c r="X524" s="3"/>
      <c r="Y524" s="3"/>
      <c r="Z524" s="3"/>
      <c r="AA524" s="3"/>
      <c r="AB524" s="3"/>
      <c r="AC524" s="3"/>
    </row>
    <row r="525">
      <c r="A525" s="3"/>
      <c r="B525" s="3"/>
      <c r="C525" s="3"/>
      <c r="D525" s="319"/>
      <c r="E525" s="3"/>
      <c r="F525" s="3"/>
      <c r="G525" s="3"/>
      <c r="H525" s="3"/>
      <c r="I525" s="3"/>
      <c r="J525" s="3"/>
      <c r="K525" s="3"/>
      <c r="L525" s="3"/>
      <c r="M525" s="3"/>
      <c r="N525" s="3"/>
      <c r="O525" s="3"/>
      <c r="P525" s="53"/>
      <c r="Q525" s="53"/>
      <c r="R525" s="618"/>
      <c r="S525" s="3"/>
      <c r="T525" s="3"/>
      <c r="U525" s="3"/>
      <c r="V525" s="3"/>
      <c r="W525" s="3"/>
      <c r="X525" s="3"/>
      <c r="Y525" s="3"/>
      <c r="Z525" s="3"/>
      <c r="AA525" s="3"/>
      <c r="AB525" s="3"/>
      <c r="AC525" s="3"/>
    </row>
    <row r="526">
      <c r="A526" s="3"/>
      <c r="B526" s="3"/>
      <c r="C526" s="3"/>
      <c r="D526" s="319"/>
      <c r="E526" s="3"/>
      <c r="F526" s="3"/>
      <c r="G526" s="3"/>
      <c r="H526" s="3"/>
      <c r="I526" s="3"/>
      <c r="J526" s="3"/>
      <c r="K526" s="3"/>
      <c r="L526" s="3"/>
      <c r="M526" s="3"/>
      <c r="N526" s="3"/>
      <c r="O526" s="3"/>
      <c r="P526" s="53"/>
      <c r="Q526" s="53"/>
      <c r="R526" s="618"/>
      <c r="S526" s="3"/>
      <c r="T526" s="3"/>
      <c r="U526" s="3"/>
      <c r="V526" s="3"/>
      <c r="W526" s="3"/>
      <c r="X526" s="3"/>
      <c r="Y526" s="3"/>
      <c r="Z526" s="3"/>
      <c r="AA526" s="3"/>
      <c r="AB526" s="3"/>
      <c r="AC526" s="3"/>
    </row>
    <row r="527">
      <c r="A527" s="3"/>
      <c r="B527" s="3"/>
      <c r="C527" s="3"/>
      <c r="D527" s="319"/>
      <c r="E527" s="3"/>
      <c r="F527" s="3"/>
      <c r="G527" s="3"/>
      <c r="H527" s="3"/>
      <c r="I527" s="3"/>
      <c r="J527" s="3"/>
      <c r="K527" s="3"/>
      <c r="L527" s="3"/>
      <c r="M527" s="3"/>
      <c r="N527" s="3"/>
      <c r="O527" s="3"/>
      <c r="P527" s="53"/>
      <c r="Q527" s="53"/>
      <c r="R527" s="618"/>
      <c r="S527" s="3"/>
      <c r="T527" s="3"/>
      <c r="U527" s="3"/>
      <c r="V527" s="3"/>
      <c r="W527" s="3"/>
      <c r="X527" s="3"/>
      <c r="Y527" s="3"/>
      <c r="Z527" s="3"/>
      <c r="AA527" s="3"/>
      <c r="AB527" s="3"/>
      <c r="AC527" s="3"/>
    </row>
    <row r="528">
      <c r="A528" s="3"/>
      <c r="B528" s="3"/>
      <c r="C528" s="3"/>
      <c r="D528" s="319"/>
      <c r="E528" s="3"/>
      <c r="F528" s="3"/>
      <c r="G528" s="3"/>
      <c r="H528" s="3"/>
      <c r="I528" s="3"/>
      <c r="J528" s="3"/>
      <c r="K528" s="3"/>
      <c r="L528" s="3"/>
      <c r="M528" s="3"/>
      <c r="N528" s="3"/>
      <c r="O528" s="3"/>
      <c r="P528" s="53"/>
      <c r="Q528" s="53"/>
      <c r="R528" s="618"/>
      <c r="S528" s="3"/>
      <c r="T528" s="3"/>
      <c r="U528" s="3"/>
      <c r="V528" s="3"/>
      <c r="W528" s="3"/>
      <c r="X528" s="3"/>
      <c r="Y528" s="3"/>
      <c r="Z528" s="3"/>
      <c r="AA528" s="3"/>
      <c r="AB528" s="3"/>
      <c r="AC528" s="3"/>
    </row>
    <row r="529">
      <c r="A529" s="3"/>
      <c r="B529" s="3"/>
      <c r="C529" s="3"/>
      <c r="D529" s="319"/>
      <c r="E529" s="3"/>
      <c r="F529" s="3"/>
      <c r="G529" s="3"/>
      <c r="H529" s="3"/>
      <c r="I529" s="3"/>
      <c r="J529" s="3"/>
      <c r="K529" s="3"/>
      <c r="L529" s="3"/>
      <c r="M529" s="3"/>
      <c r="N529" s="3"/>
      <c r="O529" s="3"/>
      <c r="P529" s="53"/>
      <c r="Q529" s="53"/>
      <c r="R529" s="618"/>
      <c r="S529" s="3"/>
      <c r="T529" s="3"/>
      <c r="U529" s="3"/>
      <c r="V529" s="3"/>
      <c r="W529" s="3"/>
      <c r="X529" s="3"/>
      <c r="Y529" s="3"/>
      <c r="Z529" s="3"/>
      <c r="AA529" s="3"/>
      <c r="AB529" s="3"/>
      <c r="AC529" s="3"/>
    </row>
    <row r="530">
      <c r="A530" s="3"/>
      <c r="B530" s="3"/>
      <c r="C530" s="3"/>
      <c r="D530" s="319"/>
      <c r="E530" s="3"/>
      <c r="F530" s="3"/>
      <c r="G530" s="3"/>
      <c r="H530" s="3"/>
      <c r="I530" s="3"/>
      <c r="J530" s="3"/>
      <c r="K530" s="3"/>
      <c r="L530" s="3"/>
      <c r="M530" s="3"/>
      <c r="N530" s="3"/>
      <c r="O530" s="3"/>
      <c r="P530" s="53"/>
      <c r="Q530" s="53"/>
      <c r="R530" s="618"/>
      <c r="S530" s="3"/>
      <c r="T530" s="3"/>
      <c r="U530" s="3"/>
      <c r="V530" s="3"/>
      <c r="W530" s="3"/>
      <c r="X530" s="3"/>
      <c r="Y530" s="3"/>
      <c r="Z530" s="3"/>
      <c r="AA530" s="3"/>
      <c r="AB530" s="3"/>
      <c r="AC530" s="3"/>
    </row>
    <row r="531">
      <c r="A531" s="3"/>
      <c r="B531" s="3"/>
      <c r="C531" s="3"/>
      <c r="D531" s="319"/>
      <c r="E531" s="3"/>
      <c r="F531" s="3"/>
      <c r="G531" s="3"/>
      <c r="H531" s="3"/>
      <c r="I531" s="3"/>
      <c r="J531" s="3"/>
      <c r="K531" s="3"/>
      <c r="L531" s="3"/>
      <c r="M531" s="3"/>
      <c r="N531" s="3"/>
      <c r="O531" s="3"/>
      <c r="P531" s="53"/>
      <c r="Q531" s="53"/>
      <c r="R531" s="618"/>
      <c r="S531" s="3"/>
      <c r="T531" s="3"/>
      <c r="U531" s="3"/>
      <c r="V531" s="3"/>
      <c r="W531" s="3"/>
      <c r="X531" s="3"/>
      <c r="Y531" s="3"/>
      <c r="Z531" s="3"/>
      <c r="AA531" s="3"/>
      <c r="AB531" s="3"/>
      <c r="AC531" s="3"/>
    </row>
    <row r="532">
      <c r="A532" s="3"/>
      <c r="B532" s="3"/>
      <c r="C532" s="3"/>
      <c r="D532" s="319"/>
      <c r="E532" s="3"/>
      <c r="F532" s="3"/>
      <c r="G532" s="3"/>
      <c r="H532" s="3"/>
      <c r="I532" s="3"/>
      <c r="J532" s="3"/>
      <c r="K532" s="3"/>
      <c r="L532" s="3"/>
      <c r="M532" s="3"/>
      <c r="N532" s="3"/>
      <c r="O532" s="3"/>
      <c r="P532" s="53"/>
      <c r="Q532" s="53"/>
      <c r="R532" s="618"/>
      <c r="S532" s="3"/>
      <c r="T532" s="3"/>
      <c r="U532" s="3"/>
      <c r="V532" s="3"/>
      <c r="W532" s="3"/>
      <c r="X532" s="3"/>
      <c r="Y532" s="3"/>
      <c r="Z532" s="3"/>
      <c r="AA532" s="3"/>
      <c r="AB532" s="3"/>
      <c r="AC532" s="3"/>
    </row>
    <row r="533">
      <c r="A533" s="3"/>
      <c r="B533" s="3"/>
      <c r="C533" s="3"/>
      <c r="D533" s="319"/>
      <c r="E533" s="3"/>
      <c r="F533" s="3"/>
      <c r="G533" s="3"/>
      <c r="H533" s="3"/>
      <c r="I533" s="3"/>
      <c r="J533" s="3"/>
      <c r="K533" s="3"/>
      <c r="L533" s="3"/>
      <c r="M533" s="3"/>
      <c r="N533" s="3"/>
      <c r="O533" s="3"/>
      <c r="P533" s="53"/>
      <c r="Q533" s="53"/>
      <c r="R533" s="618"/>
      <c r="S533" s="3"/>
      <c r="T533" s="3"/>
      <c r="U533" s="3"/>
      <c r="V533" s="3"/>
      <c r="W533" s="3"/>
      <c r="X533" s="3"/>
      <c r="Y533" s="3"/>
      <c r="Z533" s="3"/>
      <c r="AA533" s="3"/>
      <c r="AB533" s="3"/>
      <c r="AC533" s="3"/>
    </row>
    <row r="534">
      <c r="A534" s="3"/>
      <c r="B534" s="3"/>
      <c r="C534" s="3"/>
      <c r="D534" s="319"/>
      <c r="E534" s="3"/>
      <c r="F534" s="3"/>
      <c r="G534" s="3"/>
      <c r="H534" s="3"/>
      <c r="I534" s="3"/>
      <c r="J534" s="3"/>
      <c r="K534" s="3"/>
      <c r="L534" s="3"/>
      <c r="M534" s="3"/>
      <c r="N534" s="3"/>
      <c r="O534" s="3"/>
      <c r="P534" s="53"/>
      <c r="Q534" s="53"/>
      <c r="R534" s="618"/>
      <c r="S534" s="3"/>
      <c r="T534" s="3"/>
      <c r="U534" s="3"/>
      <c r="V534" s="3"/>
      <c r="W534" s="3"/>
      <c r="X534" s="3"/>
      <c r="Y534" s="3"/>
      <c r="Z534" s="3"/>
      <c r="AA534" s="3"/>
      <c r="AB534" s="3"/>
      <c r="AC534" s="3"/>
    </row>
    <row r="535">
      <c r="A535" s="3"/>
      <c r="B535" s="3"/>
      <c r="C535" s="3"/>
      <c r="D535" s="319"/>
      <c r="E535" s="3"/>
      <c r="F535" s="3"/>
      <c r="G535" s="3"/>
      <c r="H535" s="3"/>
      <c r="I535" s="3"/>
      <c r="J535" s="3"/>
      <c r="K535" s="3"/>
      <c r="L535" s="3"/>
      <c r="M535" s="3"/>
      <c r="N535" s="3"/>
      <c r="O535" s="3"/>
      <c r="P535" s="53"/>
      <c r="Q535" s="53"/>
      <c r="R535" s="618"/>
      <c r="S535" s="3"/>
      <c r="T535" s="3"/>
      <c r="U535" s="3"/>
      <c r="V535" s="3"/>
      <c r="W535" s="3"/>
      <c r="X535" s="3"/>
      <c r="Y535" s="3"/>
      <c r="Z535" s="3"/>
      <c r="AA535" s="3"/>
      <c r="AB535" s="3"/>
      <c r="AC535" s="3"/>
    </row>
    <row r="536">
      <c r="A536" s="3"/>
      <c r="B536" s="3"/>
      <c r="C536" s="3"/>
      <c r="D536" s="319"/>
      <c r="E536" s="3"/>
      <c r="F536" s="3"/>
      <c r="G536" s="3"/>
      <c r="H536" s="3"/>
      <c r="I536" s="3"/>
      <c r="J536" s="3"/>
      <c r="K536" s="3"/>
      <c r="L536" s="3"/>
      <c r="M536" s="3"/>
      <c r="N536" s="3"/>
      <c r="O536" s="3"/>
      <c r="P536" s="53"/>
      <c r="Q536" s="53"/>
      <c r="R536" s="618"/>
      <c r="S536" s="3"/>
      <c r="T536" s="3"/>
      <c r="U536" s="3"/>
      <c r="V536" s="3"/>
      <c r="W536" s="3"/>
      <c r="X536" s="3"/>
      <c r="Y536" s="3"/>
      <c r="Z536" s="3"/>
      <c r="AA536" s="3"/>
      <c r="AB536" s="3"/>
      <c r="AC536" s="3"/>
    </row>
    <row r="537">
      <c r="A537" s="3"/>
      <c r="B537" s="3"/>
      <c r="C537" s="3"/>
      <c r="D537" s="319"/>
      <c r="E537" s="3"/>
      <c r="F537" s="3"/>
      <c r="G537" s="3"/>
      <c r="H537" s="3"/>
      <c r="I537" s="3"/>
      <c r="J537" s="3"/>
      <c r="K537" s="3"/>
      <c r="L537" s="3"/>
      <c r="M537" s="3"/>
      <c r="N537" s="3"/>
      <c r="O537" s="3"/>
      <c r="P537" s="53"/>
      <c r="Q537" s="53"/>
      <c r="R537" s="618"/>
      <c r="S537" s="3"/>
      <c r="T537" s="3"/>
      <c r="U537" s="3"/>
      <c r="V537" s="3"/>
      <c r="W537" s="3"/>
      <c r="X537" s="3"/>
      <c r="Y537" s="3"/>
      <c r="Z537" s="3"/>
      <c r="AA537" s="3"/>
      <c r="AB537" s="3"/>
      <c r="AC537" s="3"/>
    </row>
    <row r="538">
      <c r="A538" s="3"/>
      <c r="B538" s="3"/>
      <c r="C538" s="3"/>
      <c r="D538" s="319"/>
      <c r="E538" s="3"/>
      <c r="F538" s="3"/>
      <c r="G538" s="3"/>
      <c r="H538" s="3"/>
      <c r="I538" s="3"/>
      <c r="J538" s="3"/>
      <c r="K538" s="3"/>
      <c r="L538" s="3"/>
      <c r="M538" s="3"/>
      <c r="N538" s="3"/>
      <c r="O538" s="3"/>
      <c r="P538" s="53"/>
      <c r="Q538" s="53"/>
      <c r="R538" s="618"/>
      <c r="S538" s="3"/>
      <c r="T538" s="3"/>
      <c r="U538" s="3"/>
      <c r="V538" s="3"/>
      <c r="W538" s="3"/>
      <c r="X538" s="3"/>
      <c r="Y538" s="3"/>
      <c r="Z538" s="3"/>
      <c r="AA538" s="3"/>
      <c r="AB538" s="3"/>
      <c r="AC538" s="3"/>
    </row>
    <row r="539">
      <c r="A539" s="3"/>
      <c r="B539" s="3"/>
      <c r="C539" s="3"/>
      <c r="D539" s="319"/>
      <c r="E539" s="3"/>
      <c r="F539" s="3"/>
      <c r="G539" s="3"/>
      <c r="H539" s="3"/>
      <c r="I539" s="3"/>
      <c r="J539" s="3"/>
      <c r="K539" s="3"/>
      <c r="L539" s="3"/>
      <c r="M539" s="3"/>
      <c r="N539" s="3"/>
      <c r="O539" s="3"/>
      <c r="P539" s="53"/>
      <c r="Q539" s="53"/>
      <c r="R539" s="618"/>
      <c r="S539" s="3"/>
      <c r="T539" s="3"/>
      <c r="U539" s="3"/>
      <c r="V539" s="3"/>
      <c r="W539" s="3"/>
      <c r="X539" s="3"/>
      <c r="Y539" s="3"/>
      <c r="Z539" s="3"/>
      <c r="AA539" s="3"/>
      <c r="AB539" s="3"/>
      <c r="AC539" s="3"/>
    </row>
    <row r="540">
      <c r="A540" s="3"/>
      <c r="B540" s="3"/>
      <c r="C540" s="3"/>
      <c r="D540" s="319"/>
      <c r="E540" s="3"/>
      <c r="F540" s="3"/>
      <c r="G540" s="3"/>
      <c r="H540" s="3"/>
      <c r="I540" s="3"/>
      <c r="J540" s="3"/>
      <c r="K540" s="3"/>
      <c r="L540" s="3"/>
      <c r="M540" s="3"/>
      <c r="N540" s="3"/>
      <c r="O540" s="3"/>
      <c r="P540" s="53"/>
      <c r="Q540" s="53"/>
      <c r="R540" s="618"/>
      <c r="S540" s="3"/>
      <c r="T540" s="3"/>
      <c r="U540" s="3"/>
      <c r="V540" s="3"/>
      <c r="W540" s="3"/>
      <c r="X540" s="3"/>
      <c r="Y540" s="3"/>
      <c r="Z540" s="3"/>
      <c r="AA540" s="3"/>
      <c r="AB540" s="3"/>
      <c r="AC540" s="3"/>
    </row>
    <row r="541">
      <c r="A541" s="3"/>
      <c r="B541" s="3"/>
      <c r="C541" s="3"/>
      <c r="D541" s="319"/>
      <c r="E541" s="3"/>
      <c r="F541" s="3"/>
      <c r="G541" s="3"/>
      <c r="H541" s="3"/>
      <c r="I541" s="3"/>
      <c r="J541" s="3"/>
      <c r="K541" s="3"/>
      <c r="L541" s="3"/>
      <c r="M541" s="3"/>
      <c r="N541" s="3"/>
      <c r="O541" s="3"/>
      <c r="P541" s="53"/>
      <c r="Q541" s="53"/>
      <c r="R541" s="618"/>
      <c r="S541" s="3"/>
      <c r="T541" s="3"/>
      <c r="U541" s="3"/>
      <c r="V541" s="3"/>
      <c r="W541" s="3"/>
      <c r="X541" s="3"/>
      <c r="Y541" s="3"/>
      <c r="Z541" s="3"/>
      <c r="AA541" s="3"/>
      <c r="AB541" s="3"/>
      <c r="AC541" s="3"/>
    </row>
    <row r="542">
      <c r="A542" s="3"/>
      <c r="B542" s="3"/>
      <c r="C542" s="3"/>
      <c r="D542" s="319"/>
      <c r="E542" s="3"/>
      <c r="F542" s="3"/>
      <c r="G542" s="3"/>
      <c r="H542" s="3"/>
      <c r="I542" s="3"/>
      <c r="J542" s="3"/>
      <c r="K542" s="3"/>
      <c r="L542" s="3"/>
      <c r="M542" s="3"/>
      <c r="N542" s="3"/>
      <c r="O542" s="3"/>
      <c r="P542" s="53"/>
      <c r="Q542" s="53"/>
      <c r="R542" s="618"/>
      <c r="S542" s="3"/>
      <c r="T542" s="3"/>
      <c r="U542" s="3"/>
      <c r="V542" s="3"/>
      <c r="W542" s="3"/>
      <c r="X542" s="3"/>
      <c r="Y542" s="3"/>
      <c r="Z542" s="3"/>
      <c r="AA542" s="3"/>
      <c r="AB542" s="3"/>
      <c r="AC542" s="3"/>
    </row>
    <row r="543">
      <c r="A543" s="3"/>
      <c r="B543" s="3"/>
      <c r="C543" s="3"/>
      <c r="D543" s="319"/>
      <c r="E543" s="3"/>
      <c r="F543" s="3"/>
      <c r="G543" s="3"/>
      <c r="H543" s="3"/>
      <c r="I543" s="3"/>
      <c r="J543" s="3"/>
      <c r="K543" s="3"/>
      <c r="L543" s="3"/>
      <c r="M543" s="3"/>
      <c r="N543" s="3"/>
      <c r="O543" s="3"/>
      <c r="P543" s="53"/>
      <c r="Q543" s="53"/>
      <c r="R543" s="618"/>
      <c r="S543" s="3"/>
      <c r="T543" s="3"/>
      <c r="U543" s="3"/>
      <c r="V543" s="3"/>
      <c r="W543" s="3"/>
      <c r="X543" s="3"/>
      <c r="Y543" s="3"/>
      <c r="Z543" s="3"/>
      <c r="AA543" s="3"/>
      <c r="AB543" s="3"/>
      <c r="AC543" s="3"/>
    </row>
    <row r="544">
      <c r="A544" s="3"/>
      <c r="B544" s="3"/>
      <c r="C544" s="3"/>
      <c r="D544" s="319"/>
      <c r="E544" s="3"/>
      <c r="F544" s="3"/>
      <c r="G544" s="3"/>
      <c r="H544" s="3"/>
      <c r="I544" s="3"/>
      <c r="J544" s="3"/>
      <c r="K544" s="3"/>
      <c r="L544" s="3"/>
      <c r="M544" s="3"/>
      <c r="N544" s="3"/>
      <c r="O544" s="3"/>
      <c r="P544" s="53"/>
      <c r="Q544" s="53"/>
      <c r="R544" s="618"/>
      <c r="S544" s="3"/>
      <c r="T544" s="3"/>
      <c r="U544" s="3"/>
      <c r="V544" s="3"/>
      <c r="W544" s="3"/>
      <c r="X544" s="3"/>
      <c r="Y544" s="3"/>
      <c r="Z544" s="3"/>
      <c r="AA544" s="3"/>
      <c r="AB544" s="3"/>
      <c r="AC544" s="3"/>
    </row>
    <row r="545">
      <c r="A545" s="3"/>
      <c r="B545" s="3"/>
      <c r="C545" s="3"/>
      <c r="D545" s="319"/>
      <c r="E545" s="3"/>
      <c r="F545" s="3"/>
      <c r="G545" s="3"/>
      <c r="H545" s="3"/>
      <c r="I545" s="3"/>
      <c r="J545" s="3"/>
      <c r="K545" s="3"/>
      <c r="L545" s="3"/>
      <c r="M545" s="3"/>
      <c r="N545" s="3"/>
      <c r="O545" s="3"/>
      <c r="P545" s="53"/>
      <c r="Q545" s="53"/>
      <c r="R545" s="618"/>
      <c r="S545" s="3"/>
      <c r="T545" s="3"/>
      <c r="U545" s="3"/>
      <c r="V545" s="3"/>
      <c r="W545" s="3"/>
      <c r="X545" s="3"/>
      <c r="Y545" s="3"/>
      <c r="Z545" s="3"/>
      <c r="AA545" s="3"/>
      <c r="AB545" s="3"/>
      <c r="AC545" s="3"/>
    </row>
    <row r="546">
      <c r="A546" s="3"/>
      <c r="B546" s="3"/>
      <c r="C546" s="3"/>
      <c r="D546" s="319"/>
      <c r="E546" s="3"/>
      <c r="F546" s="3"/>
      <c r="G546" s="3"/>
      <c r="H546" s="3"/>
      <c r="I546" s="3"/>
      <c r="J546" s="3"/>
      <c r="K546" s="3"/>
      <c r="L546" s="3"/>
      <c r="M546" s="3"/>
      <c r="N546" s="3"/>
      <c r="O546" s="3"/>
      <c r="P546" s="53"/>
      <c r="Q546" s="53"/>
      <c r="R546" s="618"/>
      <c r="S546" s="3"/>
      <c r="T546" s="3"/>
      <c r="U546" s="3"/>
      <c r="V546" s="3"/>
      <c r="W546" s="3"/>
      <c r="X546" s="3"/>
      <c r="Y546" s="3"/>
      <c r="Z546" s="3"/>
      <c r="AA546" s="3"/>
      <c r="AB546" s="3"/>
      <c r="AC546" s="3"/>
    </row>
    <row r="547">
      <c r="A547" s="3"/>
      <c r="B547" s="3"/>
      <c r="C547" s="3"/>
      <c r="D547" s="319"/>
      <c r="E547" s="3"/>
      <c r="F547" s="3"/>
      <c r="G547" s="3"/>
      <c r="H547" s="3"/>
      <c r="I547" s="3"/>
      <c r="J547" s="3"/>
      <c r="K547" s="3"/>
      <c r="L547" s="3"/>
      <c r="M547" s="3"/>
      <c r="N547" s="3"/>
      <c r="O547" s="3"/>
      <c r="P547" s="53"/>
      <c r="Q547" s="53"/>
      <c r="R547" s="618"/>
      <c r="S547" s="3"/>
      <c r="T547" s="3"/>
      <c r="U547" s="3"/>
      <c r="V547" s="3"/>
      <c r="W547" s="3"/>
      <c r="X547" s="3"/>
      <c r="Y547" s="3"/>
      <c r="Z547" s="3"/>
      <c r="AA547" s="3"/>
      <c r="AB547" s="3"/>
      <c r="AC547" s="3"/>
    </row>
    <row r="548">
      <c r="A548" s="3"/>
      <c r="B548" s="3"/>
      <c r="C548" s="3"/>
      <c r="D548" s="319"/>
      <c r="E548" s="3"/>
      <c r="F548" s="3"/>
      <c r="G548" s="3"/>
      <c r="H548" s="3"/>
      <c r="I548" s="3"/>
      <c r="J548" s="3"/>
      <c r="K548" s="3"/>
      <c r="L548" s="3"/>
      <c r="M548" s="3"/>
      <c r="N548" s="3"/>
      <c r="O548" s="3"/>
      <c r="P548" s="53"/>
      <c r="Q548" s="53"/>
      <c r="R548" s="618"/>
      <c r="S548" s="3"/>
      <c r="T548" s="3"/>
      <c r="U548" s="3"/>
      <c r="V548" s="3"/>
      <c r="W548" s="3"/>
      <c r="X548" s="3"/>
      <c r="Y548" s="3"/>
      <c r="Z548" s="3"/>
      <c r="AA548" s="3"/>
      <c r="AB548" s="3"/>
      <c r="AC548" s="3"/>
    </row>
    <row r="549">
      <c r="A549" s="3"/>
      <c r="B549" s="3"/>
      <c r="C549" s="3"/>
      <c r="D549" s="319"/>
      <c r="E549" s="3"/>
      <c r="F549" s="3"/>
      <c r="G549" s="3"/>
      <c r="H549" s="3"/>
      <c r="I549" s="3"/>
      <c r="J549" s="3"/>
      <c r="K549" s="3"/>
      <c r="L549" s="3"/>
      <c r="M549" s="3"/>
      <c r="N549" s="3"/>
      <c r="O549" s="3"/>
      <c r="P549" s="53"/>
      <c r="Q549" s="53"/>
      <c r="R549" s="618"/>
      <c r="S549" s="3"/>
      <c r="T549" s="3"/>
      <c r="U549" s="3"/>
      <c r="V549" s="3"/>
      <c r="W549" s="3"/>
      <c r="X549" s="3"/>
      <c r="Y549" s="3"/>
      <c r="Z549" s="3"/>
      <c r="AA549" s="3"/>
      <c r="AB549" s="3"/>
      <c r="AC549" s="3"/>
    </row>
    <row r="550">
      <c r="A550" s="3"/>
      <c r="B550" s="3"/>
      <c r="C550" s="3"/>
      <c r="D550" s="319"/>
      <c r="E550" s="3"/>
      <c r="F550" s="3"/>
      <c r="G550" s="3"/>
      <c r="H550" s="3"/>
      <c r="I550" s="3"/>
      <c r="J550" s="3"/>
      <c r="K550" s="3"/>
      <c r="L550" s="3"/>
      <c r="M550" s="3"/>
      <c r="N550" s="3"/>
      <c r="O550" s="3"/>
      <c r="P550" s="53"/>
      <c r="Q550" s="53"/>
      <c r="R550" s="618"/>
      <c r="S550" s="3"/>
      <c r="T550" s="3"/>
      <c r="U550" s="3"/>
      <c r="V550" s="3"/>
      <c r="W550" s="3"/>
      <c r="X550" s="3"/>
      <c r="Y550" s="3"/>
      <c r="Z550" s="3"/>
      <c r="AA550" s="3"/>
      <c r="AB550" s="3"/>
      <c r="AC550" s="3"/>
    </row>
    <row r="551">
      <c r="A551" s="3"/>
      <c r="B551" s="3"/>
      <c r="C551" s="3"/>
      <c r="D551" s="319"/>
      <c r="E551" s="3"/>
      <c r="F551" s="3"/>
      <c r="G551" s="3"/>
      <c r="H551" s="3"/>
      <c r="I551" s="3"/>
      <c r="J551" s="3"/>
      <c r="K551" s="3"/>
      <c r="L551" s="3"/>
      <c r="M551" s="3"/>
      <c r="N551" s="3"/>
      <c r="O551" s="3"/>
      <c r="P551" s="53"/>
      <c r="Q551" s="53"/>
      <c r="R551" s="618"/>
      <c r="S551" s="3"/>
      <c r="T551" s="3"/>
      <c r="U551" s="3"/>
      <c r="V551" s="3"/>
      <c r="W551" s="3"/>
      <c r="X551" s="3"/>
      <c r="Y551" s="3"/>
      <c r="Z551" s="3"/>
      <c r="AA551" s="3"/>
      <c r="AB551" s="3"/>
      <c r="AC551" s="3"/>
    </row>
    <row r="552">
      <c r="A552" s="3"/>
      <c r="B552" s="3"/>
      <c r="C552" s="3"/>
      <c r="D552" s="319"/>
      <c r="E552" s="3"/>
      <c r="F552" s="3"/>
      <c r="G552" s="3"/>
      <c r="H552" s="3"/>
      <c r="I552" s="3"/>
      <c r="J552" s="3"/>
      <c r="K552" s="3"/>
      <c r="L552" s="3"/>
      <c r="M552" s="3"/>
      <c r="N552" s="3"/>
      <c r="O552" s="3"/>
      <c r="P552" s="53"/>
      <c r="Q552" s="53"/>
      <c r="R552" s="618"/>
      <c r="S552" s="3"/>
      <c r="T552" s="3"/>
      <c r="U552" s="3"/>
      <c r="V552" s="3"/>
      <c r="W552" s="3"/>
      <c r="X552" s="3"/>
      <c r="Y552" s="3"/>
      <c r="Z552" s="3"/>
      <c r="AA552" s="3"/>
      <c r="AB552" s="3"/>
      <c r="AC552" s="3"/>
    </row>
    <row r="553">
      <c r="A553" s="3"/>
      <c r="B553" s="3"/>
      <c r="C553" s="3"/>
      <c r="D553" s="319"/>
      <c r="E553" s="3"/>
      <c r="F553" s="3"/>
      <c r="G553" s="3"/>
      <c r="H553" s="3"/>
      <c r="I553" s="3"/>
      <c r="J553" s="3"/>
      <c r="K553" s="3"/>
      <c r="L553" s="3"/>
      <c r="M553" s="3"/>
      <c r="N553" s="3"/>
      <c r="O553" s="3"/>
      <c r="P553" s="53"/>
      <c r="Q553" s="53"/>
      <c r="R553" s="618"/>
      <c r="S553" s="3"/>
      <c r="T553" s="3"/>
      <c r="U553" s="3"/>
      <c r="V553" s="3"/>
      <c r="W553" s="3"/>
      <c r="X553" s="3"/>
      <c r="Y553" s="3"/>
      <c r="Z553" s="3"/>
      <c r="AA553" s="3"/>
      <c r="AB553" s="3"/>
      <c r="AC553" s="3"/>
    </row>
    <row r="554">
      <c r="A554" s="3"/>
      <c r="B554" s="3"/>
      <c r="C554" s="3"/>
      <c r="D554" s="319"/>
      <c r="E554" s="3"/>
      <c r="F554" s="3"/>
      <c r="G554" s="3"/>
      <c r="H554" s="3"/>
      <c r="I554" s="3"/>
      <c r="J554" s="3"/>
      <c r="K554" s="3"/>
      <c r="L554" s="3"/>
      <c r="M554" s="3"/>
      <c r="N554" s="3"/>
      <c r="O554" s="3"/>
      <c r="P554" s="53"/>
      <c r="Q554" s="53"/>
      <c r="R554" s="618"/>
      <c r="S554" s="3"/>
      <c r="T554" s="3"/>
      <c r="U554" s="3"/>
      <c r="V554" s="3"/>
      <c r="W554" s="3"/>
      <c r="X554" s="3"/>
      <c r="Y554" s="3"/>
      <c r="Z554" s="3"/>
      <c r="AA554" s="3"/>
      <c r="AB554" s="3"/>
      <c r="AC554" s="3"/>
    </row>
    <row r="555">
      <c r="A555" s="3"/>
      <c r="B555" s="3"/>
      <c r="C555" s="3"/>
      <c r="D555" s="319"/>
      <c r="E555" s="3"/>
      <c r="F555" s="3"/>
      <c r="G555" s="3"/>
      <c r="H555" s="3"/>
      <c r="I555" s="3"/>
      <c r="J555" s="3"/>
      <c r="K555" s="3"/>
      <c r="L555" s="3"/>
      <c r="M555" s="3"/>
      <c r="N555" s="3"/>
      <c r="O555" s="3"/>
      <c r="P555" s="53"/>
      <c r="Q555" s="53"/>
      <c r="R555" s="618"/>
      <c r="S555" s="3"/>
      <c r="T555" s="3"/>
      <c r="U555" s="3"/>
      <c r="V555" s="3"/>
      <c r="W555" s="3"/>
      <c r="X555" s="3"/>
      <c r="Y555" s="3"/>
      <c r="Z555" s="3"/>
      <c r="AA555" s="3"/>
      <c r="AB555" s="3"/>
      <c r="AC555" s="3"/>
    </row>
    <row r="556">
      <c r="A556" s="3"/>
      <c r="B556" s="3"/>
      <c r="C556" s="3"/>
      <c r="D556" s="319"/>
      <c r="E556" s="3"/>
      <c r="F556" s="3"/>
      <c r="G556" s="3"/>
      <c r="H556" s="3"/>
      <c r="I556" s="3"/>
      <c r="J556" s="3"/>
      <c r="K556" s="3"/>
      <c r="L556" s="3"/>
      <c r="M556" s="3"/>
      <c r="N556" s="3"/>
      <c r="O556" s="3"/>
      <c r="P556" s="53"/>
      <c r="Q556" s="53"/>
      <c r="R556" s="618"/>
      <c r="S556" s="3"/>
      <c r="T556" s="3"/>
      <c r="U556" s="3"/>
      <c r="V556" s="3"/>
      <c r="W556" s="3"/>
      <c r="X556" s="3"/>
      <c r="Y556" s="3"/>
      <c r="Z556" s="3"/>
      <c r="AA556" s="3"/>
      <c r="AB556" s="3"/>
      <c r="AC556" s="3"/>
    </row>
    <row r="557">
      <c r="A557" s="3"/>
      <c r="B557" s="3"/>
      <c r="C557" s="3"/>
      <c r="D557" s="319"/>
      <c r="E557" s="3"/>
      <c r="F557" s="3"/>
      <c r="G557" s="3"/>
      <c r="H557" s="3"/>
      <c r="I557" s="3"/>
      <c r="J557" s="3"/>
      <c r="K557" s="3"/>
      <c r="L557" s="3"/>
      <c r="M557" s="3"/>
      <c r="N557" s="3"/>
      <c r="O557" s="3"/>
      <c r="P557" s="53"/>
      <c r="Q557" s="53"/>
      <c r="R557" s="618"/>
      <c r="S557" s="3"/>
      <c r="T557" s="3"/>
      <c r="U557" s="3"/>
      <c r="V557" s="3"/>
      <c r="W557" s="3"/>
      <c r="X557" s="3"/>
      <c r="Y557" s="3"/>
      <c r="Z557" s="3"/>
      <c r="AA557" s="3"/>
      <c r="AB557" s="3"/>
      <c r="AC557" s="3"/>
    </row>
    <row r="558">
      <c r="A558" s="3"/>
      <c r="B558" s="3"/>
      <c r="C558" s="3"/>
      <c r="D558" s="319"/>
      <c r="E558" s="3"/>
      <c r="F558" s="3"/>
      <c r="G558" s="3"/>
      <c r="H558" s="3"/>
      <c r="I558" s="3"/>
      <c r="J558" s="3"/>
      <c r="K558" s="3"/>
      <c r="L558" s="3"/>
      <c r="M558" s="3"/>
      <c r="N558" s="3"/>
      <c r="O558" s="3"/>
      <c r="P558" s="53"/>
      <c r="Q558" s="53"/>
      <c r="R558" s="618"/>
      <c r="S558" s="3"/>
      <c r="T558" s="3"/>
      <c r="U558" s="3"/>
      <c r="V558" s="3"/>
      <c r="W558" s="3"/>
      <c r="X558" s="3"/>
      <c r="Y558" s="3"/>
      <c r="Z558" s="3"/>
      <c r="AA558" s="3"/>
      <c r="AB558" s="3"/>
      <c r="AC558" s="3"/>
    </row>
    <row r="559">
      <c r="A559" s="3"/>
      <c r="B559" s="3"/>
      <c r="C559" s="3"/>
      <c r="D559" s="319"/>
      <c r="E559" s="3"/>
      <c r="F559" s="3"/>
      <c r="G559" s="3"/>
      <c r="H559" s="3"/>
      <c r="I559" s="3"/>
      <c r="J559" s="3"/>
      <c r="K559" s="3"/>
      <c r="L559" s="3"/>
      <c r="M559" s="3"/>
      <c r="N559" s="3"/>
      <c r="O559" s="3"/>
      <c r="P559" s="53"/>
      <c r="Q559" s="53"/>
      <c r="R559" s="618"/>
      <c r="S559" s="3"/>
      <c r="T559" s="3"/>
      <c r="U559" s="3"/>
      <c r="V559" s="3"/>
      <c r="W559" s="3"/>
      <c r="X559" s="3"/>
      <c r="Y559" s="3"/>
      <c r="Z559" s="3"/>
      <c r="AA559" s="3"/>
      <c r="AB559" s="3"/>
      <c r="AC559" s="3"/>
    </row>
    <row r="560">
      <c r="A560" s="3"/>
      <c r="B560" s="3"/>
      <c r="C560" s="3"/>
      <c r="D560" s="319"/>
      <c r="E560" s="3"/>
      <c r="F560" s="3"/>
      <c r="G560" s="3"/>
      <c r="H560" s="3"/>
      <c r="I560" s="3"/>
      <c r="J560" s="3"/>
      <c r="K560" s="3"/>
      <c r="L560" s="3"/>
      <c r="M560" s="3"/>
      <c r="N560" s="3"/>
      <c r="O560" s="3"/>
      <c r="P560" s="53"/>
      <c r="Q560" s="53"/>
      <c r="R560" s="618"/>
      <c r="S560" s="3"/>
      <c r="T560" s="3"/>
      <c r="U560" s="3"/>
      <c r="V560" s="3"/>
      <c r="W560" s="3"/>
      <c r="X560" s="3"/>
      <c r="Y560" s="3"/>
      <c r="Z560" s="3"/>
      <c r="AA560" s="3"/>
      <c r="AB560" s="3"/>
      <c r="AC560" s="3"/>
    </row>
    <row r="561">
      <c r="A561" s="3"/>
      <c r="B561" s="3"/>
      <c r="C561" s="3"/>
      <c r="D561" s="319"/>
      <c r="E561" s="3"/>
      <c r="F561" s="3"/>
      <c r="G561" s="3"/>
      <c r="H561" s="3"/>
      <c r="I561" s="3"/>
      <c r="J561" s="3"/>
      <c r="K561" s="3"/>
      <c r="L561" s="3"/>
      <c r="M561" s="3"/>
      <c r="N561" s="3"/>
      <c r="O561" s="3"/>
      <c r="P561" s="53"/>
      <c r="Q561" s="53"/>
      <c r="R561" s="618"/>
      <c r="S561" s="3"/>
      <c r="T561" s="3"/>
      <c r="U561" s="3"/>
      <c r="V561" s="3"/>
      <c r="W561" s="3"/>
      <c r="X561" s="3"/>
      <c r="Y561" s="3"/>
      <c r="Z561" s="3"/>
      <c r="AA561" s="3"/>
      <c r="AB561" s="3"/>
      <c r="AC561" s="3"/>
    </row>
    <row r="562">
      <c r="A562" s="3"/>
      <c r="B562" s="3"/>
      <c r="C562" s="3"/>
      <c r="D562" s="319"/>
      <c r="E562" s="3"/>
      <c r="F562" s="3"/>
      <c r="G562" s="3"/>
      <c r="H562" s="3"/>
      <c r="I562" s="3"/>
      <c r="J562" s="3"/>
      <c r="K562" s="3"/>
      <c r="L562" s="3"/>
      <c r="M562" s="3"/>
      <c r="N562" s="3"/>
      <c r="O562" s="3"/>
      <c r="P562" s="53"/>
      <c r="Q562" s="53"/>
      <c r="R562" s="618"/>
      <c r="S562" s="3"/>
      <c r="T562" s="3"/>
      <c r="U562" s="3"/>
      <c r="V562" s="3"/>
      <c r="W562" s="3"/>
      <c r="X562" s="3"/>
      <c r="Y562" s="3"/>
      <c r="Z562" s="3"/>
      <c r="AA562" s="3"/>
      <c r="AB562" s="3"/>
      <c r="AC562" s="3"/>
    </row>
    <row r="563">
      <c r="A563" s="3"/>
      <c r="B563" s="3"/>
      <c r="C563" s="3"/>
      <c r="D563" s="319"/>
      <c r="E563" s="3"/>
      <c r="F563" s="3"/>
      <c r="G563" s="3"/>
      <c r="H563" s="3"/>
      <c r="I563" s="3"/>
      <c r="J563" s="3"/>
      <c r="K563" s="3"/>
      <c r="L563" s="3"/>
      <c r="M563" s="3"/>
      <c r="N563" s="3"/>
      <c r="O563" s="3"/>
      <c r="P563" s="53"/>
      <c r="Q563" s="53"/>
      <c r="R563" s="618"/>
      <c r="S563" s="3"/>
      <c r="T563" s="3"/>
      <c r="U563" s="3"/>
      <c r="V563" s="3"/>
      <c r="W563" s="3"/>
      <c r="X563" s="3"/>
      <c r="Y563" s="3"/>
      <c r="Z563" s="3"/>
      <c r="AA563" s="3"/>
      <c r="AB563" s="3"/>
      <c r="AC563" s="3"/>
    </row>
    <row r="564">
      <c r="A564" s="3"/>
      <c r="B564" s="3"/>
      <c r="C564" s="3"/>
      <c r="D564" s="319"/>
      <c r="E564" s="3"/>
      <c r="F564" s="3"/>
      <c r="G564" s="3"/>
      <c r="H564" s="3"/>
      <c r="I564" s="3"/>
      <c r="J564" s="3"/>
      <c r="K564" s="3"/>
      <c r="L564" s="3"/>
      <c r="M564" s="3"/>
      <c r="N564" s="3"/>
      <c r="O564" s="3"/>
      <c r="P564" s="53"/>
      <c r="Q564" s="53"/>
      <c r="R564" s="618"/>
      <c r="S564" s="3"/>
      <c r="T564" s="3"/>
      <c r="U564" s="3"/>
      <c r="V564" s="3"/>
      <c r="W564" s="3"/>
      <c r="X564" s="3"/>
      <c r="Y564" s="3"/>
      <c r="Z564" s="3"/>
      <c r="AA564" s="3"/>
      <c r="AB564" s="3"/>
      <c r="AC564" s="3"/>
    </row>
    <row r="565">
      <c r="A565" s="3"/>
      <c r="B565" s="3"/>
      <c r="C565" s="3"/>
      <c r="D565" s="319"/>
      <c r="E565" s="3"/>
      <c r="F565" s="3"/>
      <c r="G565" s="3"/>
      <c r="H565" s="3"/>
      <c r="I565" s="3"/>
      <c r="J565" s="3"/>
      <c r="K565" s="3"/>
      <c r="L565" s="3"/>
      <c r="M565" s="3"/>
      <c r="N565" s="3"/>
      <c r="O565" s="3"/>
      <c r="P565" s="53"/>
      <c r="Q565" s="53"/>
      <c r="R565" s="618"/>
      <c r="S565" s="3"/>
      <c r="T565" s="3"/>
      <c r="U565" s="3"/>
      <c r="V565" s="3"/>
      <c r="W565" s="3"/>
      <c r="X565" s="3"/>
      <c r="Y565" s="3"/>
      <c r="Z565" s="3"/>
      <c r="AA565" s="3"/>
      <c r="AB565" s="3"/>
      <c r="AC565" s="3"/>
    </row>
    <row r="566">
      <c r="A566" s="3"/>
      <c r="B566" s="3"/>
      <c r="C566" s="3"/>
      <c r="D566" s="319"/>
      <c r="E566" s="3"/>
      <c r="F566" s="3"/>
      <c r="G566" s="3"/>
      <c r="H566" s="3"/>
      <c r="I566" s="3"/>
      <c r="J566" s="3"/>
      <c r="K566" s="3"/>
      <c r="L566" s="3"/>
      <c r="M566" s="3"/>
      <c r="N566" s="3"/>
      <c r="O566" s="3"/>
      <c r="P566" s="53"/>
      <c r="Q566" s="53"/>
      <c r="R566" s="618"/>
      <c r="S566" s="3"/>
      <c r="T566" s="3"/>
      <c r="U566" s="3"/>
      <c r="V566" s="3"/>
      <c r="W566" s="3"/>
      <c r="X566" s="3"/>
      <c r="Y566" s="3"/>
      <c r="Z566" s="3"/>
      <c r="AA566" s="3"/>
      <c r="AB566" s="3"/>
      <c r="AC566" s="3"/>
    </row>
    <row r="567">
      <c r="A567" s="3"/>
      <c r="B567" s="3"/>
      <c r="C567" s="3"/>
      <c r="D567" s="319"/>
      <c r="E567" s="3"/>
      <c r="F567" s="3"/>
      <c r="G567" s="3"/>
      <c r="H567" s="3"/>
      <c r="I567" s="3"/>
      <c r="J567" s="3"/>
      <c r="K567" s="3"/>
      <c r="L567" s="3"/>
      <c r="M567" s="3"/>
      <c r="N567" s="3"/>
      <c r="O567" s="3"/>
      <c r="P567" s="53"/>
      <c r="Q567" s="53"/>
      <c r="R567" s="618"/>
      <c r="S567" s="3"/>
      <c r="T567" s="3"/>
      <c r="U567" s="3"/>
      <c r="V567" s="3"/>
      <c r="W567" s="3"/>
      <c r="X567" s="3"/>
      <c r="Y567" s="3"/>
      <c r="Z567" s="3"/>
      <c r="AA567" s="3"/>
      <c r="AB567" s="3"/>
      <c r="AC567" s="3"/>
    </row>
    <row r="568">
      <c r="A568" s="3"/>
      <c r="B568" s="3"/>
      <c r="C568" s="3"/>
      <c r="D568" s="319"/>
      <c r="E568" s="3"/>
      <c r="F568" s="3"/>
      <c r="G568" s="3"/>
      <c r="H568" s="3"/>
      <c r="I568" s="3"/>
      <c r="J568" s="3"/>
      <c r="K568" s="3"/>
      <c r="L568" s="3"/>
      <c r="M568" s="3"/>
      <c r="N568" s="3"/>
      <c r="O568" s="3"/>
      <c r="P568" s="53"/>
      <c r="Q568" s="53"/>
      <c r="R568" s="618"/>
      <c r="S568" s="3"/>
      <c r="T568" s="3"/>
      <c r="U568" s="3"/>
      <c r="V568" s="3"/>
      <c r="W568" s="3"/>
      <c r="X568" s="3"/>
      <c r="Y568" s="3"/>
      <c r="Z568" s="3"/>
      <c r="AA568" s="3"/>
      <c r="AB568" s="3"/>
      <c r="AC568" s="3"/>
    </row>
    <row r="569">
      <c r="A569" s="3"/>
      <c r="B569" s="3"/>
      <c r="C569" s="3"/>
      <c r="D569" s="319"/>
      <c r="E569" s="3"/>
      <c r="F569" s="3"/>
      <c r="G569" s="3"/>
      <c r="H569" s="3"/>
      <c r="I569" s="3"/>
      <c r="J569" s="3"/>
      <c r="K569" s="3"/>
      <c r="L569" s="3"/>
      <c r="M569" s="3"/>
      <c r="N569" s="3"/>
      <c r="O569" s="3"/>
      <c r="P569" s="53"/>
      <c r="Q569" s="53"/>
      <c r="R569" s="618"/>
      <c r="S569" s="3"/>
      <c r="T569" s="3"/>
      <c r="U569" s="3"/>
      <c r="V569" s="3"/>
      <c r="W569" s="3"/>
      <c r="X569" s="3"/>
      <c r="Y569" s="3"/>
      <c r="Z569" s="3"/>
      <c r="AA569" s="3"/>
      <c r="AB569" s="3"/>
      <c r="AC569" s="3"/>
    </row>
    <row r="570">
      <c r="A570" s="3"/>
      <c r="B570" s="3"/>
      <c r="C570" s="3"/>
      <c r="D570" s="319"/>
      <c r="E570" s="3"/>
      <c r="F570" s="3"/>
      <c r="G570" s="3"/>
      <c r="H570" s="3"/>
      <c r="I570" s="3"/>
      <c r="J570" s="3"/>
      <c r="K570" s="3"/>
      <c r="L570" s="3"/>
      <c r="M570" s="3"/>
      <c r="N570" s="3"/>
      <c r="O570" s="3"/>
      <c r="P570" s="53"/>
      <c r="Q570" s="53"/>
      <c r="R570" s="618"/>
      <c r="S570" s="3"/>
      <c r="T570" s="3"/>
      <c r="U570" s="3"/>
      <c r="V570" s="3"/>
      <c r="W570" s="3"/>
      <c r="X570" s="3"/>
      <c r="Y570" s="3"/>
      <c r="Z570" s="3"/>
      <c r="AA570" s="3"/>
      <c r="AB570" s="3"/>
      <c r="AC570" s="3"/>
    </row>
    <row r="571">
      <c r="A571" s="3"/>
      <c r="B571" s="3"/>
      <c r="C571" s="3"/>
      <c r="D571" s="319"/>
      <c r="E571" s="3"/>
      <c r="F571" s="3"/>
      <c r="G571" s="3"/>
      <c r="H571" s="3"/>
      <c r="I571" s="3"/>
      <c r="J571" s="3"/>
      <c r="K571" s="3"/>
      <c r="L571" s="3"/>
      <c r="M571" s="3"/>
      <c r="N571" s="3"/>
      <c r="O571" s="3"/>
      <c r="P571" s="53"/>
      <c r="Q571" s="53"/>
      <c r="R571" s="618"/>
      <c r="S571" s="3"/>
      <c r="T571" s="3"/>
      <c r="U571" s="3"/>
      <c r="V571" s="3"/>
      <c r="W571" s="3"/>
      <c r="X571" s="3"/>
      <c r="Y571" s="3"/>
      <c r="Z571" s="3"/>
      <c r="AA571" s="3"/>
      <c r="AB571" s="3"/>
      <c r="AC571" s="3"/>
    </row>
    <row r="572">
      <c r="A572" s="3"/>
      <c r="B572" s="3"/>
      <c r="C572" s="3"/>
      <c r="D572" s="319"/>
      <c r="E572" s="3"/>
      <c r="F572" s="3"/>
      <c r="G572" s="3"/>
      <c r="H572" s="3"/>
      <c r="I572" s="3"/>
      <c r="J572" s="3"/>
      <c r="K572" s="3"/>
      <c r="L572" s="3"/>
      <c r="M572" s="3"/>
      <c r="N572" s="3"/>
      <c r="O572" s="3"/>
      <c r="P572" s="53"/>
      <c r="Q572" s="53"/>
      <c r="R572" s="618"/>
      <c r="S572" s="3"/>
      <c r="T572" s="3"/>
      <c r="U572" s="3"/>
      <c r="V572" s="3"/>
      <c r="W572" s="3"/>
      <c r="X572" s="3"/>
      <c r="Y572" s="3"/>
      <c r="Z572" s="3"/>
      <c r="AA572" s="3"/>
      <c r="AB572" s="3"/>
      <c r="AC572" s="3"/>
    </row>
    <row r="573">
      <c r="A573" s="3"/>
      <c r="B573" s="3"/>
      <c r="C573" s="3"/>
      <c r="D573" s="319"/>
      <c r="E573" s="3"/>
      <c r="F573" s="3"/>
      <c r="G573" s="3"/>
      <c r="H573" s="3"/>
      <c r="I573" s="3"/>
      <c r="J573" s="3"/>
      <c r="K573" s="3"/>
      <c r="L573" s="3"/>
      <c r="M573" s="3"/>
      <c r="N573" s="3"/>
      <c r="O573" s="3"/>
      <c r="P573" s="53"/>
      <c r="Q573" s="53"/>
      <c r="R573" s="618"/>
      <c r="S573" s="3"/>
      <c r="T573" s="3"/>
      <c r="U573" s="3"/>
      <c r="V573" s="3"/>
      <c r="W573" s="3"/>
      <c r="X573" s="3"/>
      <c r="Y573" s="3"/>
      <c r="Z573" s="3"/>
      <c r="AA573" s="3"/>
      <c r="AB573" s="3"/>
      <c r="AC573" s="3"/>
    </row>
    <row r="574">
      <c r="A574" s="3"/>
      <c r="B574" s="3"/>
      <c r="C574" s="3"/>
      <c r="D574" s="319"/>
      <c r="E574" s="3"/>
      <c r="F574" s="3"/>
      <c r="G574" s="3"/>
      <c r="H574" s="3"/>
      <c r="I574" s="3"/>
      <c r="J574" s="3"/>
      <c r="K574" s="3"/>
      <c r="L574" s="3"/>
      <c r="M574" s="3"/>
      <c r="N574" s="3"/>
      <c r="O574" s="3"/>
      <c r="P574" s="53"/>
      <c r="Q574" s="53"/>
      <c r="R574" s="618"/>
      <c r="S574" s="3"/>
      <c r="T574" s="3"/>
      <c r="U574" s="3"/>
      <c r="V574" s="3"/>
      <c r="W574" s="3"/>
      <c r="X574" s="3"/>
      <c r="Y574" s="3"/>
      <c r="Z574" s="3"/>
      <c r="AA574" s="3"/>
      <c r="AB574" s="3"/>
      <c r="AC574" s="3"/>
    </row>
    <row r="575">
      <c r="A575" s="3"/>
      <c r="B575" s="3"/>
      <c r="C575" s="3"/>
      <c r="D575" s="319"/>
      <c r="E575" s="3"/>
      <c r="F575" s="3"/>
      <c r="G575" s="3"/>
      <c r="H575" s="3"/>
      <c r="I575" s="3"/>
      <c r="J575" s="3"/>
      <c r="K575" s="3"/>
      <c r="L575" s="3"/>
      <c r="M575" s="3"/>
      <c r="N575" s="3"/>
      <c r="O575" s="3"/>
      <c r="P575" s="53"/>
      <c r="Q575" s="53"/>
      <c r="R575" s="618"/>
      <c r="S575" s="3"/>
      <c r="T575" s="3"/>
      <c r="U575" s="3"/>
      <c r="V575" s="3"/>
      <c r="W575" s="3"/>
      <c r="X575" s="3"/>
      <c r="Y575" s="3"/>
      <c r="Z575" s="3"/>
      <c r="AA575" s="3"/>
      <c r="AB575" s="3"/>
      <c r="AC575" s="3"/>
    </row>
    <row r="576">
      <c r="A576" s="3"/>
      <c r="B576" s="3"/>
      <c r="C576" s="3"/>
      <c r="D576" s="319"/>
      <c r="E576" s="3"/>
      <c r="F576" s="3"/>
      <c r="G576" s="3"/>
      <c r="H576" s="3"/>
      <c r="I576" s="3"/>
      <c r="J576" s="3"/>
      <c r="K576" s="3"/>
      <c r="L576" s="3"/>
      <c r="M576" s="3"/>
      <c r="N576" s="3"/>
      <c r="O576" s="3"/>
      <c r="P576" s="53"/>
      <c r="Q576" s="53"/>
      <c r="R576" s="618"/>
      <c r="S576" s="3"/>
      <c r="T576" s="3"/>
      <c r="U576" s="3"/>
      <c r="V576" s="3"/>
      <c r="W576" s="3"/>
      <c r="X576" s="3"/>
      <c r="Y576" s="3"/>
      <c r="Z576" s="3"/>
      <c r="AA576" s="3"/>
      <c r="AB576" s="3"/>
      <c r="AC576" s="3"/>
    </row>
    <row r="577">
      <c r="A577" s="3"/>
      <c r="B577" s="3"/>
      <c r="C577" s="3"/>
      <c r="D577" s="319"/>
      <c r="E577" s="3"/>
      <c r="F577" s="3"/>
      <c r="G577" s="3"/>
      <c r="H577" s="3"/>
      <c r="I577" s="3"/>
      <c r="J577" s="3"/>
      <c r="K577" s="3"/>
      <c r="L577" s="3"/>
      <c r="M577" s="3"/>
      <c r="N577" s="3"/>
      <c r="O577" s="3"/>
      <c r="P577" s="53"/>
      <c r="Q577" s="53"/>
      <c r="R577" s="618"/>
      <c r="S577" s="3"/>
      <c r="T577" s="3"/>
      <c r="U577" s="3"/>
      <c r="V577" s="3"/>
      <c r="W577" s="3"/>
      <c r="X577" s="3"/>
      <c r="Y577" s="3"/>
      <c r="Z577" s="3"/>
      <c r="AA577" s="3"/>
      <c r="AB577" s="3"/>
      <c r="AC577" s="3"/>
    </row>
    <row r="578">
      <c r="A578" s="3"/>
      <c r="B578" s="3"/>
      <c r="C578" s="3"/>
      <c r="D578" s="319"/>
      <c r="E578" s="3"/>
      <c r="F578" s="3"/>
      <c r="G578" s="3"/>
      <c r="H578" s="3"/>
      <c r="I578" s="3"/>
      <c r="J578" s="3"/>
      <c r="K578" s="3"/>
      <c r="L578" s="3"/>
      <c r="M578" s="3"/>
      <c r="N578" s="3"/>
      <c r="O578" s="3"/>
      <c r="P578" s="53"/>
      <c r="Q578" s="53"/>
      <c r="R578" s="618"/>
      <c r="S578" s="3"/>
      <c r="T578" s="3"/>
      <c r="U578" s="3"/>
      <c r="V578" s="3"/>
      <c r="W578" s="3"/>
      <c r="X578" s="3"/>
      <c r="Y578" s="3"/>
      <c r="Z578" s="3"/>
      <c r="AA578" s="3"/>
      <c r="AB578" s="3"/>
      <c r="AC578" s="3"/>
    </row>
    <row r="579">
      <c r="A579" s="3"/>
      <c r="B579" s="3"/>
      <c r="C579" s="3"/>
      <c r="D579" s="319"/>
      <c r="E579" s="3"/>
      <c r="F579" s="3"/>
      <c r="G579" s="3"/>
      <c r="H579" s="3"/>
      <c r="I579" s="3"/>
      <c r="J579" s="3"/>
      <c r="K579" s="3"/>
      <c r="L579" s="3"/>
      <c r="M579" s="3"/>
      <c r="N579" s="3"/>
      <c r="O579" s="3"/>
      <c r="P579" s="53"/>
      <c r="Q579" s="53"/>
      <c r="R579" s="618"/>
      <c r="S579" s="3"/>
      <c r="T579" s="3"/>
      <c r="U579" s="3"/>
      <c r="V579" s="3"/>
      <c r="W579" s="3"/>
      <c r="X579" s="3"/>
      <c r="Y579" s="3"/>
      <c r="Z579" s="3"/>
      <c r="AA579" s="3"/>
      <c r="AB579" s="3"/>
      <c r="AC579" s="3"/>
    </row>
    <row r="580">
      <c r="A580" s="3"/>
      <c r="B580" s="3"/>
      <c r="C580" s="3"/>
      <c r="D580" s="319"/>
      <c r="E580" s="3"/>
      <c r="F580" s="3"/>
      <c r="G580" s="3"/>
      <c r="H580" s="3"/>
      <c r="I580" s="3"/>
      <c r="J580" s="3"/>
      <c r="K580" s="3"/>
      <c r="L580" s="3"/>
      <c r="M580" s="3"/>
      <c r="N580" s="3"/>
      <c r="O580" s="3"/>
      <c r="P580" s="53"/>
      <c r="Q580" s="53"/>
      <c r="R580" s="618"/>
      <c r="S580" s="3"/>
      <c r="T580" s="3"/>
      <c r="U580" s="3"/>
      <c r="V580" s="3"/>
      <c r="W580" s="3"/>
      <c r="X580" s="3"/>
      <c r="Y580" s="3"/>
      <c r="Z580" s="3"/>
      <c r="AA580" s="3"/>
      <c r="AB580" s="3"/>
      <c r="AC580" s="3"/>
    </row>
    <row r="581">
      <c r="A581" s="3"/>
      <c r="B581" s="3"/>
      <c r="C581" s="3"/>
      <c r="D581" s="319"/>
      <c r="E581" s="3"/>
      <c r="F581" s="3"/>
      <c r="G581" s="3"/>
      <c r="H581" s="3"/>
      <c r="I581" s="3"/>
      <c r="J581" s="3"/>
      <c r="K581" s="3"/>
      <c r="L581" s="3"/>
      <c r="M581" s="3"/>
      <c r="N581" s="3"/>
      <c r="O581" s="3"/>
      <c r="P581" s="53"/>
      <c r="Q581" s="53"/>
      <c r="R581" s="618"/>
      <c r="S581" s="3"/>
      <c r="T581" s="3"/>
      <c r="U581" s="3"/>
      <c r="V581" s="3"/>
      <c r="W581" s="3"/>
      <c r="X581" s="3"/>
      <c r="Y581" s="3"/>
      <c r="Z581" s="3"/>
      <c r="AA581" s="3"/>
      <c r="AB581" s="3"/>
      <c r="AC581" s="3"/>
    </row>
    <row r="582">
      <c r="A582" s="3"/>
      <c r="B582" s="3"/>
      <c r="C582" s="3"/>
      <c r="D582" s="319"/>
      <c r="E582" s="3"/>
      <c r="F582" s="3"/>
      <c r="G582" s="3"/>
      <c r="H582" s="3"/>
      <c r="I582" s="3"/>
      <c r="J582" s="3"/>
      <c r="K582" s="3"/>
      <c r="L582" s="3"/>
      <c r="M582" s="3"/>
      <c r="N582" s="3"/>
      <c r="O582" s="3"/>
      <c r="P582" s="53"/>
      <c r="Q582" s="53"/>
      <c r="R582" s="618"/>
      <c r="S582" s="3"/>
      <c r="T582" s="3"/>
      <c r="U582" s="3"/>
      <c r="V582" s="3"/>
      <c r="W582" s="3"/>
      <c r="X582" s="3"/>
      <c r="Y582" s="3"/>
      <c r="Z582" s="3"/>
      <c r="AA582" s="3"/>
      <c r="AB582" s="3"/>
      <c r="AC582" s="3"/>
    </row>
    <row r="583">
      <c r="A583" s="3"/>
      <c r="B583" s="3"/>
      <c r="C583" s="3"/>
      <c r="D583" s="319"/>
      <c r="E583" s="3"/>
      <c r="F583" s="3"/>
      <c r="G583" s="3"/>
      <c r="H583" s="3"/>
      <c r="I583" s="3"/>
      <c r="J583" s="3"/>
      <c r="K583" s="3"/>
      <c r="L583" s="3"/>
      <c r="M583" s="3"/>
      <c r="N583" s="3"/>
      <c r="O583" s="3"/>
      <c r="P583" s="53"/>
      <c r="Q583" s="53"/>
      <c r="R583" s="618"/>
      <c r="S583" s="3"/>
      <c r="T583" s="3"/>
      <c r="U583" s="3"/>
      <c r="V583" s="3"/>
      <c r="W583" s="3"/>
      <c r="X583" s="3"/>
      <c r="Y583" s="3"/>
      <c r="Z583" s="3"/>
      <c r="AA583" s="3"/>
      <c r="AB583" s="3"/>
      <c r="AC583" s="3"/>
    </row>
    <row r="584">
      <c r="A584" s="3"/>
      <c r="B584" s="3"/>
      <c r="C584" s="3"/>
      <c r="D584" s="319"/>
      <c r="E584" s="3"/>
      <c r="F584" s="3"/>
      <c r="G584" s="3"/>
      <c r="H584" s="3"/>
      <c r="I584" s="3"/>
      <c r="J584" s="3"/>
      <c r="K584" s="3"/>
      <c r="L584" s="3"/>
      <c r="M584" s="3"/>
      <c r="N584" s="3"/>
      <c r="O584" s="3"/>
      <c r="P584" s="53"/>
      <c r="Q584" s="53"/>
      <c r="R584" s="618"/>
      <c r="S584" s="3"/>
      <c r="T584" s="3"/>
      <c r="U584" s="3"/>
      <c r="V584" s="3"/>
      <c r="W584" s="3"/>
      <c r="X584" s="3"/>
      <c r="Y584" s="3"/>
      <c r="Z584" s="3"/>
      <c r="AA584" s="3"/>
      <c r="AB584" s="3"/>
      <c r="AC584" s="3"/>
    </row>
    <row r="585">
      <c r="A585" s="3"/>
      <c r="B585" s="3"/>
      <c r="C585" s="3"/>
      <c r="D585" s="319"/>
      <c r="E585" s="3"/>
      <c r="F585" s="3"/>
      <c r="G585" s="3"/>
      <c r="H585" s="3"/>
      <c r="I585" s="3"/>
      <c r="J585" s="3"/>
      <c r="K585" s="3"/>
      <c r="L585" s="3"/>
      <c r="M585" s="3"/>
      <c r="N585" s="3"/>
      <c r="O585" s="3"/>
      <c r="P585" s="53"/>
      <c r="Q585" s="53"/>
      <c r="R585" s="618"/>
      <c r="S585" s="3"/>
      <c r="T585" s="3"/>
      <c r="U585" s="3"/>
      <c r="V585" s="3"/>
      <c r="W585" s="3"/>
      <c r="X585" s="3"/>
      <c r="Y585" s="3"/>
      <c r="Z585" s="3"/>
      <c r="AA585" s="3"/>
      <c r="AB585" s="3"/>
      <c r="AC585" s="3"/>
    </row>
    <row r="586">
      <c r="A586" s="3"/>
      <c r="B586" s="3"/>
      <c r="C586" s="3"/>
      <c r="D586" s="319"/>
      <c r="E586" s="3"/>
      <c r="F586" s="3"/>
      <c r="G586" s="3"/>
      <c r="H586" s="3"/>
      <c r="I586" s="3"/>
      <c r="J586" s="3"/>
      <c r="K586" s="3"/>
      <c r="L586" s="3"/>
      <c r="M586" s="3"/>
      <c r="N586" s="3"/>
      <c r="O586" s="3"/>
      <c r="P586" s="53"/>
      <c r="Q586" s="53"/>
      <c r="R586" s="618"/>
      <c r="S586" s="3"/>
      <c r="T586" s="3"/>
      <c r="U586" s="3"/>
      <c r="V586" s="3"/>
      <c r="W586" s="3"/>
      <c r="X586" s="3"/>
      <c r="Y586" s="3"/>
      <c r="Z586" s="3"/>
      <c r="AA586" s="3"/>
      <c r="AB586" s="3"/>
      <c r="AC586" s="3"/>
    </row>
    <row r="587">
      <c r="A587" s="3"/>
      <c r="B587" s="3"/>
      <c r="C587" s="3"/>
      <c r="D587" s="319"/>
      <c r="E587" s="3"/>
      <c r="F587" s="3"/>
      <c r="G587" s="3"/>
      <c r="H587" s="3"/>
      <c r="I587" s="3"/>
      <c r="J587" s="3"/>
      <c r="K587" s="3"/>
      <c r="L587" s="3"/>
      <c r="M587" s="3"/>
      <c r="N587" s="3"/>
      <c r="O587" s="3"/>
      <c r="P587" s="53"/>
      <c r="Q587" s="53"/>
      <c r="R587" s="618"/>
      <c r="S587" s="3"/>
      <c r="T587" s="3"/>
      <c r="U587" s="3"/>
      <c r="V587" s="3"/>
      <c r="W587" s="3"/>
      <c r="X587" s="3"/>
      <c r="Y587" s="3"/>
      <c r="Z587" s="3"/>
      <c r="AA587" s="3"/>
      <c r="AB587" s="3"/>
      <c r="AC587" s="3"/>
    </row>
    <row r="588">
      <c r="A588" s="3"/>
      <c r="B588" s="3"/>
      <c r="C588" s="3"/>
      <c r="D588" s="319"/>
      <c r="E588" s="3"/>
      <c r="F588" s="3"/>
      <c r="G588" s="3"/>
      <c r="H588" s="3"/>
      <c r="I588" s="3"/>
      <c r="J588" s="3"/>
      <c r="K588" s="3"/>
      <c r="L588" s="3"/>
      <c r="M588" s="3"/>
      <c r="N588" s="3"/>
      <c r="O588" s="3"/>
      <c r="P588" s="53"/>
      <c r="Q588" s="53"/>
      <c r="R588" s="618"/>
      <c r="S588" s="3"/>
      <c r="T588" s="3"/>
      <c r="U588" s="3"/>
      <c r="V588" s="3"/>
      <c r="W588" s="3"/>
      <c r="X588" s="3"/>
      <c r="Y588" s="3"/>
      <c r="Z588" s="3"/>
      <c r="AA588" s="3"/>
      <c r="AB588" s="3"/>
      <c r="AC588" s="3"/>
    </row>
    <row r="589">
      <c r="A589" s="3"/>
      <c r="B589" s="3"/>
      <c r="C589" s="3"/>
      <c r="D589" s="319"/>
      <c r="E589" s="3"/>
      <c r="F589" s="3"/>
      <c r="G589" s="3"/>
      <c r="H589" s="3"/>
      <c r="I589" s="3"/>
      <c r="J589" s="3"/>
      <c r="K589" s="3"/>
      <c r="L589" s="3"/>
      <c r="M589" s="3"/>
      <c r="N589" s="3"/>
      <c r="O589" s="3"/>
      <c r="P589" s="53"/>
      <c r="Q589" s="53"/>
      <c r="R589" s="618"/>
      <c r="S589" s="3"/>
      <c r="T589" s="3"/>
      <c r="U589" s="3"/>
      <c r="V589" s="3"/>
      <c r="W589" s="3"/>
      <c r="X589" s="3"/>
      <c r="Y589" s="3"/>
      <c r="Z589" s="3"/>
      <c r="AA589" s="3"/>
      <c r="AB589" s="3"/>
      <c r="AC589" s="3"/>
    </row>
    <row r="590">
      <c r="A590" s="3"/>
      <c r="B590" s="3"/>
      <c r="C590" s="3"/>
      <c r="D590" s="319"/>
      <c r="E590" s="3"/>
      <c r="F590" s="3"/>
      <c r="G590" s="3"/>
      <c r="H590" s="3"/>
      <c r="I590" s="3"/>
      <c r="J590" s="3"/>
      <c r="K590" s="3"/>
      <c r="L590" s="3"/>
      <c r="M590" s="3"/>
      <c r="N590" s="3"/>
      <c r="O590" s="3"/>
      <c r="P590" s="53"/>
      <c r="Q590" s="53"/>
      <c r="R590" s="618"/>
      <c r="S590" s="3"/>
      <c r="T590" s="3"/>
      <c r="U590" s="3"/>
      <c r="V590" s="3"/>
      <c r="W590" s="3"/>
      <c r="X590" s="3"/>
      <c r="Y590" s="3"/>
      <c r="Z590" s="3"/>
      <c r="AA590" s="3"/>
      <c r="AB590" s="3"/>
      <c r="AC590" s="3"/>
    </row>
    <row r="591">
      <c r="A591" s="3"/>
      <c r="B591" s="3"/>
      <c r="C591" s="3"/>
      <c r="D591" s="319"/>
      <c r="E591" s="3"/>
      <c r="F591" s="3"/>
      <c r="G591" s="3"/>
      <c r="H591" s="3"/>
      <c r="I591" s="3"/>
      <c r="J591" s="3"/>
      <c r="K591" s="3"/>
      <c r="L591" s="3"/>
      <c r="M591" s="3"/>
      <c r="N591" s="3"/>
      <c r="O591" s="3"/>
      <c r="P591" s="53"/>
      <c r="Q591" s="53"/>
      <c r="R591" s="618"/>
      <c r="S591" s="3"/>
      <c r="T591" s="3"/>
      <c r="U591" s="3"/>
      <c r="V591" s="3"/>
      <c r="W591" s="3"/>
      <c r="X591" s="3"/>
      <c r="Y591" s="3"/>
      <c r="Z591" s="3"/>
      <c r="AA591" s="3"/>
      <c r="AB591" s="3"/>
      <c r="AC591" s="3"/>
    </row>
    <row r="592">
      <c r="A592" s="3"/>
      <c r="B592" s="3"/>
      <c r="C592" s="3"/>
      <c r="D592" s="319"/>
      <c r="E592" s="3"/>
      <c r="F592" s="3"/>
      <c r="G592" s="3"/>
      <c r="H592" s="3"/>
      <c r="I592" s="3"/>
      <c r="J592" s="3"/>
      <c r="K592" s="3"/>
      <c r="L592" s="3"/>
      <c r="M592" s="3"/>
      <c r="N592" s="3"/>
      <c r="O592" s="3"/>
      <c r="P592" s="53"/>
      <c r="Q592" s="53"/>
      <c r="R592" s="618"/>
      <c r="S592" s="3"/>
      <c r="T592" s="3"/>
      <c r="U592" s="3"/>
      <c r="V592" s="3"/>
      <c r="W592" s="3"/>
      <c r="X592" s="3"/>
      <c r="Y592" s="3"/>
      <c r="Z592" s="3"/>
      <c r="AA592" s="3"/>
      <c r="AB592" s="3"/>
      <c r="AC592" s="3"/>
    </row>
    <row r="593">
      <c r="A593" s="3"/>
      <c r="B593" s="3"/>
      <c r="C593" s="3"/>
      <c r="D593" s="319"/>
      <c r="E593" s="3"/>
      <c r="F593" s="3"/>
      <c r="G593" s="3"/>
      <c r="H593" s="3"/>
      <c r="I593" s="3"/>
      <c r="J593" s="3"/>
      <c r="K593" s="3"/>
      <c r="L593" s="3"/>
      <c r="M593" s="3"/>
      <c r="N593" s="3"/>
      <c r="O593" s="3"/>
      <c r="P593" s="53"/>
      <c r="Q593" s="53"/>
      <c r="R593" s="618"/>
      <c r="S593" s="3"/>
      <c r="T593" s="3"/>
      <c r="U593" s="3"/>
      <c r="V593" s="3"/>
      <c r="W593" s="3"/>
      <c r="X593" s="3"/>
      <c r="Y593" s="3"/>
      <c r="Z593" s="3"/>
      <c r="AA593" s="3"/>
      <c r="AB593" s="3"/>
      <c r="AC593" s="3"/>
    </row>
    <row r="594">
      <c r="A594" s="3"/>
      <c r="B594" s="3"/>
      <c r="C594" s="3"/>
      <c r="D594" s="319"/>
      <c r="E594" s="3"/>
      <c r="F594" s="3"/>
      <c r="G594" s="3"/>
      <c r="H594" s="3"/>
      <c r="I594" s="3"/>
      <c r="J594" s="3"/>
      <c r="K594" s="3"/>
      <c r="L594" s="3"/>
      <c r="M594" s="3"/>
      <c r="N594" s="3"/>
      <c r="O594" s="3"/>
      <c r="P594" s="53"/>
      <c r="Q594" s="53"/>
      <c r="R594" s="618"/>
      <c r="S594" s="3"/>
      <c r="T594" s="3"/>
      <c r="U594" s="3"/>
      <c r="V594" s="3"/>
      <c r="W594" s="3"/>
      <c r="X594" s="3"/>
      <c r="Y594" s="3"/>
      <c r="Z594" s="3"/>
      <c r="AA594" s="3"/>
      <c r="AB594" s="3"/>
      <c r="AC594" s="3"/>
    </row>
    <row r="595">
      <c r="A595" s="3"/>
      <c r="B595" s="3"/>
      <c r="C595" s="3"/>
      <c r="D595" s="319"/>
      <c r="E595" s="3"/>
      <c r="F595" s="3"/>
      <c r="G595" s="3"/>
      <c r="H595" s="3"/>
      <c r="I595" s="3"/>
      <c r="J595" s="3"/>
      <c r="K595" s="3"/>
      <c r="L595" s="3"/>
      <c r="M595" s="3"/>
      <c r="N595" s="3"/>
      <c r="O595" s="3"/>
      <c r="P595" s="53"/>
      <c r="Q595" s="53"/>
      <c r="R595" s="618"/>
      <c r="S595" s="3"/>
      <c r="T595" s="3"/>
      <c r="U595" s="3"/>
      <c r="V595" s="3"/>
      <c r="W595" s="3"/>
      <c r="X595" s="3"/>
      <c r="Y595" s="3"/>
      <c r="Z595" s="3"/>
      <c r="AA595" s="3"/>
      <c r="AB595" s="3"/>
      <c r="AC595" s="3"/>
    </row>
    <row r="596">
      <c r="A596" s="3"/>
      <c r="B596" s="3"/>
      <c r="C596" s="3"/>
      <c r="D596" s="319"/>
      <c r="E596" s="3"/>
      <c r="F596" s="3"/>
      <c r="G596" s="3"/>
      <c r="H596" s="3"/>
      <c r="I596" s="3"/>
      <c r="J596" s="3"/>
      <c r="K596" s="3"/>
      <c r="L596" s="3"/>
      <c r="M596" s="3"/>
      <c r="N596" s="3"/>
      <c r="O596" s="3"/>
      <c r="P596" s="53"/>
      <c r="Q596" s="53"/>
      <c r="R596" s="618"/>
      <c r="S596" s="3"/>
      <c r="T596" s="3"/>
      <c r="U596" s="3"/>
      <c r="V596" s="3"/>
      <c r="W596" s="3"/>
      <c r="X596" s="3"/>
      <c r="Y596" s="3"/>
      <c r="Z596" s="3"/>
      <c r="AA596" s="3"/>
      <c r="AB596" s="3"/>
      <c r="AC596" s="3"/>
    </row>
    <row r="597">
      <c r="A597" s="3"/>
      <c r="B597" s="3"/>
      <c r="C597" s="3"/>
      <c r="D597" s="319"/>
      <c r="E597" s="3"/>
      <c r="F597" s="3"/>
      <c r="G597" s="3"/>
      <c r="H597" s="3"/>
      <c r="I597" s="3"/>
      <c r="J597" s="3"/>
      <c r="K597" s="3"/>
      <c r="L597" s="3"/>
      <c r="M597" s="3"/>
      <c r="N597" s="3"/>
      <c r="O597" s="3"/>
      <c r="P597" s="53"/>
      <c r="Q597" s="53"/>
      <c r="R597" s="618"/>
      <c r="S597" s="3"/>
      <c r="T597" s="3"/>
      <c r="U597" s="3"/>
      <c r="V597" s="3"/>
      <c r="W597" s="3"/>
      <c r="X597" s="3"/>
      <c r="Y597" s="3"/>
      <c r="Z597" s="3"/>
      <c r="AA597" s="3"/>
      <c r="AB597" s="3"/>
      <c r="AC597" s="3"/>
    </row>
    <row r="598">
      <c r="A598" s="3"/>
      <c r="B598" s="3"/>
      <c r="C598" s="3"/>
      <c r="D598" s="319"/>
      <c r="E598" s="3"/>
      <c r="F598" s="3"/>
      <c r="G598" s="3"/>
      <c r="H598" s="3"/>
      <c r="I598" s="3"/>
      <c r="J598" s="3"/>
      <c r="K598" s="3"/>
      <c r="L598" s="3"/>
      <c r="M598" s="3"/>
      <c r="N598" s="3"/>
      <c r="O598" s="3"/>
      <c r="P598" s="53"/>
      <c r="Q598" s="53"/>
      <c r="R598" s="618"/>
      <c r="S598" s="3"/>
      <c r="T598" s="3"/>
      <c r="U598" s="3"/>
      <c r="V598" s="3"/>
      <c r="W598" s="3"/>
      <c r="X598" s="3"/>
      <c r="Y598" s="3"/>
      <c r="Z598" s="3"/>
      <c r="AA598" s="3"/>
      <c r="AB598" s="3"/>
      <c r="AC598" s="3"/>
    </row>
    <row r="599">
      <c r="A599" s="3"/>
      <c r="B599" s="3"/>
      <c r="C599" s="3"/>
      <c r="D599" s="319"/>
      <c r="E599" s="3"/>
      <c r="F599" s="3"/>
      <c r="G599" s="3"/>
      <c r="H599" s="3"/>
      <c r="I599" s="3"/>
      <c r="J599" s="3"/>
      <c r="K599" s="3"/>
      <c r="L599" s="3"/>
      <c r="M599" s="3"/>
      <c r="N599" s="3"/>
      <c r="O599" s="3"/>
      <c r="P599" s="53"/>
      <c r="Q599" s="53"/>
      <c r="R599" s="618"/>
      <c r="S599" s="3"/>
      <c r="T599" s="3"/>
      <c r="U599" s="3"/>
      <c r="V599" s="3"/>
      <c r="W599" s="3"/>
      <c r="X599" s="3"/>
      <c r="Y599" s="3"/>
      <c r="Z599" s="3"/>
      <c r="AA599" s="3"/>
      <c r="AB599" s="3"/>
      <c r="AC599" s="3"/>
    </row>
    <row r="600">
      <c r="A600" s="3"/>
      <c r="B600" s="3"/>
      <c r="C600" s="3"/>
      <c r="D600" s="319"/>
      <c r="E600" s="3"/>
      <c r="F600" s="3"/>
      <c r="G600" s="3"/>
      <c r="H600" s="3"/>
      <c r="I600" s="3"/>
      <c r="J600" s="3"/>
      <c r="K600" s="3"/>
      <c r="L600" s="3"/>
      <c r="M600" s="3"/>
      <c r="N600" s="3"/>
      <c r="O600" s="3"/>
      <c r="P600" s="53"/>
      <c r="Q600" s="53"/>
      <c r="R600" s="618"/>
      <c r="S600" s="3"/>
      <c r="T600" s="3"/>
      <c r="U600" s="3"/>
      <c r="V600" s="3"/>
      <c r="W600" s="3"/>
      <c r="X600" s="3"/>
      <c r="Y600" s="3"/>
      <c r="Z600" s="3"/>
      <c r="AA600" s="3"/>
      <c r="AB600" s="3"/>
      <c r="AC600" s="3"/>
    </row>
    <row r="601">
      <c r="A601" s="3"/>
      <c r="B601" s="3"/>
      <c r="C601" s="3"/>
      <c r="D601" s="319"/>
      <c r="E601" s="3"/>
      <c r="F601" s="3"/>
      <c r="G601" s="3"/>
      <c r="H601" s="3"/>
      <c r="I601" s="3"/>
      <c r="J601" s="3"/>
      <c r="K601" s="3"/>
      <c r="L601" s="3"/>
      <c r="M601" s="3"/>
      <c r="N601" s="3"/>
      <c r="O601" s="3"/>
      <c r="P601" s="53"/>
      <c r="Q601" s="53"/>
      <c r="R601" s="618"/>
      <c r="S601" s="3"/>
      <c r="T601" s="3"/>
      <c r="U601" s="3"/>
      <c r="V601" s="3"/>
      <c r="W601" s="3"/>
      <c r="X601" s="3"/>
      <c r="Y601" s="3"/>
      <c r="Z601" s="3"/>
      <c r="AA601" s="3"/>
      <c r="AB601" s="3"/>
      <c r="AC601" s="3"/>
    </row>
    <row r="602">
      <c r="A602" s="3"/>
      <c r="B602" s="3"/>
      <c r="C602" s="3"/>
      <c r="D602" s="319"/>
      <c r="E602" s="3"/>
      <c r="F602" s="3"/>
      <c r="G602" s="3"/>
      <c r="H602" s="3"/>
      <c r="I602" s="3"/>
      <c r="J602" s="3"/>
      <c r="K602" s="3"/>
      <c r="L602" s="3"/>
      <c r="M602" s="3"/>
      <c r="N602" s="3"/>
      <c r="O602" s="3"/>
      <c r="P602" s="53"/>
      <c r="Q602" s="53"/>
      <c r="R602" s="618"/>
      <c r="S602" s="3"/>
      <c r="T602" s="3"/>
      <c r="U602" s="3"/>
      <c r="V602" s="3"/>
      <c r="W602" s="3"/>
      <c r="X602" s="3"/>
      <c r="Y602" s="3"/>
      <c r="Z602" s="3"/>
      <c r="AA602" s="3"/>
      <c r="AB602" s="3"/>
      <c r="AC602" s="3"/>
    </row>
    <row r="603">
      <c r="A603" s="3"/>
      <c r="B603" s="3"/>
      <c r="C603" s="3"/>
      <c r="D603" s="319"/>
      <c r="E603" s="3"/>
      <c r="F603" s="3"/>
      <c r="G603" s="3"/>
      <c r="H603" s="3"/>
      <c r="I603" s="3"/>
      <c r="J603" s="3"/>
      <c r="K603" s="3"/>
      <c r="L603" s="3"/>
      <c r="M603" s="3"/>
      <c r="N603" s="3"/>
      <c r="O603" s="3"/>
      <c r="P603" s="53"/>
      <c r="Q603" s="53"/>
      <c r="R603" s="618"/>
      <c r="S603" s="3"/>
      <c r="T603" s="3"/>
      <c r="U603" s="3"/>
      <c r="V603" s="3"/>
      <c r="W603" s="3"/>
      <c r="X603" s="3"/>
      <c r="Y603" s="3"/>
      <c r="Z603" s="3"/>
      <c r="AA603" s="3"/>
      <c r="AB603" s="3"/>
      <c r="AC603" s="3"/>
    </row>
    <row r="604">
      <c r="A604" s="3"/>
      <c r="B604" s="3"/>
      <c r="C604" s="3"/>
      <c r="D604" s="319"/>
      <c r="E604" s="3"/>
      <c r="F604" s="3"/>
      <c r="G604" s="3"/>
      <c r="H604" s="3"/>
      <c r="I604" s="3"/>
      <c r="J604" s="3"/>
      <c r="K604" s="3"/>
      <c r="L604" s="3"/>
      <c r="M604" s="3"/>
      <c r="N604" s="3"/>
      <c r="O604" s="3"/>
      <c r="P604" s="53"/>
      <c r="Q604" s="53"/>
      <c r="R604" s="618"/>
      <c r="S604" s="3"/>
      <c r="T604" s="3"/>
      <c r="U604" s="3"/>
      <c r="V604" s="3"/>
      <c r="W604" s="3"/>
      <c r="X604" s="3"/>
      <c r="Y604" s="3"/>
      <c r="Z604" s="3"/>
      <c r="AA604" s="3"/>
      <c r="AB604" s="3"/>
      <c r="AC604" s="3"/>
    </row>
    <row r="605">
      <c r="A605" s="3"/>
      <c r="B605" s="3"/>
      <c r="C605" s="3"/>
      <c r="D605" s="319"/>
      <c r="E605" s="3"/>
      <c r="F605" s="3"/>
      <c r="G605" s="3"/>
      <c r="H605" s="3"/>
      <c r="I605" s="3"/>
      <c r="J605" s="3"/>
      <c r="K605" s="3"/>
      <c r="L605" s="3"/>
      <c r="M605" s="3"/>
      <c r="N605" s="3"/>
      <c r="O605" s="3"/>
      <c r="P605" s="53"/>
      <c r="Q605" s="53"/>
      <c r="R605" s="618"/>
      <c r="S605" s="3"/>
      <c r="T605" s="3"/>
      <c r="U605" s="3"/>
      <c r="V605" s="3"/>
      <c r="W605" s="3"/>
      <c r="X605" s="3"/>
      <c r="Y605" s="3"/>
      <c r="Z605" s="3"/>
      <c r="AA605" s="3"/>
      <c r="AB605" s="3"/>
      <c r="AC605" s="3"/>
    </row>
    <row r="606">
      <c r="A606" s="3"/>
      <c r="B606" s="3"/>
      <c r="C606" s="3"/>
      <c r="D606" s="319"/>
      <c r="E606" s="3"/>
      <c r="F606" s="3"/>
      <c r="G606" s="3"/>
      <c r="H606" s="3"/>
      <c r="I606" s="3"/>
      <c r="J606" s="3"/>
      <c r="K606" s="3"/>
      <c r="L606" s="3"/>
      <c r="M606" s="3"/>
      <c r="N606" s="3"/>
      <c r="O606" s="3"/>
      <c r="P606" s="53"/>
      <c r="Q606" s="53"/>
      <c r="R606" s="618"/>
      <c r="S606" s="3"/>
      <c r="T606" s="3"/>
      <c r="U606" s="3"/>
      <c r="V606" s="3"/>
      <c r="W606" s="3"/>
      <c r="X606" s="3"/>
      <c r="Y606" s="3"/>
      <c r="Z606" s="3"/>
      <c r="AA606" s="3"/>
      <c r="AB606" s="3"/>
      <c r="AC606" s="3"/>
    </row>
    <row r="607">
      <c r="A607" s="3"/>
      <c r="B607" s="3"/>
      <c r="C607" s="3"/>
      <c r="D607" s="319"/>
      <c r="E607" s="3"/>
      <c r="F607" s="3"/>
      <c r="G607" s="3"/>
      <c r="H607" s="3"/>
      <c r="I607" s="3"/>
      <c r="J607" s="3"/>
      <c r="K607" s="3"/>
      <c r="L607" s="3"/>
      <c r="M607" s="3"/>
      <c r="N607" s="3"/>
      <c r="O607" s="3"/>
      <c r="P607" s="53"/>
      <c r="Q607" s="53"/>
      <c r="R607" s="618"/>
      <c r="S607" s="3"/>
      <c r="T607" s="3"/>
      <c r="U607" s="3"/>
      <c r="V607" s="3"/>
      <c r="W607" s="3"/>
      <c r="X607" s="3"/>
      <c r="Y607" s="3"/>
      <c r="Z607" s="3"/>
      <c r="AA607" s="3"/>
      <c r="AB607" s="3"/>
      <c r="AC607" s="3"/>
    </row>
    <row r="608">
      <c r="A608" s="3"/>
      <c r="B608" s="3"/>
      <c r="C608" s="3"/>
      <c r="D608" s="319"/>
      <c r="E608" s="3"/>
      <c r="F608" s="3"/>
      <c r="G608" s="3"/>
      <c r="H608" s="3"/>
      <c r="I608" s="3"/>
      <c r="J608" s="3"/>
      <c r="K608" s="3"/>
      <c r="L608" s="3"/>
      <c r="M608" s="3"/>
      <c r="N608" s="3"/>
      <c r="O608" s="3"/>
      <c r="P608" s="53"/>
      <c r="Q608" s="53"/>
      <c r="R608" s="618"/>
      <c r="S608" s="3"/>
      <c r="T608" s="3"/>
      <c r="U608" s="3"/>
      <c r="V608" s="3"/>
      <c r="W608" s="3"/>
      <c r="X608" s="3"/>
      <c r="Y608" s="3"/>
      <c r="Z608" s="3"/>
      <c r="AA608" s="3"/>
      <c r="AB608" s="3"/>
      <c r="AC608" s="3"/>
    </row>
    <row r="609">
      <c r="A609" s="3"/>
      <c r="B609" s="3"/>
      <c r="C609" s="3"/>
      <c r="D609" s="319"/>
      <c r="E609" s="3"/>
      <c r="F609" s="3"/>
      <c r="G609" s="3"/>
      <c r="H609" s="3"/>
      <c r="I609" s="3"/>
      <c r="J609" s="3"/>
      <c r="K609" s="3"/>
      <c r="L609" s="3"/>
      <c r="M609" s="3"/>
      <c r="N609" s="3"/>
      <c r="O609" s="3"/>
      <c r="P609" s="53"/>
      <c r="Q609" s="53"/>
      <c r="R609" s="618"/>
      <c r="S609" s="3"/>
      <c r="T609" s="3"/>
      <c r="U609" s="3"/>
      <c r="V609" s="3"/>
      <c r="W609" s="3"/>
      <c r="X609" s="3"/>
      <c r="Y609" s="3"/>
      <c r="Z609" s="3"/>
      <c r="AA609" s="3"/>
      <c r="AB609" s="3"/>
      <c r="AC609" s="3"/>
    </row>
    <row r="610">
      <c r="A610" s="3"/>
      <c r="B610" s="3"/>
      <c r="C610" s="3"/>
      <c r="D610" s="319"/>
      <c r="E610" s="3"/>
      <c r="F610" s="3"/>
      <c r="G610" s="3"/>
      <c r="H610" s="3"/>
      <c r="I610" s="3"/>
      <c r="J610" s="3"/>
      <c r="K610" s="3"/>
      <c r="L610" s="3"/>
      <c r="M610" s="3"/>
      <c r="N610" s="3"/>
      <c r="O610" s="3"/>
      <c r="P610" s="53"/>
      <c r="Q610" s="53"/>
      <c r="R610" s="618"/>
      <c r="S610" s="3"/>
      <c r="T610" s="3"/>
      <c r="U610" s="3"/>
      <c r="V610" s="3"/>
      <c r="W610" s="3"/>
      <c r="X610" s="3"/>
      <c r="Y610" s="3"/>
      <c r="Z610" s="3"/>
      <c r="AA610" s="3"/>
      <c r="AB610" s="3"/>
      <c r="AC610" s="3"/>
    </row>
    <row r="611">
      <c r="A611" s="3"/>
      <c r="B611" s="3"/>
      <c r="C611" s="3"/>
      <c r="D611" s="319"/>
      <c r="E611" s="3"/>
      <c r="F611" s="3"/>
      <c r="G611" s="3"/>
      <c r="H611" s="3"/>
      <c r="I611" s="3"/>
      <c r="J611" s="3"/>
      <c r="K611" s="3"/>
      <c r="L611" s="3"/>
      <c r="M611" s="3"/>
      <c r="N611" s="3"/>
      <c r="O611" s="3"/>
      <c r="P611" s="53"/>
      <c r="Q611" s="53"/>
      <c r="R611" s="618"/>
      <c r="S611" s="3"/>
      <c r="T611" s="3"/>
      <c r="U611" s="3"/>
      <c r="V611" s="3"/>
      <c r="W611" s="3"/>
      <c r="X611" s="3"/>
      <c r="Y611" s="3"/>
      <c r="Z611" s="3"/>
      <c r="AA611" s="3"/>
      <c r="AB611" s="3"/>
      <c r="AC611" s="3"/>
    </row>
    <row r="612">
      <c r="A612" s="3"/>
      <c r="B612" s="3"/>
      <c r="C612" s="3"/>
      <c r="D612" s="319"/>
      <c r="E612" s="3"/>
      <c r="F612" s="3"/>
      <c r="G612" s="3"/>
      <c r="H612" s="3"/>
      <c r="I612" s="3"/>
      <c r="J612" s="3"/>
      <c r="K612" s="3"/>
      <c r="L612" s="3"/>
      <c r="M612" s="3"/>
      <c r="N612" s="3"/>
      <c r="O612" s="3"/>
      <c r="P612" s="53"/>
      <c r="Q612" s="53"/>
      <c r="R612" s="618"/>
      <c r="S612" s="3"/>
      <c r="T612" s="3"/>
      <c r="U612" s="3"/>
      <c r="V612" s="3"/>
      <c r="W612" s="3"/>
      <c r="X612" s="3"/>
      <c r="Y612" s="3"/>
      <c r="Z612" s="3"/>
      <c r="AA612" s="3"/>
      <c r="AB612" s="3"/>
      <c r="AC612" s="3"/>
    </row>
    <row r="613">
      <c r="A613" s="3"/>
      <c r="B613" s="3"/>
      <c r="C613" s="3"/>
      <c r="D613" s="319"/>
      <c r="E613" s="3"/>
      <c r="F613" s="3"/>
      <c r="G613" s="3"/>
      <c r="H613" s="3"/>
      <c r="I613" s="3"/>
      <c r="J613" s="3"/>
      <c r="K613" s="3"/>
      <c r="L613" s="3"/>
      <c r="M613" s="3"/>
      <c r="N613" s="3"/>
      <c r="O613" s="3"/>
      <c r="P613" s="53"/>
      <c r="Q613" s="53"/>
      <c r="R613" s="618"/>
      <c r="S613" s="3"/>
      <c r="T613" s="3"/>
      <c r="U613" s="3"/>
      <c r="V613" s="3"/>
      <c r="W613" s="3"/>
      <c r="X613" s="3"/>
      <c r="Y613" s="3"/>
      <c r="Z613" s="3"/>
      <c r="AA613" s="3"/>
      <c r="AB613" s="3"/>
      <c r="AC613" s="3"/>
    </row>
    <row r="614">
      <c r="A614" s="3"/>
      <c r="B614" s="3"/>
      <c r="C614" s="3"/>
      <c r="D614" s="319"/>
      <c r="E614" s="3"/>
      <c r="F614" s="3"/>
      <c r="G614" s="3"/>
      <c r="H614" s="3"/>
      <c r="I614" s="3"/>
      <c r="J614" s="3"/>
      <c r="K614" s="3"/>
      <c r="L614" s="3"/>
      <c r="M614" s="3"/>
      <c r="N614" s="3"/>
      <c r="O614" s="3"/>
      <c r="P614" s="53"/>
      <c r="Q614" s="53"/>
      <c r="R614" s="618"/>
      <c r="S614" s="3"/>
      <c r="T614" s="3"/>
      <c r="U614" s="3"/>
      <c r="V614" s="3"/>
      <c r="W614" s="3"/>
      <c r="X614" s="3"/>
      <c r="Y614" s="3"/>
      <c r="Z614" s="3"/>
      <c r="AA614" s="3"/>
      <c r="AB614" s="3"/>
      <c r="AC614" s="3"/>
    </row>
    <row r="615">
      <c r="A615" s="3"/>
      <c r="B615" s="3"/>
      <c r="C615" s="3"/>
      <c r="D615" s="319"/>
      <c r="E615" s="3"/>
      <c r="F615" s="3"/>
      <c r="G615" s="3"/>
      <c r="H615" s="3"/>
      <c r="I615" s="3"/>
      <c r="J615" s="3"/>
      <c r="K615" s="3"/>
      <c r="L615" s="3"/>
      <c r="M615" s="3"/>
      <c r="N615" s="3"/>
      <c r="O615" s="3"/>
      <c r="P615" s="53"/>
      <c r="Q615" s="53"/>
      <c r="R615" s="618"/>
      <c r="S615" s="3"/>
      <c r="T615" s="3"/>
      <c r="U615" s="3"/>
      <c r="V615" s="3"/>
      <c r="W615" s="3"/>
      <c r="X615" s="3"/>
      <c r="Y615" s="3"/>
      <c r="Z615" s="3"/>
      <c r="AA615" s="3"/>
      <c r="AB615" s="3"/>
      <c r="AC615" s="3"/>
    </row>
    <row r="616">
      <c r="A616" s="3"/>
      <c r="B616" s="3"/>
      <c r="C616" s="3"/>
      <c r="D616" s="319"/>
      <c r="E616" s="3"/>
      <c r="F616" s="3"/>
      <c r="G616" s="3"/>
      <c r="H616" s="3"/>
      <c r="I616" s="3"/>
      <c r="J616" s="3"/>
      <c r="K616" s="3"/>
      <c r="L616" s="3"/>
      <c r="M616" s="3"/>
      <c r="N616" s="3"/>
      <c r="O616" s="3"/>
      <c r="P616" s="53"/>
      <c r="Q616" s="53"/>
      <c r="R616" s="618"/>
      <c r="S616" s="3"/>
      <c r="T616" s="3"/>
      <c r="U616" s="3"/>
      <c r="V616" s="3"/>
      <c r="W616" s="3"/>
      <c r="X616" s="3"/>
      <c r="Y616" s="3"/>
      <c r="Z616" s="3"/>
      <c r="AA616" s="3"/>
      <c r="AB616" s="3"/>
      <c r="AC616" s="3"/>
    </row>
    <row r="617">
      <c r="A617" s="3"/>
      <c r="B617" s="3"/>
      <c r="C617" s="3"/>
      <c r="D617" s="319"/>
      <c r="E617" s="3"/>
      <c r="F617" s="3"/>
      <c r="G617" s="3"/>
      <c r="H617" s="3"/>
      <c r="I617" s="3"/>
      <c r="J617" s="3"/>
      <c r="K617" s="3"/>
      <c r="L617" s="3"/>
      <c r="M617" s="3"/>
      <c r="N617" s="3"/>
      <c r="O617" s="3"/>
      <c r="P617" s="53"/>
      <c r="Q617" s="53"/>
      <c r="R617" s="618"/>
      <c r="S617" s="3"/>
      <c r="T617" s="3"/>
      <c r="U617" s="3"/>
      <c r="V617" s="3"/>
      <c r="W617" s="3"/>
      <c r="X617" s="3"/>
      <c r="Y617" s="3"/>
      <c r="Z617" s="3"/>
      <c r="AA617" s="3"/>
      <c r="AB617" s="3"/>
      <c r="AC617" s="3"/>
    </row>
    <row r="618">
      <c r="A618" s="3"/>
      <c r="B618" s="3"/>
      <c r="C618" s="3"/>
      <c r="D618" s="319"/>
      <c r="E618" s="3"/>
      <c r="F618" s="3"/>
      <c r="G618" s="3"/>
      <c r="H618" s="3"/>
      <c r="I618" s="3"/>
      <c r="J618" s="3"/>
      <c r="K618" s="3"/>
      <c r="L618" s="3"/>
      <c r="M618" s="3"/>
      <c r="N618" s="3"/>
      <c r="O618" s="3"/>
      <c r="P618" s="53"/>
      <c r="Q618" s="53"/>
      <c r="R618" s="618"/>
      <c r="S618" s="3"/>
      <c r="T618" s="3"/>
      <c r="U618" s="3"/>
      <c r="V618" s="3"/>
      <c r="W618" s="3"/>
      <c r="X618" s="3"/>
      <c r="Y618" s="3"/>
      <c r="Z618" s="3"/>
      <c r="AA618" s="3"/>
      <c r="AB618" s="3"/>
      <c r="AC618" s="3"/>
    </row>
    <row r="619">
      <c r="A619" s="3"/>
      <c r="B619" s="3"/>
      <c r="C619" s="3"/>
      <c r="D619" s="319"/>
      <c r="E619" s="3"/>
      <c r="F619" s="3"/>
      <c r="G619" s="3"/>
      <c r="H619" s="3"/>
      <c r="I619" s="3"/>
      <c r="J619" s="3"/>
      <c r="K619" s="3"/>
      <c r="L619" s="3"/>
      <c r="M619" s="3"/>
      <c r="N619" s="3"/>
      <c r="O619" s="3"/>
      <c r="P619" s="53"/>
      <c r="Q619" s="53"/>
      <c r="R619" s="618"/>
      <c r="S619" s="3"/>
      <c r="T619" s="3"/>
      <c r="U619" s="3"/>
      <c r="V619" s="3"/>
      <c r="W619" s="3"/>
      <c r="X619" s="3"/>
      <c r="Y619" s="3"/>
      <c r="Z619" s="3"/>
      <c r="AA619" s="3"/>
      <c r="AB619" s="3"/>
      <c r="AC619" s="3"/>
    </row>
    <row r="620">
      <c r="A620" s="3"/>
      <c r="B620" s="3"/>
      <c r="C620" s="3"/>
      <c r="D620" s="319"/>
      <c r="E620" s="3"/>
      <c r="F620" s="3"/>
      <c r="G620" s="3"/>
      <c r="H620" s="3"/>
      <c r="I620" s="3"/>
      <c r="J620" s="3"/>
      <c r="K620" s="3"/>
      <c r="L620" s="3"/>
      <c r="M620" s="3"/>
      <c r="N620" s="3"/>
      <c r="O620" s="3"/>
      <c r="P620" s="53"/>
      <c r="Q620" s="53"/>
      <c r="R620" s="618"/>
      <c r="S620" s="3"/>
      <c r="T620" s="3"/>
      <c r="U620" s="3"/>
      <c r="V620" s="3"/>
      <c r="W620" s="3"/>
      <c r="X620" s="3"/>
      <c r="Y620" s="3"/>
      <c r="Z620" s="3"/>
      <c r="AA620" s="3"/>
      <c r="AB620" s="3"/>
      <c r="AC620" s="3"/>
    </row>
    <row r="621">
      <c r="A621" s="3"/>
      <c r="B621" s="3"/>
      <c r="C621" s="3"/>
      <c r="D621" s="319"/>
      <c r="E621" s="3"/>
      <c r="F621" s="3"/>
      <c r="G621" s="3"/>
      <c r="H621" s="3"/>
      <c r="I621" s="3"/>
      <c r="J621" s="3"/>
      <c r="K621" s="3"/>
      <c r="L621" s="3"/>
      <c r="M621" s="3"/>
      <c r="N621" s="3"/>
      <c r="O621" s="3"/>
      <c r="P621" s="53"/>
      <c r="Q621" s="53"/>
      <c r="R621" s="618"/>
      <c r="S621" s="3"/>
      <c r="T621" s="3"/>
      <c r="U621" s="3"/>
      <c r="V621" s="3"/>
      <c r="W621" s="3"/>
      <c r="X621" s="3"/>
      <c r="Y621" s="3"/>
      <c r="Z621" s="3"/>
      <c r="AA621" s="3"/>
      <c r="AB621" s="3"/>
      <c r="AC621" s="3"/>
    </row>
    <row r="622">
      <c r="A622" s="3"/>
      <c r="B622" s="3"/>
      <c r="C622" s="3"/>
      <c r="D622" s="319"/>
      <c r="E622" s="3"/>
      <c r="F622" s="3"/>
      <c r="G622" s="3"/>
      <c r="H622" s="3"/>
      <c r="I622" s="3"/>
      <c r="J622" s="3"/>
      <c r="K622" s="3"/>
      <c r="L622" s="3"/>
      <c r="M622" s="3"/>
      <c r="N622" s="3"/>
      <c r="O622" s="3"/>
      <c r="P622" s="53"/>
      <c r="Q622" s="53"/>
      <c r="R622" s="618"/>
      <c r="S622" s="3"/>
      <c r="T622" s="3"/>
      <c r="U622" s="3"/>
      <c r="V622" s="3"/>
      <c r="W622" s="3"/>
      <c r="X622" s="3"/>
      <c r="Y622" s="3"/>
      <c r="Z622" s="3"/>
      <c r="AA622" s="3"/>
      <c r="AB622" s="3"/>
      <c r="AC622" s="3"/>
    </row>
    <row r="623">
      <c r="A623" s="3"/>
      <c r="B623" s="3"/>
      <c r="C623" s="3"/>
      <c r="D623" s="319"/>
      <c r="E623" s="3"/>
      <c r="F623" s="3"/>
      <c r="G623" s="3"/>
      <c r="H623" s="3"/>
      <c r="I623" s="3"/>
      <c r="J623" s="3"/>
      <c r="K623" s="3"/>
      <c r="L623" s="3"/>
      <c r="M623" s="3"/>
      <c r="N623" s="3"/>
      <c r="O623" s="3"/>
      <c r="P623" s="53"/>
      <c r="Q623" s="53"/>
      <c r="R623" s="618"/>
      <c r="S623" s="3"/>
      <c r="T623" s="3"/>
      <c r="U623" s="3"/>
      <c r="V623" s="3"/>
      <c r="W623" s="3"/>
      <c r="X623" s="3"/>
      <c r="Y623" s="3"/>
      <c r="Z623" s="3"/>
      <c r="AA623" s="3"/>
      <c r="AB623" s="3"/>
      <c r="AC623" s="3"/>
    </row>
    <row r="624">
      <c r="A624" s="3"/>
      <c r="B624" s="3"/>
      <c r="C624" s="3"/>
      <c r="D624" s="319"/>
      <c r="E624" s="3"/>
      <c r="F624" s="3"/>
      <c r="G624" s="3"/>
      <c r="H624" s="3"/>
      <c r="I624" s="3"/>
      <c r="J624" s="3"/>
      <c r="K624" s="3"/>
      <c r="L624" s="3"/>
      <c r="M624" s="3"/>
      <c r="N624" s="3"/>
      <c r="O624" s="3"/>
      <c r="P624" s="53"/>
      <c r="Q624" s="53"/>
      <c r="R624" s="618"/>
      <c r="S624" s="3"/>
      <c r="T624" s="3"/>
      <c r="U624" s="3"/>
      <c r="V624" s="3"/>
      <c r="W624" s="3"/>
      <c r="X624" s="3"/>
      <c r="Y624" s="3"/>
      <c r="Z624" s="3"/>
      <c r="AA624" s="3"/>
      <c r="AB624" s="3"/>
      <c r="AC624" s="3"/>
    </row>
    <row r="625">
      <c r="A625" s="3"/>
      <c r="B625" s="3"/>
      <c r="C625" s="3"/>
      <c r="D625" s="319"/>
      <c r="E625" s="3"/>
      <c r="F625" s="3"/>
      <c r="G625" s="3"/>
      <c r="H625" s="3"/>
      <c r="I625" s="3"/>
      <c r="J625" s="3"/>
      <c r="K625" s="3"/>
      <c r="L625" s="3"/>
      <c r="M625" s="3"/>
      <c r="N625" s="3"/>
      <c r="O625" s="3"/>
      <c r="P625" s="53"/>
      <c r="Q625" s="53"/>
      <c r="R625" s="618"/>
      <c r="S625" s="3"/>
      <c r="T625" s="3"/>
      <c r="U625" s="3"/>
      <c r="V625" s="3"/>
      <c r="W625" s="3"/>
      <c r="X625" s="3"/>
      <c r="Y625" s="3"/>
      <c r="Z625" s="3"/>
      <c r="AA625" s="3"/>
      <c r="AB625" s="3"/>
      <c r="AC625" s="3"/>
    </row>
    <row r="626">
      <c r="A626" s="3"/>
      <c r="B626" s="3"/>
      <c r="C626" s="3"/>
      <c r="D626" s="319"/>
      <c r="E626" s="3"/>
      <c r="F626" s="3"/>
      <c r="G626" s="3"/>
      <c r="H626" s="3"/>
      <c r="I626" s="3"/>
      <c r="J626" s="3"/>
      <c r="K626" s="3"/>
      <c r="L626" s="3"/>
      <c r="M626" s="3"/>
      <c r="N626" s="3"/>
      <c r="O626" s="3"/>
      <c r="P626" s="53"/>
      <c r="Q626" s="53"/>
      <c r="R626" s="618"/>
      <c r="S626" s="3"/>
      <c r="T626" s="3"/>
      <c r="U626" s="3"/>
      <c r="V626" s="3"/>
      <c r="W626" s="3"/>
      <c r="X626" s="3"/>
      <c r="Y626" s="3"/>
      <c r="Z626" s="3"/>
      <c r="AA626" s="3"/>
      <c r="AB626" s="3"/>
      <c r="AC626" s="3"/>
    </row>
    <row r="627">
      <c r="A627" s="3"/>
      <c r="B627" s="3"/>
      <c r="C627" s="3"/>
      <c r="D627" s="319"/>
      <c r="E627" s="3"/>
      <c r="F627" s="3"/>
      <c r="G627" s="3"/>
      <c r="H627" s="3"/>
      <c r="I627" s="3"/>
      <c r="J627" s="3"/>
      <c r="K627" s="3"/>
      <c r="L627" s="3"/>
      <c r="M627" s="3"/>
      <c r="N627" s="3"/>
      <c r="O627" s="3"/>
      <c r="P627" s="53"/>
      <c r="Q627" s="53"/>
      <c r="R627" s="618"/>
      <c r="S627" s="3"/>
      <c r="T627" s="3"/>
      <c r="U627" s="3"/>
      <c r="V627" s="3"/>
      <c r="W627" s="3"/>
      <c r="X627" s="3"/>
      <c r="Y627" s="3"/>
      <c r="Z627" s="3"/>
      <c r="AA627" s="3"/>
      <c r="AB627" s="3"/>
      <c r="AC627" s="3"/>
    </row>
    <row r="628">
      <c r="A628" s="3"/>
      <c r="B628" s="3"/>
      <c r="C628" s="3"/>
      <c r="D628" s="319"/>
      <c r="E628" s="3"/>
      <c r="F628" s="3"/>
      <c r="G628" s="3"/>
      <c r="H628" s="3"/>
      <c r="I628" s="3"/>
      <c r="J628" s="3"/>
      <c r="K628" s="3"/>
      <c r="L628" s="3"/>
      <c r="M628" s="3"/>
      <c r="N628" s="3"/>
      <c r="O628" s="3"/>
      <c r="P628" s="53"/>
      <c r="Q628" s="53"/>
      <c r="R628" s="618"/>
      <c r="S628" s="3"/>
      <c r="T628" s="3"/>
      <c r="U628" s="3"/>
      <c r="V628" s="3"/>
      <c r="W628" s="3"/>
      <c r="X628" s="3"/>
      <c r="Y628" s="3"/>
      <c r="Z628" s="3"/>
      <c r="AA628" s="3"/>
      <c r="AB628" s="3"/>
      <c r="AC628" s="3"/>
    </row>
    <row r="629">
      <c r="A629" s="3"/>
      <c r="B629" s="3"/>
      <c r="C629" s="3"/>
      <c r="D629" s="319"/>
      <c r="E629" s="3"/>
      <c r="F629" s="3"/>
      <c r="G629" s="3"/>
      <c r="H629" s="3"/>
      <c r="I629" s="3"/>
      <c r="J629" s="3"/>
      <c r="K629" s="3"/>
      <c r="L629" s="3"/>
      <c r="M629" s="3"/>
      <c r="N629" s="3"/>
      <c r="O629" s="3"/>
      <c r="P629" s="53"/>
      <c r="Q629" s="53"/>
      <c r="R629" s="618"/>
      <c r="S629" s="3"/>
      <c r="T629" s="3"/>
      <c r="U629" s="3"/>
      <c r="V629" s="3"/>
      <c r="W629" s="3"/>
      <c r="X629" s="3"/>
      <c r="Y629" s="3"/>
      <c r="Z629" s="3"/>
      <c r="AA629" s="3"/>
      <c r="AB629" s="3"/>
      <c r="AC629" s="3"/>
    </row>
    <row r="630">
      <c r="A630" s="3"/>
      <c r="B630" s="3"/>
      <c r="C630" s="3"/>
      <c r="D630" s="319"/>
      <c r="E630" s="3"/>
      <c r="F630" s="3"/>
      <c r="G630" s="3"/>
      <c r="H630" s="3"/>
      <c r="I630" s="3"/>
      <c r="J630" s="3"/>
      <c r="K630" s="3"/>
      <c r="L630" s="3"/>
      <c r="M630" s="3"/>
      <c r="N630" s="3"/>
      <c r="O630" s="3"/>
      <c r="P630" s="53"/>
      <c r="Q630" s="53"/>
      <c r="R630" s="618"/>
      <c r="S630" s="3"/>
      <c r="T630" s="3"/>
      <c r="U630" s="3"/>
      <c r="V630" s="3"/>
      <c r="W630" s="3"/>
      <c r="X630" s="3"/>
      <c r="Y630" s="3"/>
      <c r="Z630" s="3"/>
      <c r="AA630" s="3"/>
      <c r="AB630" s="3"/>
      <c r="AC630" s="3"/>
    </row>
    <row r="631">
      <c r="A631" s="3"/>
      <c r="B631" s="3"/>
      <c r="C631" s="3"/>
      <c r="D631" s="319"/>
      <c r="E631" s="3"/>
      <c r="F631" s="3"/>
      <c r="G631" s="3"/>
      <c r="H631" s="3"/>
      <c r="I631" s="3"/>
      <c r="J631" s="3"/>
      <c r="K631" s="3"/>
      <c r="L631" s="3"/>
      <c r="M631" s="3"/>
      <c r="N631" s="3"/>
      <c r="O631" s="3"/>
      <c r="P631" s="53"/>
      <c r="Q631" s="53"/>
      <c r="R631" s="618"/>
      <c r="S631" s="3"/>
      <c r="T631" s="3"/>
      <c r="U631" s="3"/>
      <c r="V631" s="3"/>
      <c r="W631" s="3"/>
      <c r="X631" s="3"/>
      <c r="Y631" s="3"/>
      <c r="Z631" s="3"/>
      <c r="AA631" s="3"/>
      <c r="AB631" s="3"/>
      <c r="AC631" s="3"/>
    </row>
    <row r="632">
      <c r="A632" s="3"/>
      <c r="B632" s="3"/>
      <c r="C632" s="3"/>
      <c r="D632" s="319"/>
      <c r="E632" s="3"/>
      <c r="F632" s="3"/>
      <c r="G632" s="3"/>
      <c r="H632" s="3"/>
      <c r="I632" s="3"/>
      <c r="J632" s="3"/>
      <c r="K632" s="3"/>
      <c r="L632" s="3"/>
      <c r="M632" s="3"/>
      <c r="N632" s="3"/>
      <c r="O632" s="3"/>
      <c r="P632" s="53"/>
      <c r="Q632" s="53"/>
      <c r="R632" s="618"/>
      <c r="S632" s="3"/>
      <c r="T632" s="3"/>
      <c r="U632" s="3"/>
      <c r="V632" s="3"/>
      <c r="W632" s="3"/>
      <c r="X632" s="3"/>
      <c r="Y632" s="3"/>
      <c r="Z632" s="3"/>
      <c r="AA632" s="3"/>
      <c r="AB632" s="3"/>
      <c r="AC632" s="3"/>
    </row>
    <row r="633">
      <c r="A633" s="3"/>
      <c r="B633" s="3"/>
      <c r="C633" s="3"/>
      <c r="D633" s="319"/>
      <c r="E633" s="3"/>
      <c r="F633" s="3"/>
      <c r="G633" s="3"/>
      <c r="H633" s="3"/>
      <c r="I633" s="3"/>
      <c r="J633" s="3"/>
      <c r="K633" s="3"/>
      <c r="L633" s="3"/>
      <c r="M633" s="3"/>
      <c r="N633" s="3"/>
      <c r="O633" s="3"/>
      <c r="P633" s="53"/>
      <c r="Q633" s="53"/>
      <c r="R633" s="618"/>
      <c r="S633" s="3"/>
      <c r="T633" s="3"/>
      <c r="U633" s="3"/>
      <c r="V633" s="3"/>
      <c r="W633" s="3"/>
      <c r="X633" s="3"/>
      <c r="Y633" s="3"/>
      <c r="Z633" s="3"/>
      <c r="AA633" s="3"/>
      <c r="AB633" s="3"/>
      <c r="AC633" s="3"/>
    </row>
    <row r="634">
      <c r="A634" s="3"/>
      <c r="B634" s="3"/>
      <c r="C634" s="3"/>
      <c r="D634" s="319"/>
      <c r="E634" s="3"/>
      <c r="F634" s="3"/>
      <c r="G634" s="3"/>
      <c r="H634" s="3"/>
      <c r="I634" s="3"/>
      <c r="J634" s="3"/>
      <c r="K634" s="3"/>
      <c r="L634" s="3"/>
      <c r="M634" s="3"/>
      <c r="N634" s="3"/>
      <c r="O634" s="3"/>
      <c r="P634" s="53"/>
      <c r="Q634" s="53"/>
      <c r="R634" s="618"/>
      <c r="S634" s="3"/>
      <c r="T634" s="3"/>
      <c r="U634" s="3"/>
      <c r="V634" s="3"/>
      <c r="W634" s="3"/>
      <c r="X634" s="3"/>
      <c r="Y634" s="3"/>
      <c r="Z634" s="3"/>
      <c r="AA634" s="3"/>
      <c r="AB634" s="3"/>
      <c r="AC634" s="3"/>
    </row>
    <row r="635">
      <c r="A635" s="3"/>
      <c r="B635" s="3"/>
      <c r="C635" s="3"/>
      <c r="D635" s="319"/>
      <c r="E635" s="3"/>
      <c r="F635" s="3"/>
      <c r="G635" s="3"/>
      <c r="H635" s="3"/>
      <c r="I635" s="3"/>
      <c r="J635" s="3"/>
      <c r="K635" s="3"/>
      <c r="L635" s="3"/>
      <c r="M635" s="3"/>
      <c r="N635" s="3"/>
      <c r="O635" s="3"/>
      <c r="P635" s="53"/>
      <c r="Q635" s="53"/>
      <c r="R635" s="618"/>
      <c r="S635" s="3"/>
      <c r="T635" s="3"/>
      <c r="U635" s="3"/>
      <c r="V635" s="3"/>
      <c r="W635" s="3"/>
      <c r="X635" s="3"/>
      <c r="Y635" s="3"/>
      <c r="Z635" s="3"/>
      <c r="AA635" s="3"/>
      <c r="AB635" s="3"/>
      <c r="AC635" s="3"/>
    </row>
    <row r="636">
      <c r="A636" s="3"/>
      <c r="B636" s="3"/>
      <c r="C636" s="3"/>
      <c r="D636" s="319"/>
      <c r="E636" s="3"/>
      <c r="F636" s="3"/>
      <c r="G636" s="3"/>
      <c r="H636" s="3"/>
      <c r="I636" s="3"/>
      <c r="J636" s="3"/>
      <c r="K636" s="3"/>
      <c r="L636" s="3"/>
      <c r="M636" s="3"/>
      <c r="N636" s="3"/>
      <c r="O636" s="3"/>
      <c r="P636" s="53"/>
      <c r="Q636" s="53"/>
      <c r="R636" s="618"/>
      <c r="S636" s="3"/>
      <c r="T636" s="3"/>
      <c r="U636" s="3"/>
      <c r="V636" s="3"/>
      <c r="W636" s="3"/>
      <c r="X636" s="3"/>
      <c r="Y636" s="3"/>
      <c r="Z636" s="3"/>
      <c r="AA636" s="3"/>
      <c r="AB636" s="3"/>
      <c r="AC636" s="3"/>
    </row>
    <row r="637">
      <c r="A637" s="3"/>
      <c r="B637" s="3"/>
      <c r="C637" s="3"/>
      <c r="D637" s="319"/>
      <c r="E637" s="3"/>
      <c r="F637" s="3"/>
      <c r="G637" s="3"/>
      <c r="H637" s="3"/>
      <c r="I637" s="3"/>
      <c r="J637" s="3"/>
      <c r="K637" s="3"/>
      <c r="L637" s="3"/>
      <c r="M637" s="3"/>
      <c r="N637" s="3"/>
      <c r="O637" s="3"/>
      <c r="P637" s="53"/>
      <c r="Q637" s="53"/>
      <c r="R637" s="618"/>
      <c r="S637" s="3"/>
      <c r="T637" s="3"/>
      <c r="U637" s="3"/>
      <c r="V637" s="3"/>
      <c r="W637" s="3"/>
      <c r="X637" s="3"/>
      <c r="Y637" s="3"/>
      <c r="Z637" s="3"/>
      <c r="AA637" s="3"/>
      <c r="AB637" s="3"/>
      <c r="AC637" s="3"/>
    </row>
    <row r="638">
      <c r="A638" s="3"/>
      <c r="B638" s="3"/>
      <c r="C638" s="3"/>
      <c r="D638" s="319"/>
      <c r="E638" s="3"/>
      <c r="F638" s="3"/>
      <c r="G638" s="3"/>
      <c r="H638" s="3"/>
      <c r="I638" s="3"/>
      <c r="J638" s="3"/>
      <c r="K638" s="3"/>
      <c r="L638" s="3"/>
      <c r="M638" s="3"/>
      <c r="N638" s="3"/>
      <c r="O638" s="3"/>
      <c r="P638" s="53"/>
      <c r="Q638" s="53"/>
      <c r="R638" s="618"/>
      <c r="S638" s="3"/>
      <c r="T638" s="3"/>
      <c r="U638" s="3"/>
      <c r="V638" s="3"/>
      <c r="W638" s="3"/>
      <c r="X638" s="3"/>
      <c r="Y638" s="3"/>
      <c r="Z638" s="3"/>
      <c r="AA638" s="3"/>
      <c r="AB638" s="3"/>
      <c r="AC638" s="3"/>
    </row>
    <row r="639">
      <c r="A639" s="3"/>
      <c r="B639" s="3"/>
      <c r="C639" s="3"/>
      <c r="D639" s="319"/>
      <c r="E639" s="3"/>
      <c r="F639" s="3"/>
      <c r="G639" s="3"/>
      <c r="H639" s="3"/>
      <c r="I639" s="3"/>
      <c r="J639" s="3"/>
      <c r="K639" s="3"/>
      <c r="L639" s="3"/>
      <c r="M639" s="3"/>
      <c r="N639" s="3"/>
      <c r="O639" s="3"/>
      <c r="P639" s="53"/>
      <c r="Q639" s="53"/>
      <c r="R639" s="618"/>
      <c r="S639" s="3"/>
      <c r="T639" s="3"/>
      <c r="U639" s="3"/>
      <c r="V639" s="3"/>
      <c r="W639" s="3"/>
      <c r="X639" s="3"/>
      <c r="Y639" s="3"/>
      <c r="Z639" s="3"/>
      <c r="AA639" s="3"/>
      <c r="AB639" s="3"/>
      <c r="AC639" s="3"/>
    </row>
    <row r="640">
      <c r="A640" s="3"/>
      <c r="B640" s="3"/>
      <c r="C640" s="3"/>
      <c r="D640" s="319"/>
      <c r="E640" s="3"/>
      <c r="F640" s="3"/>
      <c r="G640" s="3"/>
      <c r="H640" s="3"/>
      <c r="I640" s="3"/>
      <c r="J640" s="3"/>
      <c r="K640" s="3"/>
      <c r="L640" s="3"/>
      <c r="M640" s="3"/>
      <c r="N640" s="3"/>
      <c r="O640" s="3"/>
      <c r="P640" s="53"/>
      <c r="Q640" s="53"/>
      <c r="R640" s="618"/>
      <c r="S640" s="3"/>
      <c r="T640" s="3"/>
      <c r="U640" s="3"/>
      <c r="V640" s="3"/>
      <c r="W640" s="3"/>
      <c r="X640" s="3"/>
      <c r="Y640" s="3"/>
      <c r="Z640" s="3"/>
      <c r="AA640" s="3"/>
      <c r="AB640" s="3"/>
      <c r="AC640" s="3"/>
    </row>
    <row r="641">
      <c r="A641" s="3"/>
      <c r="B641" s="3"/>
      <c r="C641" s="3"/>
      <c r="D641" s="319"/>
      <c r="E641" s="3"/>
      <c r="F641" s="3"/>
      <c r="G641" s="3"/>
      <c r="H641" s="3"/>
      <c r="I641" s="3"/>
      <c r="J641" s="3"/>
      <c r="K641" s="3"/>
      <c r="L641" s="3"/>
      <c r="M641" s="3"/>
      <c r="N641" s="3"/>
      <c r="O641" s="3"/>
      <c r="P641" s="53"/>
      <c r="Q641" s="53"/>
      <c r="R641" s="618"/>
      <c r="S641" s="3"/>
      <c r="T641" s="3"/>
      <c r="U641" s="3"/>
      <c r="V641" s="3"/>
      <c r="W641" s="3"/>
      <c r="X641" s="3"/>
      <c r="Y641" s="3"/>
      <c r="Z641" s="3"/>
      <c r="AA641" s="3"/>
      <c r="AB641" s="3"/>
      <c r="AC641" s="3"/>
    </row>
    <row r="642">
      <c r="A642" s="3"/>
      <c r="B642" s="3"/>
      <c r="C642" s="3"/>
      <c r="D642" s="319"/>
      <c r="E642" s="3"/>
      <c r="F642" s="3"/>
      <c r="G642" s="3"/>
      <c r="H642" s="3"/>
      <c r="I642" s="3"/>
      <c r="J642" s="3"/>
      <c r="K642" s="3"/>
      <c r="L642" s="3"/>
      <c r="M642" s="3"/>
      <c r="N642" s="3"/>
      <c r="O642" s="3"/>
      <c r="P642" s="53"/>
      <c r="Q642" s="53"/>
      <c r="R642" s="618"/>
      <c r="S642" s="3"/>
      <c r="T642" s="3"/>
      <c r="U642" s="3"/>
      <c r="V642" s="3"/>
      <c r="W642" s="3"/>
      <c r="X642" s="3"/>
      <c r="Y642" s="3"/>
      <c r="Z642" s="3"/>
      <c r="AA642" s="3"/>
      <c r="AB642" s="3"/>
      <c r="AC642" s="3"/>
    </row>
    <row r="643">
      <c r="A643" s="3"/>
      <c r="B643" s="3"/>
      <c r="C643" s="3"/>
      <c r="D643" s="319"/>
      <c r="E643" s="3"/>
      <c r="F643" s="3"/>
      <c r="G643" s="3"/>
      <c r="H643" s="3"/>
      <c r="I643" s="3"/>
      <c r="J643" s="3"/>
      <c r="K643" s="3"/>
      <c r="L643" s="3"/>
      <c r="M643" s="3"/>
      <c r="N643" s="3"/>
      <c r="O643" s="3"/>
      <c r="P643" s="53"/>
      <c r="Q643" s="53"/>
      <c r="R643" s="618"/>
      <c r="S643" s="3"/>
      <c r="T643" s="3"/>
      <c r="U643" s="3"/>
      <c r="V643" s="3"/>
      <c r="W643" s="3"/>
      <c r="X643" s="3"/>
      <c r="Y643" s="3"/>
      <c r="Z643" s="3"/>
      <c r="AA643" s="3"/>
      <c r="AB643" s="3"/>
      <c r="AC643" s="3"/>
    </row>
    <row r="644">
      <c r="A644" s="3"/>
      <c r="B644" s="3"/>
      <c r="C644" s="3"/>
      <c r="D644" s="319"/>
      <c r="E644" s="3"/>
      <c r="F644" s="3"/>
      <c r="G644" s="3"/>
      <c r="H644" s="3"/>
      <c r="I644" s="3"/>
      <c r="J644" s="3"/>
      <c r="K644" s="3"/>
      <c r="L644" s="3"/>
      <c r="M644" s="3"/>
      <c r="N644" s="3"/>
      <c r="O644" s="3"/>
      <c r="P644" s="53"/>
      <c r="Q644" s="53"/>
      <c r="R644" s="618"/>
      <c r="S644" s="3"/>
      <c r="T644" s="3"/>
      <c r="U644" s="3"/>
      <c r="V644" s="3"/>
      <c r="W644" s="3"/>
      <c r="X644" s="3"/>
      <c r="Y644" s="3"/>
      <c r="Z644" s="3"/>
      <c r="AA644" s="3"/>
      <c r="AB644" s="3"/>
      <c r="AC644" s="3"/>
    </row>
    <row r="645">
      <c r="A645" s="3"/>
      <c r="B645" s="3"/>
      <c r="C645" s="3"/>
      <c r="D645" s="319"/>
      <c r="E645" s="3"/>
      <c r="F645" s="3"/>
      <c r="G645" s="3"/>
      <c r="H645" s="3"/>
      <c r="I645" s="3"/>
      <c r="J645" s="3"/>
      <c r="K645" s="3"/>
      <c r="L645" s="3"/>
      <c r="M645" s="3"/>
      <c r="N645" s="3"/>
      <c r="O645" s="3"/>
      <c r="P645" s="53"/>
      <c r="Q645" s="53"/>
      <c r="R645" s="618"/>
      <c r="S645" s="3"/>
      <c r="T645" s="3"/>
      <c r="U645" s="3"/>
      <c r="V645" s="3"/>
      <c r="W645" s="3"/>
      <c r="X645" s="3"/>
      <c r="Y645" s="3"/>
      <c r="Z645" s="3"/>
      <c r="AA645" s="3"/>
      <c r="AB645" s="3"/>
      <c r="AC645" s="3"/>
    </row>
    <row r="646">
      <c r="A646" s="3"/>
      <c r="B646" s="3"/>
      <c r="C646" s="3"/>
      <c r="D646" s="319"/>
      <c r="E646" s="3"/>
      <c r="F646" s="3"/>
      <c r="G646" s="3"/>
      <c r="H646" s="3"/>
      <c r="I646" s="3"/>
      <c r="J646" s="3"/>
      <c r="K646" s="3"/>
      <c r="L646" s="3"/>
      <c r="M646" s="3"/>
      <c r="N646" s="3"/>
      <c r="O646" s="3"/>
      <c r="P646" s="53"/>
      <c r="Q646" s="53"/>
      <c r="R646" s="618"/>
      <c r="S646" s="3"/>
      <c r="T646" s="3"/>
      <c r="U646" s="3"/>
      <c r="V646" s="3"/>
      <c r="W646" s="3"/>
      <c r="X646" s="3"/>
      <c r="Y646" s="3"/>
      <c r="Z646" s="3"/>
      <c r="AA646" s="3"/>
      <c r="AB646" s="3"/>
      <c r="AC646" s="3"/>
    </row>
    <row r="647">
      <c r="A647" s="3"/>
      <c r="B647" s="3"/>
      <c r="C647" s="3"/>
      <c r="D647" s="319"/>
      <c r="E647" s="3"/>
      <c r="F647" s="3"/>
      <c r="G647" s="3"/>
      <c r="H647" s="3"/>
      <c r="I647" s="3"/>
      <c r="J647" s="3"/>
      <c r="K647" s="3"/>
      <c r="L647" s="3"/>
      <c r="M647" s="3"/>
      <c r="N647" s="3"/>
      <c r="O647" s="3"/>
      <c r="P647" s="53"/>
      <c r="Q647" s="53"/>
      <c r="R647" s="618"/>
      <c r="S647" s="3"/>
      <c r="T647" s="3"/>
      <c r="U647" s="3"/>
      <c r="V647" s="3"/>
      <c r="W647" s="3"/>
      <c r="X647" s="3"/>
      <c r="Y647" s="3"/>
      <c r="Z647" s="3"/>
      <c r="AA647" s="3"/>
      <c r="AB647" s="3"/>
      <c r="AC647" s="3"/>
    </row>
    <row r="648">
      <c r="A648" s="3"/>
      <c r="B648" s="3"/>
      <c r="C648" s="3"/>
      <c r="D648" s="319"/>
      <c r="E648" s="3"/>
      <c r="F648" s="3"/>
      <c r="G648" s="3"/>
      <c r="H648" s="3"/>
      <c r="I648" s="3"/>
      <c r="J648" s="3"/>
      <c r="K648" s="3"/>
      <c r="L648" s="3"/>
      <c r="M648" s="3"/>
      <c r="N648" s="3"/>
      <c r="O648" s="3"/>
      <c r="P648" s="53"/>
      <c r="Q648" s="53"/>
      <c r="R648" s="618"/>
      <c r="S648" s="3"/>
      <c r="T648" s="3"/>
      <c r="U648" s="3"/>
      <c r="V648" s="3"/>
      <c r="W648" s="3"/>
      <c r="X648" s="3"/>
      <c r="Y648" s="3"/>
      <c r="Z648" s="3"/>
      <c r="AA648" s="3"/>
      <c r="AB648" s="3"/>
      <c r="AC648" s="3"/>
    </row>
    <row r="649">
      <c r="A649" s="3"/>
      <c r="B649" s="3"/>
      <c r="C649" s="3"/>
      <c r="D649" s="319"/>
      <c r="E649" s="3"/>
      <c r="F649" s="3"/>
      <c r="G649" s="3"/>
      <c r="H649" s="3"/>
      <c r="I649" s="3"/>
      <c r="J649" s="3"/>
      <c r="K649" s="3"/>
      <c r="L649" s="3"/>
      <c r="M649" s="3"/>
      <c r="N649" s="3"/>
      <c r="O649" s="3"/>
      <c r="P649" s="53"/>
      <c r="Q649" s="53"/>
      <c r="R649" s="618"/>
      <c r="S649" s="3"/>
      <c r="T649" s="3"/>
      <c r="U649" s="3"/>
      <c r="V649" s="3"/>
      <c r="W649" s="3"/>
      <c r="X649" s="3"/>
      <c r="Y649" s="3"/>
      <c r="Z649" s="3"/>
      <c r="AA649" s="3"/>
      <c r="AB649" s="3"/>
      <c r="AC649" s="3"/>
    </row>
    <row r="650">
      <c r="A650" s="3"/>
      <c r="B650" s="3"/>
      <c r="C650" s="3"/>
      <c r="D650" s="319"/>
      <c r="E650" s="3"/>
      <c r="F650" s="3"/>
      <c r="G650" s="3"/>
      <c r="H650" s="3"/>
      <c r="I650" s="3"/>
      <c r="J650" s="3"/>
      <c r="K650" s="3"/>
      <c r="L650" s="3"/>
      <c r="M650" s="3"/>
      <c r="N650" s="3"/>
      <c r="O650" s="3"/>
      <c r="P650" s="53"/>
      <c r="Q650" s="53"/>
      <c r="R650" s="618"/>
      <c r="S650" s="3"/>
      <c r="T650" s="3"/>
      <c r="U650" s="3"/>
      <c r="V650" s="3"/>
      <c r="W650" s="3"/>
      <c r="X650" s="3"/>
      <c r="Y650" s="3"/>
      <c r="Z650" s="3"/>
      <c r="AA650" s="3"/>
      <c r="AB650" s="3"/>
      <c r="AC650" s="3"/>
    </row>
    <row r="651">
      <c r="A651" s="3"/>
      <c r="B651" s="3"/>
      <c r="C651" s="3"/>
      <c r="D651" s="319"/>
      <c r="E651" s="3"/>
      <c r="F651" s="3"/>
      <c r="G651" s="3"/>
      <c r="H651" s="3"/>
      <c r="I651" s="3"/>
      <c r="J651" s="3"/>
      <c r="K651" s="3"/>
      <c r="L651" s="3"/>
      <c r="M651" s="3"/>
      <c r="N651" s="3"/>
      <c r="O651" s="3"/>
      <c r="P651" s="53"/>
      <c r="Q651" s="53"/>
      <c r="R651" s="618"/>
      <c r="S651" s="3"/>
      <c r="T651" s="3"/>
      <c r="U651" s="3"/>
      <c r="V651" s="3"/>
      <c r="W651" s="3"/>
      <c r="X651" s="3"/>
      <c r="Y651" s="3"/>
      <c r="Z651" s="3"/>
      <c r="AA651" s="3"/>
      <c r="AB651" s="3"/>
      <c r="AC651" s="3"/>
    </row>
    <row r="652">
      <c r="A652" s="3"/>
      <c r="B652" s="3"/>
      <c r="C652" s="3"/>
      <c r="D652" s="319"/>
      <c r="E652" s="3"/>
      <c r="F652" s="3"/>
      <c r="G652" s="3"/>
      <c r="H652" s="3"/>
      <c r="I652" s="3"/>
      <c r="J652" s="3"/>
      <c r="K652" s="3"/>
      <c r="L652" s="3"/>
      <c r="M652" s="3"/>
      <c r="N652" s="3"/>
      <c r="O652" s="3"/>
      <c r="P652" s="53"/>
      <c r="Q652" s="53"/>
      <c r="R652" s="618"/>
      <c r="S652" s="3"/>
      <c r="T652" s="3"/>
      <c r="U652" s="3"/>
      <c r="V652" s="3"/>
      <c r="W652" s="3"/>
      <c r="X652" s="3"/>
      <c r="Y652" s="3"/>
      <c r="Z652" s="3"/>
      <c r="AA652" s="3"/>
      <c r="AB652" s="3"/>
      <c r="AC652" s="3"/>
    </row>
    <row r="653">
      <c r="A653" s="3"/>
      <c r="B653" s="3"/>
      <c r="C653" s="3"/>
      <c r="D653" s="319"/>
      <c r="E653" s="3"/>
      <c r="F653" s="3"/>
      <c r="G653" s="3"/>
      <c r="H653" s="3"/>
      <c r="I653" s="3"/>
      <c r="J653" s="3"/>
      <c r="K653" s="3"/>
      <c r="L653" s="3"/>
      <c r="M653" s="3"/>
      <c r="N653" s="3"/>
      <c r="O653" s="3"/>
      <c r="P653" s="53"/>
      <c r="Q653" s="53"/>
      <c r="R653" s="618"/>
      <c r="S653" s="3"/>
      <c r="T653" s="3"/>
      <c r="U653" s="3"/>
      <c r="V653" s="3"/>
      <c r="W653" s="3"/>
      <c r="X653" s="3"/>
      <c r="Y653" s="3"/>
      <c r="Z653" s="3"/>
      <c r="AA653" s="3"/>
      <c r="AB653" s="3"/>
      <c r="AC653" s="3"/>
    </row>
    <row r="654">
      <c r="A654" s="3"/>
      <c r="B654" s="3"/>
      <c r="C654" s="3"/>
      <c r="D654" s="319"/>
      <c r="E654" s="3"/>
      <c r="F654" s="3"/>
      <c r="G654" s="3"/>
      <c r="H654" s="3"/>
      <c r="I654" s="3"/>
      <c r="J654" s="3"/>
      <c r="K654" s="3"/>
      <c r="L654" s="3"/>
      <c r="M654" s="3"/>
      <c r="N654" s="3"/>
      <c r="O654" s="3"/>
      <c r="P654" s="53"/>
      <c r="Q654" s="53"/>
      <c r="R654" s="618"/>
      <c r="S654" s="3"/>
      <c r="T654" s="3"/>
      <c r="U654" s="3"/>
      <c r="V654" s="3"/>
      <c r="W654" s="3"/>
      <c r="X654" s="3"/>
      <c r="Y654" s="3"/>
      <c r="Z654" s="3"/>
      <c r="AA654" s="3"/>
      <c r="AB654" s="3"/>
      <c r="AC654" s="3"/>
    </row>
    <row r="655">
      <c r="A655" s="3"/>
      <c r="B655" s="3"/>
      <c r="C655" s="3"/>
      <c r="D655" s="319"/>
      <c r="E655" s="3"/>
      <c r="F655" s="3"/>
      <c r="G655" s="3"/>
      <c r="H655" s="3"/>
      <c r="I655" s="3"/>
      <c r="J655" s="3"/>
      <c r="K655" s="3"/>
      <c r="L655" s="3"/>
      <c r="M655" s="3"/>
      <c r="N655" s="3"/>
      <c r="O655" s="3"/>
      <c r="P655" s="53"/>
      <c r="Q655" s="53"/>
      <c r="R655" s="618"/>
      <c r="S655" s="3"/>
      <c r="T655" s="3"/>
      <c r="U655" s="3"/>
      <c r="V655" s="3"/>
      <c r="W655" s="3"/>
      <c r="X655" s="3"/>
      <c r="Y655" s="3"/>
      <c r="Z655" s="3"/>
      <c r="AA655" s="3"/>
      <c r="AB655" s="3"/>
      <c r="AC655" s="3"/>
    </row>
    <row r="656">
      <c r="A656" s="3"/>
      <c r="B656" s="3"/>
      <c r="C656" s="3"/>
      <c r="D656" s="319"/>
      <c r="E656" s="3"/>
      <c r="F656" s="3"/>
      <c r="G656" s="3"/>
      <c r="H656" s="3"/>
      <c r="I656" s="3"/>
      <c r="J656" s="3"/>
      <c r="K656" s="3"/>
      <c r="L656" s="3"/>
      <c r="M656" s="3"/>
      <c r="N656" s="3"/>
      <c r="O656" s="3"/>
      <c r="P656" s="53"/>
      <c r="Q656" s="53"/>
      <c r="R656" s="618"/>
      <c r="S656" s="3"/>
      <c r="T656" s="3"/>
      <c r="U656" s="3"/>
      <c r="V656" s="3"/>
      <c r="W656" s="3"/>
      <c r="X656" s="3"/>
      <c r="Y656" s="3"/>
      <c r="Z656" s="3"/>
      <c r="AA656" s="3"/>
      <c r="AB656" s="3"/>
      <c r="AC656" s="3"/>
    </row>
    <row r="657">
      <c r="A657" s="3"/>
      <c r="B657" s="3"/>
      <c r="C657" s="3"/>
      <c r="D657" s="319"/>
      <c r="E657" s="3"/>
      <c r="F657" s="3"/>
      <c r="G657" s="3"/>
      <c r="H657" s="3"/>
      <c r="I657" s="3"/>
      <c r="J657" s="3"/>
      <c r="K657" s="3"/>
      <c r="L657" s="3"/>
      <c r="M657" s="3"/>
      <c r="N657" s="3"/>
      <c r="O657" s="3"/>
      <c r="P657" s="53"/>
      <c r="Q657" s="53"/>
      <c r="R657" s="618"/>
      <c r="S657" s="3"/>
      <c r="T657" s="3"/>
      <c r="U657" s="3"/>
      <c r="V657" s="3"/>
      <c r="W657" s="3"/>
      <c r="X657" s="3"/>
      <c r="Y657" s="3"/>
      <c r="Z657" s="3"/>
      <c r="AA657" s="3"/>
      <c r="AB657" s="3"/>
      <c r="AC657" s="3"/>
    </row>
    <row r="658">
      <c r="A658" s="3"/>
      <c r="B658" s="3"/>
      <c r="C658" s="3"/>
      <c r="D658" s="319"/>
      <c r="E658" s="3"/>
      <c r="F658" s="3"/>
      <c r="G658" s="3"/>
      <c r="H658" s="3"/>
      <c r="I658" s="3"/>
      <c r="J658" s="3"/>
      <c r="K658" s="3"/>
      <c r="L658" s="3"/>
      <c r="M658" s="3"/>
      <c r="N658" s="3"/>
      <c r="O658" s="3"/>
      <c r="P658" s="53"/>
      <c r="Q658" s="53"/>
      <c r="R658" s="618"/>
      <c r="S658" s="3"/>
      <c r="T658" s="3"/>
      <c r="U658" s="3"/>
      <c r="V658" s="3"/>
      <c r="W658" s="3"/>
      <c r="X658" s="3"/>
      <c r="Y658" s="3"/>
      <c r="Z658" s="3"/>
      <c r="AA658" s="3"/>
      <c r="AB658" s="3"/>
      <c r="AC658" s="3"/>
    </row>
    <row r="659">
      <c r="A659" s="3"/>
      <c r="B659" s="3"/>
      <c r="C659" s="3"/>
      <c r="D659" s="319"/>
      <c r="E659" s="3"/>
      <c r="F659" s="3"/>
      <c r="G659" s="3"/>
      <c r="H659" s="3"/>
      <c r="I659" s="3"/>
      <c r="J659" s="3"/>
      <c r="K659" s="3"/>
      <c r="L659" s="3"/>
      <c r="M659" s="3"/>
      <c r="N659" s="3"/>
      <c r="O659" s="3"/>
      <c r="P659" s="53"/>
      <c r="Q659" s="53"/>
      <c r="R659" s="618"/>
      <c r="S659" s="3"/>
      <c r="T659" s="3"/>
      <c r="U659" s="3"/>
      <c r="V659" s="3"/>
      <c r="W659" s="3"/>
      <c r="X659" s="3"/>
      <c r="Y659" s="3"/>
      <c r="Z659" s="3"/>
      <c r="AA659" s="3"/>
      <c r="AB659" s="3"/>
      <c r="AC659" s="3"/>
    </row>
    <row r="660">
      <c r="A660" s="3"/>
      <c r="B660" s="3"/>
      <c r="C660" s="3"/>
      <c r="D660" s="319"/>
      <c r="E660" s="3"/>
      <c r="F660" s="3"/>
      <c r="G660" s="3"/>
      <c r="H660" s="3"/>
      <c r="I660" s="3"/>
      <c r="J660" s="3"/>
      <c r="K660" s="3"/>
      <c r="L660" s="3"/>
      <c r="M660" s="3"/>
      <c r="N660" s="3"/>
      <c r="O660" s="3"/>
      <c r="P660" s="53"/>
      <c r="Q660" s="53"/>
      <c r="R660" s="618"/>
      <c r="S660" s="3"/>
      <c r="T660" s="3"/>
      <c r="U660" s="3"/>
      <c r="V660" s="3"/>
      <c r="W660" s="3"/>
      <c r="X660" s="3"/>
      <c r="Y660" s="3"/>
      <c r="Z660" s="3"/>
      <c r="AA660" s="3"/>
      <c r="AB660" s="3"/>
      <c r="AC660" s="3"/>
    </row>
    <row r="661">
      <c r="A661" s="3"/>
      <c r="B661" s="3"/>
      <c r="C661" s="3"/>
      <c r="D661" s="319"/>
      <c r="E661" s="3"/>
      <c r="F661" s="3"/>
      <c r="G661" s="3"/>
      <c r="H661" s="3"/>
      <c r="I661" s="3"/>
      <c r="J661" s="3"/>
      <c r="K661" s="3"/>
      <c r="L661" s="3"/>
      <c r="M661" s="3"/>
      <c r="N661" s="3"/>
      <c r="O661" s="3"/>
      <c r="P661" s="53"/>
      <c r="Q661" s="53"/>
      <c r="R661" s="618"/>
      <c r="S661" s="3"/>
      <c r="T661" s="3"/>
      <c r="U661" s="3"/>
      <c r="V661" s="3"/>
      <c r="W661" s="3"/>
      <c r="X661" s="3"/>
      <c r="Y661" s="3"/>
      <c r="Z661" s="3"/>
      <c r="AA661" s="3"/>
      <c r="AB661" s="3"/>
      <c r="AC661" s="3"/>
    </row>
    <row r="662">
      <c r="A662" s="3"/>
      <c r="B662" s="3"/>
      <c r="C662" s="3"/>
      <c r="D662" s="319"/>
      <c r="E662" s="3"/>
      <c r="F662" s="3"/>
      <c r="G662" s="3"/>
      <c r="H662" s="3"/>
      <c r="I662" s="3"/>
      <c r="J662" s="3"/>
      <c r="K662" s="3"/>
      <c r="L662" s="3"/>
      <c r="M662" s="3"/>
      <c r="N662" s="3"/>
      <c r="O662" s="3"/>
      <c r="P662" s="53"/>
      <c r="Q662" s="53"/>
      <c r="R662" s="618"/>
      <c r="S662" s="3"/>
      <c r="T662" s="3"/>
      <c r="U662" s="3"/>
      <c r="V662" s="3"/>
      <c r="W662" s="3"/>
      <c r="X662" s="3"/>
      <c r="Y662" s="3"/>
      <c r="Z662" s="3"/>
      <c r="AA662" s="3"/>
      <c r="AB662" s="3"/>
      <c r="AC662" s="3"/>
    </row>
    <row r="663">
      <c r="A663" s="3"/>
      <c r="B663" s="3"/>
      <c r="C663" s="3"/>
      <c r="D663" s="319"/>
      <c r="E663" s="3"/>
      <c r="F663" s="3"/>
      <c r="G663" s="3"/>
      <c r="H663" s="3"/>
      <c r="I663" s="3"/>
      <c r="J663" s="3"/>
      <c r="K663" s="3"/>
      <c r="L663" s="3"/>
      <c r="M663" s="3"/>
      <c r="N663" s="3"/>
      <c r="O663" s="3"/>
      <c r="P663" s="53"/>
      <c r="Q663" s="53"/>
      <c r="R663" s="618"/>
      <c r="S663" s="3"/>
      <c r="T663" s="3"/>
      <c r="U663" s="3"/>
      <c r="V663" s="3"/>
      <c r="W663" s="3"/>
      <c r="X663" s="3"/>
      <c r="Y663" s="3"/>
      <c r="Z663" s="3"/>
      <c r="AA663" s="3"/>
      <c r="AB663" s="3"/>
      <c r="AC663" s="3"/>
    </row>
    <row r="664">
      <c r="A664" s="3"/>
      <c r="B664" s="3"/>
      <c r="C664" s="3"/>
      <c r="D664" s="319"/>
      <c r="E664" s="3"/>
      <c r="F664" s="3"/>
      <c r="G664" s="3"/>
      <c r="H664" s="3"/>
      <c r="I664" s="3"/>
      <c r="J664" s="3"/>
      <c r="K664" s="3"/>
      <c r="L664" s="3"/>
      <c r="M664" s="3"/>
      <c r="N664" s="3"/>
      <c r="O664" s="3"/>
      <c r="P664" s="53"/>
      <c r="Q664" s="53"/>
      <c r="R664" s="618"/>
      <c r="S664" s="3"/>
      <c r="T664" s="3"/>
      <c r="U664" s="3"/>
      <c r="V664" s="3"/>
      <c r="W664" s="3"/>
      <c r="X664" s="3"/>
      <c r="Y664" s="3"/>
      <c r="Z664" s="3"/>
      <c r="AA664" s="3"/>
      <c r="AB664" s="3"/>
      <c r="AC664" s="3"/>
    </row>
    <row r="665">
      <c r="A665" s="3"/>
      <c r="B665" s="3"/>
      <c r="C665" s="3"/>
      <c r="D665" s="319"/>
      <c r="E665" s="3"/>
      <c r="F665" s="3"/>
      <c r="G665" s="3"/>
      <c r="H665" s="3"/>
      <c r="I665" s="3"/>
      <c r="J665" s="3"/>
      <c r="K665" s="3"/>
      <c r="L665" s="3"/>
      <c r="M665" s="3"/>
      <c r="N665" s="3"/>
      <c r="O665" s="3"/>
      <c r="P665" s="53"/>
      <c r="Q665" s="53"/>
      <c r="R665" s="618"/>
      <c r="S665" s="3"/>
      <c r="T665" s="3"/>
      <c r="U665" s="3"/>
      <c r="V665" s="3"/>
      <c r="W665" s="3"/>
      <c r="X665" s="3"/>
      <c r="Y665" s="3"/>
      <c r="Z665" s="3"/>
      <c r="AA665" s="3"/>
      <c r="AB665" s="3"/>
      <c r="AC665" s="3"/>
    </row>
    <row r="666">
      <c r="A666" s="3"/>
      <c r="B666" s="3"/>
      <c r="C666" s="3"/>
      <c r="D666" s="319"/>
      <c r="E666" s="3"/>
      <c r="F666" s="3"/>
      <c r="G666" s="3"/>
      <c r="H666" s="3"/>
      <c r="I666" s="3"/>
      <c r="J666" s="3"/>
      <c r="K666" s="3"/>
      <c r="L666" s="3"/>
      <c r="M666" s="3"/>
      <c r="N666" s="3"/>
      <c r="O666" s="3"/>
      <c r="P666" s="53"/>
      <c r="Q666" s="53"/>
      <c r="R666" s="618"/>
      <c r="S666" s="3"/>
      <c r="T666" s="3"/>
      <c r="U666" s="3"/>
      <c r="V666" s="3"/>
      <c r="W666" s="3"/>
      <c r="X666" s="3"/>
      <c r="Y666" s="3"/>
      <c r="Z666" s="3"/>
      <c r="AA666" s="3"/>
      <c r="AB666" s="3"/>
      <c r="AC666" s="3"/>
    </row>
    <row r="667">
      <c r="A667" s="3"/>
      <c r="B667" s="3"/>
      <c r="C667" s="3"/>
      <c r="D667" s="319"/>
      <c r="E667" s="3"/>
      <c r="F667" s="3"/>
      <c r="G667" s="3"/>
      <c r="H667" s="3"/>
      <c r="I667" s="3"/>
      <c r="J667" s="3"/>
      <c r="K667" s="3"/>
      <c r="L667" s="3"/>
      <c r="M667" s="3"/>
      <c r="N667" s="3"/>
      <c r="O667" s="3"/>
      <c r="P667" s="53"/>
      <c r="Q667" s="53"/>
      <c r="R667" s="618"/>
      <c r="S667" s="3"/>
      <c r="T667" s="3"/>
      <c r="U667" s="3"/>
      <c r="V667" s="3"/>
      <c r="W667" s="3"/>
      <c r="X667" s="3"/>
      <c r="Y667" s="3"/>
      <c r="Z667" s="3"/>
      <c r="AA667" s="3"/>
      <c r="AB667" s="3"/>
      <c r="AC667" s="3"/>
    </row>
    <row r="668">
      <c r="A668" s="3"/>
      <c r="B668" s="3"/>
      <c r="C668" s="3"/>
      <c r="D668" s="319"/>
      <c r="E668" s="3"/>
      <c r="F668" s="3"/>
      <c r="G668" s="3"/>
      <c r="H668" s="3"/>
      <c r="I668" s="3"/>
      <c r="J668" s="3"/>
      <c r="K668" s="3"/>
      <c r="L668" s="3"/>
      <c r="M668" s="3"/>
      <c r="N668" s="3"/>
      <c r="O668" s="3"/>
      <c r="P668" s="53"/>
      <c r="Q668" s="53"/>
      <c r="R668" s="618"/>
      <c r="S668" s="3"/>
      <c r="T668" s="3"/>
      <c r="U668" s="3"/>
      <c r="V668" s="3"/>
      <c r="W668" s="3"/>
      <c r="X668" s="3"/>
      <c r="Y668" s="3"/>
      <c r="Z668" s="3"/>
      <c r="AA668" s="3"/>
      <c r="AB668" s="3"/>
      <c r="AC668" s="3"/>
    </row>
    <row r="669">
      <c r="A669" s="3"/>
      <c r="B669" s="3"/>
      <c r="C669" s="3"/>
      <c r="D669" s="319"/>
      <c r="E669" s="3"/>
      <c r="F669" s="3"/>
      <c r="G669" s="3"/>
      <c r="H669" s="3"/>
      <c r="I669" s="3"/>
      <c r="J669" s="3"/>
      <c r="K669" s="3"/>
      <c r="L669" s="3"/>
      <c r="M669" s="3"/>
      <c r="N669" s="3"/>
      <c r="O669" s="3"/>
      <c r="P669" s="53"/>
      <c r="Q669" s="53"/>
      <c r="R669" s="618"/>
      <c r="S669" s="3"/>
      <c r="T669" s="3"/>
      <c r="U669" s="3"/>
      <c r="V669" s="3"/>
      <c r="W669" s="3"/>
      <c r="X669" s="3"/>
      <c r="Y669" s="3"/>
      <c r="Z669" s="3"/>
      <c r="AA669" s="3"/>
      <c r="AB669" s="3"/>
      <c r="AC669" s="3"/>
    </row>
    <row r="670">
      <c r="A670" s="3"/>
      <c r="B670" s="3"/>
      <c r="C670" s="3"/>
      <c r="D670" s="319"/>
      <c r="E670" s="3"/>
      <c r="F670" s="3"/>
      <c r="G670" s="3"/>
      <c r="H670" s="3"/>
      <c r="I670" s="3"/>
      <c r="J670" s="3"/>
      <c r="K670" s="3"/>
      <c r="L670" s="3"/>
      <c r="M670" s="3"/>
      <c r="N670" s="3"/>
      <c r="O670" s="3"/>
      <c r="P670" s="53"/>
      <c r="Q670" s="53"/>
      <c r="R670" s="618"/>
      <c r="S670" s="3"/>
      <c r="T670" s="3"/>
      <c r="U670" s="3"/>
      <c r="V670" s="3"/>
      <c r="W670" s="3"/>
      <c r="X670" s="3"/>
      <c r="Y670" s="3"/>
      <c r="Z670" s="3"/>
      <c r="AA670" s="3"/>
      <c r="AB670" s="3"/>
      <c r="AC670" s="3"/>
    </row>
    <row r="671">
      <c r="A671" s="3"/>
      <c r="B671" s="3"/>
      <c r="C671" s="3"/>
      <c r="D671" s="319"/>
      <c r="E671" s="3"/>
      <c r="F671" s="3"/>
      <c r="G671" s="3"/>
      <c r="H671" s="3"/>
      <c r="I671" s="3"/>
      <c r="J671" s="3"/>
      <c r="K671" s="3"/>
      <c r="L671" s="3"/>
      <c r="M671" s="3"/>
      <c r="N671" s="3"/>
      <c r="O671" s="3"/>
      <c r="P671" s="53"/>
      <c r="Q671" s="53"/>
      <c r="R671" s="618"/>
      <c r="S671" s="3"/>
      <c r="T671" s="3"/>
      <c r="U671" s="3"/>
      <c r="V671" s="3"/>
      <c r="W671" s="3"/>
      <c r="X671" s="3"/>
      <c r="Y671" s="3"/>
      <c r="Z671" s="3"/>
      <c r="AA671" s="3"/>
      <c r="AB671" s="3"/>
      <c r="AC671" s="3"/>
    </row>
    <row r="672">
      <c r="A672" s="3"/>
      <c r="B672" s="3"/>
      <c r="C672" s="3"/>
      <c r="D672" s="319"/>
      <c r="E672" s="3"/>
      <c r="F672" s="3"/>
      <c r="G672" s="3"/>
      <c r="H672" s="3"/>
      <c r="I672" s="3"/>
      <c r="J672" s="3"/>
      <c r="K672" s="3"/>
      <c r="L672" s="3"/>
      <c r="M672" s="3"/>
      <c r="N672" s="3"/>
      <c r="O672" s="3"/>
      <c r="P672" s="53"/>
      <c r="Q672" s="53"/>
      <c r="R672" s="618"/>
      <c r="S672" s="3"/>
      <c r="T672" s="3"/>
      <c r="U672" s="3"/>
      <c r="V672" s="3"/>
      <c r="W672" s="3"/>
      <c r="X672" s="3"/>
      <c r="Y672" s="3"/>
      <c r="Z672" s="3"/>
      <c r="AA672" s="3"/>
      <c r="AB672" s="3"/>
      <c r="AC672" s="3"/>
    </row>
    <row r="673">
      <c r="A673" s="3"/>
      <c r="B673" s="3"/>
      <c r="C673" s="3"/>
      <c r="D673" s="319"/>
      <c r="E673" s="3"/>
      <c r="F673" s="3"/>
      <c r="G673" s="3"/>
      <c r="H673" s="3"/>
      <c r="I673" s="3"/>
      <c r="J673" s="3"/>
      <c r="K673" s="3"/>
      <c r="L673" s="3"/>
      <c r="M673" s="3"/>
      <c r="N673" s="3"/>
      <c r="O673" s="3"/>
      <c r="P673" s="53"/>
      <c r="Q673" s="53"/>
      <c r="R673" s="618"/>
      <c r="S673" s="3"/>
      <c r="T673" s="3"/>
      <c r="U673" s="3"/>
      <c r="V673" s="3"/>
      <c r="W673" s="3"/>
      <c r="X673" s="3"/>
      <c r="Y673" s="3"/>
      <c r="Z673" s="3"/>
      <c r="AA673" s="3"/>
      <c r="AB673" s="3"/>
      <c r="AC673" s="3"/>
    </row>
    <row r="674">
      <c r="A674" s="3"/>
      <c r="B674" s="3"/>
      <c r="C674" s="3"/>
      <c r="D674" s="319"/>
      <c r="E674" s="3"/>
      <c r="F674" s="3"/>
      <c r="G674" s="3"/>
      <c r="H674" s="3"/>
      <c r="I674" s="3"/>
      <c r="J674" s="3"/>
      <c r="K674" s="3"/>
      <c r="L674" s="3"/>
      <c r="M674" s="3"/>
      <c r="N674" s="3"/>
      <c r="O674" s="3"/>
      <c r="P674" s="53"/>
      <c r="Q674" s="53"/>
      <c r="R674" s="618"/>
      <c r="S674" s="3"/>
      <c r="T674" s="3"/>
      <c r="U674" s="3"/>
      <c r="V674" s="3"/>
      <c r="W674" s="3"/>
      <c r="X674" s="3"/>
      <c r="Y674" s="3"/>
      <c r="Z674" s="3"/>
      <c r="AA674" s="3"/>
      <c r="AB674" s="3"/>
      <c r="AC674" s="3"/>
    </row>
    <row r="675">
      <c r="A675" s="3"/>
      <c r="B675" s="3"/>
      <c r="C675" s="3"/>
      <c r="D675" s="319"/>
      <c r="E675" s="3"/>
      <c r="F675" s="3"/>
      <c r="G675" s="3"/>
      <c r="H675" s="3"/>
      <c r="I675" s="3"/>
      <c r="J675" s="3"/>
      <c r="K675" s="3"/>
      <c r="L675" s="3"/>
      <c r="M675" s="3"/>
      <c r="N675" s="3"/>
      <c r="O675" s="3"/>
      <c r="P675" s="53"/>
      <c r="Q675" s="53"/>
      <c r="R675" s="618"/>
      <c r="S675" s="3"/>
      <c r="T675" s="3"/>
      <c r="U675" s="3"/>
      <c r="V675" s="3"/>
      <c r="W675" s="3"/>
      <c r="X675" s="3"/>
      <c r="Y675" s="3"/>
      <c r="Z675" s="3"/>
      <c r="AA675" s="3"/>
      <c r="AB675" s="3"/>
      <c r="AC675" s="3"/>
    </row>
    <row r="676">
      <c r="A676" s="3"/>
      <c r="B676" s="3"/>
      <c r="C676" s="3"/>
      <c r="D676" s="319"/>
      <c r="E676" s="3"/>
      <c r="F676" s="3"/>
      <c r="G676" s="3"/>
      <c r="H676" s="3"/>
      <c r="I676" s="3"/>
      <c r="J676" s="3"/>
      <c r="K676" s="3"/>
      <c r="L676" s="3"/>
      <c r="M676" s="3"/>
      <c r="N676" s="3"/>
      <c r="O676" s="3"/>
      <c r="P676" s="53"/>
      <c r="Q676" s="53"/>
      <c r="R676" s="618"/>
      <c r="S676" s="3"/>
      <c r="T676" s="3"/>
      <c r="U676" s="3"/>
      <c r="V676" s="3"/>
      <c r="W676" s="3"/>
      <c r="X676" s="3"/>
      <c r="Y676" s="3"/>
      <c r="Z676" s="3"/>
      <c r="AA676" s="3"/>
      <c r="AB676" s="3"/>
      <c r="AC676" s="3"/>
    </row>
    <row r="677">
      <c r="A677" s="3"/>
      <c r="B677" s="3"/>
      <c r="C677" s="3"/>
      <c r="D677" s="319"/>
      <c r="E677" s="3"/>
      <c r="F677" s="3"/>
      <c r="G677" s="3"/>
      <c r="H677" s="3"/>
      <c r="I677" s="3"/>
      <c r="J677" s="3"/>
      <c r="K677" s="3"/>
      <c r="L677" s="3"/>
      <c r="M677" s="3"/>
      <c r="N677" s="3"/>
      <c r="O677" s="3"/>
      <c r="P677" s="53"/>
      <c r="Q677" s="53"/>
      <c r="R677" s="618"/>
      <c r="S677" s="3"/>
      <c r="T677" s="3"/>
      <c r="U677" s="3"/>
      <c r="V677" s="3"/>
      <c r="W677" s="3"/>
      <c r="X677" s="3"/>
      <c r="Y677" s="3"/>
      <c r="Z677" s="3"/>
      <c r="AA677" s="3"/>
      <c r="AB677" s="3"/>
      <c r="AC677" s="3"/>
    </row>
    <row r="678">
      <c r="A678" s="3"/>
      <c r="B678" s="3"/>
      <c r="C678" s="3"/>
      <c r="D678" s="319"/>
      <c r="E678" s="3"/>
      <c r="F678" s="3"/>
      <c r="G678" s="3"/>
      <c r="H678" s="3"/>
      <c r="I678" s="3"/>
      <c r="J678" s="3"/>
      <c r="K678" s="3"/>
      <c r="L678" s="3"/>
      <c r="M678" s="3"/>
      <c r="N678" s="3"/>
      <c r="O678" s="3"/>
      <c r="P678" s="53"/>
      <c r="Q678" s="53"/>
      <c r="R678" s="618"/>
      <c r="S678" s="3"/>
      <c r="T678" s="3"/>
      <c r="U678" s="3"/>
      <c r="V678" s="3"/>
      <c r="W678" s="3"/>
      <c r="X678" s="3"/>
      <c r="Y678" s="3"/>
      <c r="Z678" s="3"/>
      <c r="AA678" s="3"/>
      <c r="AB678" s="3"/>
      <c r="AC678" s="3"/>
    </row>
    <row r="679">
      <c r="A679" s="3"/>
      <c r="B679" s="3"/>
      <c r="C679" s="3"/>
      <c r="D679" s="319"/>
      <c r="E679" s="3"/>
      <c r="F679" s="3"/>
      <c r="G679" s="3"/>
      <c r="H679" s="3"/>
      <c r="I679" s="3"/>
      <c r="J679" s="3"/>
      <c r="K679" s="3"/>
      <c r="L679" s="3"/>
      <c r="M679" s="3"/>
      <c r="N679" s="3"/>
      <c r="O679" s="3"/>
      <c r="P679" s="53"/>
      <c r="Q679" s="53"/>
      <c r="R679" s="618"/>
      <c r="S679" s="3"/>
      <c r="T679" s="3"/>
      <c r="U679" s="3"/>
      <c r="V679" s="3"/>
      <c r="W679" s="3"/>
      <c r="X679" s="3"/>
      <c r="Y679" s="3"/>
      <c r="Z679" s="3"/>
      <c r="AA679" s="3"/>
      <c r="AB679" s="3"/>
      <c r="AC679" s="3"/>
    </row>
    <row r="680">
      <c r="A680" s="3"/>
      <c r="B680" s="3"/>
      <c r="C680" s="3"/>
      <c r="D680" s="319"/>
      <c r="E680" s="3"/>
      <c r="F680" s="3"/>
      <c r="G680" s="3"/>
      <c r="H680" s="3"/>
      <c r="I680" s="3"/>
      <c r="J680" s="3"/>
      <c r="K680" s="3"/>
      <c r="L680" s="3"/>
      <c r="M680" s="3"/>
      <c r="N680" s="3"/>
      <c r="O680" s="3"/>
      <c r="P680" s="53"/>
      <c r="Q680" s="53"/>
      <c r="R680" s="618"/>
      <c r="S680" s="3"/>
      <c r="T680" s="3"/>
      <c r="U680" s="3"/>
      <c r="V680" s="3"/>
      <c r="W680" s="3"/>
      <c r="X680" s="3"/>
      <c r="Y680" s="3"/>
      <c r="Z680" s="3"/>
      <c r="AA680" s="3"/>
      <c r="AB680" s="3"/>
      <c r="AC680" s="3"/>
    </row>
    <row r="681">
      <c r="A681" s="3"/>
      <c r="B681" s="3"/>
      <c r="C681" s="3"/>
      <c r="D681" s="319"/>
      <c r="E681" s="3"/>
      <c r="F681" s="3"/>
      <c r="G681" s="3"/>
      <c r="H681" s="3"/>
      <c r="I681" s="3"/>
      <c r="J681" s="3"/>
      <c r="K681" s="3"/>
      <c r="L681" s="3"/>
      <c r="M681" s="3"/>
      <c r="N681" s="3"/>
      <c r="O681" s="3"/>
      <c r="P681" s="53"/>
      <c r="Q681" s="53"/>
      <c r="R681" s="618"/>
      <c r="S681" s="3"/>
      <c r="T681" s="3"/>
      <c r="U681" s="3"/>
      <c r="V681" s="3"/>
      <c r="W681" s="3"/>
      <c r="X681" s="3"/>
      <c r="Y681" s="3"/>
      <c r="Z681" s="3"/>
      <c r="AA681" s="3"/>
      <c r="AB681" s="3"/>
      <c r="AC681" s="3"/>
    </row>
    <row r="682">
      <c r="A682" s="3"/>
      <c r="B682" s="3"/>
      <c r="C682" s="3"/>
      <c r="D682" s="319"/>
      <c r="E682" s="3"/>
      <c r="F682" s="3"/>
      <c r="G682" s="3"/>
      <c r="H682" s="3"/>
      <c r="I682" s="3"/>
      <c r="J682" s="3"/>
      <c r="K682" s="3"/>
      <c r="L682" s="3"/>
      <c r="M682" s="3"/>
      <c r="N682" s="3"/>
      <c r="O682" s="3"/>
      <c r="P682" s="53"/>
      <c r="Q682" s="53"/>
      <c r="R682" s="618"/>
      <c r="S682" s="3"/>
      <c r="T682" s="3"/>
      <c r="U682" s="3"/>
      <c r="V682" s="3"/>
      <c r="W682" s="3"/>
      <c r="X682" s="3"/>
      <c r="Y682" s="3"/>
      <c r="Z682" s="3"/>
      <c r="AA682" s="3"/>
      <c r="AB682" s="3"/>
      <c r="AC682" s="3"/>
    </row>
    <row r="683">
      <c r="A683" s="3"/>
      <c r="B683" s="3"/>
      <c r="C683" s="3"/>
      <c r="D683" s="319"/>
      <c r="E683" s="3"/>
      <c r="F683" s="3"/>
      <c r="G683" s="3"/>
      <c r="H683" s="3"/>
      <c r="I683" s="3"/>
      <c r="J683" s="3"/>
      <c r="K683" s="3"/>
      <c r="L683" s="3"/>
      <c r="M683" s="3"/>
      <c r="N683" s="3"/>
      <c r="O683" s="3"/>
      <c r="P683" s="53"/>
      <c r="Q683" s="53"/>
      <c r="R683" s="618"/>
      <c r="S683" s="3"/>
      <c r="T683" s="3"/>
      <c r="U683" s="3"/>
      <c r="V683" s="3"/>
      <c r="W683" s="3"/>
      <c r="X683" s="3"/>
      <c r="Y683" s="3"/>
      <c r="Z683" s="3"/>
      <c r="AA683" s="3"/>
      <c r="AB683" s="3"/>
      <c r="AC683" s="3"/>
    </row>
    <row r="684">
      <c r="A684" s="3"/>
      <c r="B684" s="3"/>
      <c r="C684" s="3"/>
      <c r="D684" s="319"/>
      <c r="E684" s="3"/>
      <c r="F684" s="3"/>
      <c r="G684" s="3"/>
      <c r="H684" s="3"/>
      <c r="I684" s="3"/>
      <c r="J684" s="3"/>
      <c r="K684" s="3"/>
      <c r="L684" s="3"/>
      <c r="M684" s="3"/>
      <c r="N684" s="3"/>
      <c r="O684" s="3"/>
      <c r="P684" s="53"/>
      <c r="Q684" s="53"/>
      <c r="R684" s="618"/>
      <c r="S684" s="3"/>
      <c r="T684" s="3"/>
      <c r="U684" s="3"/>
      <c r="V684" s="3"/>
      <c r="W684" s="3"/>
      <c r="X684" s="3"/>
      <c r="Y684" s="3"/>
      <c r="Z684" s="3"/>
      <c r="AA684" s="3"/>
      <c r="AB684" s="3"/>
      <c r="AC684" s="3"/>
    </row>
    <row r="685">
      <c r="A685" s="3"/>
      <c r="B685" s="3"/>
      <c r="C685" s="3"/>
      <c r="D685" s="319"/>
      <c r="E685" s="3"/>
      <c r="F685" s="3"/>
      <c r="G685" s="3"/>
      <c r="H685" s="3"/>
      <c r="I685" s="3"/>
      <c r="J685" s="3"/>
      <c r="K685" s="3"/>
      <c r="L685" s="3"/>
      <c r="M685" s="3"/>
      <c r="N685" s="3"/>
      <c r="O685" s="3"/>
      <c r="P685" s="53"/>
      <c r="Q685" s="53"/>
      <c r="R685" s="618"/>
      <c r="S685" s="3"/>
      <c r="T685" s="3"/>
      <c r="U685" s="3"/>
      <c r="V685" s="3"/>
      <c r="W685" s="3"/>
      <c r="X685" s="3"/>
      <c r="Y685" s="3"/>
      <c r="Z685" s="3"/>
      <c r="AA685" s="3"/>
      <c r="AB685" s="3"/>
      <c r="AC685" s="3"/>
    </row>
    <row r="686">
      <c r="A686" s="3"/>
      <c r="B686" s="3"/>
      <c r="C686" s="3"/>
      <c r="D686" s="319"/>
      <c r="E686" s="3"/>
      <c r="F686" s="3"/>
      <c r="G686" s="3"/>
      <c r="H686" s="3"/>
      <c r="I686" s="3"/>
      <c r="J686" s="3"/>
      <c r="K686" s="3"/>
      <c r="L686" s="3"/>
      <c r="M686" s="3"/>
      <c r="N686" s="3"/>
      <c r="O686" s="3"/>
      <c r="P686" s="53"/>
      <c r="Q686" s="53"/>
      <c r="R686" s="618"/>
      <c r="S686" s="3"/>
      <c r="T686" s="3"/>
      <c r="U686" s="3"/>
      <c r="V686" s="3"/>
      <c r="W686" s="3"/>
      <c r="X686" s="3"/>
      <c r="Y686" s="3"/>
      <c r="Z686" s="3"/>
      <c r="AA686" s="3"/>
      <c r="AB686" s="3"/>
      <c r="AC686" s="3"/>
    </row>
    <row r="687">
      <c r="A687" s="3"/>
      <c r="B687" s="3"/>
      <c r="C687" s="3"/>
      <c r="D687" s="319"/>
      <c r="E687" s="3"/>
      <c r="F687" s="3"/>
      <c r="G687" s="3"/>
      <c r="H687" s="3"/>
      <c r="I687" s="3"/>
      <c r="J687" s="3"/>
      <c r="K687" s="3"/>
      <c r="L687" s="3"/>
      <c r="M687" s="3"/>
      <c r="N687" s="3"/>
      <c r="O687" s="3"/>
      <c r="P687" s="53"/>
      <c r="Q687" s="53"/>
      <c r="R687" s="618"/>
      <c r="S687" s="3"/>
      <c r="T687" s="3"/>
      <c r="U687" s="3"/>
      <c r="V687" s="3"/>
      <c r="W687" s="3"/>
      <c r="X687" s="3"/>
      <c r="Y687" s="3"/>
      <c r="Z687" s="3"/>
      <c r="AA687" s="3"/>
      <c r="AB687" s="3"/>
      <c r="AC687" s="3"/>
    </row>
    <row r="688">
      <c r="A688" s="3"/>
      <c r="B688" s="3"/>
      <c r="C688" s="3"/>
      <c r="D688" s="319"/>
      <c r="E688" s="3"/>
      <c r="F688" s="3"/>
      <c r="G688" s="3"/>
      <c r="H688" s="3"/>
      <c r="I688" s="3"/>
      <c r="J688" s="3"/>
      <c r="K688" s="3"/>
      <c r="L688" s="3"/>
      <c r="M688" s="3"/>
      <c r="N688" s="3"/>
      <c r="O688" s="3"/>
      <c r="P688" s="53"/>
      <c r="Q688" s="53"/>
      <c r="R688" s="618"/>
      <c r="S688" s="3"/>
      <c r="T688" s="3"/>
      <c r="U688" s="3"/>
      <c r="V688" s="3"/>
      <c r="W688" s="3"/>
      <c r="X688" s="3"/>
      <c r="Y688" s="3"/>
      <c r="Z688" s="3"/>
      <c r="AA688" s="3"/>
      <c r="AB688" s="3"/>
      <c r="AC688" s="3"/>
    </row>
    <row r="689">
      <c r="A689" s="3"/>
      <c r="B689" s="3"/>
      <c r="C689" s="3"/>
      <c r="D689" s="319"/>
      <c r="E689" s="3"/>
      <c r="F689" s="3"/>
      <c r="G689" s="3"/>
      <c r="H689" s="3"/>
      <c r="I689" s="3"/>
      <c r="J689" s="3"/>
      <c r="K689" s="3"/>
      <c r="L689" s="3"/>
      <c r="M689" s="3"/>
      <c r="N689" s="3"/>
      <c r="O689" s="3"/>
      <c r="P689" s="53"/>
      <c r="Q689" s="53"/>
      <c r="R689" s="618"/>
      <c r="S689" s="3"/>
      <c r="T689" s="3"/>
      <c r="U689" s="3"/>
      <c r="V689" s="3"/>
      <c r="W689" s="3"/>
      <c r="X689" s="3"/>
      <c r="Y689" s="3"/>
      <c r="Z689" s="3"/>
      <c r="AA689" s="3"/>
      <c r="AB689" s="3"/>
      <c r="AC689" s="3"/>
    </row>
    <row r="690">
      <c r="A690" s="3"/>
      <c r="B690" s="3"/>
      <c r="C690" s="3"/>
      <c r="D690" s="319"/>
      <c r="E690" s="3"/>
      <c r="F690" s="3"/>
      <c r="G690" s="3"/>
      <c r="H690" s="3"/>
      <c r="I690" s="3"/>
      <c r="J690" s="3"/>
      <c r="K690" s="3"/>
      <c r="L690" s="3"/>
      <c r="M690" s="3"/>
      <c r="N690" s="3"/>
      <c r="O690" s="3"/>
      <c r="P690" s="53"/>
      <c r="Q690" s="53"/>
      <c r="R690" s="618"/>
      <c r="S690" s="3"/>
      <c r="T690" s="3"/>
      <c r="U690" s="3"/>
      <c r="V690" s="3"/>
      <c r="W690" s="3"/>
      <c r="X690" s="3"/>
      <c r="Y690" s="3"/>
      <c r="Z690" s="3"/>
      <c r="AA690" s="3"/>
      <c r="AB690" s="3"/>
      <c r="AC690" s="3"/>
    </row>
    <row r="691">
      <c r="A691" s="3"/>
      <c r="B691" s="3"/>
      <c r="C691" s="3"/>
      <c r="D691" s="319"/>
      <c r="E691" s="3"/>
      <c r="F691" s="3"/>
      <c r="G691" s="3"/>
      <c r="H691" s="3"/>
      <c r="I691" s="3"/>
      <c r="J691" s="3"/>
      <c r="K691" s="3"/>
      <c r="L691" s="3"/>
      <c r="M691" s="3"/>
      <c r="N691" s="3"/>
      <c r="O691" s="3"/>
      <c r="P691" s="53"/>
      <c r="Q691" s="53"/>
      <c r="R691" s="618"/>
      <c r="S691" s="3"/>
      <c r="T691" s="3"/>
      <c r="U691" s="3"/>
      <c r="V691" s="3"/>
      <c r="W691" s="3"/>
      <c r="X691" s="3"/>
      <c r="Y691" s="3"/>
      <c r="Z691" s="3"/>
      <c r="AA691" s="3"/>
      <c r="AB691" s="3"/>
      <c r="AC691" s="3"/>
    </row>
    <row r="692">
      <c r="A692" s="3"/>
      <c r="B692" s="3"/>
      <c r="C692" s="3"/>
      <c r="D692" s="319"/>
      <c r="E692" s="3"/>
      <c r="F692" s="3"/>
      <c r="G692" s="3"/>
      <c r="H692" s="3"/>
      <c r="I692" s="3"/>
      <c r="J692" s="3"/>
      <c r="K692" s="3"/>
      <c r="L692" s="3"/>
      <c r="M692" s="3"/>
      <c r="N692" s="3"/>
      <c r="O692" s="3"/>
      <c r="P692" s="53"/>
      <c r="Q692" s="53"/>
      <c r="R692" s="618"/>
      <c r="S692" s="3"/>
      <c r="T692" s="3"/>
      <c r="U692" s="3"/>
      <c r="V692" s="3"/>
      <c r="W692" s="3"/>
      <c r="X692" s="3"/>
      <c r="Y692" s="3"/>
      <c r="Z692" s="3"/>
      <c r="AA692" s="3"/>
      <c r="AB692" s="3"/>
      <c r="AC692" s="3"/>
    </row>
    <row r="693">
      <c r="A693" s="3"/>
      <c r="B693" s="3"/>
      <c r="C693" s="3"/>
      <c r="D693" s="319"/>
      <c r="E693" s="3"/>
      <c r="F693" s="3"/>
      <c r="G693" s="3"/>
      <c r="H693" s="3"/>
      <c r="I693" s="3"/>
      <c r="J693" s="3"/>
      <c r="K693" s="3"/>
      <c r="L693" s="3"/>
      <c r="M693" s="3"/>
      <c r="N693" s="3"/>
      <c r="O693" s="3"/>
      <c r="P693" s="53"/>
      <c r="Q693" s="53"/>
      <c r="R693" s="618"/>
      <c r="S693" s="3"/>
      <c r="T693" s="3"/>
      <c r="U693" s="3"/>
      <c r="V693" s="3"/>
      <c r="W693" s="3"/>
      <c r="X693" s="3"/>
      <c r="Y693" s="3"/>
      <c r="Z693" s="3"/>
      <c r="AA693" s="3"/>
      <c r="AB693" s="3"/>
      <c r="AC693" s="3"/>
    </row>
    <row r="694">
      <c r="A694" s="3"/>
      <c r="B694" s="3"/>
      <c r="C694" s="3"/>
      <c r="D694" s="319"/>
      <c r="E694" s="3"/>
      <c r="F694" s="3"/>
      <c r="G694" s="3"/>
      <c r="H694" s="3"/>
      <c r="I694" s="3"/>
      <c r="J694" s="3"/>
      <c r="K694" s="3"/>
      <c r="L694" s="3"/>
      <c r="M694" s="3"/>
      <c r="N694" s="3"/>
      <c r="O694" s="3"/>
      <c r="P694" s="53"/>
      <c r="Q694" s="53"/>
      <c r="R694" s="618"/>
      <c r="S694" s="3"/>
      <c r="T694" s="3"/>
      <c r="U694" s="3"/>
      <c r="V694" s="3"/>
      <c r="W694" s="3"/>
      <c r="X694" s="3"/>
      <c r="Y694" s="3"/>
      <c r="Z694" s="3"/>
      <c r="AA694" s="3"/>
      <c r="AB694" s="3"/>
      <c r="AC694" s="3"/>
    </row>
    <row r="695">
      <c r="A695" s="3"/>
      <c r="B695" s="3"/>
      <c r="C695" s="3"/>
      <c r="D695" s="319"/>
      <c r="E695" s="3"/>
      <c r="F695" s="3"/>
      <c r="G695" s="3"/>
      <c r="H695" s="3"/>
      <c r="I695" s="3"/>
      <c r="J695" s="3"/>
      <c r="K695" s="3"/>
      <c r="L695" s="3"/>
      <c r="M695" s="3"/>
      <c r="N695" s="3"/>
      <c r="O695" s="3"/>
      <c r="P695" s="53"/>
      <c r="Q695" s="53"/>
      <c r="R695" s="618"/>
      <c r="S695" s="3"/>
      <c r="T695" s="3"/>
      <c r="U695" s="3"/>
      <c r="V695" s="3"/>
      <c r="W695" s="3"/>
      <c r="X695" s="3"/>
      <c r="Y695" s="3"/>
      <c r="Z695" s="3"/>
      <c r="AA695" s="3"/>
      <c r="AB695" s="3"/>
      <c r="AC695" s="3"/>
    </row>
    <row r="696">
      <c r="A696" s="3"/>
      <c r="B696" s="3"/>
      <c r="C696" s="3"/>
      <c r="D696" s="319"/>
      <c r="E696" s="3"/>
      <c r="F696" s="3"/>
      <c r="G696" s="3"/>
      <c r="H696" s="3"/>
      <c r="I696" s="3"/>
      <c r="J696" s="3"/>
      <c r="K696" s="3"/>
      <c r="L696" s="3"/>
      <c r="M696" s="3"/>
      <c r="N696" s="3"/>
      <c r="O696" s="3"/>
      <c r="P696" s="53"/>
      <c r="Q696" s="53"/>
      <c r="R696" s="618"/>
      <c r="S696" s="3"/>
      <c r="T696" s="3"/>
      <c r="U696" s="3"/>
      <c r="V696" s="3"/>
      <c r="W696" s="3"/>
      <c r="X696" s="3"/>
      <c r="Y696" s="3"/>
      <c r="Z696" s="3"/>
      <c r="AA696" s="3"/>
      <c r="AB696" s="3"/>
      <c r="AC696" s="3"/>
    </row>
    <row r="697">
      <c r="A697" s="3"/>
      <c r="B697" s="3"/>
      <c r="C697" s="3"/>
      <c r="D697" s="319"/>
      <c r="E697" s="3"/>
      <c r="F697" s="3"/>
      <c r="G697" s="3"/>
      <c r="H697" s="3"/>
      <c r="I697" s="3"/>
      <c r="J697" s="3"/>
      <c r="K697" s="3"/>
      <c r="L697" s="3"/>
      <c r="M697" s="3"/>
      <c r="N697" s="3"/>
      <c r="O697" s="3"/>
      <c r="P697" s="53"/>
      <c r="Q697" s="53"/>
      <c r="R697" s="618"/>
      <c r="S697" s="3"/>
      <c r="T697" s="3"/>
      <c r="U697" s="3"/>
      <c r="V697" s="3"/>
      <c r="W697" s="3"/>
      <c r="X697" s="3"/>
      <c r="Y697" s="3"/>
      <c r="Z697" s="3"/>
      <c r="AA697" s="3"/>
      <c r="AB697" s="3"/>
      <c r="AC697" s="3"/>
    </row>
    <row r="698">
      <c r="A698" s="3"/>
      <c r="B698" s="3"/>
      <c r="C698" s="3"/>
      <c r="D698" s="319"/>
      <c r="E698" s="3"/>
      <c r="F698" s="3"/>
      <c r="G698" s="3"/>
      <c r="H698" s="3"/>
      <c r="I698" s="3"/>
      <c r="J698" s="3"/>
      <c r="K698" s="3"/>
      <c r="L698" s="3"/>
      <c r="M698" s="3"/>
      <c r="N698" s="3"/>
      <c r="O698" s="3"/>
      <c r="P698" s="53"/>
      <c r="Q698" s="53"/>
      <c r="R698" s="618"/>
      <c r="S698" s="3"/>
      <c r="T698" s="3"/>
      <c r="U698" s="3"/>
      <c r="V698" s="3"/>
      <c r="W698" s="3"/>
      <c r="X698" s="3"/>
      <c r="Y698" s="3"/>
      <c r="Z698" s="3"/>
      <c r="AA698" s="3"/>
      <c r="AB698" s="3"/>
      <c r="AC698" s="3"/>
    </row>
    <row r="699">
      <c r="A699" s="3"/>
      <c r="B699" s="3"/>
      <c r="C699" s="3"/>
      <c r="D699" s="319"/>
      <c r="E699" s="3"/>
      <c r="F699" s="3"/>
      <c r="G699" s="3"/>
      <c r="H699" s="3"/>
      <c r="I699" s="3"/>
      <c r="J699" s="3"/>
      <c r="K699" s="3"/>
      <c r="L699" s="3"/>
      <c r="M699" s="3"/>
      <c r="N699" s="3"/>
      <c r="O699" s="3"/>
      <c r="P699" s="53"/>
      <c r="Q699" s="53"/>
      <c r="R699" s="618"/>
      <c r="S699" s="3"/>
      <c r="T699" s="3"/>
      <c r="U699" s="3"/>
      <c r="V699" s="3"/>
      <c r="W699" s="3"/>
      <c r="X699" s="3"/>
      <c r="Y699" s="3"/>
      <c r="Z699" s="3"/>
      <c r="AA699" s="3"/>
      <c r="AB699" s="3"/>
      <c r="AC699" s="3"/>
    </row>
    <row r="700">
      <c r="A700" s="3"/>
      <c r="B700" s="3"/>
      <c r="C700" s="3"/>
      <c r="D700" s="319"/>
      <c r="E700" s="3"/>
      <c r="F700" s="3"/>
      <c r="G700" s="3"/>
      <c r="H700" s="3"/>
      <c r="I700" s="3"/>
      <c r="J700" s="3"/>
      <c r="K700" s="3"/>
      <c r="L700" s="3"/>
      <c r="M700" s="3"/>
      <c r="N700" s="3"/>
      <c r="O700" s="3"/>
      <c r="P700" s="53"/>
      <c r="Q700" s="53"/>
      <c r="R700" s="618"/>
      <c r="S700" s="3"/>
      <c r="T700" s="3"/>
      <c r="U700" s="3"/>
      <c r="V700" s="3"/>
      <c r="W700" s="3"/>
      <c r="X700" s="3"/>
      <c r="Y700" s="3"/>
      <c r="Z700" s="3"/>
      <c r="AA700" s="3"/>
      <c r="AB700" s="3"/>
      <c r="AC700" s="3"/>
    </row>
    <row r="701">
      <c r="A701" s="3"/>
      <c r="B701" s="3"/>
      <c r="C701" s="3"/>
      <c r="D701" s="319"/>
      <c r="E701" s="3"/>
      <c r="F701" s="3"/>
      <c r="G701" s="3"/>
      <c r="H701" s="3"/>
      <c r="I701" s="3"/>
      <c r="J701" s="3"/>
      <c r="K701" s="3"/>
      <c r="L701" s="3"/>
      <c r="M701" s="3"/>
      <c r="N701" s="3"/>
      <c r="O701" s="3"/>
      <c r="P701" s="53"/>
      <c r="Q701" s="53"/>
      <c r="R701" s="618"/>
      <c r="S701" s="3"/>
      <c r="T701" s="3"/>
      <c r="U701" s="3"/>
      <c r="V701" s="3"/>
      <c r="W701" s="3"/>
      <c r="X701" s="3"/>
      <c r="Y701" s="3"/>
      <c r="Z701" s="3"/>
      <c r="AA701" s="3"/>
      <c r="AB701" s="3"/>
      <c r="AC701" s="3"/>
    </row>
    <row r="702">
      <c r="A702" s="3"/>
      <c r="B702" s="3"/>
      <c r="C702" s="3"/>
      <c r="D702" s="319"/>
      <c r="E702" s="3"/>
      <c r="F702" s="3"/>
      <c r="G702" s="3"/>
      <c r="H702" s="3"/>
      <c r="I702" s="3"/>
      <c r="J702" s="3"/>
      <c r="K702" s="3"/>
      <c r="L702" s="3"/>
      <c r="M702" s="3"/>
      <c r="N702" s="3"/>
      <c r="O702" s="3"/>
      <c r="P702" s="53"/>
      <c r="Q702" s="53"/>
      <c r="R702" s="618"/>
      <c r="S702" s="3"/>
      <c r="T702" s="3"/>
      <c r="U702" s="3"/>
      <c r="V702" s="3"/>
      <c r="W702" s="3"/>
      <c r="X702" s="3"/>
      <c r="Y702" s="3"/>
      <c r="Z702" s="3"/>
      <c r="AA702" s="3"/>
      <c r="AB702" s="3"/>
      <c r="AC702" s="3"/>
    </row>
    <row r="703">
      <c r="A703" s="3"/>
      <c r="B703" s="3"/>
      <c r="C703" s="3"/>
      <c r="D703" s="319"/>
      <c r="E703" s="3"/>
      <c r="F703" s="3"/>
      <c r="G703" s="3"/>
      <c r="H703" s="3"/>
      <c r="I703" s="3"/>
      <c r="J703" s="3"/>
      <c r="K703" s="3"/>
      <c r="L703" s="3"/>
      <c r="M703" s="3"/>
      <c r="N703" s="3"/>
      <c r="O703" s="3"/>
      <c r="P703" s="53"/>
      <c r="Q703" s="53"/>
      <c r="R703" s="618"/>
      <c r="S703" s="3"/>
      <c r="T703" s="3"/>
      <c r="U703" s="3"/>
      <c r="V703" s="3"/>
      <c r="W703" s="3"/>
      <c r="X703" s="3"/>
      <c r="Y703" s="3"/>
      <c r="Z703" s="3"/>
      <c r="AA703" s="3"/>
      <c r="AB703" s="3"/>
      <c r="AC703" s="3"/>
    </row>
    <row r="704">
      <c r="A704" s="3"/>
      <c r="B704" s="3"/>
      <c r="C704" s="3"/>
      <c r="D704" s="319"/>
      <c r="E704" s="3"/>
      <c r="F704" s="3"/>
      <c r="G704" s="3"/>
      <c r="H704" s="3"/>
      <c r="I704" s="3"/>
      <c r="J704" s="3"/>
      <c r="K704" s="3"/>
      <c r="L704" s="3"/>
      <c r="M704" s="3"/>
      <c r="N704" s="3"/>
      <c r="O704" s="3"/>
      <c r="P704" s="53"/>
      <c r="Q704" s="53"/>
      <c r="R704" s="618"/>
      <c r="S704" s="3"/>
      <c r="T704" s="3"/>
      <c r="U704" s="3"/>
      <c r="V704" s="3"/>
      <c r="W704" s="3"/>
      <c r="X704" s="3"/>
      <c r="Y704" s="3"/>
      <c r="Z704" s="3"/>
      <c r="AA704" s="3"/>
      <c r="AB704" s="3"/>
      <c r="AC704" s="3"/>
    </row>
    <row r="705">
      <c r="A705" s="3"/>
      <c r="B705" s="3"/>
      <c r="C705" s="3"/>
      <c r="D705" s="319"/>
      <c r="E705" s="3"/>
      <c r="F705" s="3"/>
      <c r="G705" s="3"/>
      <c r="H705" s="3"/>
      <c r="I705" s="3"/>
      <c r="J705" s="3"/>
      <c r="K705" s="3"/>
      <c r="L705" s="3"/>
      <c r="M705" s="3"/>
      <c r="N705" s="3"/>
      <c r="O705" s="3"/>
      <c r="P705" s="53"/>
      <c r="Q705" s="53"/>
      <c r="R705" s="618"/>
      <c r="S705" s="3"/>
      <c r="T705" s="3"/>
      <c r="U705" s="3"/>
      <c r="V705" s="3"/>
      <c r="W705" s="3"/>
      <c r="X705" s="3"/>
      <c r="Y705" s="3"/>
      <c r="Z705" s="3"/>
      <c r="AA705" s="3"/>
      <c r="AB705" s="3"/>
      <c r="AC705" s="3"/>
    </row>
    <row r="706">
      <c r="A706" s="3"/>
      <c r="B706" s="3"/>
      <c r="C706" s="3"/>
      <c r="D706" s="319"/>
      <c r="E706" s="3"/>
      <c r="F706" s="3"/>
      <c r="G706" s="3"/>
      <c r="H706" s="3"/>
      <c r="I706" s="3"/>
      <c r="J706" s="3"/>
      <c r="K706" s="3"/>
      <c r="L706" s="3"/>
      <c r="M706" s="3"/>
      <c r="N706" s="3"/>
      <c r="O706" s="3"/>
      <c r="P706" s="53"/>
      <c r="Q706" s="53"/>
      <c r="R706" s="618"/>
      <c r="S706" s="3"/>
      <c r="T706" s="3"/>
      <c r="U706" s="3"/>
      <c r="V706" s="3"/>
      <c r="W706" s="3"/>
      <c r="X706" s="3"/>
      <c r="Y706" s="3"/>
      <c r="Z706" s="3"/>
      <c r="AA706" s="3"/>
      <c r="AB706" s="3"/>
      <c r="AC706" s="3"/>
    </row>
    <row r="707">
      <c r="A707" s="3"/>
      <c r="B707" s="3"/>
      <c r="C707" s="3"/>
      <c r="D707" s="319"/>
      <c r="E707" s="3"/>
      <c r="F707" s="3"/>
      <c r="G707" s="3"/>
      <c r="H707" s="3"/>
      <c r="I707" s="3"/>
      <c r="J707" s="3"/>
      <c r="K707" s="3"/>
      <c r="L707" s="3"/>
      <c r="M707" s="3"/>
      <c r="N707" s="3"/>
      <c r="O707" s="3"/>
      <c r="P707" s="53"/>
      <c r="Q707" s="53"/>
      <c r="R707" s="618"/>
      <c r="S707" s="3"/>
      <c r="T707" s="3"/>
      <c r="U707" s="3"/>
      <c r="V707" s="3"/>
      <c r="W707" s="3"/>
      <c r="X707" s="3"/>
      <c r="Y707" s="3"/>
      <c r="Z707" s="3"/>
      <c r="AA707" s="3"/>
      <c r="AB707" s="3"/>
      <c r="AC707" s="3"/>
    </row>
    <row r="708">
      <c r="A708" s="3"/>
      <c r="B708" s="3"/>
      <c r="C708" s="3"/>
      <c r="D708" s="319"/>
      <c r="E708" s="3"/>
      <c r="F708" s="3"/>
      <c r="G708" s="3"/>
      <c r="H708" s="3"/>
      <c r="I708" s="3"/>
      <c r="J708" s="3"/>
      <c r="K708" s="3"/>
      <c r="L708" s="3"/>
      <c r="M708" s="3"/>
      <c r="N708" s="3"/>
      <c r="O708" s="3"/>
      <c r="P708" s="53"/>
      <c r="Q708" s="53"/>
      <c r="R708" s="618"/>
      <c r="S708" s="3"/>
      <c r="T708" s="3"/>
      <c r="U708" s="3"/>
      <c r="V708" s="3"/>
      <c r="W708" s="3"/>
      <c r="X708" s="3"/>
      <c r="Y708" s="3"/>
      <c r="Z708" s="3"/>
      <c r="AA708" s="3"/>
      <c r="AB708" s="3"/>
      <c r="AC708" s="3"/>
    </row>
    <row r="709">
      <c r="A709" s="3"/>
      <c r="B709" s="3"/>
      <c r="C709" s="3"/>
      <c r="D709" s="319"/>
      <c r="E709" s="3"/>
      <c r="F709" s="3"/>
      <c r="G709" s="3"/>
      <c r="H709" s="3"/>
      <c r="I709" s="3"/>
      <c r="J709" s="3"/>
      <c r="K709" s="3"/>
      <c r="L709" s="3"/>
      <c r="M709" s="3"/>
      <c r="N709" s="3"/>
      <c r="O709" s="3"/>
      <c r="P709" s="53"/>
      <c r="Q709" s="53"/>
      <c r="R709" s="618"/>
      <c r="S709" s="3"/>
      <c r="T709" s="3"/>
      <c r="U709" s="3"/>
      <c r="V709" s="3"/>
      <c r="W709" s="3"/>
      <c r="X709" s="3"/>
      <c r="Y709" s="3"/>
      <c r="Z709" s="3"/>
      <c r="AA709" s="3"/>
      <c r="AB709" s="3"/>
      <c r="AC709" s="3"/>
    </row>
    <row r="710">
      <c r="A710" s="3"/>
      <c r="B710" s="3"/>
      <c r="C710" s="3"/>
      <c r="D710" s="319"/>
      <c r="E710" s="3"/>
      <c r="F710" s="3"/>
      <c r="G710" s="3"/>
      <c r="H710" s="3"/>
      <c r="I710" s="3"/>
      <c r="J710" s="3"/>
      <c r="K710" s="3"/>
      <c r="L710" s="3"/>
      <c r="M710" s="3"/>
      <c r="N710" s="3"/>
      <c r="O710" s="3"/>
      <c r="P710" s="53"/>
      <c r="Q710" s="53"/>
      <c r="R710" s="618"/>
      <c r="S710" s="3"/>
      <c r="T710" s="3"/>
      <c r="U710" s="3"/>
      <c r="V710" s="3"/>
      <c r="W710" s="3"/>
      <c r="X710" s="3"/>
      <c r="Y710" s="3"/>
      <c r="Z710" s="3"/>
      <c r="AA710" s="3"/>
      <c r="AB710" s="3"/>
      <c r="AC710" s="3"/>
    </row>
    <row r="711">
      <c r="A711" s="3"/>
      <c r="B711" s="3"/>
      <c r="C711" s="3"/>
      <c r="D711" s="319"/>
      <c r="E711" s="3"/>
      <c r="F711" s="3"/>
      <c r="G711" s="3"/>
      <c r="H711" s="3"/>
      <c r="I711" s="3"/>
      <c r="J711" s="3"/>
      <c r="K711" s="3"/>
      <c r="L711" s="3"/>
      <c r="M711" s="3"/>
      <c r="N711" s="3"/>
      <c r="O711" s="3"/>
      <c r="P711" s="53"/>
      <c r="Q711" s="53"/>
      <c r="R711" s="618"/>
      <c r="S711" s="3"/>
      <c r="T711" s="3"/>
      <c r="U711" s="3"/>
      <c r="V711" s="3"/>
      <c r="W711" s="3"/>
      <c r="X711" s="3"/>
      <c r="Y711" s="3"/>
      <c r="Z711" s="3"/>
      <c r="AA711" s="3"/>
      <c r="AB711" s="3"/>
      <c r="AC711" s="3"/>
    </row>
    <row r="712">
      <c r="A712" s="3"/>
      <c r="B712" s="3"/>
      <c r="C712" s="3"/>
      <c r="D712" s="319"/>
      <c r="E712" s="3"/>
      <c r="F712" s="3"/>
      <c r="G712" s="3"/>
      <c r="H712" s="3"/>
      <c r="I712" s="3"/>
      <c r="J712" s="3"/>
      <c r="K712" s="3"/>
      <c r="L712" s="3"/>
      <c r="M712" s="3"/>
      <c r="N712" s="3"/>
      <c r="O712" s="3"/>
      <c r="P712" s="53"/>
      <c r="Q712" s="53"/>
      <c r="R712" s="618"/>
      <c r="S712" s="3"/>
      <c r="T712" s="3"/>
      <c r="U712" s="3"/>
      <c r="V712" s="3"/>
      <c r="W712" s="3"/>
      <c r="X712" s="3"/>
      <c r="Y712" s="3"/>
      <c r="Z712" s="3"/>
      <c r="AA712" s="3"/>
      <c r="AB712" s="3"/>
      <c r="AC712" s="3"/>
    </row>
    <row r="713">
      <c r="A713" s="3"/>
      <c r="B713" s="3"/>
      <c r="C713" s="3"/>
      <c r="D713" s="319"/>
      <c r="E713" s="3"/>
      <c r="F713" s="3"/>
      <c r="G713" s="3"/>
      <c r="H713" s="3"/>
      <c r="I713" s="3"/>
      <c r="J713" s="3"/>
      <c r="K713" s="3"/>
      <c r="L713" s="3"/>
      <c r="M713" s="3"/>
      <c r="N713" s="3"/>
      <c r="O713" s="3"/>
      <c r="P713" s="53"/>
      <c r="Q713" s="53"/>
      <c r="R713" s="618"/>
      <c r="S713" s="3"/>
      <c r="T713" s="3"/>
      <c r="U713" s="3"/>
      <c r="V713" s="3"/>
      <c r="W713" s="3"/>
      <c r="X713" s="3"/>
      <c r="Y713" s="3"/>
      <c r="Z713" s="3"/>
      <c r="AA713" s="3"/>
      <c r="AB713" s="3"/>
      <c r="AC713" s="3"/>
    </row>
    <row r="714">
      <c r="A714" s="3"/>
      <c r="B714" s="3"/>
      <c r="C714" s="3"/>
      <c r="D714" s="319"/>
      <c r="E714" s="3"/>
      <c r="F714" s="3"/>
      <c r="G714" s="3"/>
      <c r="H714" s="3"/>
      <c r="I714" s="3"/>
      <c r="J714" s="3"/>
      <c r="K714" s="3"/>
      <c r="L714" s="3"/>
      <c r="M714" s="3"/>
      <c r="N714" s="3"/>
      <c r="O714" s="3"/>
      <c r="P714" s="53"/>
      <c r="Q714" s="53"/>
      <c r="R714" s="618"/>
      <c r="S714" s="3"/>
      <c r="T714" s="3"/>
      <c r="U714" s="3"/>
      <c r="V714" s="3"/>
      <c r="W714" s="3"/>
      <c r="X714" s="3"/>
      <c r="Y714" s="3"/>
      <c r="Z714" s="3"/>
      <c r="AA714" s="3"/>
      <c r="AB714" s="3"/>
      <c r="AC714" s="3"/>
    </row>
    <row r="715">
      <c r="A715" s="3"/>
      <c r="B715" s="3"/>
      <c r="C715" s="3"/>
      <c r="D715" s="319"/>
      <c r="E715" s="3"/>
      <c r="F715" s="3"/>
      <c r="G715" s="3"/>
      <c r="H715" s="3"/>
      <c r="I715" s="3"/>
      <c r="J715" s="3"/>
      <c r="K715" s="3"/>
      <c r="L715" s="3"/>
      <c r="M715" s="3"/>
      <c r="N715" s="3"/>
      <c r="O715" s="3"/>
      <c r="P715" s="53"/>
      <c r="Q715" s="53"/>
      <c r="R715" s="618"/>
      <c r="S715" s="3"/>
      <c r="T715" s="3"/>
      <c r="U715" s="3"/>
      <c r="V715" s="3"/>
      <c r="W715" s="3"/>
      <c r="X715" s="3"/>
      <c r="Y715" s="3"/>
      <c r="Z715" s="3"/>
      <c r="AA715" s="3"/>
      <c r="AB715" s="3"/>
      <c r="AC715" s="3"/>
    </row>
    <row r="716">
      <c r="A716" s="3"/>
      <c r="B716" s="3"/>
      <c r="C716" s="3"/>
      <c r="D716" s="319"/>
      <c r="E716" s="3"/>
      <c r="F716" s="3"/>
      <c r="G716" s="3"/>
      <c r="H716" s="3"/>
      <c r="I716" s="3"/>
      <c r="J716" s="3"/>
      <c r="K716" s="3"/>
      <c r="L716" s="3"/>
      <c r="M716" s="3"/>
      <c r="N716" s="3"/>
      <c r="O716" s="3"/>
      <c r="P716" s="53"/>
      <c r="Q716" s="53"/>
      <c r="R716" s="618"/>
      <c r="S716" s="3"/>
      <c r="T716" s="3"/>
      <c r="U716" s="3"/>
      <c r="V716" s="3"/>
      <c r="W716" s="3"/>
      <c r="X716" s="3"/>
      <c r="Y716" s="3"/>
      <c r="Z716" s="3"/>
      <c r="AA716" s="3"/>
      <c r="AB716" s="3"/>
      <c r="AC716" s="3"/>
    </row>
    <row r="717">
      <c r="A717" s="3"/>
      <c r="B717" s="3"/>
      <c r="C717" s="3"/>
      <c r="D717" s="319"/>
      <c r="E717" s="3"/>
      <c r="F717" s="3"/>
      <c r="G717" s="3"/>
      <c r="H717" s="3"/>
      <c r="I717" s="3"/>
      <c r="J717" s="3"/>
      <c r="K717" s="3"/>
      <c r="L717" s="3"/>
      <c r="M717" s="3"/>
      <c r="N717" s="3"/>
      <c r="O717" s="3"/>
      <c r="P717" s="53"/>
      <c r="Q717" s="53"/>
      <c r="R717" s="618"/>
      <c r="S717" s="3"/>
      <c r="T717" s="3"/>
      <c r="U717" s="3"/>
      <c r="V717" s="3"/>
      <c r="W717" s="3"/>
      <c r="X717" s="3"/>
      <c r="Y717" s="3"/>
      <c r="Z717" s="3"/>
      <c r="AA717" s="3"/>
      <c r="AB717" s="3"/>
      <c r="AC717" s="3"/>
    </row>
    <row r="718">
      <c r="A718" s="3"/>
      <c r="B718" s="3"/>
      <c r="C718" s="3"/>
      <c r="D718" s="319"/>
      <c r="E718" s="3"/>
      <c r="F718" s="3"/>
      <c r="G718" s="3"/>
      <c r="H718" s="3"/>
      <c r="I718" s="3"/>
      <c r="J718" s="3"/>
      <c r="K718" s="3"/>
      <c r="L718" s="3"/>
      <c r="M718" s="3"/>
      <c r="N718" s="3"/>
      <c r="O718" s="3"/>
      <c r="P718" s="53"/>
      <c r="Q718" s="53"/>
      <c r="R718" s="618"/>
      <c r="S718" s="3"/>
      <c r="T718" s="3"/>
      <c r="U718" s="3"/>
      <c r="V718" s="3"/>
      <c r="W718" s="3"/>
      <c r="X718" s="3"/>
      <c r="Y718" s="3"/>
      <c r="Z718" s="3"/>
      <c r="AA718" s="3"/>
      <c r="AB718" s="3"/>
      <c r="AC718" s="3"/>
    </row>
    <row r="719">
      <c r="A719" s="3"/>
      <c r="B719" s="3"/>
      <c r="C719" s="3"/>
      <c r="D719" s="319"/>
      <c r="E719" s="3"/>
      <c r="F719" s="3"/>
      <c r="G719" s="3"/>
      <c r="H719" s="3"/>
      <c r="I719" s="3"/>
      <c r="J719" s="3"/>
      <c r="K719" s="3"/>
      <c r="L719" s="3"/>
      <c r="M719" s="3"/>
      <c r="N719" s="3"/>
      <c r="O719" s="3"/>
      <c r="P719" s="53"/>
      <c r="Q719" s="53"/>
      <c r="R719" s="618"/>
      <c r="S719" s="3"/>
      <c r="T719" s="3"/>
      <c r="U719" s="3"/>
      <c r="V719" s="3"/>
      <c r="W719" s="3"/>
      <c r="X719" s="3"/>
      <c r="Y719" s="3"/>
      <c r="Z719" s="3"/>
      <c r="AA719" s="3"/>
      <c r="AB719" s="3"/>
      <c r="AC719" s="3"/>
    </row>
    <row r="720">
      <c r="A720" s="3"/>
      <c r="B720" s="3"/>
      <c r="C720" s="3"/>
      <c r="D720" s="319"/>
      <c r="E720" s="3"/>
      <c r="F720" s="3"/>
      <c r="G720" s="3"/>
      <c r="H720" s="3"/>
      <c r="I720" s="3"/>
      <c r="J720" s="3"/>
      <c r="K720" s="3"/>
      <c r="L720" s="3"/>
      <c r="M720" s="3"/>
      <c r="N720" s="3"/>
      <c r="O720" s="3"/>
      <c r="P720" s="53"/>
      <c r="Q720" s="53"/>
      <c r="R720" s="618"/>
      <c r="S720" s="3"/>
      <c r="T720" s="3"/>
      <c r="U720" s="3"/>
      <c r="V720" s="3"/>
      <c r="W720" s="3"/>
      <c r="X720" s="3"/>
      <c r="Y720" s="3"/>
      <c r="Z720" s="3"/>
      <c r="AA720" s="3"/>
      <c r="AB720" s="3"/>
      <c r="AC720" s="3"/>
    </row>
    <row r="721">
      <c r="A721" s="3"/>
      <c r="B721" s="3"/>
      <c r="C721" s="3"/>
      <c r="D721" s="319"/>
      <c r="E721" s="3"/>
      <c r="F721" s="3"/>
      <c r="G721" s="3"/>
      <c r="H721" s="3"/>
      <c r="I721" s="3"/>
      <c r="J721" s="3"/>
      <c r="K721" s="3"/>
      <c r="L721" s="3"/>
      <c r="M721" s="3"/>
      <c r="N721" s="3"/>
      <c r="O721" s="3"/>
      <c r="P721" s="53"/>
      <c r="Q721" s="53"/>
      <c r="R721" s="618"/>
      <c r="S721" s="3"/>
      <c r="T721" s="3"/>
      <c r="U721" s="3"/>
      <c r="V721" s="3"/>
      <c r="W721" s="3"/>
      <c r="X721" s="3"/>
      <c r="Y721" s="3"/>
      <c r="Z721" s="3"/>
      <c r="AA721" s="3"/>
      <c r="AB721" s="3"/>
      <c r="AC721" s="3"/>
    </row>
    <row r="722">
      <c r="A722" s="3"/>
      <c r="B722" s="3"/>
      <c r="C722" s="3"/>
      <c r="D722" s="319"/>
      <c r="E722" s="3"/>
      <c r="F722" s="3"/>
      <c r="G722" s="3"/>
      <c r="H722" s="3"/>
      <c r="I722" s="3"/>
      <c r="J722" s="3"/>
      <c r="K722" s="3"/>
      <c r="L722" s="3"/>
      <c r="M722" s="3"/>
      <c r="N722" s="3"/>
      <c r="O722" s="3"/>
      <c r="P722" s="53"/>
      <c r="Q722" s="53"/>
      <c r="R722" s="618"/>
      <c r="S722" s="3"/>
      <c r="T722" s="3"/>
      <c r="U722" s="3"/>
      <c r="V722" s="3"/>
      <c r="W722" s="3"/>
      <c r="X722" s="3"/>
      <c r="Y722" s="3"/>
      <c r="Z722" s="3"/>
      <c r="AA722" s="3"/>
      <c r="AB722" s="3"/>
      <c r="AC722" s="3"/>
    </row>
    <row r="723">
      <c r="A723" s="3"/>
      <c r="B723" s="3"/>
      <c r="C723" s="3"/>
      <c r="D723" s="319"/>
      <c r="E723" s="3"/>
      <c r="F723" s="3"/>
      <c r="G723" s="3"/>
      <c r="H723" s="3"/>
      <c r="I723" s="3"/>
      <c r="J723" s="3"/>
      <c r="K723" s="3"/>
      <c r="L723" s="3"/>
      <c r="M723" s="3"/>
      <c r="N723" s="3"/>
      <c r="O723" s="3"/>
      <c r="P723" s="53"/>
      <c r="Q723" s="53"/>
      <c r="R723" s="618"/>
      <c r="S723" s="3"/>
      <c r="T723" s="3"/>
      <c r="U723" s="3"/>
      <c r="V723" s="3"/>
      <c r="W723" s="3"/>
      <c r="X723" s="3"/>
      <c r="Y723" s="3"/>
      <c r="Z723" s="3"/>
      <c r="AA723" s="3"/>
      <c r="AB723" s="3"/>
      <c r="AC723" s="3"/>
    </row>
    <row r="724">
      <c r="A724" s="3"/>
      <c r="B724" s="3"/>
      <c r="C724" s="3"/>
      <c r="D724" s="319"/>
      <c r="E724" s="3"/>
      <c r="F724" s="3"/>
      <c r="G724" s="3"/>
      <c r="H724" s="3"/>
      <c r="I724" s="3"/>
      <c r="J724" s="3"/>
      <c r="K724" s="3"/>
      <c r="L724" s="3"/>
      <c r="M724" s="3"/>
      <c r="N724" s="3"/>
      <c r="O724" s="3"/>
      <c r="P724" s="53"/>
      <c r="Q724" s="53"/>
      <c r="R724" s="618"/>
      <c r="S724" s="3"/>
      <c r="T724" s="3"/>
      <c r="U724" s="3"/>
      <c r="V724" s="3"/>
      <c r="W724" s="3"/>
      <c r="X724" s="3"/>
      <c r="Y724" s="3"/>
      <c r="Z724" s="3"/>
      <c r="AA724" s="3"/>
      <c r="AB724" s="3"/>
      <c r="AC724" s="3"/>
    </row>
    <row r="725">
      <c r="A725" s="3"/>
      <c r="B725" s="3"/>
      <c r="C725" s="3"/>
      <c r="D725" s="319"/>
      <c r="E725" s="3"/>
      <c r="F725" s="3"/>
      <c r="G725" s="3"/>
      <c r="H725" s="3"/>
      <c r="I725" s="3"/>
      <c r="J725" s="3"/>
      <c r="K725" s="3"/>
      <c r="L725" s="3"/>
      <c r="M725" s="3"/>
      <c r="N725" s="3"/>
      <c r="O725" s="3"/>
      <c r="P725" s="53"/>
      <c r="Q725" s="53"/>
      <c r="R725" s="618"/>
      <c r="S725" s="3"/>
      <c r="T725" s="3"/>
      <c r="U725" s="3"/>
      <c r="V725" s="3"/>
      <c r="W725" s="3"/>
      <c r="X725" s="3"/>
      <c r="Y725" s="3"/>
      <c r="Z725" s="3"/>
      <c r="AA725" s="3"/>
      <c r="AB725" s="3"/>
      <c r="AC725" s="3"/>
    </row>
    <row r="726">
      <c r="A726" s="3"/>
      <c r="B726" s="3"/>
      <c r="C726" s="3"/>
      <c r="D726" s="319"/>
      <c r="E726" s="3"/>
      <c r="F726" s="3"/>
      <c r="G726" s="3"/>
      <c r="H726" s="3"/>
      <c r="I726" s="3"/>
      <c r="J726" s="3"/>
      <c r="K726" s="3"/>
      <c r="L726" s="3"/>
      <c r="M726" s="3"/>
      <c r="N726" s="3"/>
      <c r="O726" s="3"/>
      <c r="P726" s="53"/>
      <c r="Q726" s="53"/>
      <c r="R726" s="618"/>
      <c r="S726" s="3"/>
      <c r="T726" s="3"/>
      <c r="U726" s="3"/>
      <c r="V726" s="3"/>
      <c r="W726" s="3"/>
      <c r="X726" s="3"/>
      <c r="Y726" s="3"/>
      <c r="Z726" s="3"/>
      <c r="AA726" s="3"/>
      <c r="AB726" s="3"/>
      <c r="AC726" s="3"/>
    </row>
    <row r="727">
      <c r="A727" s="3"/>
      <c r="B727" s="3"/>
      <c r="C727" s="3"/>
      <c r="D727" s="319"/>
      <c r="E727" s="3"/>
      <c r="F727" s="3"/>
      <c r="G727" s="3"/>
      <c r="H727" s="3"/>
      <c r="I727" s="3"/>
      <c r="J727" s="3"/>
      <c r="K727" s="3"/>
      <c r="L727" s="3"/>
      <c r="M727" s="3"/>
      <c r="N727" s="3"/>
      <c r="O727" s="3"/>
      <c r="P727" s="53"/>
      <c r="Q727" s="53"/>
      <c r="R727" s="618"/>
      <c r="S727" s="3"/>
      <c r="T727" s="3"/>
      <c r="U727" s="3"/>
      <c r="V727" s="3"/>
      <c r="W727" s="3"/>
      <c r="X727" s="3"/>
      <c r="Y727" s="3"/>
      <c r="Z727" s="3"/>
      <c r="AA727" s="3"/>
      <c r="AB727" s="3"/>
      <c r="AC727" s="3"/>
    </row>
    <row r="728">
      <c r="A728" s="3"/>
      <c r="B728" s="3"/>
      <c r="C728" s="3"/>
      <c r="D728" s="319"/>
      <c r="E728" s="3"/>
      <c r="F728" s="3"/>
      <c r="G728" s="3"/>
      <c r="H728" s="3"/>
      <c r="I728" s="3"/>
      <c r="J728" s="3"/>
      <c r="K728" s="3"/>
      <c r="L728" s="3"/>
      <c r="M728" s="3"/>
      <c r="N728" s="3"/>
      <c r="O728" s="3"/>
      <c r="P728" s="53"/>
      <c r="Q728" s="53"/>
      <c r="R728" s="618"/>
      <c r="S728" s="3"/>
      <c r="T728" s="3"/>
      <c r="U728" s="3"/>
      <c r="V728" s="3"/>
      <c r="W728" s="3"/>
      <c r="X728" s="3"/>
      <c r="Y728" s="3"/>
      <c r="Z728" s="3"/>
      <c r="AA728" s="3"/>
      <c r="AB728" s="3"/>
      <c r="AC728" s="3"/>
    </row>
    <row r="729">
      <c r="A729" s="3"/>
      <c r="B729" s="3"/>
      <c r="C729" s="3"/>
      <c r="D729" s="319"/>
      <c r="E729" s="3"/>
      <c r="F729" s="3"/>
      <c r="G729" s="3"/>
      <c r="H729" s="3"/>
      <c r="I729" s="3"/>
      <c r="J729" s="3"/>
      <c r="K729" s="3"/>
      <c r="L729" s="3"/>
      <c r="M729" s="3"/>
      <c r="N729" s="3"/>
      <c r="O729" s="3"/>
      <c r="P729" s="53"/>
      <c r="Q729" s="53"/>
      <c r="R729" s="618"/>
      <c r="S729" s="3"/>
      <c r="T729" s="3"/>
      <c r="U729" s="3"/>
      <c r="V729" s="3"/>
      <c r="W729" s="3"/>
      <c r="X729" s="3"/>
      <c r="Y729" s="3"/>
      <c r="Z729" s="3"/>
      <c r="AA729" s="3"/>
      <c r="AB729" s="3"/>
      <c r="AC729" s="3"/>
    </row>
    <row r="730">
      <c r="A730" s="3"/>
      <c r="B730" s="3"/>
      <c r="C730" s="3"/>
      <c r="D730" s="319"/>
      <c r="E730" s="3"/>
      <c r="F730" s="3"/>
      <c r="G730" s="3"/>
      <c r="H730" s="3"/>
      <c r="I730" s="3"/>
      <c r="J730" s="3"/>
      <c r="K730" s="3"/>
      <c r="L730" s="3"/>
      <c r="M730" s="3"/>
      <c r="N730" s="3"/>
      <c r="O730" s="3"/>
      <c r="P730" s="53"/>
      <c r="Q730" s="53"/>
      <c r="R730" s="618"/>
      <c r="S730" s="3"/>
      <c r="T730" s="3"/>
      <c r="U730" s="3"/>
      <c r="V730" s="3"/>
      <c r="W730" s="3"/>
      <c r="X730" s="3"/>
      <c r="Y730" s="3"/>
      <c r="Z730" s="3"/>
      <c r="AA730" s="3"/>
      <c r="AB730" s="3"/>
      <c r="AC730" s="3"/>
    </row>
    <row r="731">
      <c r="A731" s="3"/>
      <c r="B731" s="3"/>
      <c r="C731" s="3"/>
      <c r="D731" s="319"/>
      <c r="E731" s="3"/>
      <c r="F731" s="3"/>
      <c r="G731" s="3"/>
      <c r="H731" s="3"/>
      <c r="I731" s="3"/>
      <c r="J731" s="3"/>
      <c r="K731" s="3"/>
      <c r="L731" s="3"/>
      <c r="M731" s="3"/>
      <c r="N731" s="3"/>
      <c r="O731" s="3"/>
      <c r="P731" s="53"/>
      <c r="Q731" s="53"/>
      <c r="R731" s="618"/>
      <c r="S731" s="3"/>
      <c r="T731" s="3"/>
      <c r="U731" s="3"/>
      <c r="V731" s="3"/>
      <c r="W731" s="3"/>
      <c r="X731" s="3"/>
      <c r="Y731" s="3"/>
      <c r="Z731" s="3"/>
      <c r="AA731" s="3"/>
      <c r="AB731" s="3"/>
      <c r="AC731" s="3"/>
    </row>
    <row r="732">
      <c r="A732" s="3"/>
      <c r="B732" s="3"/>
      <c r="C732" s="3"/>
      <c r="D732" s="319"/>
      <c r="E732" s="3"/>
      <c r="F732" s="3"/>
      <c r="G732" s="3"/>
      <c r="H732" s="3"/>
      <c r="I732" s="3"/>
      <c r="J732" s="3"/>
      <c r="K732" s="3"/>
      <c r="L732" s="3"/>
      <c r="M732" s="3"/>
      <c r="N732" s="3"/>
      <c r="O732" s="3"/>
      <c r="P732" s="53"/>
      <c r="Q732" s="53"/>
      <c r="R732" s="618"/>
      <c r="S732" s="3"/>
      <c r="T732" s="3"/>
      <c r="U732" s="3"/>
      <c r="V732" s="3"/>
      <c r="W732" s="3"/>
      <c r="X732" s="3"/>
      <c r="Y732" s="3"/>
      <c r="Z732" s="3"/>
      <c r="AA732" s="3"/>
      <c r="AB732" s="3"/>
      <c r="AC732" s="3"/>
    </row>
    <row r="733">
      <c r="A733" s="3"/>
      <c r="B733" s="3"/>
      <c r="C733" s="3"/>
      <c r="D733" s="319"/>
      <c r="E733" s="3"/>
      <c r="F733" s="3"/>
      <c r="G733" s="3"/>
      <c r="H733" s="3"/>
      <c r="I733" s="3"/>
      <c r="J733" s="3"/>
      <c r="K733" s="3"/>
      <c r="L733" s="3"/>
      <c r="M733" s="3"/>
      <c r="N733" s="3"/>
      <c r="O733" s="3"/>
      <c r="P733" s="53"/>
      <c r="Q733" s="53"/>
      <c r="R733" s="618"/>
      <c r="S733" s="3"/>
      <c r="T733" s="3"/>
      <c r="U733" s="3"/>
      <c r="V733" s="3"/>
      <c r="W733" s="3"/>
      <c r="X733" s="3"/>
      <c r="Y733" s="3"/>
      <c r="Z733" s="3"/>
      <c r="AA733" s="3"/>
      <c r="AB733" s="3"/>
      <c r="AC733" s="3"/>
    </row>
    <row r="734">
      <c r="A734" s="3"/>
      <c r="B734" s="3"/>
      <c r="C734" s="3"/>
      <c r="D734" s="319"/>
      <c r="E734" s="3"/>
      <c r="F734" s="3"/>
      <c r="G734" s="3"/>
      <c r="H734" s="3"/>
      <c r="I734" s="3"/>
      <c r="J734" s="3"/>
      <c r="K734" s="3"/>
      <c r="L734" s="3"/>
      <c r="M734" s="3"/>
      <c r="N734" s="3"/>
      <c r="O734" s="3"/>
      <c r="P734" s="53"/>
      <c r="Q734" s="53"/>
      <c r="R734" s="618"/>
      <c r="S734" s="3"/>
      <c r="T734" s="3"/>
      <c r="U734" s="3"/>
      <c r="V734" s="3"/>
      <c r="W734" s="3"/>
      <c r="X734" s="3"/>
      <c r="Y734" s="3"/>
      <c r="Z734" s="3"/>
      <c r="AA734" s="3"/>
      <c r="AB734" s="3"/>
      <c r="AC734" s="3"/>
    </row>
    <row r="735">
      <c r="A735" s="3"/>
      <c r="B735" s="3"/>
      <c r="C735" s="3"/>
      <c r="D735" s="319"/>
      <c r="E735" s="3"/>
      <c r="F735" s="3"/>
      <c r="G735" s="3"/>
      <c r="H735" s="3"/>
      <c r="I735" s="3"/>
      <c r="J735" s="3"/>
      <c r="K735" s="3"/>
      <c r="L735" s="3"/>
      <c r="M735" s="3"/>
      <c r="N735" s="3"/>
      <c r="O735" s="3"/>
      <c r="P735" s="53"/>
      <c r="Q735" s="53"/>
      <c r="R735" s="618"/>
      <c r="S735" s="3"/>
      <c r="T735" s="3"/>
      <c r="U735" s="3"/>
      <c r="V735" s="3"/>
      <c r="W735" s="3"/>
      <c r="X735" s="3"/>
      <c r="Y735" s="3"/>
      <c r="Z735" s="3"/>
      <c r="AA735" s="3"/>
      <c r="AB735" s="3"/>
      <c r="AC735" s="3"/>
    </row>
    <row r="736">
      <c r="A736" s="3"/>
      <c r="B736" s="3"/>
      <c r="C736" s="3"/>
      <c r="D736" s="319"/>
      <c r="E736" s="3"/>
      <c r="F736" s="3"/>
      <c r="G736" s="3"/>
      <c r="H736" s="3"/>
      <c r="I736" s="3"/>
      <c r="J736" s="3"/>
      <c r="K736" s="3"/>
      <c r="L736" s="3"/>
      <c r="M736" s="3"/>
      <c r="N736" s="3"/>
      <c r="O736" s="3"/>
      <c r="P736" s="53"/>
      <c r="Q736" s="53"/>
      <c r="R736" s="618"/>
      <c r="S736" s="3"/>
      <c r="T736" s="3"/>
      <c r="U736" s="3"/>
      <c r="V736" s="3"/>
      <c r="W736" s="3"/>
      <c r="X736" s="3"/>
      <c r="Y736" s="3"/>
      <c r="Z736" s="3"/>
      <c r="AA736" s="3"/>
      <c r="AB736" s="3"/>
      <c r="AC736" s="3"/>
    </row>
    <row r="737">
      <c r="A737" s="3"/>
      <c r="B737" s="3"/>
      <c r="C737" s="3"/>
      <c r="D737" s="319"/>
      <c r="E737" s="3"/>
      <c r="F737" s="3"/>
      <c r="G737" s="3"/>
      <c r="H737" s="3"/>
      <c r="I737" s="3"/>
      <c r="J737" s="3"/>
      <c r="K737" s="3"/>
      <c r="L737" s="3"/>
      <c r="M737" s="3"/>
      <c r="N737" s="3"/>
      <c r="O737" s="3"/>
      <c r="P737" s="53"/>
      <c r="Q737" s="53"/>
      <c r="R737" s="618"/>
      <c r="S737" s="3"/>
      <c r="T737" s="3"/>
      <c r="U737" s="3"/>
      <c r="V737" s="3"/>
      <c r="W737" s="3"/>
      <c r="X737" s="3"/>
      <c r="Y737" s="3"/>
      <c r="Z737" s="3"/>
      <c r="AA737" s="3"/>
      <c r="AB737" s="3"/>
      <c r="AC737" s="3"/>
    </row>
    <row r="738">
      <c r="A738" s="3"/>
      <c r="B738" s="3"/>
      <c r="C738" s="3"/>
      <c r="D738" s="319"/>
      <c r="E738" s="3"/>
      <c r="F738" s="3"/>
      <c r="G738" s="3"/>
      <c r="H738" s="3"/>
      <c r="I738" s="3"/>
      <c r="J738" s="3"/>
      <c r="K738" s="3"/>
      <c r="L738" s="3"/>
      <c r="M738" s="3"/>
      <c r="N738" s="3"/>
      <c r="O738" s="3"/>
      <c r="P738" s="53"/>
      <c r="Q738" s="53"/>
      <c r="R738" s="618"/>
      <c r="S738" s="3"/>
      <c r="T738" s="3"/>
      <c r="U738" s="3"/>
      <c r="V738" s="3"/>
      <c r="W738" s="3"/>
      <c r="X738" s="3"/>
      <c r="Y738" s="3"/>
      <c r="Z738" s="3"/>
      <c r="AA738" s="3"/>
      <c r="AB738" s="3"/>
      <c r="AC738" s="3"/>
    </row>
    <row r="739">
      <c r="A739" s="3"/>
      <c r="B739" s="3"/>
      <c r="C739" s="3"/>
      <c r="D739" s="319"/>
      <c r="E739" s="3"/>
      <c r="F739" s="3"/>
      <c r="G739" s="3"/>
      <c r="H739" s="3"/>
      <c r="I739" s="3"/>
      <c r="J739" s="3"/>
      <c r="K739" s="3"/>
      <c r="L739" s="3"/>
      <c r="M739" s="3"/>
      <c r="N739" s="3"/>
      <c r="O739" s="3"/>
      <c r="P739" s="53"/>
      <c r="Q739" s="53"/>
      <c r="R739" s="618"/>
      <c r="S739" s="3"/>
      <c r="T739" s="3"/>
      <c r="U739" s="3"/>
      <c r="V739" s="3"/>
      <c r="W739" s="3"/>
      <c r="X739" s="3"/>
      <c r="Y739" s="3"/>
      <c r="Z739" s="3"/>
      <c r="AA739" s="3"/>
      <c r="AB739" s="3"/>
      <c r="AC739" s="3"/>
    </row>
    <row r="740">
      <c r="A740" s="3"/>
      <c r="B740" s="3"/>
      <c r="C740" s="3"/>
      <c r="D740" s="319"/>
      <c r="E740" s="3"/>
      <c r="F740" s="3"/>
      <c r="G740" s="3"/>
      <c r="H740" s="3"/>
      <c r="I740" s="3"/>
      <c r="J740" s="3"/>
      <c r="K740" s="3"/>
      <c r="L740" s="3"/>
      <c r="M740" s="3"/>
      <c r="N740" s="3"/>
      <c r="O740" s="3"/>
      <c r="P740" s="53"/>
      <c r="Q740" s="53"/>
      <c r="R740" s="618"/>
      <c r="S740" s="3"/>
      <c r="T740" s="3"/>
      <c r="U740" s="3"/>
      <c r="V740" s="3"/>
      <c r="W740" s="3"/>
      <c r="X740" s="3"/>
      <c r="Y740" s="3"/>
      <c r="Z740" s="3"/>
      <c r="AA740" s="3"/>
      <c r="AB740" s="3"/>
      <c r="AC740" s="3"/>
    </row>
    <row r="741">
      <c r="A741" s="3"/>
      <c r="B741" s="3"/>
      <c r="C741" s="3"/>
      <c r="D741" s="319"/>
      <c r="E741" s="3"/>
      <c r="F741" s="3"/>
      <c r="G741" s="3"/>
      <c r="H741" s="3"/>
      <c r="I741" s="3"/>
      <c r="J741" s="3"/>
      <c r="K741" s="3"/>
      <c r="L741" s="3"/>
      <c r="M741" s="3"/>
      <c r="N741" s="3"/>
      <c r="O741" s="3"/>
      <c r="P741" s="53"/>
      <c r="Q741" s="53"/>
      <c r="R741" s="618"/>
      <c r="S741" s="3"/>
      <c r="T741" s="3"/>
      <c r="U741" s="3"/>
      <c r="V741" s="3"/>
      <c r="W741" s="3"/>
      <c r="X741" s="3"/>
      <c r="Y741" s="3"/>
      <c r="Z741" s="3"/>
      <c r="AA741" s="3"/>
      <c r="AB741" s="3"/>
      <c r="AC741" s="3"/>
    </row>
    <row r="742">
      <c r="A742" s="3"/>
      <c r="B742" s="3"/>
      <c r="C742" s="3"/>
      <c r="D742" s="319"/>
      <c r="E742" s="3"/>
      <c r="F742" s="3"/>
      <c r="G742" s="3"/>
      <c r="H742" s="3"/>
      <c r="I742" s="3"/>
      <c r="J742" s="3"/>
      <c r="K742" s="3"/>
      <c r="L742" s="3"/>
      <c r="M742" s="3"/>
      <c r="N742" s="3"/>
      <c r="O742" s="3"/>
      <c r="P742" s="53"/>
      <c r="Q742" s="53"/>
      <c r="R742" s="618"/>
      <c r="S742" s="3"/>
      <c r="T742" s="3"/>
      <c r="U742" s="3"/>
      <c r="V742" s="3"/>
      <c r="W742" s="3"/>
      <c r="X742" s="3"/>
      <c r="Y742" s="3"/>
      <c r="Z742" s="3"/>
      <c r="AA742" s="3"/>
      <c r="AB742" s="3"/>
      <c r="AC742" s="3"/>
    </row>
    <row r="743">
      <c r="A743" s="3"/>
      <c r="B743" s="3"/>
      <c r="C743" s="3"/>
      <c r="D743" s="319"/>
      <c r="E743" s="3"/>
      <c r="F743" s="3"/>
      <c r="G743" s="3"/>
      <c r="H743" s="3"/>
      <c r="I743" s="3"/>
      <c r="J743" s="3"/>
      <c r="K743" s="3"/>
      <c r="L743" s="3"/>
      <c r="M743" s="3"/>
      <c r="N743" s="3"/>
      <c r="O743" s="3"/>
      <c r="P743" s="53"/>
      <c r="Q743" s="53"/>
      <c r="R743" s="618"/>
      <c r="S743" s="3"/>
      <c r="T743" s="3"/>
      <c r="U743" s="3"/>
      <c r="V743" s="3"/>
      <c r="W743" s="3"/>
      <c r="X743" s="3"/>
      <c r="Y743" s="3"/>
      <c r="Z743" s="3"/>
      <c r="AA743" s="3"/>
      <c r="AB743" s="3"/>
      <c r="AC743" s="3"/>
    </row>
    <row r="744">
      <c r="A744" s="3"/>
      <c r="B744" s="3"/>
      <c r="C744" s="3"/>
      <c r="D744" s="319"/>
      <c r="E744" s="3"/>
      <c r="F744" s="3"/>
      <c r="G744" s="3"/>
      <c r="H744" s="3"/>
      <c r="I744" s="3"/>
      <c r="J744" s="3"/>
      <c r="K744" s="3"/>
      <c r="L744" s="3"/>
      <c r="M744" s="3"/>
      <c r="N744" s="3"/>
      <c r="O744" s="3"/>
      <c r="P744" s="53"/>
      <c r="Q744" s="53"/>
      <c r="R744" s="618"/>
      <c r="S744" s="3"/>
      <c r="T744" s="3"/>
      <c r="U744" s="3"/>
      <c r="V744" s="3"/>
      <c r="W744" s="3"/>
      <c r="X744" s="3"/>
      <c r="Y744" s="3"/>
      <c r="Z744" s="3"/>
      <c r="AA744" s="3"/>
      <c r="AB744" s="3"/>
      <c r="AC744" s="3"/>
    </row>
    <row r="745">
      <c r="A745" s="3"/>
      <c r="B745" s="3"/>
      <c r="C745" s="3"/>
      <c r="D745" s="319"/>
      <c r="E745" s="3"/>
      <c r="F745" s="3"/>
      <c r="G745" s="3"/>
      <c r="H745" s="3"/>
      <c r="I745" s="3"/>
      <c r="J745" s="3"/>
      <c r="K745" s="3"/>
      <c r="L745" s="3"/>
      <c r="M745" s="3"/>
      <c r="N745" s="3"/>
      <c r="O745" s="3"/>
      <c r="P745" s="53"/>
      <c r="Q745" s="53"/>
      <c r="R745" s="618"/>
      <c r="S745" s="3"/>
      <c r="T745" s="3"/>
      <c r="U745" s="3"/>
      <c r="V745" s="3"/>
      <c r="W745" s="3"/>
      <c r="X745" s="3"/>
      <c r="Y745" s="3"/>
      <c r="Z745" s="3"/>
      <c r="AA745" s="3"/>
      <c r="AB745" s="3"/>
      <c r="AC745" s="3"/>
    </row>
    <row r="746">
      <c r="A746" s="3"/>
      <c r="B746" s="3"/>
      <c r="C746" s="3"/>
      <c r="D746" s="319"/>
      <c r="E746" s="3"/>
      <c r="F746" s="3"/>
      <c r="G746" s="3"/>
      <c r="H746" s="3"/>
      <c r="I746" s="3"/>
      <c r="J746" s="3"/>
      <c r="K746" s="3"/>
      <c r="L746" s="3"/>
      <c r="M746" s="3"/>
      <c r="N746" s="3"/>
      <c r="O746" s="3"/>
      <c r="P746" s="53"/>
      <c r="Q746" s="53"/>
      <c r="R746" s="618"/>
      <c r="S746" s="3"/>
      <c r="T746" s="3"/>
      <c r="U746" s="3"/>
      <c r="V746" s="3"/>
      <c r="W746" s="3"/>
      <c r="X746" s="3"/>
      <c r="Y746" s="3"/>
      <c r="Z746" s="3"/>
      <c r="AA746" s="3"/>
      <c r="AB746" s="3"/>
      <c r="AC746" s="3"/>
    </row>
    <row r="747">
      <c r="A747" s="3"/>
      <c r="B747" s="3"/>
      <c r="C747" s="3"/>
      <c r="D747" s="319"/>
      <c r="E747" s="3"/>
      <c r="F747" s="3"/>
      <c r="G747" s="3"/>
      <c r="H747" s="3"/>
      <c r="I747" s="3"/>
      <c r="J747" s="3"/>
      <c r="K747" s="3"/>
      <c r="L747" s="3"/>
      <c r="M747" s="3"/>
      <c r="N747" s="3"/>
      <c r="O747" s="3"/>
      <c r="P747" s="53"/>
      <c r="Q747" s="53"/>
      <c r="R747" s="618"/>
      <c r="S747" s="3"/>
      <c r="T747" s="3"/>
      <c r="U747" s="3"/>
      <c r="V747" s="3"/>
      <c r="W747" s="3"/>
      <c r="X747" s="3"/>
      <c r="Y747" s="3"/>
      <c r="Z747" s="3"/>
      <c r="AA747" s="3"/>
      <c r="AB747" s="3"/>
      <c r="AC747" s="3"/>
    </row>
    <row r="748">
      <c r="A748" s="3"/>
      <c r="B748" s="3"/>
      <c r="C748" s="3"/>
      <c r="D748" s="319"/>
      <c r="E748" s="3"/>
      <c r="F748" s="3"/>
      <c r="G748" s="3"/>
      <c r="H748" s="3"/>
      <c r="I748" s="3"/>
      <c r="J748" s="3"/>
      <c r="K748" s="3"/>
      <c r="L748" s="3"/>
      <c r="M748" s="3"/>
      <c r="N748" s="3"/>
      <c r="O748" s="3"/>
      <c r="P748" s="53"/>
      <c r="Q748" s="53"/>
      <c r="R748" s="618"/>
      <c r="S748" s="3"/>
      <c r="T748" s="3"/>
      <c r="U748" s="3"/>
      <c r="V748" s="3"/>
      <c r="W748" s="3"/>
      <c r="X748" s="3"/>
      <c r="Y748" s="3"/>
      <c r="Z748" s="3"/>
      <c r="AA748" s="3"/>
      <c r="AB748" s="3"/>
      <c r="AC748" s="3"/>
    </row>
    <row r="749">
      <c r="A749" s="3"/>
      <c r="B749" s="3"/>
      <c r="C749" s="3"/>
      <c r="D749" s="319"/>
      <c r="E749" s="3"/>
      <c r="F749" s="3"/>
      <c r="G749" s="3"/>
      <c r="H749" s="3"/>
      <c r="I749" s="3"/>
      <c r="J749" s="3"/>
      <c r="K749" s="3"/>
      <c r="L749" s="3"/>
      <c r="M749" s="3"/>
      <c r="N749" s="3"/>
      <c r="O749" s="3"/>
      <c r="P749" s="53"/>
      <c r="Q749" s="53"/>
      <c r="R749" s="618"/>
      <c r="S749" s="3"/>
      <c r="T749" s="3"/>
      <c r="U749" s="3"/>
      <c r="V749" s="3"/>
      <c r="W749" s="3"/>
      <c r="X749" s="3"/>
      <c r="Y749" s="3"/>
      <c r="Z749" s="3"/>
      <c r="AA749" s="3"/>
      <c r="AB749" s="3"/>
      <c r="AC749" s="3"/>
    </row>
    <row r="750">
      <c r="A750" s="3"/>
      <c r="B750" s="3"/>
      <c r="C750" s="3"/>
      <c r="D750" s="319"/>
      <c r="E750" s="3"/>
      <c r="F750" s="3"/>
      <c r="G750" s="3"/>
      <c r="H750" s="3"/>
      <c r="I750" s="3"/>
      <c r="J750" s="3"/>
      <c r="K750" s="3"/>
      <c r="L750" s="3"/>
      <c r="M750" s="3"/>
      <c r="N750" s="3"/>
      <c r="O750" s="3"/>
      <c r="P750" s="53"/>
      <c r="Q750" s="53"/>
      <c r="R750" s="618"/>
      <c r="S750" s="3"/>
      <c r="T750" s="3"/>
      <c r="U750" s="3"/>
      <c r="V750" s="3"/>
      <c r="W750" s="3"/>
      <c r="X750" s="3"/>
      <c r="Y750" s="3"/>
      <c r="Z750" s="3"/>
      <c r="AA750" s="3"/>
      <c r="AB750" s="3"/>
      <c r="AC750" s="3"/>
    </row>
    <row r="751">
      <c r="A751" s="3"/>
      <c r="B751" s="3"/>
      <c r="C751" s="3"/>
      <c r="D751" s="319"/>
      <c r="E751" s="3"/>
      <c r="F751" s="3"/>
      <c r="G751" s="3"/>
      <c r="H751" s="3"/>
      <c r="I751" s="3"/>
      <c r="J751" s="3"/>
      <c r="K751" s="3"/>
      <c r="L751" s="3"/>
      <c r="M751" s="3"/>
      <c r="N751" s="3"/>
      <c r="O751" s="3"/>
      <c r="P751" s="53"/>
      <c r="Q751" s="53"/>
      <c r="R751" s="618"/>
      <c r="S751" s="3"/>
      <c r="T751" s="3"/>
      <c r="U751" s="3"/>
      <c r="V751" s="3"/>
      <c r="W751" s="3"/>
      <c r="X751" s="3"/>
      <c r="Y751" s="3"/>
      <c r="Z751" s="3"/>
      <c r="AA751" s="3"/>
      <c r="AB751" s="3"/>
      <c r="AC751" s="3"/>
    </row>
    <row r="752">
      <c r="A752" s="3"/>
      <c r="B752" s="3"/>
      <c r="C752" s="3"/>
      <c r="D752" s="319"/>
      <c r="E752" s="3"/>
      <c r="F752" s="3"/>
      <c r="G752" s="3"/>
      <c r="H752" s="3"/>
      <c r="I752" s="3"/>
      <c r="J752" s="3"/>
      <c r="K752" s="3"/>
      <c r="L752" s="3"/>
      <c r="M752" s="3"/>
      <c r="N752" s="3"/>
      <c r="O752" s="3"/>
      <c r="P752" s="53"/>
      <c r="Q752" s="53"/>
      <c r="R752" s="618"/>
      <c r="S752" s="3"/>
      <c r="T752" s="3"/>
      <c r="U752" s="3"/>
      <c r="V752" s="3"/>
      <c r="W752" s="3"/>
      <c r="X752" s="3"/>
      <c r="Y752" s="3"/>
      <c r="Z752" s="3"/>
      <c r="AA752" s="3"/>
      <c r="AB752" s="3"/>
      <c r="AC752" s="3"/>
    </row>
    <row r="753">
      <c r="A753" s="3"/>
      <c r="B753" s="3"/>
      <c r="C753" s="3"/>
      <c r="D753" s="319"/>
      <c r="E753" s="3"/>
      <c r="F753" s="3"/>
      <c r="G753" s="3"/>
      <c r="H753" s="3"/>
      <c r="I753" s="3"/>
      <c r="J753" s="3"/>
      <c r="K753" s="3"/>
      <c r="L753" s="3"/>
      <c r="M753" s="3"/>
      <c r="N753" s="3"/>
      <c r="O753" s="3"/>
      <c r="P753" s="53"/>
      <c r="Q753" s="53"/>
      <c r="R753" s="618"/>
      <c r="S753" s="3"/>
      <c r="T753" s="3"/>
      <c r="U753" s="3"/>
      <c r="V753" s="3"/>
      <c r="W753" s="3"/>
      <c r="X753" s="3"/>
      <c r="Y753" s="3"/>
      <c r="Z753" s="3"/>
      <c r="AA753" s="3"/>
      <c r="AB753" s="3"/>
      <c r="AC753" s="3"/>
    </row>
    <row r="754">
      <c r="A754" s="3"/>
      <c r="B754" s="3"/>
      <c r="C754" s="3"/>
      <c r="D754" s="319"/>
      <c r="E754" s="3"/>
      <c r="F754" s="3"/>
      <c r="G754" s="3"/>
      <c r="H754" s="3"/>
      <c r="I754" s="3"/>
      <c r="J754" s="3"/>
      <c r="K754" s="3"/>
      <c r="L754" s="3"/>
      <c r="M754" s="3"/>
      <c r="N754" s="3"/>
      <c r="O754" s="3"/>
      <c r="P754" s="53"/>
      <c r="Q754" s="53"/>
      <c r="R754" s="618"/>
      <c r="S754" s="3"/>
      <c r="T754" s="3"/>
      <c r="U754" s="3"/>
      <c r="V754" s="3"/>
      <c r="W754" s="3"/>
      <c r="X754" s="3"/>
      <c r="Y754" s="3"/>
      <c r="Z754" s="3"/>
      <c r="AA754" s="3"/>
      <c r="AB754" s="3"/>
      <c r="AC754" s="3"/>
    </row>
    <row r="755">
      <c r="A755" s="3"/>
      <c r="B755" s="3"/>
      <c r="C755" s="3"/>
      <c r="D755" s="319"/>
      <c r="E755" s="3"/>
      <c r="F755" s="3"/>
      <c r="G755" s="3"/>
      <c r="H755" s="3"/>
      <c r="I755" s="3"/>
      <c r="J755" s="3"/>
      <c r="K755" s="3"/>
      <c r="L755" s="3"/>
      <c r="M755" s="3"/>
      <c r="N755" s="3"/>
      <c r="O755" s="3"/>
      <c r="P755" s="53"/>
      <c r="Q755" s="53"/>
      <c r="R755" s="618"/>
      <c r="S755" s="3"/>
      <c r="T755" s="3"/>
      <c r="U755" s="3"/>
      <c r="V755" s="3"/>
      <c r="W755" s="3"/>
      <c r="X755" s="3"/>
      <c r="Y755" s="3"/>
      <c r="Z755" s="3"/>
      <c r="AA755" s="3"/>
      <c r="AB755" s="3"/>
      <c r="AC755" s="3"/>
    </row>
    <row r="756">
      <c r="A756" s="3"/>
      <c r="B756" s="3"/>
      <c r="C756" s="3"/>
      <c r="D756" s="319"/>
      <c r="E756" s="3"/>
      <c r="F756" s="3"/>
      <c r="G756" s="3"/>
      <c r="H756" s="3"/>
      <c r="I756" s="3"/>
      <c r="J756" s="3"/>
      <c r="K756" s="3"/>
      <c r="L756" s="3"/>
      <c r="M756" s="3"/>
      <c r="N756" s="3"/>
      <c r="O756" s="3"/>
      <c r="P756" s="53"/>
      <c r="Q756" s="53"/>
      <c r="R756" s="618"/>
      <c r="S756" s="3"/>
      <c r="T756" s="3"/>
      <c r="U756" s="3"/>
      <c r="V756" s="3"/>
      <c r="W756" s="3"/>
      <c r="X756" s="3"/>
      <c r="Y756" s="3"/>
      <c r="Z756" s="3"/>
      <c r="AA756" s="3"/>
      <c r="AB756" s="3"/>
      <c r="AC756" s="3"/>
    </row>
    <row r="757">
      <c r="A757" s="3"/>
      <c r="B757" s="3"/>
      <c r="C757" s="3"/>
      <c r="D757" s="319"/>
      <c r="E757" s="3"/>
      <c r="F757" s="3"/>
      <c r="G757" s="3"/>
      <c r="H757" s="3"/>
      <c r="I757" s="3"/>
      <c r="J757" s="3"/>
      <c r="K757" s="3"/>
      <c r="L757" s="3"/>
      <c r="M757" s="3"/>
      <c r="N757" s="3"/>
      <c r="O757" s="3"/>
      <c r="P757" s="53"/>
      <c r="Q757" s="53"/>
      <c r="R757" s="618"/>
      <c r="S757" s="3"/>
      <c r="T757" s="3"/>
      <c r="U757" s="3"/>
      <c r="V757" s="3"/>
      <c r="W757" s="3"/>
      <c r="X757" s="3"/>
      <c r="Y757" s="3"/>
      <c r="Z757" s="3"/>
      <c r="AA757" s="3"/>
      <c r="AB757" s="3"/>
      <c r="AC757" s="3"/>
    </row>
    <row r="758">
      <c r="A758" s="3"/>
      <c r="B758" s="3"/>
      <c r="C758" s="3"/>
      <c r="D758" s="319"/>
      <c r="E758" s="3"/>
      <c r="F758" s="3"/>
      <c r="G758" s="3"/>
      <c r="H758" s="3"/>
      <c r="I758" s="3"/>
      <c r="J758" s="3"/>
      <c r="K758" s="3"/>
      <c r="L758" s="3"/>
      <c r="M758" s="3"/>
      <c r="N758" s="3"/>
      <c r="O758" s="3"/>
      <c r="P758" s="53"/>
      <c r="Q758" s="53"/>
      <c r="R758" s="618"/>
      <c r="S758" s="3"/>
      <c r="T758" s="3"/>
      <c r="U758" s="3"/>
      <c r="V758" s="3"/>
      <c r="W758" s="3"/>
      <c r="X758" s="3"/>
      <c r="Y758" s="3"/>
      <c r="Z758" s="3"/>
      <c r="AA758" s="3"/>
      <c r="AB758" s="3"/>
      <c r="AC758" s="3"/>
    </row>
    <row r="759">
      <c r="A759" s="3"/>
      <c r="B759" s="3"/>
      <c r="C759" s="3"/>
      <c r="D759" s="319"/>
      <c r="E759" s="3"/>
      <c r="F759" s="3"/>
      <c r="G759" s="3"/>
      <c r="H759" s="3"/>
      <c r="I759" s="3"/>
      <c r="J759" s="3"/>
      <c r="K759" s="3"/>
      <c r="L759" s="3"/>
      <c r="M759" s="3"/>
      <c r="N759" s="3"/>
      <c r="O759" s="3"/>
      <c r="P759" s="53"/>
      <c r="Q759" s="53"/>
      <c r="R759" s="618"/>
      <c r="S759" s="3"/>
      <c r="T759" s="3"/>
      <c r="U759" s="3"/>
      <c r="V759" s="3"/>
      <c r="W759" s="3"/>
      <c r="X759" s="3"/>
      <c r="Y759" s="3"/>
      <c r="Z759" s="3"/>
      <c r="AA759" s="3"/>
      <c r="AB759" s="3"/>
      <c r="AC759" s="3"/>
    </row>
    <row r="760">
      <c r="A760" s="3"/>
      <c r="B760" s="3"/>
      <c r="C760" s="3"/>
      <c r="D760" s="319"/>
      <c r="E760" s="3"/>
      <c r="F760" s="3"/>
      <c r="G760" s="3"/>
      <c r="H760" s="3"/>
      <c r="I760" s="3"/>
      <c r="J760" s="3"/>
      <c r="K760" s="3"/>
      <c r="L760" s="3"/>
      <c r="M760" s="3"/>
      <c r="N760" s="3"/>
      <c r="O760" s="3"/>
      <c r="P760" s="53"/>
      <c r="Q760" s="53"/>
      <c r="R760" s="618"/>
      <c r="S760" s="3"/>
      <c r="T760" s="3"/>
      <c r="U760" s="3"/>
      <c r="V760" s="3"/>
      <c r="W760" s="3"/>
      <c r="X760" s="3"/>
      <c r="Y760" s="3"/>
      <c r="Z760" s="3"/>
      <c r="AA760" s="3"/>
      <c r="AB760" s="3"/>
      <c r="AC760" s="3"/>
    </row>
    <row r="761">
      <c r="A761" s="3"/>
      <c r="B761" s="3"/>
      <c r="C761" s="3"/>
      <c r="D761" s="319"/>
      <c r="E761" s="3"/>
      <c r="F761" s="3"/>
      <c r="G761" s="3"/>
      <c r="H761" s="3"/>
      <c r="I761" s="3"/>
      <c r="J761" s="3"/>
      <c r="K761" s="3"/>
      <c r="L761" s="3"/>
      <c r="M761" s="3"/>
      <c r="N761" s="3"/>
      <c r="O761" s="3"/>
      <c r="P761" s="53"/>
      <c r="Q761" s="53"/>
      <c r="R761" s="618"/>
      <c r="S761" s="3"/>
      <c r="T761" s="3"/>
      <c r="U761" s="3"/>
      <c r="V761" s="3"/>
      <c r="W761" s="3"/>
      <c r="X761" s="3"/>
      <c r="Y761" s="3"/>
      <c r="Z761" s="3"/>
      <c r="AA761" s="3"/>
      <c r="AB761" s="3"/>
      <c r="AC761" s="3"/>
    </row>
    <row r="762">
      <c r="A762" s="3"/>
      <c r="B762" s="3"/>
      <c r="C762" s="3"/>
      <c r="D762" s="319"/>
      <c r="E762" s="3"/>
      <c r="F762" s="3"/>
      <c r="G762" s="3"/>
      <c r="H762" s="3"/>
      <c r="I762" s="3"/>
      <c r="J762" s="3"/>
      <c r="K762" s="3"/>
      <c r="L762" s="3"/>
      <c r="M762" s="3"/>
      <c r="N762" s="3"/>
      <c r="O762" s="3"/>
      <c r="P762" s="53"/>
      <c r="Q762" s="53"/>
      <c r="R762" s="618"/>
      <c r="S762" s="3"/>
      <c r="T762" s="3"/>
      <c r="U762" s="3"/>
      <c r="V762" s="3"/>
      <c r="W762" s="3"/>
      <c r="X762" s="3"/>
      <c r="Y762" s="3"/>
      <c r="Z762" s="3"/>
      <c r="AA762" s="3"/>
      <c r="AB762" s="3"/>
      <c r="AC762" s="3"/>
    </row>
    <row r="763">
      <c r="A763" s="3"/>
      <c r="B763" s="3"/>
      <c r="C763" s="3"/>
      <c r="D763" s="319"/>
      <c r="E763" s="3"/>
      <c r="F763" s="3"/>
      <c r="G763" s="3"/>
      <c r="H763" s="3"/>
      <c r="I763" s="3"/>
      <c r="J763" s="3"/>
      <c r="K763" s="3"/>
      <c r="L763" s="3"/>
      <c r="M763" s="3"/>
      <c r="N763" s="3"/>
      <c r="O763" s="3"/>
      <c r="P763" s="53"/>
      <c r="Q763" s="53"/>
      <c r="R763" s="618"/>
      <c r="S763" s="3"/>
      <c r="T763" s="3"/>
      <c r="U763" s="3"/>
      <c r="V763" s="3"/>
      <c r="W763" s="3"/>
      <c r="X763" s="3"/>
      <c r="Y763" s="3"/>
      <c r="Z763" s="3"/>
      <c r="AA763" s="3"/>
      <c r="AB763" s="3"/>
      <c r="AC763" s="3"/>
    </row>
    <row r="764">
      <c r="A764" s="3"/>
      <c r="B764" s="3"/>
      <c r="C764" s="3"/>
      <c r="D764" s="319"/>
      <c r="E764" s="3"/>
      <c r="F764" s="3"/>
      <c r="G764" s="3"/>
      <c r="H764" s="3"/>
      <c r="I764" s="3"/>
      <c r="J764" s="3"/>
      <c r="K764" s="3"/>
      <c r="L764" s="3"/>
      <c r="M764" s="3"/>
      <c r="N764" s="3"/>
      <c r="O764" s="3"/>
      <c r="P764" s="53"/>
      <c r="Q764" s="53"/>
      <c r="R764" s="618"/>
      <c r="S764" s="3"/>
      <c r="T764" s="3"/>
      <c r="U764" s="3"/>
      <c r="V764" s="3"/>
      <c r="W764" s="3"/>
      <c r="X764" s="3"/>
      <c r="Y764" s="3"/>
      <c r="Z764" s="3"/>
      <c r="AA764" s="3"/>
      <c r="AB764" s="3"/>
      <c r="AC764" s="3"/>
    </row>
    <row r="765">
      <c r="A765" s="3"/>
      <c r="B765" s="3"/>
      <c r="C765" s="3"/>
      <c r="D765" s="319"/>
      <c r="E765" s="3"/>
      <c r="F765" s="3"/>
      <c r="G765" s="3"/>
      <c r="H765" s="3"/>
      <c r="I765" s="3"/>
      <c r="J765" s="3"/>
      <c r="K765" s="3"/>
      <c r="L765" s="3"/>
      <c r="M765" s="3"/>
      <c r="N765" s="3"/>
      <c r="O765" s="3"/>
      <c r="P765" s="53"/>
      <c r="Q765" s="53"/>
      <c r="R765" s="618"/>
      <c r="S765" s="3"/>
      <c r="T765" s="3"/>
      <c r="U765" s="3"/>
      <c r="V765" s="3"/>
      <c r="W765" s="3"/>
      <c r="X765" s="3"/>
      <c r="Y765" s="3"/>
      <c r="Z765" s="3"/>
      <c r="AA765" s="3"/>
      <c r="AB765" s="3"/>
      <c r="AC765" s="3"/>
    </row>
    <row r="766">
      <c r="A766" s="3"/>
      <c r="B766" s="3"/>
      <c r="C766" s="3"/>
      <c r="D766" s="319"/>
      <c r="E766" s="3"/>
      <c r="F766" s="3"/>
      <c r="G766" s="3"/>
      <c r="H766" s="3"/>
      <c r="I766" s="3"/>
      <c r="J766" s="3"/>
      <c r="K766" s="3"/>
      <c r="L766" s="3"/>
      <c r="M766" s="3"/>
      <c r="N766" s="3"/>
      <c r="O766" s="3"/>
      <c r="P766" s="53"/>
      <c r="Q766" s="53"/>
      <c r="R766" s="618"/>
      <c r="S766" s="3"/>
      <c r="T766" s="3"/>
      <c r="U766" s="3"/>
      <c r="V766" s="3"/>
      <c r="W766" s="3"/>
      <c r="X766" s="3"/>
      <c r="Y766" s="3"/>
      <c r="Z766" s="3"/>
      <c r="AA766" s="3"/>
      <c r="AB766" s="3"/>
      <c r="AC766" s="3"/>
    </row>
    <row r="767">
      <c r="A767" s="3"/>
      <c r="B767" s="3"/>
      <c r="C767" s="3"/>
      <c r="D767" s="319"/>
      <c r="E767" s="3"/>
      <c r="F767" s="3"/>
      <c r="G767" s="3"/>
      <c r="H767" s="3"/>
      <c r="I767" s="3"/>
      <c r="J767" s="3"/>
      <c r="K767" s="3"/>
      <c r="L767" s="3"/>
      <c r="M767" s="3"/>
      <c r="N767" s="3"/>
      <c r="O767" s="3"/>
      <c r="P767" s="53"/>
      <c r="Q767" s="53"/>
      <c r="R767" s="618"/>
      <c r="S767" s="3"/>
      <c r="T767" s="3"/>
      <c r="U767" s="3"/>
      <c r="V767" s="3"/>
      <c r="W767" s="3"/>
      <c r="X767" s="3"/>
      <c r="Y767" s="3"/>
      <c r="Z767" s="3"/>
      <c r="AA767" s="3"/>
      <c r="AB767" s="3"/>
      <c r="AC767" s="3"/>
    </row>
    <row r="768">
      <c r="A768" s="3"/>
      <c r="B768" s="3"/>
      <c r="C768" s="3"/>
      <c r="D768" s="319"/>
      <c r="E768" s="3"/>
      <c r="F768" s="3"/>
      <c r="G768" s="3"/>
      <c r="H768" s="3"/>
      <c r="I768" s="3"/>
      <c r="J768" s="3"/>
      <c r="K768" s="3"/>
      <c r="L768" s="3"/>
      <c r="M768" s="3"/>
      <c r="N768" s="3"/>
      <c r="O768" s="3"/>
      <c r="P768" s="53"/>
      <c r="Q768" s="53"/>
      <c r="R768" s="618"/>
      <c r="S768" s="3"/>
      <c r="T768" s="3"/>
      <c r="U768" s="3"/>
      <c r="V768" s="3"/>
      <c r="W768" s="3"/>
      <c r="X768" s="3"/>
      <c r="Y768" s="3"/>
      <c r="Z768" s="3"/>
      <c r="AA768" s="3"/>
      <c r="AB768" s="3"/>
      <c r="AC768" s="3"/>
    </row>
    <row r="769">
      <c r="A769" s="3"/>
      <c r="B769" s="3"/>
      <c r="C769" s="3"/>
      <c r="D769" s="319"/>
      <c r="E769" s="3"/>
      <c r="F769" s="3"/>
      <c r="G769" s="3"/>
      <c r="H769" s="3"/>
      <c r="I769" s="3"/>
      <c r="J769" s="3"/>
      <c r="K769" s="3"/>
      <c r="L769" s="3"/>
      <c r="M769" s="3"/>
      <c r="N769" s="3"/>
      <c r="O769" s="3"/>
      <c r="P769" s="53"/>
      <c r="Q769" s="53"/>
      <c r="R769" s="618"/>
      <c r="S769" s="3"/>
      <c r="T769" s="3"/>
      <c r="U769" s="3"/>
      <c r="V769" s="3"/>
      <c r="W769" s="3"/>
      <c r="X769" s="3"/>
      <c r="Y769" s="3"/>
      <c r="Z769" s="3"/>
      <c r="AA769" s="3"/>
      <c r="AB769" s="3"/>
      <c r="AC769" s="3"/>
    </row>
    <row r="770">
      <c r="A770" s="3"/>
      <c r="B770" s="3"/>
      <c r="C770" s="3"/>
      <c r="D770" s="319"/>
      <c r="E770" s="3"/>
      <c r="F770" s="3"/>
      <c r="G770" s="3"/>
      <c r="H770" s="3"/>
      <c r="I770" s="3"/>
      <c r="J770" s="3"/>
      <c r="K770" s="3"/>
      <c r="L770" s="3"/>
      <c r="M770" s="3"/>
      <c r="N770" s="3"/>
      <c r="O770" s="3"/>
      <c r="P770" s="53"/>
      <c r="Q770" s="53"/>
      <c r="R770" s="618"/>
      <c r="S770" s="3"/>
      <c r="T770" s="3"/>
      <c r="U770" s="3"/>
      <c r="V770" s="3"/>
      <c r="W770" s="3"/>
      <c r="X770" s="3"/>
      <c r="Y770" s="3"/>
      <c r="Z770" s="3"/>
      <c r="AA770" s="3"/>
      <c r="AB770" s="3"/>
      <c r="AC770" s="3"/>
    </row>
    <row r="771">
      <c r="A771" s="3"/>
      <c r="B771" s="3"/>
      <c r="C771" s="3"/>
      <c r="D771" s="319"/>
      <c r="E771" s="3"/>
      <c r="F771" s="3"/>
      <c r="G771" s="3"/>
      <c r="H771" s="3"/>
      <c r="I771" s="3"/>
      <c r="J771" s="3"/>
      <c r="K771" s="3"/>
      <c r="L771" s="3"/>
      <c r="M771" s="3"/>
      <c r="N771" s="3"/>
      <c r="O771" s="3"/>
      <c r="P771" s="53"/>
      <c r="Q771" s="53"/>
      <c r="R771" s="618"/>
      <c r="S771" s="3"/>
      <c r="T771" s="3"/>
      <c r="U771" s="3"/>
      <c r="V771" s="3"/>
      <c r="W771" s="3"/>
      <c r="X771" s="3"/>
      <c r="Y771" s="3"/>
      <c r="Z771" s="3"/>
      <c r="AA771" s="3"/>
      <c r="AB771" s="3"/>
      <c r="AC771" s="3"/>
    </row>
    <row r="772">
      <c r="A772" s="3"/>
      <c r="B772" s="3"/>
      <c r="C772" s="3"/>
      <c r="D772" s="319"/>
      <c r="E772" s="3"/>
      <c r="F772" s="3"/>
      <c r="G772" s="3"/>
      <c r="H772" s="3"/>
      <c r="I772" s="3"/>
      <c r="J772" s="3"/>
      <c r="K772" s="3"/>
      <c r="L772" s="3"/>
      <c r="M772" s="3"/>
      <c r="N772" s="3"/>
      <c r="O772" s="3"/>
      <c r="P772" s="53"/>
      <c r="Q772" s="53"/>
      <c r="R772" s="618"/>
      <c r="S772" s="3"/>
      <c r="T772" s="3"/>
      <c r="U772" s="3"/>
      <c r="V772" s="3"/>
      <c r="W772" s="3"/>
      <c r="X772" s="3"/>
      <c r="Y772" s="3"/>
      <c r="Z772" s="3"/>
      <c r="AA772" s="3"/>
      <c r="AB772" s="3"/>
      <c r="AC772" s="3"/>
    </row>
    <row r="773">
      <c r="A773" s="3"/>
      <c r="B773" s="3"/>
      <c r="C773" s="3"/>
      <c r="D773" s="319"/>
      <c r="E773" s="3"/>
      <c r="F773" s="3"/>
      <c r="G773" s="3"/>
      <c r="H773" s="3"/>
      <c r="I773" s="3"/>
      <c r="J773" s="3"/>
      <c r="K773" s="3"/>
      <c r="L773" s="3"/>
      <c r="M773" s="3"/>
      <c r="N773" s="3"/>
      <c r="O773" s="3"/>
      <c r="P773" s="53"/>
      <c r="Q773" s="53"/>
      <c r="R773" s="618"/>
      <c r="S773" s="3"/>
      <c r="T773" s="3"/>
      <c r="U773" s="3"/>
      <c r="V773" s="3"/>
      <c r="W773" s="3"/>
      <c r="X773" s="3"/>
      <c r="Y773" s="3"/>
      <c r="Z773" s="3"/>
      <c r="AA773" s="3"/>
      <c r="AB773" s="3"/>
      <c r="AC773" s="3"/>
    </row>
    <row r="774">
      <c r="A774" s="3"/>
      <c r="B774" s="3"/>
      <c r="C774" s="3"/>
      <c r="D774" s="319"/>
      <c r="E774" s="3"/>
      <c r="F774" s="3"/>
      <c r="G774" s="3"/>
      <c r="H774" s="3"/>
      <c r="I774" s="3"/>
      <c r="J774" s="3"/>
      <c r="K774" s="3"/>
      <c r="L774" s="3"/>
      <c r="M774" s="3"/>
      <c r="N774" s="3"/>
      <c r="O774" s="3"/>
      <c r="P774" s="53"/>
      <c r="Q774" s="53"/>
      <c r="R774" s="618"/>
      <c r="S774" s="3"/>
      <c r="T774" s="3"/>
      <c r="U774" s="3"/>
      <c r="V774" s="3"/>
      <c r="W774" s="3"/>
      <c r="X774" s="3"/>
      <c r="Y774" s="3"/>
      <c r="Z774" s="3"/>
      <c r="AA774" s="3"/>
      <c r="AB774" s="3"/>
      <c r="AC774" s="3"/>
    </row>
    <row r="775">
      <c r="A775" s="3"/>
      <c r="B775" s="3"/>
      <c r="C775" s="3"/>
      <c r="D775" s="319"/>
      <c r="E775" s="3"/>
      <c r="F775" s="3"/>
      <c r="G775" s="3"/>
      <c r="H775" s="3"/>
      <c r="I775" s="3"/>
      <c r="J775" s="3"/>
      <c r="K775" s="3"/>
      <c r="L775" s="3"/>
      <c r="M775" s="3"/>
      <c r="N775" s="3"/>
      <c r="O775" s="3"/>
      <c r="P775" s="53"/>
      <c r="Q775" s="53"/>
      <c r="R775" s="618"/>
      <c r="S775" s="3"/>
      <c r="T775" s="3"/>
      <c r="U775" s="3"/>
      <c r="V775" s="3"/>
      <c r="W775" s="3"/>
      <c r="X775" s="3"/>
      <c r="Y775" s="3"/>
      <c r="Z775" s="3"/>
      <c r="AA775" s="3"/>
      <c r="AB775" s="3"/>
      <c r="AC775" s="3"/>
    </row>
    <row r="776">
      <c r="A776" s="3"/>
      <c r="B776" s="3"/>
      <c r="C776" s="3"/>
      <c r="D776" s="319"/>
      <c r="E776" s="3"/>
      <c r="F776" s="3"/>
      <c r="G776" s="3"/>
      <c r="H776" s="3"/>
      <c r="I776" s="3"/>
      <c r="J776" s="3"/>
      <c r="K776" s="3"/>
      <c r="L776" s="3"/>
      <c r="M776" s="3"/>
      <c r="N776" s="3"/>
      <c r="O776" s="3"/>
      <c r="P776" s="53"/>
      <c r="Q776" s="53"/>
      <c r="R776" s="618"/>
      <c r="S776" s="3"/>
      <c r="T776" s="3"/>
      <c r="U776" s="3"/>
      <c r="V776" s="3"/>
      <c r="W776" s="3"/>
      <c r="X776" s="3"/>
      <c r="Y776" s="3"/>
      <c r="Z776" s="3"/>
      <c r="AA776" s="3"/>
      <c r="AB776" s="3"/>
      <c r="AC776" s="3"/>
    </row>
    <row r="777">
      <c r="A777" s="3"/>
      <c r="B777" s="3"/>
      <c r="C777" s="3"/>
      <c r="D777" s="319"/>
      <c r="E777" s="3"/>
      <c r="F777" s="3"/>
      <c r="G777" s="3"/>
      <c r="H777" s="3"/>
      <c r="I777" s="3"/>
      <c r="J777" s="3"/>
      <c r="K777" s="3"/>
      <c r="L777" s="3"/>
      <c r="M777" s="3"/>
      <c r="N777" s="3"/>
      <c r="O777" s="3"/>
      <c r="P777" s="53"/>
      <c r="Q777" s="53"/>
      <c r="R777" s="618"/>
      <c r="S777" s="3"/>
      <c r="T777" s="3"/>
      <c r="U777" s="3"/>
      <c r="V777" s="3"/>
      <c r="W777" s="3"/>
      <c r="X777" s="3"/>
      <c r="Y777" s="3"/>
      <c r="Z777" s="3"/>
      <c r="AA777" s="3"/>
      <c r="AB777" s="3"/>
      <c r="AC777" s="3"/>
    </row>
    <row r="778">
      <c r="A778" s="3"/>
      <c r="B778" s="3"/>
      <c r="C778" s="3"/>
      <c r="D778" s="319"/>
      <c r="E778" s="3"/>
      <c r="F778" s="3"/>
      <c r="G778" s="3"/>
      <c r="H778" s="3"/>
      <c r="I778" s="3"/>
      <c r="J778" s="3"/>
      <c r="K778" s="3"/>
      <c r="L778" s="3"/>
      <c r="M778" s="3"/>
      <c r="N778" s="3"/>
      <c r="O778" s="3"/>
      <c r="P778" s="53"/>
      <c r="Q778" s="53"/>
      <c r="R778" s="618"/>
      <c r="S778" s="3"/>
      <c r="T778" s="3"/>
      <c r="U778" s="3"/>
      <c r="V778" s="3"/>
      <c r="W778" s="3"/>
      <c r="X778" s="3"/>
      <c r="Y778" s="3"/>
      <c r="Z778" s="3"/>
      <c r="AA778" s="3"/>
      <c r="AB778" s="3"/>
      <c r="AC778" s="3"/>
    </row>
    <row r="779">
      <c r="A779" s="3"/>
      <c r="B779" s="3"/>
      <c r="C779" s="3"/>
      <c r="D779" s="319"/>
      <c r="E779" s="3"/>
      <c r="F779" s="3"/>
      <c r="G779" s="3"/>
      <c r="H779" s="3"/>
      <c r="I779" s="3"/>
      <c r="J779" s="3"/>
      <c r="K779" s="3"/>
      <c r="L779" s="3"/>
      <c r="M779" s="3"/>
      <c r="N779" s="3"/>
      <c r="O779" s="3"/>
      <c r="P779" s="53"/>
      <c r="Q779" s="53"/>
      <c r="R779" s="618"/>
      <c r="S779" s="3"/>
      <c r="T779" s="3"/>
      <c r="U779" s="3"/>
      <c r="V779" s="3"/>
      <c r="W779" s="3"/>
      <c r="X779" s="3"/>
      <c r="Y779" s="3"/>
      <c r="Z779" s="3"/>
      <c r="AA779" s="3"/>
      <c r="AB779" s="3"/>
      <c r="AC779" s="3"/>
    </row>
    <row r="780">
      <c r="A780" s="3"/>
      <c r="B780" s="3"/>
      <c r="C780" s="3"/>
      <c r="D780" s="319"/>
      <c r="E780" s="3"/>
      <c r="F780" s="3"/>
      <c r="G780" s="3"/>
      <c r="H780" s="3"/>
      <c r="I780" s="3"/>
      <c r="J780" s="3"/>
      <c r="K780" s="3"/>
      <c r="L780" s="3"/>
      <c r="M780" s="3"/>
      <c r="N780" s="3"/>
      <c r="O780" s="3"/>
      <c r="P780" s="53"/>
      <c r="Q780" s="53"/>
      <c r="R780" s="618"/>
      <c r="S780" s="3"/>
      <c r="T780" s="3"/>
      <c r="U780" s="3"/>
      <c r="V780" s="3"/>
      <c r="W780" s="3"/>
      <c r="X780" s="3"/>
      <c r="Y780" s="3"/>
      <c r="Z780" s="3"/>
      <c r="AA780" s="3"/>
      <c r="AB780" s="3"/>
      <c r="AC780" s="3"/>
    </row>
    <row r="781">
      <c r="A781" s="3"/>
      <c r="B781" s="3"/>
      <c r="C781" s="3"/>
      <c r="D781" s="319"/>
      <c r="E781" s="3"/>
      <c r="F781" s="3"/>
      <c r="G781" s="3"/>
      <c r="H781" s="3"/>
      <c r="I781" s="3"/>
      <c r="J781" s="3"/>
      <c r="K781" s="3"/>
      <c r="L781" s="3"/>
      <c r="M781" s="3"/>
      <c r="N781" s="3"/>
      <c r="O781" s="3"/>
      <c r="P781" s="53"/>
      <c r="Q781" s="53"/>
      <c r="R781" s="618"/>
      <c r="S781" s="3"/>
      <c r="T781" s="3"/>
      <c r="U781" s="3"/>
      <c r="V781" s="3"/>
      <c r="W781" s="3"/>
      <c r="X781" s="3"/>
      <c r="Y781" s="3"/>
      <c r="Z781" s="3"/>
      <c r="AA781" s="3"/>
      <c r="AB781" s="3"/>
      <c r="AC781" s="3"/>
    </row>
    <row r="782">
      <c r="A782" s="3"/>
      <c r="B782" s="3"/>
      <c r="C782" s="3"/>
      <c r="D782" s="319"/>
      <c r="E782" s="3"/>
      <c r="F782" s="3"/>
      <c r="G782" s="3"/>
      <c r="H782" s="3"/>
      <c r="I782" s="3"/>
      <c r="J782" s="3"/>
      <c r="K782" s="3"/>
      <c r="L782" s="3"/>
      <c r="M782" s="3"/>
      <c r="N782" s="3"/>
      <c r="O782" s="3"/>
      <c r="P782" s="53"/>
      <c r="Q782" s="53"/>
      <c r="R782" s="618"/>
      <c r="S782" s="3"/>
      <c r="T782" s="3"/>
      <c r="U782" s="3"/>
      <c r="V782" s="3"/>
      <c r="W782" s="3"/>
      <c r="X782" s="3"/>
      <c r="Y782" s="3"/>
      <c r="Z782" s="3"/>
      <c r="AA782" s="3"/>
      <c r="AB782" s="3"/>
      <c r="AC782" s="3"/>
    </row>
    <row r="783">
      <c r="A783" s="3"/>
      <c r="B783" s="3"/>
      <c r="C783" s="3"/>
      <c r="D783" s="319"/>
      <c r="E783" s="3"/>
      <c r="F783" s="3"/>
      <c r="G783" s="3"/>
      <c r="H783" s="3"/>
      <c r="I783" s="3"/>
      <c r="J783" s="3"/>
      <c r="K783" s="3"/>
      <c r="L783" s="3"/>
      <c r="M783" s="3"/>
      <c r="N783" s="3"/>
      <c r="O783" s="3"/>
      <c r="P783" s="53"/>
      <c r="Q783" s="53"/>
      <c r="R783" s="618"/>
      <c r="S783" s="3"/>
      <c r="T783" s="3"/>
      <c r="U783" s="3"/>
      <c r="V783" s="3"/>
      <c r="W783" s="3"/>
      <c r="X783" s="3"/>
      <c r="Y783" s="3"/>
      <c r="Z783" s="3"/>
      <c r="AA783" s="3"/>
      <c r="AB783" s="3"/>
      <c r="AC783" s="3"/>
    </row>
    <row r="784">
      <c r="A784" s="3"/>
      <c r="B784" s="3"/>
      <c r="C784" s="3"/>
      <c r="D784" s="319"/>
      <c r="E784" s="3"/>
      <c r="F784" s="3"/>
      <c r="G784" s="3"/>
      <c r="H784" s="3"/>
      <c r="I784" s="3"/>
      <c r="J784" s="3"/>
      <c r="K784" s="3"/>
      <c r="L784" s="3"/>
      <c r="M784" s="3"/>
      <c r="N784" s="3"/>
      <c r="O784" s="3"/>
      <c r="P784" s="53"/>
      <c r="Q784" s="53"/>
      <c r="R784" s="618"/>
      <c r="S784" s="3"/>
      <c r="T784" s="3"/>
      <c r="U784" s="3"/>
      <c r="V784" s="3"/>
      <c r="W784" s="3"/>
      <c r="X784" s="3"/>
      <c r="Y784" s="3"/>
      <c r="Z784" s="3"/>
      <c r="AA784" s="3"/>
      <c r="AB784" s="3"/>
      <c r="AC784" s="3"/>
    </row>
    <row r="785">
      <c r="A785" s="3"/>
      <c r="B785" s="3"/>
      <c r="C785" s="3"/>
      <c r="D785" s="319"/>
      <c r="E785" s="3"/>
      <c r="F785" s="3"/>
      <c r="G785" s="3"/>
      <c r="H785" s="3"/>
      <c r="I785" s="3"/>
      <c r="J785" s="3"/>
      <c r="K785" s="3"/>
      <c r="L785" s="3"/>
      <c r="M785" s="3"/>
      <c r="N785" s="3"/>
      <c r="O785" s="3"/>
      <c r="P785" s="53"/>
      <c r="Q785" s="53"/>
      <c r="R785" s="618"/>
      <c r="S785" s="3"/>
      <c r="T785" s="3"/>
      <c r="U785" s="3"/>
      <c r="V785" s="3"/>
      <c r="W785" s="3"/>
      <c r="X785" s="3"/>
      <c r="Y785" s="3"/>
      <c r="Z785" s="3"/>
      <c r="AA785" s="3"/>
      <c r="AB785" s="3"/>
      <c r="AC785" s="3"/>
    </row>
    <row r="786">
      <c r="A786" s="3"/>
      <c r="B786" s="3"/>
      <c r="C786" s="3"/>
      <c r="D786" s="319"/>
      <c r="E786" s="3"/>
      <c r="F786" s="3"/>
      <c r="G786" s="3"/>
      <c r="H786" s="3"/>
      <c r="I786" s="3"/>
      <c r="J786" s="3"/>
      <c r="K786" s="3"/>
      <c r="L786" s="3"/>
      <c r="M786" s="3"/>
      <c r="N786" s="3"/>
      <c r="O786" s="3"/>
      <c r="P786" s="53"/>
      <c r="Q786" s="53"/>
      <c r="R786" s="618"/>
      <c r="S786" s="3"/>
      <c r="T786" s="3"/>
      <c r="U786" s="3"/>
      <c r="V786" s="3"/>
      <c r="W786" s="3"/>
      <c r="X786" s="3"/>
      <c r="Y786" s="3"/>
      <c r="Z786" s="3"/>
      <c r="AA786" s="3"/>
      <c r="AB786" s="3"/>
      <c r="AC786" s="3"/>
    </row>
    <row r="787">
      <c r="A787" s="3"/>
      <c r="B787" s="3"/>
      <c r="C787" s="3"/>
      <c r="D787" s="319"/>
      <c r="E787" s="3"/>
      <c r="F787" s="3"/>
      <c r="G787" s="3"/>
      <c r="H787" s="3"/>
      <c r="I787" s="3"/>
      <c r="J787" s="3"/>
      <c r="K787" s="3"/>
      <c r="L787" s="3"/>
      <c r="M787" s="3"/>
      <c r="N787" s="3"/>
      <c r="O787" s="3"/>
      <c r="P787" s="53"/>
      <c r="Q787" s="53"/>
      <c r="R787" s="618"/>
      <c r="S787" s="3"/>
      <c r="T787" s="3"/>
      <c r="U787" s="3"/>
      <c r="V787" s="3"/>
      <c r="W787" s="3"/>
      <c r="X787" s="3"/>
      <c r="Y787" s="3"/>
      <c r="Z787" s="3"/>
      <c r="AA787" s="3"/>
      <c r="AB787" s="3"/>
      <c r="AC787" s="3"/>
    </row>
    <row r="788">
      <c r="A788" s="3"/>
      <c r="B788" s="3"/>
      <c r="C788" s="3"/>
      <c r="D788" s="319"/>
      <c r="E788" s="3"/>
      <c r="F788" s="3"/>
      <c r="G788" s="3"/>
      <c r="H788" s="3"/>
      <c r="I788" s="3"/>
      <c r="J788" s="3"/>
      <c r="K788" s="3"/>
      <c r="L788" s="3"/>
      <c r="M788" s="3"/>
      <c r="N788" s="3"/>
      <c r="O788" s="3"/>
      <c r="P788" s="53"/>
      <c r="Q788" s="53"/>
      <c r="R788" s="618"/>
      <c r="S788" s="3"/>
      <c r="T788" s="3"/>
      <c r="U788" s="3"/>
      <c r="V788" s="3"/>
      <c r="W788" s="3"/>
      <c r="X788" s="3"/>
      <c r="Y788" s="3"/>
      <c r="Z788" s="3"/>
      <c r="AA788" s="3"/>
      <c r="AB788" s="3"/>
      <c r="AC788" s="3"/>
    </row>
    <row r="789">
      <c r="A789" s="3"/>
      <c r="B789" s="3"/>
      <c r="C789" s="3"/>
      <c r="D789" s="319"/>
      <c r="E789" s="3"/>
      <c r="F789" s="3"/>
      <c r="G789" s="3"/>
      <c r="H789" s="3"/>
      <c r="I789" s="3"/>
      <c r="J789" s="3"/>
      <c r="K789" s="3"/>
      <c r="L789" s="3"/>
      <c r="M789" s="3"/>
      <c r="N789" s="3"/>
      <c r="O789" s="3"/>
      <c r="P789" s="53"/>
      <c r="Q789" s="53"/>
      <c r="R789" s="618"/>
      <c r="S789" s="3"/>
      <c r="T789" s="3"/>
      <c r="U789" s="3"/>
      <c r="V789" s="3"/>
      <c r="W789" s="3"/>
      <c r="X789" s="3"/>
      <c r="Y789" s="3"/>
      <c r="Z789" s="3"/>
      <c r="AA789" s="3"/>
      <c r="AB789" s="3"/>
      <c r="AC789" s="3"/>
    </row>
    <row r="790">
      <c r="A790" s="3"/>
      <c r="B790" s="3"/>
      <c r="C790" s="3"/>
      <c r="D790" s="319"/>
      <c r="E790" s="3"/>
      <c r="F790" s="3"/>
      <c r="G790" s="3"/>
      <c r="H790" s="3"/>
      <c r="I790" s="3"/>
      <c r="J790" s="3"/>
      <c r="K790" s="3"/>
      <c r="L790" s="3"/>
      <c r="M790" s="3"/>
      <c r="N790" s="3"/>
      <c r="O790" s="3"/>
      <c r="P790" s="53"/>
      <c r="Q790" s="53"/>
      <c r="R790" s="618"/>
      <c r="S790" s="3"/>
      <c r="T790" s="3"/>
      <c r="U790" s="3"/>
      <c r="V790" s="3"/>
      <c r="W790" s="3"/>
      <c r="X790" s="3"/>
      <c r="Y790" s="3"/>
      <c r="Z790" s="3"/>
      <c r="AA790" s="3"/>
      <c r="AB790" s="3"/>
      <c r="AC790" s="3"/>
    </row>
    <row r="791">
      <c r="A791" s="3"/>
      <c r="B791" s="3"/>
      <c r="C791" s="3"/>
      <c r="D791" s="319"/>
      <c r="E791" s="3"/>
      <c r="F791" s="3"/>
      <c r="G791" s="3"/>
      <c r="H791" s="3"/>
      <c r="I791" s="3"/>
      <c r="J791" s="3"/>
      <c r="K791" s="3"/>
      <c r="L791" s="3"/>
      <c r="M791" s="3"/>
      <c r="N791" s="3"/>
      <c r="O791" s="3"/>
      <c r="P791" s="53"/>
      <c r="Q791" s="53"/>
      <c r="R791" s="618"/>
      <c r="S791" s="3"/>
      <c r="T791" s="3"/>
      <c r="U791" s="3"/>
      <c r="V791" s="3"/>
      <c r="W791" s="3"/>
      <c r="X791" s="3"/>
      <c r="Y791" s="3"/>
      <c r="Z791" s="3"/>
      <c r="AA791" s="3"/>
      <c r="AB791" s="3"/>
      <c r="AC791" s="3"/>
    </row>
    <row r="792">
      <c r="A792" s="3"/>
      <c r="B792" s="3"/>
      <c r="C792" s="3"/>
      <c r="D792" s="319"/>
      <c r="E792" s="3"/>
      <c r="F792" s="3"/>
      <c r="G792" s="3"/>
      <c r="H792" s="3"/>
      <c r="I792" s="3"/>
      <c r="J792" s="3"/>
      <c r="K792" s="3"/>
      <c r="L792" s="3"/>
      <c r="M792" s="3"/>
      <c r="N792" s="3"/>
      <c r="O792" s="3"/>
      <c r="P792" s="53"/>
      <c r="Q792" s="53"/>
      <c r="R792" s="618"/>
      <c r="S792" s="3"/>
      <c r="T792" s="3"/>
      <c r="U792" s="3"/>
      <c r="V792" s="3"/>
      <c r="W792" s="3"/>
      <c r="X792" s="3"/>
      <c r="Y792" s="3"/>
      <c r="Z792" s="3"/>
      <c r="AA792" s="3"/>
      <c r="AB792" s="3"/>
      <c r="AC792" s="3"/>
    </row>
    <row r="793">
      <c r="A793" s="3"/>
      <c r="B793" s="3"/>
      <c r="C793" s="3"/>
      <c r="D793" s="319"/>
      <c r="E793" s="3"/>
      <c r="F793" s="3"/>
      <c r="G793" s="3"/>
      <c r="H793" s="3"/>
      <c r="I793" s="3"/>
      <c r="J793" s="3"/>
      <c r="K793" s="3"/>
      <c r="L793" s="3"/>
      <c r="M793" s="3"/>
      <c r="N793" s="3"/>
      <c r="O793" s="3"/>
      <c r="P793" s="53"/>
      <c r="Q793" s="53"/>
      <c r="R793" s="618"/>
      <c r="S793" s="3"/>
      <c r="T793" s="3"/>
      <c r="U793" s="3"/>
      <c r="V793" s="3"/>
      <c r="W793" s="3"/>
      <c r="X793" s="3"/>
      <c r="Y793" s="3"/>
      <c r="Z793" s="3"/>
      <c r="AA793" s="3"/>
      <c r="AB793" s="3"/>
      <c r="AC793" s="3"/>
    </row>
    <row r="794">
      <c r="A794" s="3"/>
      <c r="B794" s="3"/>
      <c r="C794" s="3"/>
      <c r="D794" s="319"/>
      <c r="E794" s="3"/>
      <c r="F794" s="3"/>
      <c r="G794" s="3"/>
      <c r="H794" s="3"/>
      <c r="I794" s="3"/>
      <c r="J794" s="3"/>
      <c r="K794" s="3"/>
      <c r="L794" s="3"/>
      <c r="M794" s="3"/>
      <c r="N794" s="3"/>
      <c r="O794" s="3"/>
      <c r="P794" s="53"/>
      <c r="Q794" s="53"/>
      <c r="R794" s="618"/>
      <c r="S794" s="3"/>
      <c r="T794" s="3"/>
      <c r="U794" s="3"/>
      <c r="V794" s="3"/>
      <c r="W794" s="3"/>
      <c r="X794" s="3"/>
      <c r="Y794" s="3"/>
      <c r="Z794" s="3"/>
      <c r="AA794" s="3"/>
      <c r="AB794" s="3"/>
      <c r="AC794" s="3"/>
    </row>
    <row r="795">
      <c r="A795" s="3"/>
      <c r="B795" s="3"/>
      <c r="C795" s="3"/>
      <c r="D795" s="319"/>
      <c r="E795" s="3"/>
      <c r="F795" s="3"/>
      <c r="G795" s="3"/>
      <c r="H795" s="3"/>
      <c r="I795" s="3"/>
      <c r="J795" s="3"/>
      <c r="K795" s="3"/>
      <c r="L795" s="3"/>
      <c r="M795" s="3"/>
      <c r="N795" s="3"/>
      <c r="O795" s="3"/>
      <c r="P795" s="53"/>
      <c r="Q795" s="53"/>
      <c r="R795" s="618"/>
      <c r="S795" s="3"/>
      <c r="T795" s="3"/>
      <c r="U795" s="3"/>
      <c r="V795" s="3"/>
      <c r="W795" s="3"/>
      <c r="X795" s="3"/>
      <c r="Y795" s="3"/>
      <c r="Z795" s="3"/>
      <c r="AA795" s="3"/>
      <c r="AB795" s="3"/>
      <c r="AC795" s="3"/>
    </row>
    <row r="796">
      <c r="A796" s="3"/>
      <c r="B796" s="3"/>
      <c r="C796" s="3"/>
      <c r="D796" s="319"/>
      <c r="E796" s="3"/>
      <c r="F796" s="3"/>
      <c r="G796" s="3"/>
      <c r="H796" s="3"/>
      <c r="I796" s="3"/>
      <c r="J796" s="3"/>
      <c r="K796" s="3"/>
      <c r="L796" s="3"/>
      <c r="M796" s="3"/>
      <c r="N796" s="3"/>
      <c r="O796" s="3"/>
      <c r="P796" s="53"/>
      <c r="Q796" s="53"/>
      <c r="R796" s="618"/>
      <c r="S796" s="3"/>
      <c r="T796" s="3"/>
      <c r="U796" s="3"/>
      <c r="V796" s="3"/>
      <c r="W796" s="3"/>
      <c r="X796" s="3"/>
      <c r="Y796" s="3"/>
      <c r="Z796" s="3"/>
      <c r="AA796" s="3"/>
      <c r="AB796" s="3"/>
      <c r="AC796" s="3"/>
    </row>
    <row r="797">
      <c r="A797" s="3"/>
      <c r="B797" s="3"/>
      <c r="C797" s="3"/>
      <c r="D797" s="319"/>
      <c r="E797" s="3"/>
      <c r="F797" s="3"/>
      <c r="G797" s="3"/>
      <c r="H797" s="3"/>
      <c r="I797" s="3"/>
      <c r="J797" s="3"/>
      <c r="K797" s="3"/>
      <c r="L797" s="3"/>
      <c r="M797" s="3"/>
      <c r="N797" s="3"/>
      <c r="O797" s="3"/>
      <c r="P797" s="53"/>
      <c r="Q797" s="53"/>
      <c r="R797" s="618"/>
      <c r="S797" s="3"/>
      <c r="T797" s="3"/>
      <c r="U797" s="3"/>
      <c r="V797" s="3"/>
      <c r="W797" s="3"/>
      <c r="X797" s="3"/>
      <c r="Y797" s="3"/>
      <c r="Z797" s="3"/>
      <c r="AA797" s="3"/>
      <c r="AB797" s="3"/>
      <c r="AC797" s="3"/>
    </row>
    <row r="798">
      <c r="A798" s="3"/>
      <c r="B798" s="3"/>
      <c r="C798" s="3"/>
      <c r="D798" s="319"/>
      <c r="E798" s="3"/>
      <c r="F798" s="3"/>
      <c r="G798" s="3"/>
      <c r="H798" s="3"/>
      <c r="I798" s="3"/>
      <c r="J798" s="3"/>
      <c r="K798" s="3"/>
      <c r="L798" s="3"/>
      <c r="M798" s="3"/>
      <c r="N798" s="3"/>
      <c r="O798" s="3"/>
      <c r="P798" s="53"/>
      <c r="Q798" s="53"/>
      <c r="R798" s="618"/>
      <c r="S798" s="3"/>
      <c r="T798" s="3"/>
      <c r="U798" s="3"/>
      <c r="V798" s="3"/>
      <c r="W798" s="3"/>
      <c r="X798" s="3"/>
      <c r="Y798" s="3"/>
      <c r="Z798" s="3"/>
      <c r="AA798" s="3"/>
      <c r="AB798" s="3"/>
      <c r="AC798" s="3"/>
    </row>
    <row r="799">
      <c r="A799" s="3"/>
      <c r="B799" s="3"/>
      <c r="C799" s="3"/>
      <c r="D799" s="319"/>
      <c r="E799" s="3"/>
      <c r="F799" s="3"/>
      <c r="G799" s="3"/>
      <c r="H799" s="3"/>
      <c r="I799" s="3"/>
      <c r="J799" s="3"/>
      <c r="K799" s="3"/>
      <c r="L799" s="3"/>
      <c r="M799" s="3"/>
      <c r="N799" s="3"/>
      <c r="O799" s="3"/>
      <c r="P799" s="53"/>
      <c r="Q799" s="53"/>
      <c r="R799" s="618"/>
      <c r="S799" s="3"/>
      <c r="T799" s="3"/>
      <c r="U799" s="3"/>
      <c r="V799" s="3"/>
      <c r="W799" s="3"/>
      <c r="X799" s="3"/>
      <c r="Y799" s="3"/>
      <c r="Z799" s="3"/>
      <c r="AA799" s="3"/>
      <c r="AB799" s="3"/>
      <c r="AC799" s="3"/>
    </row>
    <row r="800">
      <c r="A800" s="3"/>
      <c r="B800" s="3"/>
      <c r="C800" s="3"/>
      <c r="D800" s="319"/>
      <c r="E800" s="3"/>
      <c r="F800" s="3"/>
      <c r="G800" s="3"/>
      <c r="H800" s="3"/>
      <c r="I800" s="3"/>
      <c r="J800" s="3"/>
      <c r="K800" s="3"/>
      <c r="L800" s="3"/>
      <c r="M800" s="3"/>
      <c r="N800" s="3"/>
      <c r="O800" s="3"/>
      <c r="P800" s="53"/>
      <c r="Q800" s="53"/>
      <c r="R800" s="618"/>
      <c r="S800" s="3"/>
      <c r="T800" s="3"/>
      <c r="U800" s="3"/>
      <c r="V800" s="3"/>
      <c r="W800" s="3"/>
      <c r="X800" s="3"/>
      <c r="Y800" s="3"/>
      <c r="Z800" s="3"/>
      <c r="AA800" s="3"/>
      <c r="AB800" s="3"/>
      <c r="AC800" s="3"/>
    </row>
    <row r="801">
      <c r="A801" s="3"/>
      <c r="B801" s="3"/>
      <c r="C801" s="3"/>
      <c r="D801" s="319"/>
      <c r="E801" s="3"/>
      <c r="F801" s="3"/>
      <c r="G801" s="3"/>
      <c r="H801" s="3"/>
      <c r="I801" s="3"/>
      <c r="J801" s="3"/>
      <c r="K801" s="3"/>
      <c r="L801" s="3"/>
      <c r="M801" s="3"/>
      <c r="N801" s="3"/>
      <c r="O801" s="3"/>
      <c r="P801" s="53"/>
      <c r="Q801" s="53"/>
      <c r="R801" s="618"/>
      <c r="S801" s="3"/>
      <c r="T801" s="3"/>
      <c r="U801" s="3"/>
      <c r="V801" s="3"/>
      <c r="W801" s="3"/>
      <c r="X801" s="3"/>
      <c r="Y801" s="3"/>
      <c r="Z801" s="3"/>
      <c r="AA801" s="3"/>
      <c r="AB801" s="3"/>
      <c r="AC801" s="3"/>
    </row>
    <row r="802">
      <c r="A802" s="3"/>
      <c r="B802" s="3"/>
      <c r="C802" s="3"/>
      <c r="D802" s="319"/>
      <c r="E802" s="3"/>
      <c r="F802" s="3"/>
      <c r="G802" s="3"/>
      <c r="H802" s="3"/>
      <c r="I802" s="3"/>
      <c r="J802" s="3"/>
      <c r="K802" s="3"/>
      <c r="L802" s="3"/>
      <c r="M802" s="3"/>
      <c r="N802" s="3"/>
      <c r="O802" s="3"/>
      <c r="P802" s="53"/>
      <c r="Q802" s="53"/>
      <c r="R802" s="618"/>
      <c r="S802" s="3"/>
      <c r="T802" s="3"/>
      <c r="U802" s="3"/>
      <c r="V802" s="3"/>
      <c r="W802" s="3"/>
      <c r="X802" s="3"/>
      <c r="Y802" s="3"/>
      <c r="Z802" s="3"/>
      <c r="AA802" s="3"/>
      <c r="AB802" s="3"/>
      <c r="AC802" s="3"/>
    </row>
    <row r="803">
      <c r="A803" s="3"/>
      <c r="B803" s="3"/>
      <c r="C803" s="3"/>
      <c r="D803" s="319"/>
      <c r="E803" s="3"/>
      <c r="F803" s="3"/>
      <c r="G803" s="3"/>
      <c r="H803" s="3"/>
      <c r="I803" s="3"/>
      <c r="J803" s="3"/>
      <c r="K803" s="3"/>
      <c r="L803" s="3"/>
      <c r="M803" s="3"/>
      <c r="N803" s="3"/>
      <c r="O803" s="3"/>
      <c r="P803" s="53"/>
      <c r="Q803" s="53"/>
      <c r="R803" s="618"/>
      <c r="S803" s="3"/>
      <c r="T803" s="3"/>
      <c r="U803" s="3"/>
      <c r="V803" s="3"/>
      <c r="W803" s="3"/>
      <c r="X803" s="3"/>
      <c r="Y803" s="3"/>
      <c r="Z803" s="3"/>
      <c r="AA803" s="3"/>
      <c r="AB803" s="3"/>
      <c r="AC803" s="3"/>
    </row>
    <row r="804">
      <c r="A804" s="3"/>
      <c r="B804" s="3"/>
      <c r="C804" s="3"/>
      <c r="D804" s="319"/>
      <c r="E804" s="3"/>
      <c r="F804" s="3"/>
      <c r="G804" s="3"/>
      <c r="H804" s="3"/>
      <c r="I804" s="3"/>
      <c r="J804" s="3"/>
      <c r="K804" s="3"/>
      <c r="L804" s="3"/>
      <c r="M804" s="3"/>
      <c r="N804" s="3"/>
      <c r="O804" s="3"/>
      <c r="P804" s="53"/>
      <c r="Q804" s="53"/>
      <c r="R804" s="618"/>
      <c r="S804" s="3"/>
      <c r="T804" s="3"/>
      <c r="U804" s="3"/>
      <c r="V804" s="3"/>
      <c r="W804" s="3"/>
      <c r="X804" s="3"/>
      <c r="Y804" s="3"/>
      <c r="Z804" s="3"/>
      <c r="AA804" s="3"/>
      <c r="AB804" s="3"/>
      <c r="AC804" s="3"/>
    </row>
    <row r="805">
      <c r="A805" s="3"/>
      <c r="B805" s="3"/>
      <c r="C805" s="3"/>
      <c r="D805" s="319"/>
      <c r="E805" s="3"/>
      <c r="F805" s="3"/>
      <c r="G805" s="3"/>
      <c r="H805" s="3"/>
      <c r="I805" s="3"/>
      <c r="J805" s="3"/>
      <c r="K805" s="3"/>
      <c r="L805" s="3"/>
      <c r="M805" s="3"/>
      <c r="N805" s="3"/>
      <c r="O805" s="3"/>
      <c r="P805" s="53"/>
      <c r="Q805" s="53"/>
      <c r="R805" s="618"/>
      <c r="S805" s="3"/>
      <c r="T805" s="3"/>
      <c r="U805" s="3"/>
      <c r="V805" s="3"/>
      <c r="W805" s="3"/>
      <c r="X805" s="3"/>
      <c r="Y805" s="3"/>
      <c r="Z805" s="3"/>
      <c r="AA805" s="3"/>
      <c r="AB805" s="3"/>
      <c r="AC805" s="3"/>
    </row>
    <row r="806">
      <c r="A806" s="3"/>
      <c r="B806" s="3"/>
      <c r="C806" s="3"/>
      <c r="D806" s="319"/>
      <c r="E806" s="3"/>
      <c r="F806" s="3"/>
      <c r="G806" s="3"/>
      <c r="H806" s="3"/>
      <c r="I806" s="3"/>
      <c r="J806" s="3"/>
      <c r="K806" s="3"/>
      <c r="L806" s="3"/>
      <c r="M806" s="3"/>
      <c r="N806" s="3"/>
      <c r="O806" s="3"/>
      <c r="P806" s="53"/>
      <c r="Q806" s="53"/>
      <c r="R806" s="618"/>
      <c r="S806" s="3"/>
      <c r="T806" s="3"/>
      <c r="U806" s="3"/>
      <c r="V806" s="3"/>
      <c r="W806" s="3"/>
      <c r="X806" s="3"/>
      <c r="Y806" s="3"/>
      <c r="Z806" s="3"/>
      <c r="AA806" s="3"/>
      <c r="AB806" s="3"/>
      <c r="AC806" s="3"/>
    </row>
    <row r="807">
      <c r="A807" s="3"/>
      <c r="B807" s="3"/>
      <c r="C807" s="3"/>
      <c r="D807" s="319"/>
      <c r="E807" s="3"/>
      <c r="F807" s="3"/>
      <c r="G807" s="3"/>
      <c r="H807" s="3"/>
      <c r="I807" s="3"/>
      <c r="J807" s="3"/>
      <c r="K807" s="3"/>
      <c r="L807" s="3"/>
      <c r="M807" s="3"/>
      <c r="N807" s="3"/>
      <c r="O807" s="3"/>
      <c r="P807" s="53"/>
      <c r="Q807" s="53"/>
      <c r="R807" s="618"/>
      <c r="S807" s="3"/>
      <c r="T807" s="3"/>
      <c r="U807" s="3"/>
      <c r="V807" s="3"/>
      <c r="W807" s="3"/>
      <c r="X807" s="3"/>
      <c r="Y807" s="3"/>
      <c r="Z807" s="3"/>
      <c r="AA807" s="3"/>
      <c r="AB807" s="3"/>
      <c r="AC807" s="3"/>
    </row>
    <row r="808">
      <c r="A808" s="3"/>
      <c r="B808" s="3"/>
      <c r="C808" s="3"/>
      <c r="D808" s="319"/>
      <c r="E808" s="3"/>
      <c r="F808" s="3"/>
      <c r="G808" s="3"/>
      <c r="H808" s="3"/>
      <c r="I808" s="3"/>
      <c r="J808" s="3"/>
      <c r="K808" s="3"/>
      <c r="L808" s="3"/>
      <c r="M808" s="3"/>
      <c r="N808" s="3"/>
      <c r="O808" s="3"/>
      <c r="P808" s="53"/>
      <c r="Q808" s="53"/>
      <c r="R808" s="618"/>
      <c r="S808" s="3"/>
      <c r="T808" s="3"/>
      <c r="U808" s="3"/>
      <c r="V808" s="3"/>
      <c r="W808" s="3"/>
      <c r="X808" s="3"/>
      <c r="Y808" s="3"/>
      <c r="Z808" s="3"/>
      <c r="AA808" s="3"/>
      <c r="AB808" s="3"/>
      <c r="AC808" s="3"/>
    </row>
    <row r="809">
      <c r="A809" s="3"/>
      <c r="B809" s="3"/>
      <c r="C809" s="3"/>
      <c r="D809" s="319"/>
      <c r="E809" s="3"/>
      <c r="F809" s="3"/>
      <c r="G809" s="3"/>
      <c r="H809" s="3"/>
      <c r="I809" s="3"/>
      <c r="J809" s="3"/>
      <c r="K809" s="3"/>
      <c r="L809" s="3"/>
      <c r="M809" s="3"/>
      <c r="N809" s="3"/>
      <c r="O809" s="3"/>
      <c r="P809" s="53"/>
      <c r="Q809" s="53"/>
      <c r="R809" s="618"/>
      <c r="S809" s="3"/>
      <c r="T809" s="3"/>
      <c r="U809" s="3"/>
      <c r="V809" s="3"/>
      <c r="W809" s="3"/>
      <c r="X809" s="3"/>
      <c r="Y809" s="3"/>
      <c r="Z809" s="3"/>
      <c r="AA809" s="3"/>
      <c r="AB809" s="3"/>
      <c r="AC809" s="3"/>
    </row>
    <row r="810">
      <c r="A810" s="3"/>
      <c r="B810" s="3"/>
      <c r="C810" s="3"/>
      <c r="D810" s="319"/>
      <c r="E810" s="3"/>
      <c r="F810" s="3"/>
      <c r="G810" s="3"/>
      <c r="H810" s="3"/>
      <c r="I810" s="3"/>
      <c r="J810" s="3"/>
      <c r="K810" s="3"/>
      <c r="L810" s="3"/>
      <c r="M810" s="3"/>
      <c r="N810" s="3"/>
      <c r="O810" s="3"/>
      <c r="P810" s="53"/>
      <c r="Q810" s="53"/>
      <c r="R810" s="618"/>
      <c r="S810" s="3"/>
      <c r="T810" s="3"/>
      <c r="U810" s="3"/>
      <c r="V810" s="3"/>
      <c r="W810" s="3"/>
      <c r="X810" s="3"/>
      <c r="Y810" s="3"/>
      <c r="Z810" s="3"/>
      <c r="AA810" s="3"/>
      <c r="AB810" s="3"/>
      <c r="AC810" s="3"/>
    </row>
    <row r="811">
      <c r="A811" s="3"/>
      <c r="B811" s="3"/>
      <c r="C811" s="3"/>
      <c r="D811" s="319"/>
      <c r="E811" s="3"/>
      <c r="F811" s="3"/>
      <c r="G811" s="3"/>
      <c r="H811" s="3"/>
      <c r="I811" s="3"/>
      <c r="J811" s="3"/>
      <c r="K811" s="3"/>
      <c r="L811" s="3"/>
      <c r="M811" s="3"/>
      <c r="N811" s="3"/>
      <c r="O811" s="3"/>
      <c r="P811" s="53"/>
      <c r="Q811" s="53"/>
      <c r="R811" s="618"/>
      <c r="S811" s="3"/>
      <c r="T811" s="3"/>
      <c r="U811" s="3"/>
      <c r="V811" s="3"/>
      <c r="W811" s="3"/>
      <c r="X811" s="3"/>
      <c r="Y811" s="3"/>
      <c r="Z811" s="3"/>
      <c r="AA811" s="3"/>
      <c r="AB811" s="3"/>
      <c r="AC811" s="3"/>
    </row>
    <row r="812">
      <c r="A812" s="3"/>
      <c r="B812" s="3"/>
      <c r="C812" s="3"/>
      <c r="D812" s="319"/>
      <c r="E812" s="3"/>
      <c r="F812" s="3"/>
      <c r="G812" s="3"/>
      <c r="H812" s="3"/>
      <c r="I812" s="3"/>
      <c r="J812" s="3"/>
      <c r="K812" s="3"/>
      <c r="L812" s="3"/>
      <c r="M812" s="3"/>
      <c r="N812" s="3"/>
      <c r="O812" s="3"/>
      <c r="P812" s="53"/>
      <c r="Q812" s="53"/>
      <c r="R812" s="618"/>
      <c r="S812" s="3"/>
      <c r="T812" s="3"/>
      <c r="U812" s="3"/>
      <c r="V812" s="3"/>
      <c r="W812" s="3"/>
      <c r="X812" s="3"/>
      <c r="Y812" s="3"/>
      <c r="Z812" s="3"/>
      <c r="AA812" s="3"/>
      <c r="AB812" s="3"/>
      <c r="AC812" s="3"/>
    </row>
    <row r="813">
      <c r="A813" s="3"/>
      <c r="B813" s="3"/>
      <c r="C813" s="3"/>
      <c r="D813" s="319"/>
      <c r="E813" s="3"/>
      <c r="F813" s="3"/>
      <c r="G813" s="3"/>
      <c r="H813" s="3"/>
      <c r="I813" s="3"/>
      <c r="J813" s="3"/>
      <c r="K813" s="3"/>
      <c r="L813" s="3"/>
      <c r="M813" s="3"/>
      <c r="N813" s="3"/>
      <c r="O813" s="3"/>
      <c r="P813" s="53"/>
      <c r="Q813" s="53"/>
      <c r="R813" s="618"/>
      <c r="S813" s="3"/>
      <c r="T813" s="3"/>
      <c r="U813" s="3"/>
      <c r="V813" s="3"/>
      <c r="W813" s="3"/>
      <c r="X813" s="3"/>
      <c r="Y813" s="3"/>
      <c r="Z813" s="3"/>
      <c r="AA813" s="3"/>
      <c r="AB813" s="3"/>
      <c r="AC813" s="3"/>
    </row>
    <row r="814">
      <c r="A814" s="3"/>
      <c r="B814" s="3"/>
      <c r="C814" s="3"/>
      <c r="D814" s="319"/>
      <c r="E814" s="3"/>
      <c r="F814" s="3"/>
      <c r="G814" s="3"/>
      <c r="H814" s="3"/>
      <c r="I814" s="3"/>
      <c r="J814" s="3"/>
      <c r="K814" s="3"/>
      <c r="L814" s="3"/>
      <c r="M814" s="3"/>
      <c r="N814" s="3"/>
      <c r="O814" s="3"/>
      <c r="P814" s="53"/>
      <c r="Q814" s="53"/>
      <c r="R814" s="618"/>
      <c r="S814" s="3"/>
      <c r="T814" s="3"/>
      <c r="U814" s="3"/>
      <c r="V814" s="3"/>
      <c r="W814" s="3"/>
      <c r="X814" s="3"/>
      <c r="Y814" s="3"/>
      <c r="Z814" s="3"/>
      <c r="AA814" s="3"/>
      <c r="AB814" s="3"/>
      <c r="AC814" s="3"/>
    </row>
    <row r="815">
      <c r="A815" s="3"/>
      <c r="B815" s="3"/>
      <c r="C815" s="3"/>
      <c r="D815" s="319"/>
      <c r="E815" s="3"/>
      <c r="F815" s="3"/>
      <c r="G815" s="3"/>
      <c r="H815" s="3"/>
      <c r="I815" s="3"/>
      <c r="J815" s="3"/>
      <c r="K815" s="3"/>
      <c r="L815" s="3"/>
      <c r="M815" s="3"/>
      <c r="N815" s="3"/>
      <c r="O815" s="3"/>
      <c r="P815" s="53"/>
      <c r="Q815" s="53"/>
      <c r="R815" s="618"/>
      <c r="S815" s="3"/>
      <c r="T815" s="3"/>
      <c r="U815" s="3"/>
      <c r="V815" s="3"/>
      <c r="W815" s="3"/>
      <c r="X815" s="3"/>
      <c r="Y815" s="3"/>
      <c r="Z815" s="3"/>
      <c r="AA815" s="3"/>
      <c r="AB815" s="3"/>
      <c r="AC815" s="3"/>
    </row>
    <row r="816">
      <c r="A816" s="3"/>
      <c r="B816" s="3"/>
      <c r="C816" s="3"/>
      <c r="D816" s="319"/>
      <c r="E816" s="3"/>
      <c r="F816" s="3"/>
      <c r="G816" s="3"/>
      <c r="H816" s="3"/>
      <c r="I816" s="3"/>
      <c r="J816" s="3"/>
      <c r="K816" s="3"/>
      <c r="L816" s="3"/>
      <c r="M816" s="3"/>
      <c r="N816" s="3"/>
      <c r="O816" s="3"/>
      <c r="P816" s="53"/>
      <c r="Q816" s="53"/>
      <c r="R816" s="618"/>
      <c r="S816" s="3"/>
      <c r="T816" s="3"/>
      <c r="U816" s="3"/>
      <c r="V816" s="3"/>
      <c r="W816" s="3"/>
      <c r="X816" s="3"/>
      <c r="Y816" s="3"/>
      <c r="Z816" s="3"/>
      <c r="AA816" s="3"/>
      <c r="AB816" s="3"/>
      <c r="AC816" s="3"/>
    </row>
    <row r="817">
      <c r="A817" s="3"/>
      <c r="B817" s="3"/>
      <c r="C817" s="3"/>
      <c r="D817" s="319"/>
      <c r="E817" s="3"/>
      <c r="F817" s="3"/>
      <c r="G817" s="3"/>
      <c r="H817" s="3"/>
      <c r="I817" s="3"/>
      <c r="J817" s="3"/>
      <c r="K817" s="3"/>
      <c r="L817" s="3"/>
      <c r="M817" s="3"/>
      <c r="N817" s="3"/>
      <c r="O817" s="3"/>
      <c r="P817" s="53"/>
      <c r="Q817" s="53"/>
      <c r="R817" s="618"/>
      <c r="S817" s="3"/>
      <c r="T817" s="3"/>
      <c r="U817" s="3"/>
      <c r="V817" s="3"/>
      <c r="W817" s="3"/>
      <c r="X817" s="3"/>
      <c r="Y817" s="3"/>
      <c r="Z817" s="3"/>
      <c r="AA817" s="3"/>
      <c r="AB817" s="3"/>
      <c r="AC817" s="3"/>
    </row>
    <row r="818">
      <c r="A818" s="3"/>
      <c r="B818" s="3"/>
      <c r="C818" s="3"/>
      <c r="D818" s="319"/>
      <c r="E818" s="3"/>
      <c r="F818" s="3"/>
      <c r="G818" s="3"/>
      <c r="H818" s="3"/>
      <c r="I818" s="3"/>
      <c r="J818" s="3"/>
      <c r="K818" s="3"/>
      <c r="L818" s="3"/>
      <c r="M818" s="3"/>
      <c r="N818" s="3"/>
      <c r="O818" s="3"/>
      <c r="P818" s="53"/>
      <c r="Q818" s="53"/>
      <c r="R818" s="618"/>
      <c r="S818" s="3"/>
      <c r="T818" s="3"/>
      <c r="U818" s="3"/>
      <c r="V818" s="3"/>
      <c r="W818" s="3"/>
      <c r="X818" s="3"/>
      <c r="Y818" s="3"/>
      <c r="Z818" s="3"/>
      <c r="AA818" s="3"/>
      <c r="AB818" s="3"/>
      <c r="AC818" s="3"/>
    </row>
    <row r="819">
      <c r="A819" s="3"/>
      <c r="B819" s="3"/>
      <c r="C819" s="3"/>
      <c r="D819" s="319"/>
      <c r="E819" s="3"/>
      <c r="F819" s="3"/>
      <c r="G819" s="3"/>
      <c r="H819" s="3"/>
      <c r="I819" s="3"/>
      <c r="J819" s="3"/>
      <c r="K819" s="3"/>
      <c r="L819" s="3"/>
      <c r="M819" s="3"/>
      <c r="N819" s="3"/>
      <c r="O819" s="3"/>
      <c r="P819" s="53"/>
      <c r="Q819" s="53"/>
      <c r="R819" s="618"/>
      <c r="S819" s="3"/>
      <c r="T819" s="3"/>
      <c r="U819" s="3"/>
      <c r="V819" s="3"/>
      <c r="W819" s="3"/>
      <c r="X819" s="3"/>
      <c r="Y819" s="3"/>
      <c r="Z819" s="3"/>
      <c r="AA819" s="3"/>
      <c r="AB819" s="3"/>
      <c r="AC819" s="3"/>
    </row>
    <row r="820">
      <c r="A820" s="3"/>
      <c r="B820" s="3"/>
      <c r="C820" s="3"/>
      <c r="D820" s="319"/>
      <c r="E820" s="3"/>
      <c r="F820" s="3"/>
      <c r="G820" s="3"/>
      <c r="H820" s="3"/>
      <c r="I820" s="3"/>
      <c r="J820" s="3"/>
      <c r="K820" s="3"/>
      <c r="L820" s="3"/>
      <c r="M820" s="3"/>
      <c r="N820" s="3"/>
      <c r="O820" s="3"/>
      <c r="P820" s="53"/>
      <c r="Q820" s="53"/>
      <c r="R820" s="618"/>
      <c r="S820" s="3"/>
      <c r="T820" s="3"/>
      <c r="U820" s="3"/>
      <c r="V820" s="3"/>
      <c r="W820" s="3"/>
      <c r="X820" s="3"/>
      <c r="Y820" s="3"/>
      <c r="Z820" s="3"/>
      <c r="AA820" s="3"/>
      <c r="AB820" s="3"/>
      <c r="AC820" s="3"/>
    </row>
    <row r="821">
      <c r="A821" s="3"/>
      <c r="B821" s="3"/>
      <c r="C821" s="3"/>
      <c r="D821" s="319"/>
      <c r="E821" s="3"/>
      <c r="F821" s="3"/>
      <c r="G821" s="3"/>
      <c r="H821" s="3"/>
      <c r="I821" s="3"/>
      <c r="J821" s="3"/>
      <c r="K821" s="3"/>
      <c r="L821" s="3"/>
      <c r="M821" s="3"/>
      <c r="N821" s="3"/>
      <c r="O821" s="3"/>
      <c r="P821" s="53"/>
      <c r="Q821" s="53"/>
      <c r="R821" s="618"/>
      <c r="S821" s="3"/>
      <c r="T821" s="3"/>
      <c r="U821" s="3"/>
      <c r="V821" s="3"/>
      <c r="W821" s="3"/>
      <c r="X821" s="3"/>
      <c r="Y821" s="3"/>
      <c r="Z821" s="3"/>
      <c r="AA821" s="3"/>
      <c r="AB821" s="3"/>
      <c r="AC821" s="3"/>
    </row>
    <row r="822">
      <c r="A822" s="3"/>
      <c r="B822" s="3"/>
      <c r="C822" s="3"/>
      <c r="D822" s="319"/>
      <c r="E822" s="3"/>
      <c r="F822" s="3"/>
      <c r="G822" s="3"/>
      <c r="H822" s="3"/>
      <c r="I822" s="3"/>
      <c r="J822" s="3"/>
      <c r="K822" s="3"/>
      <c r="L822" s="3"/>
      <c r="M822" s="3"/>
      <c r="N822" s="3"/>
      <c r="O822" s="3"/>
      <c r="P822" s="53"/>
      <c r="Q822" s="53"/>
      <c r="R822" s="618"/>
      <c r="S822" s="3"/>
      <c r="T822" s="3"/>
      <c r="U822" s="3"/>
      <c r="V822" s="3"/>
      <c r="W822" s="3"/>
      <c r="X822" s="3"/>
      <c r="Y822" s="3"/>
      <c r="Z822" s="3"/>
      <c r="AA822" s="3"/>
      <c r="AB822" s="3"/>
      <c r="AC822" s="3"/>
    </row>
    <row r="823">
      <c r="A823" s="3"/>
      <c r="B823" s="3"/>
      <c r="C823" s="3"/>
      <c r="D823" s="319"/>
      <c r="E823" s="3"/>
      <c r="F823" s="3"/>
      <c r="G823" s="3"/>
      <c r="H823" s="3"/>
      <c r="I823" s="3"/>
      <c r="J823" s="3"/>
      <c r="K823" s="3"/>
      <c r="L823" s="3"/>
      <c r="M823" s="3"/>
      <c r="N823" s="3"/>
      <c r="O823" s="3"/>
      <c r="P823" s="53"/>
      <c r="Q823" s="53"/>
      <c r="R823" s="618"/>
      <c r="S823" s="3"/>
      <c r="T823" s="3"/>
      <c r="U823" s="3"/>
      <c r="V823" s="3"/>
      <c r="W823" s="3"/>
      <c r="X823" s="3"/>
      <c r="Y823" s="3"/>
      <c r="Z823" s="3"/>
      <c r="AA823" s="3"/>
      <c r="AB823" s="3"/>
      <c r="AC823" s="3"/>
    </row>
    <row r="824">
      <c r="A824" s="3"/>
      <c r="B824" s="3"/>
      <c r="C824" s="3"/>
      <c r="D824" s="319"/>
      <c r="E824" s="3"/>
      <c r="F824" s="3"/>
      <c r="G824" s="3"/>
      <c r="H824" s="3"/>
      <c r="I824" s="3"/>
      <c r="J824" s="3"/>
      <c r="K824" s="3"/>
      <c r="L824" s="3"/>
      <c r="M824" s="3"/>
      <c r="N824" s="3"/>
      <c r="O824" s="3"/>
      <c r="P824" s="53"/>
      <c r="Q824" s="53"/>
      <c r="R824" s="618"/>
      <c r="S824" s="3"/>
      <c r="T824" s="3"/>
      <c r="U824" s="3"/>
      <c r="V824" s="3"/>
      <c r="W824" s="3"/>
      <c r="X824" s="3"/>
      <c r="Y824" s="3"/>
      <c r="Z824" s="3"/>
      <c r="AA824" s="3"/>
      <c r="AB824" s="3"/>
      <c r="AC824" s="3"/>
    </row>
    <row r="825">
      <c r="A825" s="3"/>
      <c r="B825" s="3"/>
      <c r="C825" s="3"/>
      <c r="D825" s="319"/>
      <c r="E825" s="3"/>
      <c r="F825" s="3"/>
      <c r="G825" s="3"/>
      <c r="H825" s="3"/>
      <c r="I825" s="3"/>
      <c r="J825" s="3"/>
      <c r="K825" s="3"/>
      <c r="L825" s="3"/>
      <c r="M825" s="3"/>
      <c r="N825" s="3"/>
      <c r="O825" s="3"/>
      <c r="P825" s="53"/>
      <c r="Q825" s="53"/>
      <c r="R825" s="618"/>
      <c r="S825" s="3"/>
      <c r="T825" s="3"/>
      <c r="U825" s="3"/>
      <c r="V825" s="3"/>
      <c r="W825" s="3"/>
      <c r="X825" s="3"/>
      <c r="Y825" s="3"/>
      <c r="Z825" s="3"/>
      <c r="AA825" s="3"/>
      <c r="AB825" s="3"/>
      <c r="AC825" s="3"/>
    </row>
    <row r="826">
      <c r="A826" s="3"/>
      <c r="B826" s="3"/>
      <c r="C826" s="3"/>
      <c r="D826" s="319"/>
      <c r="E826" s="3"/>
      <c r="F826" s="3"/>
      <c r="G826" s="3"/>
      <c r="H826" s="3"/>
      <c r="I826" s="3"/>
      <c r="J826" s="3"/>
      <c r="K826" s="3"/>
      <c r="L826" s="3"/>
      <c r="M826" s="3"/>
      <c r="N826" s="3"/>
      <c r="O826" s="3"/>
      <c r="P826" s="53"/>
      <c r="Q826" s="53"/>
      <c r="R826" s="618"/>
      <c r="S826" s="3"/>
      <c r="T826" s="3"/>
      <c r="U826" s="3"/>
      <c r="V826" s="3"/>
      <c r="W826" s="3"/>
      <c r="X826" s="3"/>
      <c r="Y826" s="3"/>
      <c r="Z826" s="3"/>
      <c r="AA826" s="3"/>
      <c r="AB826" s="3"/>
      <c r="AC826" s="3"/>
    </row>
    <row r="827">
      <c r="A827" s="3"/>
      <c r="B827" s="3"/>
      <c r="C827" s="3"/>
      <c r="D827" s="319"/>
      <c r="E827" s="3"/>
      <c r="F827" s="3"/>
      <c r="G827" s="3"/>
      <c r="H827" s="3"/>
      <c r="I827" s="3"/>
      <c r="J827" s="3"/>
      <c r="K827" s="3"/>
      <c r="L827" s="3"/>
      <c r="M827" s="3"/>
      <c r="N827" s="3"/>
      <c r="O827" s="3"/>
      <c r="P827" s="53"/>
      <c r="Q827" s="53"/>
      <c r="R827" s="618"/>
      <c r="S827" s="3"/>
      <c r="T827" s="3"/>
      <c r="U827" s="3"/>
      <c r="V827" s="3"/>
      <c r="W827" s="3"/>
      <c r="X827" s="3"/>
      <c r="Y827" s="3"/>
      <c r="Z827" s="3"/>
      <c r="AA827" s="3"/>
      <c r="AB827" s="3"/>
      <c r="AC827" s="3"/>
    </row>
    <row r="828">
      <c r="A828" s="3"/>
      <c r="B828" s="3"/>
      <c r="C828" s="3"/>
      <c r="D828" s="319"/>
      <c r="E828" s="3"/>
      <c r="F828" s="3"/>
      <c r="G828" s="3"/>
      <c r="H828" s="3"/>
      <c r="I828" s="3"/>
      <c r="J828" s="3"/>
      <c r="K828" s="3"/>
      <c r="L828" s="3"/>
      <c r="M828" s="3"/>
      <c r="N828" s="3"/>
      <c r="O828" s="3"/>
      <c r="P828" s="53"/>
      <c r="Q828" s="53"/>
      <c r="R828" s="618"/>
      <c r="S828" s="3"/>
      <c r="T828" s="3"/>
      <c r="U828" s="3"/>
      <c r="V828" s="3"/>
      <c r="W828" s="3"/>
      <c r="X828" s="3"/>
      <c r="Y828" s="3"/>
      <c r="Z828" s="3"/>
      <c r="AA828" s="3"/>
      <c r="AB828" s="3"/>
      <c r="AC828" s="3"/>
    </row>
    <row r="829">
      <c r="A829" s="3"/>
      <c r="B829" s="3"/>
      <c r="C829" s="3"/>
      <c r="D829" s="319"/>
      <c r="E829" s="3"/>
      <c r="F829" s="3"/>
      <c r="G829" s="3"/>
      <c r="H829" s="3"/>
      <c r="I829" s="3"/>
      <c r="J829" s="3"/>
      <c r="K829" s="3"/>
      <c r="L829" s="3"/>
      <c r="M829" s="3"/>
      <c r="N829" s="3"/>
      <c r="O829" s="3"/>
      <c r="P829" s="53"/>
      <c r="Q829" s="53"/>
      <c r="R829" s="618"/>
      <c r="S829" s="3"/>
      <c r="T829" s="3"/>
      <c r="U829" s="3"/>
      <c r="V829" s="3"/>
      <c r="W829" s="3"/>
      <c r="X829" s="3"/>
      <c r="Y829" s="3"/>
      <c r="Z829" s="3"/>
      <c r="AA829" s="3"/>
      <c r="AB829" s="3"/>
      <c r="AC829" s="3"/>
    </row>
    <row r="830">
      <c r="A830" s="3"/>
      <c r="B830" s="3"/>
      <c r="C830" s="3"/>
      <c r="D830" s="319"/>
      <c r="E830" s="3"/>
      <c r="F830" s="3"/>
      <c r="G830" s="3"/>
      <c r="H830" s="3"/>
      <c r="I830" s="3"/>
      <c r="J830" s="3"/>
      <c r="K830" s="3"/>
      <c r="L830" s="3"/>
      <c r="M830" s="3"/>
      <c r="N830" s="3"/>
      <c r="O830" s="3"/>
      <c r="P830" s="53"/>
      <c r="Q830" s="53"/>
      <c r="R830" s="618"/>
      <c r="S830" s="3"/>
      <c r="T830" s="3"/>
      <c r="U830" s="3"/>
      <c r="V830" s="3"/>
      <c r="W830" s="3"/>
      <c r="X830" s="3"/>
      <c r="Y830" s="3"/>
      <c r="Z830" s="3"/>
      <c r="AA830" s="3"/>
      <c r="AB830" s="3"/>
      <c r="AC830" s="3"/>
    </row>
    <row r="831">
      <c r="A831" s="3"/>
      <c r="B831" s="3"/>
      <c r="C831" s="3"/>
      <c r="D831" s="319"/>
      <c r="E831" s="3"/>
      <c r="F831" s="3"/>
      <c r="G831" s="3"/>
      <c r="H831" s="3"/>
      <c r="I831" s="3"/>
      <c r="J831" s="3"/>
      <c r="K831" s="3"/>
      <c r="L831" s="3"/>
      <c r="M831" s="3"/>
      <c r="N831" s="3"/>
      <c r="O831" s="3"/>
      <c r="P831" s="53"/>
      <c r="Q831" s="53"/>
      <c r="R831" s="618"/>
      <c r="S831" s="3"/>
      <c r="T831" s="3"/>
      <c r="U831" s="3"/>
      <c r="V831" s="3"/>
      <c r="W831" s="3"/>
      <c r="X831" s="3"/>
      <c r="Y831" s="3"/>
      <c r="Z831" s="3"/>
      <c r="AA831" s="3"/>
      <c r="AB831" s="3"/>
      <c r="AC831" s="3"/>
    </row>
    <row r="832">
      <c r="A832" s="3"/>
      <c r="B832" s="3"/>
      <c r="C832" s="3"/>
      <c r="D832" s="319"/>
      <c r="E832" s="3"/>
      <c r="F832" s="3"/>
      <c r="G832" s="3"/>
      <c r="H832" s="3"/>
      <c r="I832" s="3"/>
      <c r="J832" s="3"/>
      <c r="K832" s="3"/>
      <c r="L832" s="3"/>
      <c r="M832" s="3"/>
      <c r="N832" s="3"/>
      <c r="O832" s="3"/>
      <c r="P832" s="53"/>
      <c r="Q832" s="53"/>
      <c r="R832" s="618"/>
      <c r="S832" s="3"/>
      <c r="T832" s="3"/>
      <c r="U832" s="3"/>
      <c r="V832" s="3"/>
      <c r="W832" s="3"/>
      <c r="X832" s="3"/>
      <c r="Y832" s="3"/>
      <c r="Z832" s="3"/>
      <c r="AA832" s="3"/>
      <c r="AB832" s="3"/>
      <c r="AC832" s="3"/>
    </row>
    <row r="833">
      <c r="A833" s="3"/>
      <c r="B833" s="3"/>
      <c r="C833" s="3"/>
      <c r="D833" s="319"/>
      <c r="E833" s="3"/>
      <c r="F833" s="3"/>
      <c r="G833" s="3"/>
      <c r="H833" s="3"/>
      <c r="I833" s="3"/>
      <c r="J833" s="3"/>
      <c r="K833" s="3"/>
      <c r="L833" s="3"/>
      <c r="M833" s="3"/>
      <c r="N833" s="3"/>
      <c r="O833" s="3"/>
      <c r="P833" s="53"/>
      <c r="Q833" s="53"/>
      <c r="R833" s="618"/>
      <c r="S833" s="3"/>
      <c r="T833" s="3"/>
      <c r="U833" s="3"/>
      <c r="V833" s="3"/>
      <c r="W833" s="3"/>
      <c r="X833" s="3"/>
      <c r="Y833" s="3"/>
      <c r="Z833" s="3"/>
      <c r="AA833" s="3"/>
      <c r="AB833" s="3"/>
      <c r="AC833" s="3"/>
    </row>
    <row r="834">
      <c r="A834" s="3"/>
      <c r="B834" s="3"/>
      <c r="C834" s="3"/>
      <c r="D834" s="319"/>
      <c r="E834" s="3"/>
      <c r="F834" s="3"/>
      <c r="G834" s="3"/>
      <c r="H834" s="3"/>
      <c r="I834" s="3"/>
      <c r="J834" s="3"/>
      <c r="K834" s="3"/>
      <c r="L834" s="3"/>
      <c r="M834" s="3"/>
      <c r="N834" s="3"/>
      <c r="O834" s="3"/>
      <c r="P834" s="53"/>
      <c r="Q834" s="53"/>
      <c r="R834" s="618"/>
      <c r="S834" s="3"/>
      <c r="T834" s="3"/>
      <c r="U834" s="3"/>
      <c r="V834" s="3"/>
      <c r="W834" s="3"/>
      <c r="X834" s="3"/>
      <c r="Y834" s="3"/>
      <c r="Z834" s="3"/>
      <c r="AA834" s="3"/>
      <c r="AB834" s="3"/>
      <c r="AC834" s="3"/>
    </row>
    <row r="835">
      <c r="A835" s="3"/>
      <c r="B835" s="3"/>
      <c r="C835" s="3"/>
      <c r="D835" s="319"/>
      <c r="E835" s="3"/>
      <c r="F835" s="3"/>
      <c r="G835" s="3"/>
      <c r="H835" s="3"/>
      <c r="I835" s="3"/>
      <c r="J835" s="3"/>
      <c r="K835" s="3"/>
      <c r="L835" s="3"/>
      <c r="M835" s="3"/>
      <c r="N835" s="3"/>
      <c r="O835" s="3"/>
      <c r="P835" s="53"/>
      <c r="Q835" s="53"/>
      <c r="R835" s="618"/>
      <c r="S835" s="3"/>
      <c r="T835" s="3"/>
      <c r="U835" s="3"/>
      <c r="V835" s="3"/>
      <c r="W835" s="3"/>
      <c r="X835" s="3"/>
      <c r="Y835" s="3"/>
      <c r="Z835" s="3"/>
      <c r="AA835" s="3"/>
      <c r="AB835" s="3"/>
      <c r="AC835" s="3"/>
    </row>
    <row r="836">
      <c r="A836" s="3"/>
      <c r="B836" s="3"/>
      <c r="C836" s="3"/>
      <c r="D836" s="319"/>
      <c r="E836" s="3"/>
      <c r="F836" s="3"/>
      <c r="G836" s="3"/>
      <c r="H836" s="3"/>
      <c r="I836" s="3"/>
      <c r="J836" s="3"/>
      <c r="K836" s="3"/>
      <c r="L836" s="3"/>
      <c r="M836" s="3"/>
      <c r="N836" s="3"/>
      <c r="O836" s="3"/>
      <c r="P836" s="53"/>
      <c r="Q836" s="53"/>
      <c r="R836" s="618"/>
      <c r="S836" s="3"/>
      <c r="T836" s="3"/>
      <c r="U836" s="3"/>
      <c r="V836" s="3"/>
      <c r="W836" s="3"/>
      <c r="X836" s="3"/>
      <c r="Y836" s="3"/>
      <c r="Z836" s="3"/>
      <c r="AA836" s="3"/>
      <c r="AB836" s="3"/>
      <c r="AC836" s="3"/>
    </row>
    <row r="837">
      <c r="A837" s="3"/>
      <c r="B837" s="3"/>
      <c r="C837" s="3"/>
      <c r="D837" s="319"/>
      <c r="E837" s="3"/>
      <c r="F837" s="3"/>
      <c r="G837" s="3"/>
      <c r="H837" s="3"/>
      <c r="I837" s="3"/>
      <c r="J837" s="3"/>
      <c r="K837" s="3"/>
      <c r="L837" s="3"/>
      <c r="M837" s="3"/>
      <c r="N837" s="3"/>
      <c r="O837" s="3"/>
      <c r="P837" s="53"/>
      <c r="Q837" s="53"/>
      <c r="R837" s="618"/>
      <c r="S837" s="3"/>
      <c r="T837" s="3"/>
      <c r="U837" s="3"/>
      <c r="V837" s="3"/>
      <c r="W837" s="3"/>
      <c r="X837" s="3"/>
      <c r="Y837" s="3"/>
      <c r="Z837" s="3"/>
      <c r="AA837" s="3"/>
      <c r="AB837" s="3"/>
      <c r="AC837" s="3"/>
    </row>
    <row r="838">
      <c r="A838" s="3"/>
      <c r="B838" s="3"/>
      <c r="C838" s="3"/>
      <c r="D838" s="319"/>
      <c r="E838" s="3"/>
      <c r="F838" s="3"/>
      <c r="G838" s="3"/>
      <c r="H838" s="3"/>
      <c r="I838" s="3"/>
      <c r="J838" s="3"/>
      <c r="K838" s="3"/>
      <c r="L838" s="3"/>
      <c r="M838" s="3"/>
      <c r="N838" s="3"/>
      <c r="O838" s="3"/>
      <c r="P838" s="53"/>
      <c r="Q838" s="53"/>
      <c r="R838" s="618"/>
      <c r="S838" s="3"/>
      <c r="T838" s="3"/>
      <c r="U838" s="3"/>
      <c r="V838" s="3"/>
      <c r="W838" s="3"/>
      <c r="X838" s="3"/>
      <c r="Y838" s="3"/>
      <c r="Z838" s="3"/>
      <c r="AA838" s="3"/>
      <c r="AB838" s="3"/>
      <c r="AC838" s="3"/>
    </row>
    <row r="839">
      <c r="A839" s="3"/>
      <c r="B839" s="3"/>
      <c r="C839" s="3"/>
      <c r="D839" s="319"/>
      <c r="E839" s="3"/>
      <c r="F839" s="3"/>
      <c r="G839" s="3"/>
      <c r="H839" s="3"/>
      <c r="I839" s="3"/>
      <c r="J839" s="3"/>
      <c r="K839" s="3"/>
      <c r="L839" s="3"/>
      <c r="M839" s="3"/>
      <c r="N839" s="3"/>
      <c r="O839" s="3"/>
      <c r="P839" s="53"/>
      <c r="Q839" s="53"/>
      <c r="R839" s="618"/>
      <c r="S839" s="3"/>
      <c r="T839" s="3"/>
      <c r="U839" s="3"/>
      <c r="V839" s="3"/>
      <c r="W839" s="3"/>
      <c r="X839" s="3"/>
      <c r="Y839" s="3"/>
      <c r="Z839" s="3"/>
      <c r="AA839" s="3"/>
      <c r="AB839" s="3"/>
      <c r="AC839" s="3"/>
    </row>
    <row r="840">
      <c r="A840" s="3"/>
      <c r="B840" s="3"/>
      <c r="C840" s="3"/>
      <c r="D840" s="319"/>
      <c r="E840" s="3"/>
      <c r="F840" s="3"/>
      <c r="G840" s="3"/>
      <c r="H840" s="3"/>
      <c r="I840" s="3"/>
      <c r="J840" s="3"/>
      <c r="K840" s="3"/>
      <c r="L840" s="3"/>
      <c r="M840" s="3"/>
      <c r="N840" s="3"/>
      <c r="O840" s="3"/>
      <c r="P840" s="53"/>
      <c r="Q840" s="53"/>
      <c r="R840" s="618"/>
      <c r="S840" s="3"/>
      <c r="T840" s="3"/>
      <c r="U840" s="3"/>
      <c r="V840" s="3"/>
      <c r="W840" s="3"/>
      <c r="X840" s="3"/>
      <c r="Y840" s="3"/>
      <c r="Z840" s="3"/>
      <c r="AA840" s="3"/>
      <c r="AB840" s="3"/>
      <c r="AC840" s="3"/>
    </row>
    <row r="841">
      <c r="A841" s="3"/>
      <c r="B841" s="3"/>
      <c r="C841" s="3"/>
      <c r="D841" s="319"/>
      <c r="E841" s="3"/>
      <c r="F841" s="3"/>
      <c r="G841" s="3"/>
      <c r="H841" s="3"/>
      <c r="I841" s="3"/>
      <c r="J841" s="3"/>
      <c r="K841" s="3"/>
      <c r="L841" s="3"/>
      <c r="M841" s="3"/>
      <c r="N841" s="3"/>
      <c r="O841" s="3"/>
      <c r="P841" s="53"/>
      <c r="Q841" s="53"/>
      <c r="R841" s="618"/>
      <c r="S841" s="3"/>
      <c r="T841" s="3"/>
      <c r="U841" s="3"/>
      <c r="V841" s="3"/>
      <c r="W841" s="3"/>
      <c r="X841" s="3"/>
      <c r="Y841" s="3"/>
      <c r="Z841" s="3"/>
      <c r="AA841" s="3"/>
      <c r="AB841" s="3"/>
      <c r="AC841" s="3"/>
    </row>
    <row r="842">
      <c r="A842" s="3"/>
      <c r="B842" s="3"/>
      <c r="C842" s="3"/>
      <c r="D842" s="319"/>
      <c r="E842" s="3"/>
      <c r="F842" s="3"/>
      <c r="G842" s="3"/>
      <c r="H842" s="3"/>
      <c r="I842" s="3"/>
      <c r="J842" s="3"/>
      <c r="K842" s="3"/>
      <c r="L842" s="3"/>
      <c r="M842" s="3"/>
      <c r="N842" s="3"/>
      <c r="O842" s="3"/>
      <c r="P842" s="53"/>
      <c r="Q842" s="53"/>
      <c r="R842" s="618"/>
      <c r="S842" s="3"/>
      <c r="T842" s="3"/>
      <c r="U842" s="3"/>
      <c r="V842" s="3"/>
      <c r="W842" s="3"/>
      <c r="X842" s="3"/>
      <c r="Y842" s="3"/>
      <c r="Z842" s="3"/>
      <c r="AA842" s="3"/>
      <c r="AB842" s="3"/>
      <c r="AC842" s="3"/>
    </row>
    <row r="843">
      <c r="A843" s="3"/>
      <c r="B843" s="3"/>
      <c r="C843" s="3"/>
      <c r="D843" s="319"/>
      <c r="E843" s="3"/>
      <c r="F843" s="3"/>
      <c r="G843" s="3"/>
      <c r="H843" s="3"/>
      <c r="I843" s="3"/>
      <c r="J843" s="3"/>
      <c r="K843" s="3"/>
      <c r="L843" s="3"/>
      <c r="M843" s="3"/>
      <c r="N843" s="3"/>
      <c r="O843" s="3"/>
      <c r="P843" s="53"/>
      <c r="Q843" s="53"/>
      <c r="R843" s="618"/>
      <c r="S843" s="3"/>
      <c r="T843" s="3"/>
      <c r="U843" s="3"/>
      <c r="V843" s="3"/>
      <c r="W843" s="3"/>
      <c r="X843" s="3"/>
      <c r="Y843" s="3"/>
      <c r="Z843" s="3"/>
      <c r="AA843" s="3"/>
      <c r="AB843" s="3"/>
      <c r="AC843" s="3"/>
    </row>
    <row r="844">
      <c r="A844" s="3"/>
      <c r="B844" s="3"/>
      <c r="C844" s="3"/>
      <c r="D844" s="319"/>
      <c r="E844" s="3"/>
      <c r="F844" s="3"/>
      <c r="G844" s="3"/>
      <c r="H844" s="3"/>
      <c r="I844" s="3"/>
      <c r="J844" s="3"/>
      <c r="K844" s="3"/>
      <c r="L844" s="3"/>
      <c r="M844" s="3"/>
      <c r="N844" s="3"/>
      <c r="O844" s="3"/>
      <c r="P844" s="53"/>
      <c r="Q844" s="53"/>
      <c r="R844" s="618"/>
      <c r="S844" s="3"/>
      <c r="T844" s="3"/>
      <c r="U844" s="3"/>
      <c r="V844" s="3"/>
      <c r="W844" s="3"/>
      <c r="X844" s="3"/>
      <c r="Y844" s="3"/>
      <c r="Z844" s="3"/>
      <c r="AA844" s="3"/>
      <c r="AB844" s="3"/>
      <c r="AC844" s="3"/>
    </row>
    <row r="845">
      <c r="A845" s="3"/>
      <c r="B845" s="3"/>
      <c r="C845" s="3"/>
      <c r="D845" s="319"/>
      <c r="E845" s="3"/>
      <c r="F845" s="3"/>
      <c r="G845" s="3"/>
      <c r="H845" s="3"/>
      <c r="I845" s="3"/>
      <c r="J845" s="3"/>
      <c r="K845" s="3"/>
      <c r="L845" s="3"/>
      <c r="M845" s="3"/>
      <c r="N845" s="3"/>
      <c r="O845" s="3"/>
      <c r="P845" s="53"/>
      <c r="Q845" s="53"/>
      <c r="R845" s="618"/>
      <c r="S845" s="3"/>
      <c r="T845" s="3"/>
      <c r="U845" s="3"/>
      <c r="V845" s="3"/>
      <c r="W845" s="3"/>
      <c r="X845" s="3"/>
      <c r="Y845" s="3"/>
      <c r="Z845" s="3"/>
      <c r="AA845" s="3"/>
      <c r="AB845" s="3"/>
      <c r="AC845" s="3"/>
    </row>
    <row r="846">
      <c r="A846" s="3"/>
      <c r="B846" s="3"/>
      <c r="C846" s="3"/>
      <c r="D846" s="319"/>
      <c r="E846" s="3"/>
      <c r="F846" s="3"/>
      <c r="G846" s="3"/>
      <c r="H846" s="3"/>
      <c r="I846" s="3"/>
      <c r="J846" s="3"/>
      <c r="K846" s="3"/>
      <c r="L846" s="3"/>
      <c r="M846" s="3"/>
      <c r="N846" s="3"/>
      <c r="O846" s="3"/>
      <c r="P846" s="53"/>
      <c r="Q846" s="53"/>
      <c r="R846" s="618"/>
      <c r="S846" s="3"/>
      <c r="T846" s="3"/>
      <c r="U846" s="3"/>
      <c r="V846" s="3"/>
      <c r="W846" s="3"/>
      <c r="X846" s="3"/>
      <c r="Y846" s="3"/>
      <c r="Z846" s="3"/>
      <c r="AA846" s="3"/>
      <c r="AB846" s="3"/>
      <c r="AC846" s="3"/>
    </row>
    <row r="847">
      <c r="A847" s="3"/>
      <c r="B847" s="3"/>
      <c r="C847" s="3"/>
      <c r="D847" s="319"/>
      <c r="E847" s="3"/>
      <c r="F847" s="3"/>
      <c r="G847" s="3"/>
      <c r="H847" s="3"/>
      <c r="I847" s="3"/>
      <c r="J847" s="3"/>
      <c r="K847" s="3"/>
      <c r="L847" s="3"/>
      <c r="M847" s="3"/>
      <c r="N847" s="3"/>
      <c r="O847" s="3"/>
      <c r="P847" s="53"/>
      <c r="Q847" s="53"/>
      <c r="R847" s="618"/>
      <c r="S847" s="3"/>
      <c r="T847" s="3"/>
      <c r="U847" s="3"/>
      <c r="V847" s="3"/>
      <c r="W847" s="3"/>
      <c r="X847" s="3"/>
      <c r="Y847" s="3"/>
      <c r="Z847" s="3"/>
      <c r="AA847" s="3"/>
      <c r="AB847" s="3"/>
      <c r="AC847" s="3"/>
    </row>
    <row r="848">
      <c r="A848" s="3"/>
      <c r="B848" s="3"/>
      <c r="C848" s="3"/>
      <c r="D848" s="319"/>
      <c r="E848" s="3"/>
      <c r="F848" s="3"/>
      <c r="G848" s="3"/>
      <c r="H848" s="3"/>
      <c r="I848" s="3"/>
      <c r="J848" s="3"/>
      <c r="K848" s="3"/>
      <c r="L848" s="3"/>
      <c r="M848" s="3"/>
      <c r="N848" s="3"/>
      <c r="O848" s="3"/>
      <c r="P848" s="53"/>
      <c r="Q848" s="53"/>
      <c r="R848" s="618"/>
      <c r="S848" s="3"/>
      <c r="T848" s="3"/>
      <c r="U848" s="3"/>
      <c r="V848" s="3"/>
      <c r="W848" s="3"/>
      <c r="X848" s="3"/>
      <c r="Y848" s="3"/>
      <c r="Z848" s="3"/>
      <c r="AA848" s="3"/>
      <c r="AB848" s="3"/>
      <c r="AC848" s="3"/>
    </row>
    <row r="849">
      <c r="A849" s="3"/>
      <c r="B849" s="3"/>
      <c r="C849" s="3"/>
      <c r="D849" s="319"/>
      <c r="E849" s="3"/>
      <c r="F849" s="3"/>
      <c r="G849" s="3"/>
      <c r="H849" s="3"/>
      <c r="I849" s="3"/>
      <c r="J849" s="3"/>
      <c r="K849" s="3"/>
      <c r="L849" s="3"/>
      <c r="M849" s="3"/>
      <c r="N849" s="3"/>
      <c r="O849" s="3"/>
      <c r="P849" s="53"/>
      <c r="Q849" s="53"/>
      <c r="R849" s="618"/>
      <c r="S849" s="3"/>
      <c r="T849" s="3"/>
      <c r="U849" s="3"/>
      <c r="V849" s="3"/>
      <c r="W849" s="3"/>
      <c r="X849" s="3"/>
      <c r="Y849" s="3"/>
      <c r="Z849" s="3"/>
      <c r="AA849" s="3"/>
      <c r="AB849" s="3"/>
      <c r="AC849" s="3"/>
    </row>
    <row r="850">
      <c r="A850" s="3"/>
      <c r="B850" s="3"/>
      <c r="C850" s="3"/>
      <c r="D850" s="319"/>
      <c r="E850" s="3"/>
      <c r="F850" s="3"/>
      <c r="G850" s="3"/>
      <c r="H850" s="3"/>
      <c r="I850" s="3"/>
      <c r="J850" s="3"/>
      <c r="K850" s="3"/>
      <c r="L850" s="3"/>
      <c r="M850" s="3"/>
      <c r="N850" s="3"/>
      <c r="O850" s="3"/>
      <c r="P850" s="53"/>
      <c r="Q850" s="53"/>
      <c r="R850" s="618"/>
      <c r="S850" s="3"/>
      <c r="T850" s="3"/>
      <c r="U850" s="3"/>
      <c r="V850" s="3"/>
      <c r="W850" s="3"/>
      <c r="X850" s="3"/>
      <c r="Y850" s="3"/>
      <c r="Z850" s="3"/>
      <c r="AA850" s="3"/>
      <c r="AB850" s="3"/>
      <c r="AC850" s="3"/>
    </row>
    <row r="851">
      <c r="A851" s="3"/>
      <c r="B851" s="3"/>
      <c r="C851" s="3"/>
      <c r="D851" s="319"/>
      <c r="E851" s="3"/>
      <c r="F851" s="3"/>
      <c r="G851" s="3"/>
      <c r="H851" s="3"/>
      <c r="I851" s="3"/>
      <c r="J851" s="3"/>
      <c r="K851" s="3"/>
      <c r="L851" s="3"/>
      <c r="M851" s="3"/>
      <c r="N851" s="3"/>
      <c r="O851" s="3"/>
      <c r="P851" s="53"/>
      <c r="Q851" s="53"/>
      <c r="R851" s="618"/>
      <c r="S851" s="3"/>
      <c r="T851" s="3"/>
      <c r="U851" s="3"/>
      <c r="V851" s="3"/>
      <c r="W851" s="3"/>
      <c r="X851" s="3"/>
      <c r="Y851" s="3"/>
      <c r="Z851" s="3"/>
      <c r="AA851" s="3"/>
      <c r="AB851" s="3"/>
      <c r="AC851" s="3"/>
    </row>
    <row r="852">
      <c r="A852" s="3"/>
      <c r="B852" s="3"/>
      <c r="C852" s="3"/>
      <c r="D852" s="319"/>
      <c r="E852" s="3"/>
      <c r="F852" s="3"/>
      <c r="G852" s="3"/>
      <c r="H852" s="3"/>
      <c r="I852" s="3"/>
      <c r="J852" s="3"/>
      <c r="K852" s="3"/>
      <c r="L852" s="3"/>
      <c r="M852" s="3"/>
      <c r="N852" s="3"/>
      <c r="O852" s="3"/>
      <c r="P852" s="53"/>
      <c r="Q852" s="53"/>
      <c r="R852" s="618"/>
      <c r="S852" s="3"/>
      <c r="T852" s="3"/>
      <c r="U852" s="3"/>
      <c r="V852" s="3"/>
      <c r="W852" s="3"/>
      <c r="X852" s="3"/>
      <c r="Y852" s="3"/>
      <c r="Z852" s="3"/>
      <c r="AA852" s="3"/>
      <c r="AB852" s="3"/>
      <c r="AC852" s="3"/>
    </row>
    <row r="853">
      <c r="A853" s="3"/>
      <c r="B853" s="3"/>
      <c r="C853" s="3"/>
      <c r="D853" s="319"/>
      <c r="E853" s="3"/>
      <c r="F853" s="3"/>
      <c r="G853" s="3"/>
      <c r="H853" s="3"/>
      <c r="I853" s="3"/>
      <c r="J853" s="3"/>
      <c r="K853" s="3"/>
      <c r="L853" s="3"/>
      <c r="M853" s="3"/>
      <c r="N853" s="3"/>
      <c r="O853" s="3"/>
      <c r="P853" s="53"/>
      <c r="Q853" s="53"/>
      <c r="R853" s="618"/>
      <c r="S853" s="3"/>
      <c r="T853" s="3"/>
      <c r="U853" s="3"/>
      <c r="V853" s="3"/>
      <c r="W853" s="3"/>
      <c r="X853" s="3"/>
      <c r="Y853" s="3"/>
      <c r="Z853" s="3"/>
      <c r="AA853" s="3"/>
      <c r="AB853" s="3"/>
      <c r="AC853" s="3"/>
    </row>
    <row r="854">
      <c r="A854" s="3"/>
      <c r="B854" s="3"/>
      <c r="C854" s="3"/>
      <c r="D854" s="319"/>
      <c r="E854" s="3"/>
      <c r="F854" s="3"/>
      <c r="G854" s="3"/>
      <c r="H854" s="3"/>
      <c r="I854" s="3"/>
      <c r="J854" s="3"/>
      <c r="K854" s="3"/>
      <c r="L854" s="3"/>
      <c r="M854" s="3"/>
      <c r="N854" s="3"/>
      <c r="O854" s="3"/>
      <c r="P854" s="53"/>
      <c r="Q854" s="53"/>
      <c r="R854" s="618"/>
      <c r="S854" s="3"/>
      <c r="T854" s="3"/>
      <c r="U854" s="3"/>
      <c r="V854" s="3"/>
      <c r="W854" s="3"/>
      <c r="X854" s="3"/>
      <c r="Y854" s="3"/>
      <c r="Z854" s="3"/>
      <c r="AA854" s="3"/>
      <c r="AB854" s="3"/>
      <c r="AC854" s="3"/>
    </row>
    <row r="855">
      <c r="A855" s="3"/>
      <c r="B855" s="3"/>
      <c r="C855" s="3"/>
      <c r="D855" s="319"/>
      <c r="E855" s="3"/>
      <c r="F855" s="3"/>
      <c r="G855" s="3"/>
      <c r="H855" s="3"/>
      <c r="I855" s="3"/>
      <c r="J855" s="3"/>
      <c r="K855" s="3"/>
      <c r="L855" s="3"/>
      <c r="M855" s="3"/>
      <c r="N855" s="3"/>
      <c r="O855" s="3"/>
      <c r="P855" s="53"/>
      <c r="Q855" s="53"/>
      <c r="R855" s="618"/>
      <c r="S855" s="3"/>
      <c r="T855" s="3"/>
      <c r="U855" s="3"/>
      <c r="V855" s="3"/>
      <c r="W855" s="3"/>
      <c r="X855" s="3"/>
      <c r="Y855" s="3"/>
      <c r="Z855" s="3"/>
      <c r="AA855" s="3"/>
      <c r="AB855" s="3"/>
      <c r="AC855" s="3"/>
    </row>
    <row r="856">
      <c r="A856" s="3"/>
      <c r="B856" s="3"/>
      <c r="C856" s="3"/>
      <c r="D856" s="319"/>
      <c r="E856" s="3"/>
      <c r="F856" s="3"/>
      <c r="G856" s="3"/>
      <c r="H856" s="3"/>
      <c r="I856" s="3"/>
      <c r="J856" s="3"/>
      <c r="K856" s="3"/>
      <c r="L856" s="3"/>
      <c r="M856" s="3"/>
      <c r="N856" s="3"/>
      <c r="O856" s="3"/>
      <c r="P856" s="53"/>
      <c r="Q856" s="53"/>
      <c r="R856" s="618"/>
      <c r="S856" s="3"/>
      <c r="T856" s="3"/>
      <c r="U856" s="3"/>
      <c r="V856" s="3"/>
      <c r="W856" s="3"/>
      <c r="X856" s="3"/>
      <c r="Y856" s="3"/>
      <c r="Z856" s="3"/>
      <c r="AA856" s="3"/>
      <c r="AB856" s="3"/>
      <c r="AC856" s="3"/>
    </row>
    <row r="857">
      <c r="A857" s="3"/>
      <c r="B857" s="3"/>
      <c r="C857" s="3"/>
      <c r="D857" s="319"/>
      <c r="E857" s="3"/>
      <c r="F857" s="3"/>
      <c r="G857" s="3"/>
      <c r="H857" s="3"/>
      <c r="I857" s="3"/>
      <c r="J857" s="3"/>
      <c r="K857" s="3"/>
      <c r="L857" s="3"/>
      <c r="M857" s="3"/>
      <c r="N857" s="3"/>
      <c r="O857" s="3"/>
      <c r="P857" s="53"/>
      <c r="Q857" s="53"/>
      <c r="R857" s="618"/>
      <c r="S857" s="3"/>
      <c r="T857" s="3"/>
      <c r="U857" s="3"/>
      <c r="V857" s="3"/>
      <c r="W857" s="3"/>
      <c r="X857" s="3"/>
      <c r="Y857" s="3"/>
      <c r="Z857" s="3"/>
      <c r="AA857" s="3"/>
      <c r="AB857" s="3"/>
      <c r="AC857" s="3"/>
    </row>
    <row r="858">
      <c r="A858" s="3"/>
      <c r="B858" s="3"/>
      <c r="C858" s="3"/>
      <c r="D858" s="319"/>
      <c r="E858" s="3"/>
      <c r="F858" s="3"/>
      <c r="G858" s="3"/>
      <c r="H858" s="3"/>
      <c r="I858" s="3"/>
      <c r="J858" s="3"/>
      <c r="K858" s="3"/>
      <c r="L858" s="3"/>
      <c r="M858" s="3"/>
      <c r="N858" s="3"/>
      <c r="O858" s="3"/>
      <c r="P858" s="53"/>
      <c r="Q858" s="53"/>
      <c r="R858" s="618"/>
      <c r="S858" s="3"/>
      <c r="T858" s="3"/>
      <c r="U858" s="3"/>
      <c r="V858" s="3"/>
      <c r="W858" s="3"/>
      <c r="X858" s="3"/>
      <c r="Y858" s="3"/>
      <c r="Z858" s="3"/>
      <c r="AA858" s="3"/>
      <c r="AB858" s="3"/>
      <c r="AC858" s="3"/>
    </row>
    <row r="859">
      <c r="A859" s="3"/>
      <c r="B859" s="3"/>
      <c r="C859" s="3"/>
      <c r="D859" s="319"/>
      <c r="E859" s="3"/>
      <c r="F859" s="3"/>
      <c r="G859" s="3"/>
      <c r="H859" s="3"/>
      <c r="I859" s="3"/>
      <c r="J859" s="3"/>
      <c r="K859" s="3"/>
      <c r="L859" s="3"/>
      <c r="M859" s="3"/>
      <c r="N859" s="3"/>
      <c r="O859" s="3"/>
      <c r="P859" s="53"/>
      <c r="Q859" s="53"/>
      <c r="R859" s="618"/>
      <c r="S859" s="3"/>
      <c r="T859" s="3"/>
      <c r="U859" s="3"/>
      <c r="V859" s="3"/>
      <c r="W859" s="3"/>
      <c r="X859" s="3"/>
      <c r="Y859" s="3"/>
      <c r="Z859" s="3"/>
      <c r="AA859" s="3"/>
      <c r="AB859" s="3"/>
      <c r="AC859" s="3"/>
    </row>
    <row r="860">
      <c r="A860" s="3"/>
      <c r="B860" s="3"/>
      <c r="C860" s="3"/>
      <c r="D860" s="319"/>
      <c r="E860" s="3"/>
      <c r="F860" s="3"/>
      <c r="G860" s="3"/>
      <c r="H860" s="3"/>
      <c r="I860" s="3"/>
      <c r="J860" s="3"/>
      <c r="K860" s="3"/>
      <c r="L860" s="3"/>
      <c r="M860" s="3"/>
      <c r="N860" s="3"/>
      <c r="O860" s="3"/>
      <c r="P860" s="53"/>
      <c r="Q860" s="53"/>
      <c r="R860" s="618"/>
      <c r="S860" s="3"/>
      <c r="T860" s="3"/>
      <c r="U860" s="3"/>
      <c r="V860" s="3"/>
      <c r="W860" s="3"/>
      <c r="X860" s="3"/>
      <c r="Y860" s="3"/>
      <c r="Z860" s="3"/>
      <c r="AA860" s="3"/>
      <c r="AB860" s="3"/>
      <c r="AC860" s="3"/>
    </row>
    <row r="861">
      <c r="A861" s="3"/>
      <c r="B861" s="3"/>
      <c r="C861" s="3"/>
      <c r="D861" s="319"/>
      <c r="E861" s="3"/>
      <c r="F861" s="3"/>
      <c r="G861" s="3"/>
      <c r="H861" s="3"/>
      <c r="I861" s="3"/>
      <c r="J861" s="3"/>
      <c r="K861" s="3"/>
      <c r="L861" s="3"/>
      <c r="M861" s="3"/>
      <c r="N861" s="3"/>
      <c r="O861" s="3"/>
      <c r="P861" s="53"/>
      <c r="Q861" s="53"/>
      <c r="R861" s="618"/>
      <c r="S861" s="3"/>
      <c r="T861" s="3"/>
      <c r="U861" s="3"/>
      <c r="V861" s="3"/>
      <c r="W861" s="3"/>
      <c r="X861" s="3"/>
      <c r="Y861" s="3"/>
      <c r="Z861" s="3"/>
      <c r="AA861" s="3"/>
      <c r="AB861" s="3"/>
      <c r="AC861" s="3"/>
    </row>
    <row r="862">
      <c r="A862" s="3"/>
      <c r="B862" s="3"/>
      <c r="C862" s="3"/>
      <c r="D862" s="319"/>
      <c r="E862" s="3"/>
      <c r="F862" s="3"/>
      <c r="G862" s="3"/>
      <c r="H862" s="3"/>
      <c r="I862" s="3"/>
      <c r="J862" s="3"/>
      <c r="K862" s="3"/>
      <c r="L862" s="3"/>
      <c r="M862" s="3"/>
      <c r="N862" s="3"/>
      <c r="O862" s="3"/>
      <c r="P862" s="53"/>
      <c r="Q862" s="53"/>
      <c r="R862" s="618"/>
      <c r="S862" s="3"/>
      <c r="T862" s="3"/>
      <c r="U862" s="3"/>
      <c r="V862" s="3"/>
      <c r="W862" s="3"/>
      <c r="X862" s="3"/>
      <c r="Y862" s="3"/>
      <c r="Z862" s="3"/>
      <c r="AA862" s="3"/>
      <c r="AB862" s="3"/>
      <c r="AC862" s="3"/>
    </row>
    <row r="863">
      <c r="A863" s="3"/>
      <c r="B863" s="3"/>
      <c r="C863" s="3"/>
      <c r="D863" s="319"/>
      <c r="E863" s="3"/>
      <c r="F863" s="3"/>
      <c r="G863" s="3"/>
      <c r="H863" s="3"/>
      <c r="I863" s="3"/>
      <c r="J863" s="3"/>
      <c r="K863" s="3"/>
      <c r="L863" s="3"/>
      <c r="M863" s="3"/>
      <c r="N863" s="3"/>
      <c r="O863" s="3"/>
      <c r="P863" s="53"/>
      <c r="Q863" s="53"/>
      <c r="R863" s="618"/>
      <c r="S863" s="3"/>
      <c r="T863" s="3"/>
      <c r="U863" s="3"/>
      <c r="V863" s="3"/>
      <c r="W863" s="3"/>
      <c r="X863" s="3"/>
      <c r="Y863" s="3"/>
      <c r="Z863" s="3"/>
      <c r="AA863" s="3"/>
      <c r="AB863" s="3"/>
      <c r="AC863" s="3"/>
    </row>
    <row r="864">
      <c r="A864" s="3"/>
      <c r="B864" s="3"/>
      <c r="C864" s="3"/>
      <c r="D864" s="319"/>
      <c r="E864" s="3"/>
      <c r="F864" s="3"/>
      <c r="G864" s="3"/>
      <c r="H864" s="3"/>
      <c r="I864" s="3"/>
      <c r="J864" s="3"/>
      <c r="K864" s="3"/>
      <c r="L864" s="3"/>
      <c r="M864" s="3"/>
      <c r="N864" s="3"/>
      <c r="O864" s="3"/>
      <c r="P864" s="53"/>
      <c r="Q864" s="53"/>
      <c r="R864" s="618"/>
      <c r="S864" s="3"/>
      <c r="T864" s="3"/>
      <c r="U864" s="3"/>
      <c r="V864" s="3"/>
      <c r="W864" s="3"/>
      <c r="X864" s="3"/>
      <c r="Y864" s="3"/>
      <c r="Z864" s="3"/>
      <c r="AA864" s="3"/>
      <c r="AB864" s="3"/>
      <c r="AC864" s="3"/>
    </row>
    <row r="865">
      <c r="A865" s="3"/>
      <c r="B865" s="3"/>
      <c r="C865" s="3"/>
      <c r="D865" s="319"/>
      <c r="E865" s="3"/>
      <c r="F865" s="3"/>
      <c r="G865" s="3"/>
      <c r="H865" s="3"/>
      <c r="I865" s="3"/>
      <c r="J865" s="3"/>
      <c r="K865" s="3"/>
      <c r="L865" s="3"/>
      <c r="M865" s="3"/>
      <c r="N865" s="3"/>
      <c r="O865" s="3"/>
      <c r="P865" s="53"/>
      <c r="Q865" s="53"/>
      <c r="R865" s="618"/>
      <c r="S865" s="3"/>
      <c r="T865" s="3"/>
      <c r="U865" s="3"/>
      <c r="V865" s="3"/>
      <c r="W865" s="3"/>
      <c r="X865" s="3"/>
      <c r="Y865" s="3"/>
      <c r="Z865" s="3"/>
      <c r="AA865" s="3"/>
      <c r="AB865" s="3"/>
      <c r="AC865" s="3"/>
    </row>
    <row r="866">
      <c r="A866" s="3"/>
      <c r="B866" s="3"/>
      <c r="C866" s="3"/>
      <c r="D866" s="319"/>
      <c r="E866" s="3"/>
      <c r="F866" s="3"/>
      <c r="G866" s="3"/>
      <c r="H866" s="3"/>
      <c r="I866" s="3"/>
      <c r="J866" s="3"/>
      <c r="K866" s="3"/>
      <c r="L866" s="3"/>
      <c r="M866" s="3"/>
      <c r="N866" s="3"/>
      <c r="O866" s="3"/>
      <c r="P866" s="53"/>
      <c r="Q866" s="53"/>
      <c r="R866" s="618"/>
      <c r="S866" s="3"/>
      <c r="T866" s="3"/>
      <c r="U866" s="3"/>
      <c r="V866" s="3"/>
      <c r="W866" s="3"/>
      <c r="X866" s="3"/>
      <c r="Y866" s="3"/>
      <c r="Z866" s="3"/>
      <c r="AA866" s="3"/>
      <c r="AB866" s="3"/>
      <c r="AC866" s="3"/>
    </row>
    <row r="867">
      <c r="A867" s="3"/>
      <c r="B867" s="3"/>
      <c r="C867" s="3"/>
      <c r="D867" s="319"/>
      <c r="E867" s="3"/>
      <c r="F867" s="3"/>
      <c r="G867" s="3"/>
      <c r="H867" s="3"/>
      <c r="I867" s="3"/>
      <c r="J867" s="3"/>
      <c r="K867" s="3"/>
      <c r="L867" s="3"/>
      <c r="M867" s="3"/>
      <c r="N867" s="3"/>
      <c r="O867" s="3"/>
      <c r="P867" s="53"/>
      <c r="Q867" s="53"/>
      <c r="R867" s="618"/>
      <c r="S867" s="3"/>
      <c r="T867" s="3"/>
      <c r="U867" s="3"/>
      <c r="V867" s="3"/>
      <c r="W867" s="3"/>
      <c r="X867" s="3"/>
      <c r="Y867" s="3"/>
      <c r="Z867" s="3"/>
      <c r="AA867" s="3"/>
      <c r="AB867" s="3"/>
      <c r="AC867" s="3"/>
    </row>
    <row r="868">
      <c r="A868" s="3"/>
      <c r="B868" s="3"/>
      <c r="C868" s="3"/>
      <c r="D868" s="319"/>
      <c r="E868" s="3"/>
      <c r="F868" s="3"/>
      <c r="G868" s="3"/>
      <c r="H868" s="3"/>
      <c r="I868" s="3"/>
      <c r="J868" s="3"/>
      <c r="K868" s="3"/>
      <c r="L868" s="3"/>
      <c r="M868" s="3"/>
      <c r="N868" s="3"/>
      <c r="O868" s="3"/>
      <c r="P868" s="53"/>
      <c r="Q868" s="53"/>
      <c r="R868" s="618"/>
      <c r="S868" s="3"/>
      <c r="T868" s="3"/>
      <c r="U868" s="3"/>
      <c r="V868" s="3"/>
      <c r="W868" s="3"/>
      <c r="X868" s="3"/>
      <c r="Y868" s="3"/>
      <c r="Z868" s="3"/>
      <c r="AA868" s="3"/>
      <c r="AB868" s="3"/>
      <c r="AC868" s="3"/>
    </row>
    <row r="869">
      <c r="A869" s="3"/>
      <c r="B869" s="3"/>
      <c r="C869" s="3"/>
      <c r="D869" s="319"/>
      <c r="E869" s="3"/>
      <c r="F869" s="3"/>
      <c r="G869" s="3"/>
      <c r="H869" s="3"/>
      <c r="I869" s="3"/>
      <c r="J869" s="3"/>
      <c r="K869" s="3"/>
      <c r="L869" s="3"/>
      <c r="M869" s="3"/>
      <c r="N869" s="3"/>
      <c r="O869" s="3"/>
      <c r="P869" s="53"/>
      <c r="Q869" s="53"/>
      <c r="R869" s="618"/>
      <c r="S869" s="3"/>
      <c r="T869" s="3"/>
      <c r="U869" s="3"/>
      <c r="V869" s="3"/>
      <c r="W869" s="3"/>
      <c r="X869" s="3"/>
      <c r="Y869" s="3"/>
      <c r="Z869" s="3"/>
      <c r="AA869" s="3"/>
      <c r="AB869" s="3"/>
      <c r="AC869" s="3"/>
    </row>
    <row r="870">
      <c r="A870" s="3"/>
      <c r="B870" s="3"/>
      <c r="C870" s="3"/>
      <c r="D870" s="319"/>
      <c r="E870" s="3"/>
      <c r="F870" s="3"/>
      <c r="G870" s="3"/>
      <c r="H870" s="3"/>
      <c r="I870" s="3"/>
      <c r="J870" s="3"/>
      <c r="K870" s="3"/>
      <c r="L870" s="3"/>
      <c r="M870" s="3"/>
      <c r="N870" s="3"/>
      <c r="O870" s="3"/>
      <c r="P870" s="53"/>
      <c r="Q870" s="53"/>
      <c r="R870" s="618"/>
      <c r="S870" s="3"/>
      <c r="T870" s="3"/>
      <c r="U870" s="3"/>
      <c r="V870" s="3"/>
      <c r="W870" s="3"/>
      <c r="X870" s="3"/>
      <c r="Y870" s="3"/>
      <c r="Z870" s="3"/>
      <c r="AA870" s="3"/>
      <c r="AB870" s="3"/>
      <c r="AC870" s="3"/>
    </row>
    <row r="871">
      <c r="A871" s="3"/>
      <c r="B871" s="3"/>
      <c r="C871" s="3"/>
      <c r="D871" s="319"/>
      <c r="E871" s="3"/>
      <c r="F871" s="3"/>
      <c r="G871" s="3"/>
      <c r="H871" s="3"/>
      <c r="I871" s="3"/>
      <c r="J871" s="3"/>
      <c r="K871" s="3"/>
      <c r="L871" s="3"/>
      <c r="M871" s="3"/>
      <c r="N871" s="3"/>
      <c r="O871" s="3"/>
      <c r="P871" s="53"/>
      <c r="Q871" s="53"/>
      <c r="R871" s="618"/>
      <c r="S871" s="3"/>
      <c r="T871" s="3"/>
      <c r="U871" s="3"/>
      <c r="V871" s="3"/>
      <c r="W871" s="3"/>
      <c r="X871" s="3"/>
      <c r="Y871" s="3"/>
      <c r="Z871" s="3"/>
      <c r="AA871" s="3"/>
      <c r="AB871" s="3"/>
      <c r="AC871" s="3"/>
    </row>
    <row r="872">
      <c r="A872" s="3"/>
      <c r="B872" s="3"/>
      <c r="C872" s="3"/>
      <c r="D872" s="319"/>
      <c r="E872" s="3"/>
      <c r="F872" s="3"/>
      <c r="G872" s="3"/>
      <c r="H872" s="3"/>
      <c r="I872" s="3"/>
      <c r="J872" s="3"/>
      <c r="K872" s="3"/>
      <c r="L872" s="3"/>
      <c r="M872" s="3"/>
      <c r="N872" s="3"/>
      <c r="O872" s="3"/>
      <c r="P872" s="53"/>
      <c r="Q872" s="53"/>
      <c r="R872" s="618"/>
      <c r="S872" s="3"/>
      <c r="T872" s="3"/>
      <c r="U872" s="3"/>
      <c r="V872" s="3"/>
      <c r="W872" s="3"/>
      <c r="X872" s="3"/>
      <c r="Y872" s="3"/>
      <c r="Z872" s="3"/>
      <c r="AA872" s="3"/>
      <c r="AB872" s="3"/>
      <c r="AC872" s="3"/>
    </row>
    <row r="873">
      <c r="A873" s="3"/>
      <c r="B873" s="3"/>
      <c r="C873" s="3"/>
      <c r="D873" s="319"/>
      <c r="E873" s="3"/>
      <c r="F873" s="3"/>
      <c r="G873" s="3"/>
      <c r="H873" s="3"/>
      <c r="I873" s="3"/>
      <c r="J873" s="3"/>
      <c r="K873" s="3"/>
      <c r="L873" s="3"/>
      <c r="M873" s="3"/>
      <c r="N873" s="3"/>
      <c r="O873" s="3"/>
      <c r="P873" s="53"/>
      <c r="Q873" s="53"/>
      <c r="R873" s="618"/>
      <c r="S873" s="3"/>
      <c r="T873" s="3"/>
      <c r="U873" s="3"/>
      <c r="V873" s="3"/>
      <c r="W873" s="3"/>
      <c r="X873" s="3"/>
      <c r="Y873" s="3"/>
      <c r="Z873" s="3"/>
      <c r="AA873" s="3"/>
      <c r="AB873" s="3"/>
      <c r="AC873" s="3"/>
    </row>
    <row r="874">
      <c r="A874" s="3"/>
      <c r="B874" s="3"/>
      <c r="C874" s="3"/>
      <c r="D874" s="319"/>
      <c r="E874" s="3"/>
      <c r="F874" s="3"/>
      <c r="G874" s="3"/>
      <c r="H874" s="3"/>
      <c r="I874" s="3"/>
      <c r="J874" s="3"/>
      <c r="K874" s="3"/>
      <c r="L874" s="3"/>
      <c r="M874" s="3"/>
      <c r="N874" s="3"/>
      <c r="O874" s="3"/>
      <c r="P874" s="53"/>
      <c r="Q874" s="53"/>
      <c r="R874" s="618"/>
      <c r="S874" s="3"/>
      <c r="T874" s="3"/>
      <c r="U874" s="3"/>
      <c r="V874" s="3"/>
      <c r="W874" s="3"/>
      <c r="X874" s="3"/>
      <c r="Y874" s="3"/>
      <c r="Z874" s="3"/>
      <c r="AA874" s="3"/>
      <c r="AB874" s="3"/>
      <c r="AC874" s="3"/>
    </row>
    <row r="875">
      <c r="A875" s="3"/>
      <c r="B875" s="3"/>
      <c r="C875" s="3"/>
      <c r="D875" s="319"/>
      <c r="E875" s="3"/>
      <c r="F875" s="3"/>
      <c r="G875" s="3"/>
      <c r="H875" s="3"/>
      <c r="I875" s="3"/>
      <c r="J875" s="3"/>
      <c r="K875" s="3"/>
      <c r="L875" s="3"/>
      <c r="M875" s="3"/>
      <c r="N875" s="3"/>
      <c r="O875" s="3"/>
      <c r="P875" s="53"/>
      <c r="Q875" s="53"/>
      <c r="R875" s="618"/>
      <c r="S875" s="3"/>
      <c r="T875" s="3"/>
      <c r="U875" s="3"/>
      <c r="V875" s="3"/>
      <c r="W875" s="3"/>
      <c r="X875" s="3"/>
      <c r="Y875" s="3"/>
      <c r="Z875" s="3"/>
      <c r="AA875" s="3"/>
      <c r="AB875" s="3"/>
      <c r="AC875" s="3"/>
    </row>
    <row r="876">
      <c r="A876" s="3"/>
      <c r="B876" s="3"/>
      <c r="C876" s="3"/>
      <c r="D876" s="319"/>
      <c r="E876" s="3"/>
      <c r="F876" s="3"/>
      <c r="G876" s="3"/>
      <c r="H876" s="3"/>
      <c r="I876" s="3"/>
      <c r="J876" s="3"/>
      <c r="K876" s="3"/>
      <c r="L876" s="3"/>
      <c r="M876" s="3"/>
      <c r="N876" s="3"/>
      <c r="O876" s="3"/>
      <c r="P876" s="53"/>
      <c r="Q876" s="53"/>
      <c r="R876" s="618"/>
      <c r="S876" s="3"/>
      <c r="T876" s="3"/>
      <c r="U876" s="3"/>
      <c r="V876" s="3"/>
      <c r="W876" s="3"/>
      <c r="X876" s="3"/>
      <c r="Y876" s="3"/>
      <c r="Z876" s="3"/>
      <c r="AA876" s="3"/>
      <c r="AB876" s="3"/>
      <c r="AC876" s="3"/>
    </row>
    <row r="877">
      <c r="A877" s="3"/>
      <c r="B877" s="3"/>
      <c r="C877" s="3"/>
      <c r="D877" s="319"/>
      <c r="E877" s="3"/>
      <c r="F877" s="3"/>
      <c r="G877" s="3"/>
      <c r="H877" s="3"/>
      <c r="I877" s="3"/>
      <c r="J877" s="3"/>
      <c r="K877" s="3"/>
      <c r="L877" s="3"/>
      <c r="M877" s="3"/>
      <c r="N877" s="3"/>
      <c r="O877" s="3"/>
      <c r="P877" s="53"/>
      <c r="Q877" s="53"/>
      <c r="R877" s="618"/>
      <c r="S877" s="3"/>
      <c r="T877" s="3"/>
      <c r="U877" s="3"/>
      <c r="V877" s="3"/>
      <c r="W877" s="3"/>
      <c r="X877" s="3"/>
      <c r="Y877" s="3"/>
      <c r="Z877" s="3"/>
      <c r="AA877" s="3"/>
      <c r="AB877" s="3"/>
      <c r="AC877" s="3"/>
    </row>
    <row r="878">
      <c r="A878" s="3"/>
      <c r="B878" s="3"/>
      <c r="C878" s="3"/>
      <c r="D878" s="319"/>
      <c r="E878" s="3"/>
      <c r="F878" s="3"/>
      <c r="G878" s="3"/>
      <c r="H878" s="3"/>
      <c r="I878" s="3"/>
      <c r="J878" s="3"/>
      <c r="K878" s="3"/>
      <c r="L878" s="3"/>
      <c r="M878" s="3"/>
      <c r="N878" s="3"/>
      <c r="O878" s="3"/>
      <c r="P878" s="53"/>
      <c r="Q878" s="53"/>
      <c r="R878" s="618"/>
      <c r="S878" s="3"/>
      <c r="T878" s="3"/>
      <c r="U878" s="3"/>
      <c r="V878" s="3"/>
      <c r="W878" s="3"/>
      <c r="X878" s="3"/>
      <c r="Y878" s="3"/>
      <c r="Z878" s="3"/>
      <c r="AA878" s="3"/>
      <c r="AB878" s="3"/>
      <c r="AC878" s="3"/>
    </row>
    <row r="879">
      <c r="A879" s="3"/>
      <c r="B879" s="3"/>
      <c r="C879" s="3"/>
      <c r="D879" s="319"/>
      <c r="E879" s="3"/>
      <c r="F879" s="3"/>
      <c r="G879" s="3"/>
      <c r="H879" s="3"/>
      <c r="I879" s="3"/>
      <c r="J879" s="3"/>
      <c r="K879" s="3"/>
      <c r="L879" s="3"/>
      <c r="M879" s="3"/>
      <c r="N879" s="3"/>
      <c r="O879" s="3"/>
      <c r="P879" s="53"/>
      <c r="Q879" s="53"/>
      <c r="R879" s="618"/>
      <c r="S879" s="3"/>
      <c r="T879" s="3"/>
      <c r="U879" s="3"/>
      <c r="V879" s="3"/>
      <c r="W879" s="3"/>
      <c r="X879" s="3"/>
      <c r="Y879" s="3"/>
      <c r="Z879" s="3"/>
      <c r="AA879" s="3"/>
      <c r="AB879" s="3"/>
      <c r="AC879" s="3"/>
    </row>
    <row r="880">
      <c r="A880" s="3"/>
      <c r="B880" s="3"/>
      <c r="C880" s="3"/>
      <c r="D880" s="319"/>
      <c r="E880" s="3"/>
      <c r="F880" s="3"/>
      <c r="G880" s="3"/>
      <c r="H880" s="3"/>
      <c r="I880" s="3"/>
      <c r="J880" s="3"/>
      <c r="K880" s="3"/>
      <c r="L880" s="3"/>
      <c r="M880" s="3"/>
      <c r="N880" s="3"/>
      <c r="O880" s="3"/>
      <c r="P880" s="53"/>
      <c r="Q880" s="53"/>
      <c r="R880" s="618"/>
      <c r="S880" s="3"/>
      <c r="T880" s="3"/>
      <c r="U880" s="3"/>
      <c r="V880" s="3"/>
      <c r="W880" s="3"/>
      <c r="X880" s="3"/>
      <c r="Y880" s="3"/>
      <c r="Z880" s="3"/>
      <c r="AA880" s="3"/>
      <c r="AB880" s="3"/>
      <c r="AC880" s="3"/>
    </row>
    <row r="881">
      <c r="A881" s="3"/>
      <c r="B881" s="3"/>
      <c r="C881" s="3"/>
      <c r="D881" s="319"/>
      <c r="E881" s="3"/>
      <c r="F881" s="3"/>
      <c r="G881" s="3"/>
      <c r="H881" s="3"/>
      <c r="I881" s="3"/>
      <c r="J881" s="3"/>
      <c r="K881" s="3"/>
      <c r="L881" s="3"/>
      <c r="M881" s="3"/>
      <c r="N881" s="3"/>
      <c r="O881" s="3"/>
      <c r="P881" s="53"/>
      <c r="Q881" s="53"/>
      <c r="R881" s="618"/>
      <c r="S881" s="3"/>
      <c r="T881" s="3"/>
      <c r="U881" s="3"/>
      <c r="V881" s="3"/>
      <c r="W881" s="3"/>
      <c r="X881" s="3"/>
      <c r="Y881" s="3"/>
      <c r="Z881" s="3"/>
      <c r="AA881" s="3"/>
      <c r="AB881" s="3"/>
      <c r="AC881" s="3"/>
    </row>
    <row r="882">
      <c r="A882" s="3"/>
      <c r="B882" s="3"/>
      <c r="C882" s="3"/>
      <c r="D882" s="319"/>
      <c r="E882" s="3"/>
      <c r="F882" s="3"/>
      <c r="G882" s="3"/>
      <c r="H882" s="3"/>
      <c r="I882" s="3"/>
      <c r="J882" s="3"/>
      <c r="K882" s="3"/>
      <c r="L882" s="3"/>
      <c r="M882" s="3"/>
      <c r="N882" s="3"/>
      <c r="O882" s="3"/>
      <c r="P882" s="53"/>
      <c r="Q882" s="53"/>
      <c r="R882" s="618"/>
      <c r="S882" s="3"/>
      <c r="T882" s="3"/>
      <c r="U882" s="3"/>
      <c r="V882" s="3"/>
      <c r="W882" s="3"/>
      <c r="X882" s="3"/>
      <c r="Y882" s="3"/>
      <c r="Z882" s="3"/>
      <c r="AA882" s="3"/>
      <c r="AB882" s="3"/>
      <c r="AC882" s="3"/>
    </row>
    <row r="883">
      <c r="A883" s="3"/>
      <c r="B883" s="3"/>
      <c r="C883" s="3"/>
      <c r="D883" s="319"/>
      <c r="E883" s="3"/>
      <c r="F883" s="3"/>
      <c r="G883" s="3"/>
      <c r="H883" s="3"/>
      <c r="I883" s="3"/>
      <c r="J883" s="3"/>
      <c r="K883" s="3"/>
      <c r="L883" s="3"/>
      <c r="M883" s="3"/>
      <c r="N883" s="3"/>
      <c r="O883" s="3"/>
      <c r="P883" s="53"/>
      <c r="Q883" s="53"/>
      <c r="R883" s="618"/>
      <c r="S883" s="3"/>
      <c r="T883" s="3"/>
      <c r="U883" s="3"/>
      <c r="V883" s="3"/>
      <c r="W883" s="3"/>
      <c r="X883" s="3"/>
      <c r="Y883" s="3"/>
      <c r="Z883" s="3"/>
      <c r="AA883" s="3"/>
      <c r="AB883" s="3"/>
      <c r="AC883" s="3"/>
    </row>
    <row r="884">
      <c r="A884" s="3"/>
      <c r="B884" s="3"/>
      <c r="C884" s="3"/>
      <c r="D884" s="319"/>
      <c r="E884" s="3"/>
      <c r="F884" s="3"/>
      <c r="G884" s="3"/>
      <c r="H884" s="3"/>
      <c r="I884" s="3"/>
      <c r="J884" s="3"/>
      <c r="K884" s="3"/>
      <c r="L884" s="3"/>
      <c r="M884" s="3"/>
      <c r="N884" s="3"/>
      <c r="O884" s="3"/>
      <c r="P884" s="53"/>
      <c r="Q884" s="53"/>
      <c r="R884" s="618"/>
      <c r="S884" s="3"/>
      <c r="T884" s="3"/>
      <c r="U884" s="3"/>
      <c r="V884" s="3"/>
      <c r="W884" s="3"/>
      <c r="X884" s="3"/>
      <c r="Y884" s="3"/>
      <c r="Z884" s="3"/>
      <c r="AA884" s="3"/>
      <c r="AB884" s="3"/>
      <c r="AC884" s="3"/>
    </row>
    <row r="885">
      <c r="A885" s="3"/>
      <c r="B885" s="3"/>
      <c r="C885" s="3"/>
      <c r="D885" s="319"/>
      <c r="E885" s="3"/>
      <c r="F885" s="3"/>
      <c r="G885" s="3"/>
      <c r="H885" s="3"/>
      <c r="I885" s="3"/>
      <c r="J885" s="3"/>
      <c r="K885" s="3"/>
      <c r="L885" s="3"/>
      <c r="M885" s="3"/>
      <c r="N885" s="3"/>
      <c r="O885" s="3"/>
      <c r="P885" s="53"/>
      <c r="Q885" s="53"/>
      <c r="R885" s="618"/>
      <c r="S885" s="3"/>
      <c r="T885" s="3"/>
      <c r="U885" s="3"/>
      <c r="V885" s="3"/>
      <c r="W885" s="3"/>
      <c r="X885" s="3"/>
      <c r="Y885" s="3"/>
      <c r="Z885" s="3"/>
      <c r="AA885" s="3"/>
      <c r="AB885" s="3"/>
      <c r="AC885" s="3"/>
    </row>
    <row r="886">
      <c r="A886" s="3"/>
      <c r="B886" s="3"/>
      <c r="C886" s="3"/>
      <c r="D886" s="319"/>
      <c r="E886" s="3"/>
      <c r="F886" s="3"/>
      <c r="G886" s="3"/>
      <c r="H886" s="3"/>
      <c r="I886" s="3"/>
      <c r="J886" s="3"/>
      <c r="K886" s="3"/>
      <c r="L886" s="3"/>
      <c r="M886" s="3"/>
      <c r="N886" s="3"/>
      <c r="O886" s="3"/>
      <c r="P886" s="53"/>
      <c r="Q886" s="53"/>
      <c r="R886" s="618"/>
      <c r="S886" s="3"/>
      <c r="T886" s="3"/>
      <c r="U886" s="3"/>
      <c r="V886" s="3"/>
      <c r="W886" s="3"/>
      <c r="X886" s="3"/>
      <c r="Y886" s="3"/>
      <c r="Z886" s="3"/>
      <c r="AA886" s="3"/>
      <c r="AB886" s="3"/>
      <c r="AC886" s="3"/>
    </row>
    <row r="887">
      <c r="A887" s="3"/>
      <c r="B887" s="3"/>
      <c r="C887" s="3"/>
      <c r="D887" s="319"/>
      <c r="E887" s="3"/>
      <c r="F887" s="3"/>
      <c r="G887" s="3"/>
      <c r="H887" s="3"/>
      <c r="I887" s="3"/>
      <c r="J887" s="3"/>
      <c r="K887" s="3"/>
      <c r="L887" s="3"/>
      <c r="M887" s="3"/>
      <c r="N887" s="3"/>
      <c r="O887" s="3"/>
      <c r="P887" s="53"/>
      <c r="Q887" s="53"/>
      <c r="R887" s="618"/>
      <c r="S887" s="3"/>
      <c r="T887" s="3"/>
      <c r="U887" s="3"/>
      <c r="V887" s="3"/>
      <c r="W887" s="3"/>
      <c r="X887" s="3"/>
      <c r="Y887" s="3"/>
      <c r="Z887" s="3"/>
      <c r="AA887" s="3"/>
      <c r="AB887" s="3"/>
      <c r="AC887" s="3"/>
    </row>
    <row r="888">
      <c r="A888" s="3"/>
      <c r="B888" s="3"/>
      <c r="C888" s="3"/>
      <c r="D888" s="319"/>
      <c r="E888" s="3"/>
      <c r="F888" s="3"/>
      <c r="G888" s="3"/>
      <c r="H888" s="3"/>
      <c r="I888" s="3"/>
      <c r="J888" s="3"/>
      <c r="K888" s="3"/>
      <c r="L888" s="3"/>
      <c r="M888" s="3"/>
      <c r="N888" s="3"/>
      <c r="O888" s="3"/>
      <c r="P888" s="53"/>
      <c r="Q888" s="53"/>
      <c r="R888" s="618"/>
      <c r="S888" s="3"/>
      <c r="T888" s="3"/>
      <c r="U888" s="3"/>
      <c r="V888" s="3"/>
      <c r="W888" s="3"/>
      <c r="X888" s="3"/>
      <c r="Y888" s="3"/>
      <c r="Z888" s="3"/>
      <c r="AA888" s="3"/>
      <c r="AB888" s="3"/>
      <c r="AC888" s="3"/>
    </row>
    <row r="889">
      <c r="A889" s="3"/>
      <c r="B889" s="3"/>
      <c r="C889" s="3"/>
      <c r="D889" s="319"/>
      <c r="E889" s="3"/>
      <c r="F889" s="3"/>
      <c r="G889" s="3"/>
      <c r="H889" s="3"/>
      <c r="I889" s="3"/>
      <c r="J889" s="3"/>
      <c r="K889" s="3"/>
      <c r="L889" s="3"/>
      <c r="M889" s="3"/>
      <c r="N889" s="3"/>
      <c r="O889" s="3"/>
      <c r="P889" s="53"/>
      <c r="Q889" s="53"/>
      <c r="R889" s="618"/>
      <c r="S889" s="3"/>
      <c r="T889" s="3"/>
      <c r="U889" s="3"/>
      <c r="V889" s="3"/>
      <c r="W889" s="3"/>
      <c r="X889" s="3"/>
      <c r="Y889" s="3"/>
      <c r="Z889" s="3"/>
      <c r="AA889" s="3"/>
      <c r="AB889" s="3"/>
      <c r="AC889" s="3"/>
    </row>
    <row r="890">
      <c r="A890" s="3"/>
      <c r="B890" s="3"/>
      <c r="C890" s="3"/>
      <c r="D890" s="319"/>
      <c r="E890" s="3"/>
      <c r="F890" s="3"/>
      <c r="G890" s="3"/>
      <c r="H890" s="3"/>
      <c r="I890" s="3"/>
      <c r="J890" s="3"/>
      <c r="K890" s="3"/>
      <c r="L890" s="3"/>
      <c r="M890" s="3"/>
      <c r="N890" s="3"/>
      <c r="O890" s="3"/>
      <c r="P890" s="53"/>
      <c r="Q890" s="53"/>
      <c r="R890" s="618"/>
      <c r="S890" s="3"/>
      <c r="T890" s="3"/>
      <c r="U890" s="3"/>
      <c r="V890" s="3"/>
      <c r="W890" s="3"/>
      <c r="X890" s="3"/>
      <c r="Y890" s="3"/>
      <c r="Z890" s="3"/>
      <c r="AA890" s="3"/>
      <c r="AB890" s="3"/>
      <c r="AC890" s="3"/>
    </row>
    <row r="891">
      <c r="A891" s="3"/>
      <c r="B891" s="3"/>
      <c r="C891" s="3"/>
      <c r="D891" s="319"/>
      <c r="E891" s="3"/>
      <c r="F891" s="3"/>
      <c r="G891" s="3"/>
      <c r="H891" s="3"/>
      <c r="I891" s="3"/>
      <c r="J891" s="3"/>
      <c r="K891" s="3"/>
      <c r="L891" s="3"/>
      <c r="M891" s="3"/>
      <c r="N891" s="3"/>
      <c r="O891" s="3"/>
      <c r="P891" s="53"/>
      <c r="Q891" s="53"/>
      <c r="R891" s="618"/>
      <c r="S891" s="3"/>
      <c r="T891" s="3"/>
      <c r="U891" s="3"/>
      <c r="V891" s="3"/>
      <c r="W891" s="3"/>
      <c r="X891" s="3"/>
      <c r="Y891" s="3"/>
      <c r="Z891" s="3"/>
      <c r="AA891" s="3"/>
      <c r="AB891" s="3"/>
      <c r="AC891" s="3"/>
    </row>
    <row r="892">
      <c r="A892" s="3"/>
      <c r="B892" s="3"/>
      <c r="C892" s="3"/>
      <c r="D892" s="319"/>
      <c r="E892" s="3"/>
      <c r="F892" s="3"/>
      <c r="G892" s="3"/>
      <c r="H892" s="3"/>
      <c r="I892" s="3"/>
      <c r="J892" s="3"/>
      <c r="K892" s="3"/>
      <c r="L892" s="3"/>
      <c r="M892" s="3"/>
      <c r="N892" s="3"/>
      <c r="O892" s="3"/>
      <c r="P892" s="53"/>
      <c r="Q892" s="53"/>
      <c r="R892" s="618"/>
      <c r="S892" s="3"/>
      <c r="T892" s="3"/>
      <c r="U892" s="3"/>
      <c r="V892" s="3"/>
      <c r="W892" s="3"/>
      <c r="X892" s="3"/>
      <c r="Y892" s="3"/>
      <c r="Z892" s="3"/>
      <c r="AA892" s="3"/>
      <c r="AB892" s="3"/>
      <c r="AC892" s="3"/>
    </row>
    <row r="893">
      <c r="A893" s="3"/>
      <c r="B893" s="3"/>
      <c r="C893" s="3"/>
      <c r="D893" s="319"/>
      <c r="E893" s="3"/>
      <c r="F893" s="3"/>
      <c r="G893" s="3"/>
      <c r="H893" s="3"/>
      <c r="I893" s="3"/>
      <c r="J893" s="3"/>
      <c r="K893" s="3"/>
      <c r="L893" s="3"/>
      <c r="M893" s="3"/>
      <c r="N893" s="3"/>
      <c r="O893" s="3"/>
      <c r="P893" s="53"/>
      <c r="Q893" s="53"/>
      <c r="R893" s="618"/>
      <c r="S893" s="3"/>
      <c r="T893" s="3"/>
      <c r="U893" s="3"/>
      <c r="V893" s="3"/>
      <c r="W893" s="3"/>
      <c r="X893" s="3"/>
      <c r="Y893" s="3"/>
      <c r="Z893" s="3"/>
      <c r="AA893" s="3"/>
      <c r="AB893" s="3"/>
      <c r="AC893" s="3"/>
    </row>
    <row r="894">
      <c r="A894" s="3"/>
      <c r="B894" s="3"/>
      <c r="C894" s="3"/>
      <c r="D894" s="319"/>
      <c r="E894" s="3"/>
      <c r="F894" s="3"/>
      <c r="G894" s="3"/>
      <c r="H894" s="3"/>
      <c r="I894" s="3"/>
      <c r="J894" s="3"/>
      <c r="K894" s="3"/>
      <c r="L894" s="3"/>
      <c r="M894" s="3"/>
      <c r="N894" s="3"/>
      <c r="O894" s="3"/>
      <c r="P894" s="53"/>
      <c r="Q894" s="53"/>
      <c r="R894" s="618"/>
      <c r="S894" s="3"/>
      <c r="T894" s="3"/>
      <c r="U894" s="3"/>
      <c r="V894" s="3"/>
      <c r="W894" s="3"/>
      <c r="X894" s="3"/>
      <c r="Y894" s="3"/>
      <c r="Z894" s="3"/>
      <c r="AA894" s="3"/>
      <c r="AB894" s="3"/>
      <c r="AC894" s="3"/>
    </row>
    <row r="895">
      <c r="A895" s="3"/>
      <c r="B895" s="3"/>
      <c r="C895" s="3"/>
      <c r="D895" s="319"/>
      <c r="E895" s="3"/>
      <c r="F895" s="3"/>
      <c r="G895" s="3"/>
      <c r="H895" s="3"/>
      <c r="I895" s="3"/>
      <c r="J895" s="3"/>
      <c r="K895" s="3"/>
      <c r="L895" s="3"/>
      <c r="M895" s="3"/>
      <c r="N895" s="3"/>
      <c r="O895" s="3"/>
      <c r="P895" s="53"/>
      <c r="Q895" s="53"/>
      <c r="R895" s="618"/>
      <c r="S895" s="3"/>
      <c r="T895" s="3"/>
      <c r="U895" s="3"/>
      <c r="V895" s="3"/>
      <c r="W895" s="3"/>
      <c r="X895" s="3"/>
      <c r="Y895" s="3"/>
      <c r="Z895" s="3"/>
      <c r="AA895" s="3"/>
      <c r="AB895" s="3"/>
      <c r="AC895" s="3"/>
    </row>
    <row r="896">
      <c r="A896" s="3"/>
      <c r="B896" s="3"/>
      <c r="C896" s="3"/>
      <c r="D896" s="319"/>
      <c r="E896" s="3"/>
      <c r="F896" s="3"/>
      <c r="G896" s="3"/>
      <c r="H896" s="3"/>
      <c r="I896" s="3"/>
      <c r="J896" s="3"/>
      <c r="K896" s="3"/>
      <c r="L896" s="3"/>
      <c r="M896" s="3"/>
      <c r="N896" s="3"/>
      <c r="O896" s="3"/>
      <c r="P896" s="53"/>
      <c r="Q896" s="53"/>
      <c r="R896" s="618"/>
      <c r="S896" s="3"/>
      <c r="T896" s="3"/>
      <c r="U896" s="3"/>
      <c r="V896" s="3"/>
      <c r="W896" s="3"/>
      <c r="X896" s="3"/>
      <c r="Y896" s="3"/>
      <c r="Z896" s="3"/>
      <c r="AA896" s="3"/>
      <c r="AB896" s="3"/>
      <c r="AC896" s="3"/>
    </row>
    <row r="897">
      <c r="A897" s="3"/>
      <c r="B897" s="3"/>
      <c r="C897" s="3"/>
      <c r="D897" s="319"/>
      <c r="E897" s="3"/>
      <c r="F897" s="3"/>
      <c r="G897" s="3"/>
      <c r="H897" s="3"/>
      <c r="I897" s="3"/>
      <c r="J897" s="3"/>
      <c r="K897" s="3"/>
      <c r="L897" s="3"/>
      <c r="M897" s="3"/>
      <c r="N897" s="3"/>
      <c r="O897" s="3"/>
      <c r="P897" s="53"/>
      <c r="Q897" s="53"/>
      <c r="R897" s="618"/>
      <c r="S897" s="3"/>
      <c r="T897" s="3"/>
      <c r="U897" s="3"/>
      <c r="V897" s="3"/>
      <c r="W897" s="3"/>
      <c r="X897" s="3"/>
      <c r="Y897" s="3"/>
      <c r="Z897" s="3"/>
      <c r="AA897" s="3"/>
      <c r="AB897" s="3"/>
      <c r="AC897" s="3"/>
    </row>
    <row r="898">
      <c r="A898" s="3"/>
      <c r="B898" s="3"/>
      <c r="C898" s="3"/>
      <c r="D898" s="319"/>
      <c r="E898" s="3"/>
      <c r="F898" s="3"/>
      <c r="G898" s="3"/>
      <c r="H898" s="3"/>
      <c r="I898" s="3"/>
      <c r="J898" s="3"/>
      <c r="K898" s="3"/>
      <c r="L898" s="3"/>
      <c r="M898" s="3"/>
      <c r="N898" s="3"/>
      <c r="O898" s="3"/>
      <c r="P898" s="53"/>
      <c r="Q898" s="53"/>
      <c r="R898" s="618"/>
      <c r="S898" s="3"/>
      <c r="T898" s="3"/>
      <c r="U898" s="3"/>
      <c r="V898" s="3"/>
      <c r="W898" s="3"/>
      <c r="X898" s="3"/>
      <c r="Y898" s="3"/>
      <c r="Z898" s="3"/>
      <c r="AA898" s="3"/>
      <c r="AB898" s="3"/>
      <c r="AC898" s="3"/>
    </row>
    <row r="899">
      <c r="A899" s="3"/>
      <c r="B899" s="3"/>
      <c r="C899" s="3"/>
      <c r="D899" s="319"/>
      <c r="E899" s="3"/>
      <c r="F899" s="3"/>
      <c r="G899" s="3"/>
      <c r="H899" s="3"/>
      <c r="I899" s="3"/>
      <c r="J899" s="3"/>
      <c r="K899" s="3"/>
      <c r="L899" s="3"/>
      <c r="M899" s="3"/>
      <c r="N899" s="3"/>
      <c r="O899" s="3"/>
      <c r="P899" s="53"/>
      <c r="Q899" s="53"/>
      <c r="R899" s="618"/>
      <c r="S899" s="3"/>
      <c r="T899" s="3"/>
      <c r="U899" s="3"/>
      <c r="V899" s="3"/>
      <c r="W899" s="3"/>
      <c r="X899" s="3"/>
      <c r="Y899" s="3"/>
      <c r="Z899" s="3"/>
      <c r="AA899" s="3"/>
      <c r="AB899" s="3"/>
      <c r="AC899" s="3"/>
    </row>
    <row r="900">
      <c r="A900" s="3"/>
      <c r="B900" s="3"/>
      <c r="C900" s="3"/>
      <c r="D900" s="319"/>
      <c r="E900" s="3"/>
      <c r="F900" s="3"/>
      <c r="G900" s="3"/>
      <c r="H900" s="3"/>
      <c r="I900" s="3"/>
      <c r="J900" s="3"/>
      <c r="K900" s="3"/>
      <c r="L900" s="3"/>
      <c r="M900" s="3"/>
      <c r="N900" s="3"/>
      <c r="O900" s="3"/>
      <c r="P900" s="53"/>
      <c r="Q900" s="53"/>
      <c r="R900" s="618"/>
      <c r="S900" s="3"/>
      <c r="T900" s="3"/>
      <c r="U900" s="3"/>
      <c r="V900" s="3"/>
      <c r="W900" s="3"/>
      <c r="X900" s="3"/>
      <c r="Y900" s="3"/>
      <c r="Z900" s="3"/>
      <c r="AA900" s="3"/>
      <c r="AB900" s="3"/>
      <c r="AC900" s="3"/>
    </row>
    <row r="901">
      <c r="A901" s="3"/>
      <c r="B901" s="3"/>
      <c r="C901" s="3"/>
      <c r="D901" s="319"/>
      <c r="E901" s="3"/>
      <c r="F901" s="3"/>
      <c r="G901" s="3"/>
      <c r="H901" s="3"/>
      <c r="I901" s="3"/>
      <c r="J901" s="3"/>
      <c r="K901" s="3"/>
      <c r="L901" s="3"/>
      <c r="M901" s="3"/>
      <c r="N901" s="3"/>
      <c r="O901" s="3"/>
      <c r="P901" s="53"/>
      <c r="Q901" s="53"/>
      <c r="R901" s="618"/>
      <c r="S901" s="3"/>
      <c r="T901" s="3"/>
      <c r="U901" s="3"/>
      <c r="V901" s="3"/>
      <c r="W901" s="3"/>
      <c r="X901" s="3"/>
      <c r="Y901" s="3"/>
      <c r="Z901" s="3"/>
      <c r="AA901" s="3"/>
      <c r="AB901" s="3"/>
      <c r="AC901" s="3"/>
    </row>
    <row r="902">
      <c r="A902" s="3"/>
      <c r="B902" s="3"/>
      <c r="C902" s="3"/>
      <c r="D902" s="319"/>
      <c r="E902" s="3"/>
      <c r="F902" s="3"/>
      <c r="G902" s="3"/>
      <c r="H902" s="3"/>
      <c r="I902" s="3"/>
      <c r="J902" s="3"/>
      <c r="K902" s="3"/>
      <c r="L902" s="3"/>
      <c r="M902" s="3"/>
      <c r="N902" s="3"/>
      <c r="O902" s="3"/>
      <c r="P902" s="53"/>
      <c r="Q902" s="53"/>
      <c r="R902" s="618"/>
      <c r="S902" s="3"/>
      <c r="T902" s="3"/>
      <c r="U902" s="3"/>
      <c r="V902" s="3"/>
      <c r="W902" s="3"/>
      <c r="X902" s="3"/>
      <c r="Y902" s="3"/>
      <c r="Z902" s="3"/>
      <c r="AA902" s="3"/>
      <c r="AB902" s="3"/>
      <c r="AC902" s="3"/>
    </row>
    <row r="903">
      <c r="A903" s="3"/>
      <c r="B903" s="3"/>
      <c r="C903" s="3"/>
      <c r="D903" s="319"/>
      <c r="E903" s="3"/>
      <c r="F903" s="3"/>
      <c r="G903" s="3"/>
      <c r="H903" s="3"/>
      <c r="I903" s="3"/>
      <c r="J903" s="3"/>
      <c r="K903" s="3"/>
      <c r="L903" s="3"/>
      <c r="M903" s="3"/>
      <c r="N903" s="3"/>
      <c r="O903" s="3"/>
      <c r="P903" s="53"/>
      <c r="Q903" s="53"/>
      <c r="R903" s="618"/>
      <c r="S903" s="3"/>
      <c r="T903" s="3"/>
      <c r="U903" s="3"/>
      <c r="V903" s="3"/>
      <c r="W903" s="3"/>
      <c r="X903" s="3"/>
      <c r="Y903" s="3"/>
      <c r="Z903" s="3"/>
      <c r="AA903" s="3"/>
      <c r="AB903" s="3"/>
      <c r="AC903" s="3"/>
    </row>
    <row r="904">
      <c r="A904" s="3"/>
      <c r="B904" s="3"/>
      <c r="C904" s="3"/>
      <c r="D904" s="319"/>
      <c r="E904" s="3"/>
      <c r="F904" s="3"/>
      <c r="G904" s="3"/>
      <c r="H904" s="3"/>
      <c r="I904" s="3"/>
      <c r="J904" s="3"/>
      <c r="K904" s="3"/>
      <c r="L904" s="3"/>
      <c r="M904" s="3"/>
      <c r="N904" s="3"/>
      <c r="O904" s="3"/>
      <c r="P904" s="53"/>
      <c r="Q904" s="53"/>
      <c r="R904" s="618"/>
      <c r="S904" s="3"/>
      <c r="T904" s="3"/>
      <c r="U904" s="3"/>
      <c r="V904" s="3"/>
      <c r="W904" s="3"/>
      <c r="X904" s="3"/>
      <c r="Y904" s="3"/>
      <c r="Z904" s="3"/>
      <c r="AA904" s="3"/>
      <c r="AB904" s="3"/>
      <c r="AC904" s="3"/>
    </row>
    <row r="905">
      <c r="A905" s="3"/>
      <c r="B905" s="3"/>
      <c r="C905" s="3"/>
      <c r="D905" s="319"/>
      <c r="E905" s="3"/>
      <c r="F905" s="3"/>
      <c r="G905" s="3"/>
      <c r="H905" s="3"/>
      <c r="I905" s="3"/>
      <c r="J905" s="3"/>
      <c r="K905" s="3"/>
      <c r="L905" s="3"/>
      <c r="M905" s="3"/>
      <c r="N905" s="3"/>
      <c r="O905" s="3"/>
      <c r="P905" s="53"/>
      <c r="Q905" s="53"/>
      <c r="R905" s="618"/>
      <c r="S905" s="3"/>
      <c r="T905" s="3"/>
      <c r="U905" s="3"/>
      <c r="V905" s="3"/>
      <c r="W905" s="3"/>
      <c r="X905" s="3"/>
      <c r="Y905" s="3"/>
      <c r="Z905" s="3"/>
      <c r="AA905" s="3"/>
      <c r="AB905" s="3"/>
      <c r="AC905" s="3"/>
    </row>
    <row r="906">
      <c r="A906" s="3"/>
      <c r="B906" s="3"/>
      <c r="C906" s="3"/>
      <c r="D906" s="319"/>
      <c r="E906" s="3"/>
      <c r="F906" s="3"/>
      <c r="G906" s="3"/>
      <c r="H906" s="3"/>
      <c r="I906" s="3"/>
      <c r="J906" s="3"/>
      <c r="K906" s="3"/>
      <c r="L906" s="3"/>
      <c r="M906" s="3"/>
      <c r="N906" s="3"/>
      <c r="O906" s="3"/>
      <c r="P906" s="53"/>
      <c r="Q906" s="53"/>
      <c r="R906" s="618"/>
      <c r="S906" s="3"/>
      <c r="T906" s="3"/>
      <c r="U906" s="3"/>
      <c r="V906" s="3"/>
      <c r="W906" s="3"/>
      <c r="X906" s="3"/>
      <c r="Y906" s="3"/>
      <c r="Z906" s="3"/>
      <c r="AA906" s="3"/>
      <c r="AB906" s="3"/>
      <c r="AC906" s="3"/>
    </row>
    <row r="907">
      <c r="A907" s="3"/>
      <c r="B907" s="3"/>
      <c r="C907" s="3"/>
      <c r="D907" s="319"/>
      <c r="E907" s="3"/>
      <c r="F907" s="3"/>
      <c r="G907" s="3"/>
      <c r="H907" s="3"/>
      <c r="I907" s="3"/>
      <c r="J907" s="3"/>
      <c r="K907" s="3"/>
      <c r="L907" s="3"/>
      <c r="M907" s="3"/>
      <c r="N907" s="3"/>
      <c r="O907" s="3"/>
      <c r="P907" s="53"/>
      <c r="Q907" s="53"/>
      <c r="R907" s="618"/>
      <c r="S907" s="3"/>
      <c r="T907" s="3"/>
      <c r="U907" s="3"/>
      <c r="V907" s="3"/>
      <c r="W907" s="3"/>
      <c r="X907" s="3"/>
      <c r="Y907" s="3"/>
      <c r="Z907" s="3"/>
      <c r="AA907" s="3"/>
      <c r="AB907" s="3"/>
      <c r="AC907" s="3"/>
    </row>
    <row r="908">
      <c r="A908" s="3"/>
      <c r="B908" s="3"/>
      <c r="C908" s="3"/>
      <c r="D908" s="319"/>
      <c r="E908" s="3"/>
      <c r="F908" s="3"/>
      <c r="G908" s="3"/>
      <c r="H908" s="3"/>
      <c r="I908" s="3"/>
      <c r="J908" s="3"/>
      <c r="K908" s="3"/>
      <c r="L908" s="3"/>
      <c r="M908" s="3"/>
      <c r="N908" s="3"/>
      <c r="O908" s="3"/>
      <c r="P908" s="53"/>
      <c r="Q908" s="53"/>
      <c r="R908" s="618"/>
      <c r="S908" s="3"/>
      <c r="T908" s="3"/>
      <c r="U908" s="3"/>
      <c r="V908" s="3"/>
      <c r="W908" s="3"/>
      <c r="X908" s="3"/>
      <c r="Y908" s="3"/>
      <c r="Z908" s="3"/>
      <c r="AA908" s="3"/>
      <c r="AB908" s="3"/>
      <c r="AC908" s="3"/>
    </row>
    <row r="909">
      <c r="A909" s="3"/>
      <c r="B909" s="3"/>
      <c r="C909" s="3"/>
      <c r="D909" s="319"/>
      <c r="E909" s="3"/>
      <c r="F909" s="3"/>
      <c r="G909" s="3"/>
      <c r="H909" s="3"/>
      <c r="I909" s="3"/>
      <c r="J909" s="3"/>
      <c r="K909" s="3"/>
      <c r="L909" s="3"/>
      <c r="M909" s="3"/>
      <c r="N909" s="3"/>
      <c r="O909" s="3"/>
      <c r="P909" s="53"/>
      <c r="Q909" s="53"/>
      <c r="R909" s="618"/>
      <c r="S909" s="3"/>
      <c r="T909" s="3"/>
      <c r="U909" s="3"/>
      <c r="V909" s="3"/>
      <c r="W909" s="3"/>
      <c r="X909" s="3"/>
      <c r="Y909" s="3"/>
      <c r="Z909" s="3"/>
      <c r="AA909" s="3"/>
      <c r="AB909" s="3"/>
      <c r="AC909" s="3"/>
    </row>
    <row r="910">
      <c r="A910" s="3"/>
      <c r="B910" s="3"/>
      <c r="C910" s="3"/>
      <c r="D910" s="319"/>
      <c r="E910" s="3"/>
      <c r="F910" s="3"/>
      <c r="G910" s="3"/>
      <c r="H910" s="3"/>
      <c r="I910" s="3"/>
      <c r="J910" s="3"/>
      <c r="K910" s="3"/>
      <c r="L910" s="3"/>
      <c r="M910" s="3"/>
      <c r="N910" s="3"/>
      <c r="O910" s="3"/>
      <c r="P910" s="53"/>
      <c r="Q910" s="53"/>
      <c r="R910" s="618"/>
      <c r="S910" s="3"/>
      <c r="T910" s="3"/>
      <c r="U910" s="3"/>
      <c r="V910" s="3"/>
      <c r="W910" s="3"/>
      <c r="X910" s="3"/>
      <c r="Y910" s="3"/>
      <c r="Z910" s="3"/>
      <c r="AA910" s="3"/>
      <c r="AB910" s="3"/>
      <c r="AC910" s="3"/>
    </row>
    <row r="911">
      <c r="A911" s="3"/>
      <c r="B911" s="3"/>
      <c r="C911" s="3"/>
      <c r="D911" s="319"/>
      <c r="E911" s="3"/>
      <c r="F911" s="3"/>
      <c r="G911" s="3"/>
      <c r="H911" s="3"/>
      <c r="I911" s="3"/>
      <c r="J911" s="3"/>
      <c r="K911" s="3"/>
      <c r="L911" s="3"/>
      <c r="M911" s="3"/>
      <c r="N911" s="3"/>
      <c r="O911" s="3"/>
      <c r="P911" s="53"/>
      <c r="Q911" s="53"/>
      <c r="R911" s="618"/>
      <c r="S911" s="3"/>
      <c r="T911" s="3"/>
      <c r="U911" s="3"/>
      <c r="V911" s="3"/>
      <c r="W911" s="3"/>
      <c r="X911" s="3"/>
      <c r="Y911" s="3"/>
      <c r="Z911" s="3"/>
      <c r="AA911" s="3"/>
      <c r="AB911" s="3"/>
      <c r="AC911" s="3"/>
    </row>
    <row r="912">
      <c r="A912" s="3"/>
      <c r="B912" s="3"/>
      <c r="C912" s="3"/>
      <c r="D912" s="319"/>
      <c r="E912" s="3"/>
      <c r="F912" s="3"/>
      <c r="G912" s="3"/>
      <c r="H912" s="3"/>
      <c r="I912" s="3"/>
      <c r="J912" s="3"/>
      <c r="K912" s="3"/>
      <c r="L912" s="3"/>
      <c r="M912" s="3"/>
      <c r="N912" s="3"/>
      <c r="O912" s="3"/>
      <c r="P912" s="53"/>
      <c r="Q912" s="53"/>
      <c r="R912" s="618"/>
      <c r="S912" s="3"/>
      <c r="T912" s="3"/>
      <c r="U912" s="3"/>
      <c r="V912" s="3"/>
      <c r="W912" s="3"/>
      <c r="X912" s="3"/>
      <c r="Y912" s="3"/>
      <c r="Z912" s="3"/>
      <c r="AA912" s="3"/>
      <c r="AB912" s="3"/>
      <c r="AC912" s="3"/>
    </row>
    <row r="913">
      <c r="A913" s="3"/>
      <c r="B913" s="3"/>
      <c r="C913" s="3"/>
      <c r="D913" s="319"/>
      <c r="E913" s="3"/>
      <c r="F913" s="3"/>
      <c r="G913" s="3"/>
      <c r="H913" s="3"/>
      <c r="I913" s="3"/>
      <c r="J913" s="3"/>
      <c r="K913" s="3"/>
      <c r="L913" s="3"/>
      <c r="M913" s="3"/>
      <c r="N913" s="3"/>
      <c r="O913" s="3"/>
      <c r="P913" s="53"/>
      <c r="Q913" s="53"/>
      <c r="R913" s="618"/>
      <c r="S913" s="3"/>
      <c r="T913" s="3"/>
      <c r="U913" s="3"/>
      <c r="V913" s="3"/>
      <c r="W913" s="3"/>
      <c r="X913" s="3"/>
      <c r="Y913" s="3"/>
      <c r="Z913" s="3"/>
      <c r="AA913" s="3"/>
      <c r="AB913" s="3"/>
      <c r="AC913" s="3"/>
    </row>
    <row r="914">
      <c r="A914" s="3"/>
      <c r="B914" s="3"/>
      <c r="C914" s="3"/>
      <c r="D914" s="319"/>
      <c r="E914" s="3"/>
      <c r="F914" s="3"/>
      <c r="G914" s="3"/>
      <c r="H914" s="3"/>
      <c r="I914" s="3"/>
      <c r="J914" s="3"/>
      <c r="K914" s="3"/>
      <c r="L914" s="3"/>
      <c r="M914" s="3"/>
      <c r="N914" s="3"/>
      <c r="O914" s="3"/>
      <c r="P914" s="53"/>
      <c r="Q914" s="53"/>
      <c r="R914" s="618"/>
      <c r="S914" s="3"/>
      <c r="T914" s="3"/>
      <c r="U914" s="3"/>
      <c r="V914" s="3"/>
      <c r="W914" s="3"/>
      <c r="X914" s="3"/>
      <c r="Y914" s="3"/>
      <c r="Z914" s="3"/>
      <c r="AA914" s="3"/>
      <c r="AB914" s="3"/>
      <c r="AC914" s="3"/>
    </row>
    <row r="915">
      <c r="A915" s="3"/>
      <c r="B915" s="3"/>
      <c r="C915" s="3"/>
      <c r="D915" s="319"/>
      <c r="E915" s="3"/>
      <c r="F915" s="3"/>
      <c r="G915" s="3"/>
      <c r="H915" s="3"/>
      <c r="I915" s="3"/>
      <c r="J915" s="3"/>
      <c r="K915" s="3"/>
      <c r="L915" s="3"/>
      <c r="M915" s="3"/>
      <c r="N915" s="3"/>
      <c r="O915" s="3"/>
      <c r="P915" s="53"/>
      <c r="Q915" s="53"/>
      <c r="R915" s="618"/>
      <c r="S915" s="3"/>
      <c r="T915" s="3"/>
      <c r="U915" s="3"/>
      <c r="V915" s="3"/>
      <c r="W915" s="3"/>
      <c r="X915" s="3"/>
      <c r="Y915" s="3"/>
      <c r="Z915" s="3"/>
      <c r="AA915" s="3"/>
      <c r="AB915" s="3"/>
      <c r="AC915" s="3"/>
    </row>
    <row r="916">
      <c r="A916" s="3"/>
      <c r="B916" s="3"/>
      <c r="C916" s="3"/>
      <c r="D916" s="319"/>
      <c r="E916" s="3"/>
      <c r="F916" s="3"/>
      <c r="G916" s="3"/>
      <c r="H916" s="3"/>
      <c r="I916" s="3"/>
      <c r="J916" s="3"/>
      <c r="K916" s="3"/>
      <c r="L916" s="3"/>
      <c r="M916" s="3"/>
      <c r="N916" s="3"/>
      <c r="O916" s="3"/>
      <c r="P916" s="53"/>
      <c r="Q916" s="53"/>
      <c r="R916" s="618"/>
      <c r="S916" s="3"/>
      <c r="T916" s="3"/>
      <c r="U916" s="3"/>
      <c r="V916" s="3"/>
      <c r="W916" s="3"/>
      <c r="X916" s="3"/>
      <c r="Y916" s="3"/>
      <c r="Z916" s="3"/>
      <c r="AA916" s="3"/>
      <c r="AB916" s="3"/>
      <c r="AC916" s="3"/>
    </row>
    <row r="917">
      <c r="A917" s="3"/>
      <c r="B917" s="3"/>
      <c r="C917" s="3"/>
      <c r="D917" s="319"/>
      <c r="E917" s="3"/>
      <c r="F917" s="3"/>
      <c r="G917" s="3"/>
      <c r="H917" s="3"/>
      <c r="I917" s="3"/>
      <c r="J917" s="3"/>
      <c r="K917" s="3"/>
      <c r="L917" s="3"/>
      <c r="M917" s="3"/>
      <c r="N917" s="3"/>
      <c r="O917" s="3"/>
      <c r="P917" s="53"/>
      <c r="Q917" s="53"/>
      <c r="R917" s="618"/>
      <c r="S917" s="3"/>
      <c r="T917" s="3"/>
      <c r="U917" s="3"/>
      <c r="V917" s="3"/>
      <c r="W917" s="3"/>
      <c r="X917" s="3"/>
      <c r="Y917" s="3"/>
      <c r="Z917" s="3"/>
      <c r="AA917" s="3"/>
      <c r="AB917" s="3"/>
      <c r="AC917" s="3"/>
    </row>
    <row r="918">
      <c r="A918" s="3"/>
      <c r="B918" s="3"/>
      <c r="C918" s="3"/>
      <c r="D918" s="319"/>
      <c r="E918" s="3"/>
      <c r="F918" s="3"/>
      <c r="G918" s="3"/>
      <c r="H918" s="3"/>
      <c r="I918" s="3"/>
      <c r="J918" s="3"/>
      <c r="K918" s="3"/>
      <c r="L918" s="3"/>
      <c r="M918" s="3"/>
      <c r="N918" s="3"/>
      <c r="O918" s="3"/>
      <c r="P918" s="53"/>
      <c r="Q918" s="53"/>
      <c r="R918" s="618"/>
      <c r="S918" s="3"/>
      <c r="T918" s="3"/>
      <c r="U918" s="3"/>
      <c r="V918" s="3"/>
      <c r="W918" s="3"/>
      <c r="X918" s="3"/>
      <c r="Y918" s="3"/>
      <c r="Z918" s="3"/>
      <c r="AA918" s="3"/>
      <c r="AB918" s="3"/>
      <c r="AC918" s="3"/>
    </row>
    <row r="919">
      <c r="A919" s="3"/>
      <c r="B919" s="3"/>
      <c r="C919" s="3"/>
      <c r="D919" s="319"/>
      <c r="E919" s="3"/>
      <c r="F919" s="3"/>
      <c r="G919" s="3"/>
      <c r="H919" s="3"/>
      <c r="I919" s="3"/>
      <c r="J919" s="3"/>
      <c r="K919" s="3"/>
      <c r="L919" s="3"/>
      <c r="M919" s="3"/>
      <c r="N919" s="3"/>
      <c r="O919" s="3"/>
      <c r="P919" s="53"/>
      <c r="Q919" s="53"/>
      <c r="R919" s="618"/>
      <c r="S919" s="3"/>
      <c r="T919" s="3"/>
      <c r="U919" s="3"/>
      <c r="V919" s="3"/>
      <c r="W919" s="3"/>
      <c r="X919" s="3"/>
      <c r="Y919" s="3"/>
      <c r="Z919" s="3"/>
      <c r="AA919" s="3"/>
      <c r="AB919" s="3"/>
      <c r="AC919" s="3"/>
    </row>
    <row r="920">
      <c r="A920" s="3"/>
      <c r="B920" s="3"/>
      <c r="C920" s="3"/>
      <c r="D920" s="319"/>
      <c r="E920" s="3"/>
      <c r="F920" s="3"/>
      <c r="G920" s="3"/>
      <c r="H920" s="3"/>
      <c r="I920" s="3"/>
      <c r="J920" s="3"/>
      <c r="K920" s="3"/>
      <c r="L920" s="3"/>
      <c r="M920" s="3"/>
      <c r="N920" s="3"/>
      <c r="O920" s="3"/>
      <c r="P920" s="53"/>
      <c r="Q920" s="53"/>
      <c r="R920" s="618"/>
      <c r="S920" s="3"/>
      <c r="T920" s="3"/>
      <c r="U920" s="3"/>
      <c r="V920" s="3"/>
      <c r="W920" s="3"/>
      <c r="X920" s="3"/>
      <c r="Y920" s="3"/>
      <c r="Z920" s="3"/>
      <c r="AA920" s="3"/>
      <c r="AB920" s="3"/>
      <c r="AC920" s="3"/>
    </row>
    <row r="921">
      <c r="A921" s="3"/>
      <c r="B921" s="3"/>
      <c r="C921" s="3"/>
      <c r="D921" s="319"/>
      <c r="E921" s="3"/>
      <c r="F921" s="3"/>
      <c r="G921" s="3"/>
      <c r="H921" s="3"/>
      <c r="I921" s="3"/>
      <c r="J921" s="3"/>
      <c r="K921" s="3"/>
      <c r="L921" s="3"/>
      <c r="M921" s="3"/>
      <c r="N921" s="3"/>
      <c r="O921" s="3"/>
      <c r="P921" s="53"/>
      <c r="Q921" s="53"/>
      <c r="R921" s="618"/>
      <c r="S921" s="3"/>
      <c r="T921" s="3"/>
      <c r="U921" s="3"/>
      <c r="V921" s="3"/>
      <c r="W921" s="3"/>
      <c r="X921" s="3"/>
      <c r="Y921" s="3"/>
      <c r="Z921" s="3"/>
      <c r="AA921" s="3"/>
      <c r="AB921" s="3"/>
      <c r="AC921" s="3"/>
    </row>
    <row r="922">
      <c r="A922" s="3"/>
      <c r="B922" s="3"/>
      <c r="C922" s="3"/>
      <c r="D922" s="319"/>
      <c r="E922" s="3"/>
      <c r="F922" s="3"/>
      <c r="G922" s="3"/>
      <c r="H922" s="3"/>
      <c r="I922" s="3"/>
      <c r="J922" s="3"/>
      <c r="K922" s="3"/>
      <c r="L922" s="3"/>
      <c r="M922" s="3"/>
      <c r="N922" s="3"/>
      <c r="O922" s="3"/>
      <c r="P922" s="53"/>
      <c r="Q922" s="53"/>
      <c r="R922" s="618"/>
      <c r="S922" s="3"/>
      <c r="T922" s="3"/>
      <c r="U922" s="3"/>
      <c r="V922" s="3"/>
      <c r="W922" s="3"/>
      <c r="X922" s="3"/>
      <c r="Y922" s="3"/>
      <c r="Z922" s="3"/>
      <c r="AA922" s="3"/>
      <c r="AB922" s="3"/>
      <c r="AC922" s="3"/>
    </row>
    <row r="923">
      <c r="A923" s="3"/>
      <c r="B923" s="3"/>
      <c r="C923" s="3"/>
      <c r="D923" s="319"/>
      <c r="E923" s="3"/>
      <c r="F923" s="3"/>
      <c r="G923" s="3"/>
      <c r="H923" s="3"/>
      <c r="I923" s="3"/>
      <c r="J923" s="3"/>
      <c r="K923" s="3"/>
      <c r="L923" s="3"/>
      <c r="M923" s="3"/>
      <c r="N923" s="3"/>
      <c r="O923" s="3"/>
      <c r="P923" s="53"/>
      <c r="Q923" s="53"/>
      <c r="R923" s="618"/>
      <c r="S923" s="3"/>
      <c r="T923" s="3"/>
      <c r="U923" s="3"/>
      <c r="V923" s="3"/>
      <c r="W923" s="3"/>
      <c r="X923" s="3"/>
      <c r="Y923" s="3"/>
      <c r="Z923" s="3"/>
      <c r="AA923" s="3"/>
      <c r="AB923" s="3"/>
      <c r="AC923" s="3"/>
    </row>
    <row r="924">
      <c r="A924" s="3"/>
      <c r="B924" s="3"/>
      <c r="C924" s="3"/>
      <c r="D924" s="319"/>
      <c r="E924" s="3"/>
      <c r="F924" s="3"/>
      <c r="G924" s="3"/>
      <c r="H924" s="3"/>
      <c r="I924" s="3"/>
      <c r="J924" s="3"/>
      <c r="K924" s="3"/>
      <c r="L924" s="3"/>
      <c r="M924" s="3"/>
      <c r="N924" s="3"/>
      <c r="O924" s="3"/>
      <c r="P924" s="53"/>
      <c r="Q924" s="53"/>
      <c r="R924" s="618"/>
      <c r="S924" s="3"/>
      <c r="T924" s="3"/>
      <c r="U924" s="3"/>
      <c r="V924" s="3"/>
      <c r="W924" s="3"/>
      <c r="X924" s="3"/>
      <c r="Y924" s="3"/>
      <c r="Z924" s="3"/>
      <c r="AA924" s="3"/>
      <c r="AB924" s="3"/>
      <c r="AC924" s="3"/>
    </row>
    <row r="925">
      <c r="A925" s="3"/>
      <c r="B925" s="3"/>
      <c r="C925" s="3"/>
      <c r="D925" s="319"/>
      <c r="E925" s="3"/>
      <c r="F925" s="3"/>
      <c r="G925" s="3"/>
      <c r="H925" s="3"/>
      <c r="I925" s="3"/>
      <c r="J925" s="3"/>
      <c r="K925" s="3"/>
      <c r="L925" s="3"/>
      <c r="M925" s="3"/>
      <c r="N925" s="3"/>
      <c r="O925" s="3"/>
      <c r="P925" s="53"/>
      <c r="Q925" s="53"/>
      <c r="R925" s="618"/>
      <c r="S925" s="3"/>
      <c r="T925" s="3"/>
      <c r="U925" s="3"/>
      <c r="V925" s="3"/>
      <c r="W925" s="3"/>
      <c r="X925" s="3"/>
      <c r="Y925" s="3"/>
      <c r="Z925" s="3"/>
      <c r="AA925" s="3"/>
      <c r="AB925" s="3"/>
      <c r="AC925" s="3"/>
    </row>
    <row r="926">
      <c r="A926" s="3"/>
      <c r="B926" s="3"/>
      <c r="C926" s="3"/>
      <c r="D926" s="319"/>
      <c r="E926" s="3"/>
      <c r="F926" s="3"/>
      <c r="G926" s="3"/>
      <c r="H926" s="3"/>
      <c r="I926" s="3"/>
      <c r="J926" s="3"/>
      <c r="K926" s="3"/>
      <c r="L926" s="3"/>
      <c r="M926" s="3"/>
      <c r="N926" s="3"/>
      <c r="O926" s="3"/>
      <c r="P926" s="53"/>
      <c r="Q926" s="53"/>
      <c r="R926" s="618"/>
      <c r="S926" s="3"/>
      <c r="T926" s="3"/>
      <c r="U926" s="3"/>
      <c r="V926" s="3"/>
      <c r="W926" s="3"/>
      <c r="X926" s="3"/>
      <c r="Y926" s="3"/>
      <c r="Z926" s="3"/>
      <c r="AA926" s="3"/>
      <c r="AB926" s="3"/>
      <c r="AC926" s="3"/>
    </row>
    <row r="927">
      <c r="A927" s="3"/>
      <c r="B927" s="3"/>
      <c r="C927" s="3"/>
      <c r="D927" s="319"/>
      <c r="E927" s="3"/>
      <c r="F927" s="3"/>
      <c r="G927" s="3"/>
      <c r="H927" s="3"/>
      <c r="I927" s="3"/>
      <c r="J927" s="3"/>
      <c r="K927" s="3"/>
      <c r="L927" s="3"/>
      <c r="M927" s="3"/>
      <c r="N927" s="3"/>
      <c r="O927" s="3"/>
      <c r="P927" s="53"/>
      <c r="Q927" s="53"/>
      <c r="R927" s="618"/>
      <c r="S927" s="3"/>
      <c r="T927" s="3"/>
      <c r="U927" s="3"/>
      <c r="V927" s="3"/>
      <c r="W927" s="3"/>
      <c r="X927" s="3"/>
      <c r="Y927" s="3"/>
      <c r="Z927" s="3"/>
      <c r="AA927" s="3"/>
      <c r="AB927" s="3"/>
      <c r="AC927" s="3"/>
    </row>
    <row r="928">
      <c r="A928" s="3"/>
      <c r="B928" s="3"/>
      <c r="C928" s="3"/>
      <c r="D928" s="319"/>
      <c r="E928" s="3"/>
      <c r="F928" s="3"/>
      <c r="G928" s="3"/>
      <c r="H928" s="3"/>
      <c r="I928" s="3"/>
      <c r="J928" s="3"/>
      <c r="K928" s="3"/>
      <c r="L928" s="3"/>
      <c r="M928" s="3"/>
      <c r="N928" s="3"/>
      <c r="O928" s="3"/>
      <c r="P928" s="53"/>
      <c r="Q928" s="53"/>
      <c r="R928" s="618"/>
      <c r="S928" s="3"/>
      <c r="T928" s="3"/>
      <c r="U928" s="3"/>
      <c r="V928" s="3"/>
      <c r="W928" s="3"/>
      <c r="X928" s="3"/>
      <c r="Y928" s="3"/>
      <c r="Z928" s="3"/>
      <c r="AA928" s="3"/>
      <c r="AB928" s="3"/>
      <c r="AC928" s="3"/>
    </row>
    <row r="929">
      <c r="A929" s="3"/>
      <c r="B929" s="3"/>
      <c r="C929" s="3"/>
      <c r="D929" s="319"/>
      <c r="E929" s="3"/>
      <c r="F929" s="3"/>
      <c r="G929" s="3"/>
      <c r="H929" s="3"/>
      <c r="I929" s="3"/>
      <c r="J929" s="3"/>
      <c r="K929" s="3"/>
      <c r="L929" s="3"/>
      <c r="M929" s="3"/>
      <c r="N929" s="3"/>
      <c r="O929" s="3"/>
      <c r="P929" s="53"/>
      <c r="Q929" s="53"/>
      <c r="R929" s="618"/>
      <c r="S929" s="3"/>
      <c r="T929" s="3"/>
      <c r="U929" s="3"/>
      <c r="V929" s="3"/>
      <c r="W929" s="3"/>
      <c r="X929" s="3"/>
      <c r="Y929" s="3"/>
      <c r="Z929" s="3"/>
      <c r="AA929" s="3"/>
      <c r="AB929" s="3"/>
      <c r="AC929" s="3"/>
    </row>
    <row r="930">
      <c r="A930" s="3"/>
      <c r="B930" s="3"/>
      <c r="C930" s="3"/>
      <c r="D930" s="319"/>
      <c r="E930" s="3"/>
      <c r="F930" s="3"/>
      <c r="G930" s="3"/>
      <c r="H930" s="3"/>
      <c r="I930" s="3"/>
      <c r="J930" s="3"/>
      <c r="K930" s="3"/>
      <c r="L930" s="3"/>
      <c r="M930" s="3"/>
      <c r="N930" s="3"/>
      <c r="O930" s="3"/>
      <c r="P930" s="53"/>
      <c r="Q930" s="53"/>
      <c r="R930" s="618"/>
      <c r="S930" s="3"/>
      <c r="T930" s="3"/>
      <c r="U930" s="3"/>
      <c r="V930" s="3"/>
      <c r="W930" s="3"/>
      <c r="X930" s="3"/>
      <c r="Y930" s="3"/>
      <c r="Z930" s="3"/>
      <c r="AA930" s="3"/>
      <c r="AB930" s="3"/>
      <c r="AC930" s="3"/>
    </row>
    <row r="931">
      <c r="A931" s="3"/>
      <c r="B931" s="3"/>
      <c r="C931" s="3"/>
      <c r="D931" s="319"/>
      <c r="E931" s="3"/>
      <c r="F931" s="3"/>
      <c r="G931" s="3"/>
      <c r="H931" s="3"/>
      <c r="I931" s="3"/>
      <c r="J931" s="3"/>
      <c r="K931" s="3"/>
      <c r="L931" s="3"/>
      <c r="M931" s="3"/>
      <c r="N931" s="3"/>
      <c r="O931" s="3"/>
      <c r="P931" s="53"/>
      <c r="Q931" s="53"/>
      <c r="R931" s="618"/>
      <c r="S931" s="3"/>
      <c r="T931" s="3"/>
      <c r="U931" s="3"/>
      <c r="V931" s="3"/>
      <c r="W931" s="3"/>
      <c r="X931" s="3"/>
      <c r="Y931" s="3"/>
      <c r="Z931" s="3"/>
      <c r="AA931" s="3"/>
      <c r="AB931" s="3"/>
      <c r="AC931" s="3"/>
    </row>
    <row r="932">
      <c r="A932" s="3"/>
      <c r="B932" s="3"/>
      <c r="C932" s="3"/>
      <c r="D932" s="319"/>
      <c r="E932" s="3"/>
      <c r="F932" s="3"/>
      <c r="G932" s="3"/>
      <c r="H932" s="3"/>
      <c r="I932" s="3"/>
      <c r="J932" s="3"/>
      <c r="K932" s="3"/>
      <c r="L932" s="3"/>
      <c r="M932" s="3"/>
      <c r="N932" s="3"/>
      <c r="O932" s="3"/>
      <c r="P932" s="53"/>
      <c r="Q932" s="53"/>
      <c r="R932" s="618"/>
      <c r="S932" s="3"/>
      <c r="T932" s="3"/>
      <c r="U932" s="3"/>
      <c r="V932" s="3"/>
      <c r="W932" s="3"/>
      <c r="X932" s="3"/>
      <c r="Y932" s="3"/>
      <c r="Z932" s="3"/>
      <c r="AA932" s="3"/>
      <c r="AB932" s="3"/>
      <c r="AC932" s="3"/>
    </row>
    <row r="933">
      <c r="A933" s="3"/>
      <c r="B933" s="3"/>
      <c r="C933" s="3"/>
      <c r="D933" s="319"/>
      <c r="E933" s="3"/>
      <c r="F933" s="3"/>
      <c r="G933" s="3"/>
      <c r="H933" s="3"/>
      <c r="I933" s="3"/>
      <c r="J933" s="3"/>
      <c r="K933" s="3"/>
      <c r="L933" s="3"/>
      <c r="M933" s="3"/>
      <c r="N933" s="3"/>
      <c r="O933" s="3"/>
      <c r="P933" s="53"/>
      <c r="Q933" s="53"/>
      <c r="R933" s="618"/>
      <c r="S933" s="3"/>
      <c r="T933" s="3"/>
      <c r="U933" s="3"/>
      <c r="V933" s="3"/>
      <c r="W933" s="3"/>
      <c r="X933" s="3"/>
      <c r="Y933" s="3"/>
      <c r="Z933" s="3"/>
      <c r="AA933" s="3"/>
      <c r="AB933" s="3"/>
      <c r="AC933" s="3"/>
    </row>
    <row r="934">
      <c r="A934" s="3"/>
      <c r="B934" s="3"/>
      <c r="C934" s="3"/>
      <c r="D934" s="319"/>
      <c r="E934" s="3"/>
      <c r="F934" s="3"/>
      <c r="G934" s="3"/>
      <c r="H934" s="3"/>
      <c r="I934" s="3"/>
      <c r="J934" s="3"/>
      <c r="K934" s="3"/>
      <c r="L934" s="3"/>
      <c r="M934" s="3"/>
      <c r="N934" s="3"/>
      <c r="O934" s="3"/>
      <c r="P934" s="53"/>
      <c r="Q934" s="53"/>
      <c r="R934" s="618"/>
      <c r="S934" s="3"/>
      <c r="T934" s="3"/>
      <c r="U934" s="3"/>
      <c r="V934" s="3"/>
      <c r="W934" s="3"/>
      <c r="X934" s="3"/>
      <c r="Y934" s="3"/>
      <c r="Z934" s="3"/>
      <c r="AA934" s="3"/>
      <c r="AB934" s="3"/>
      <c r="AC934" s="3"/>
    </row>
    <row r="935">
      <c r="A935" s="3"/>
      <c r="B935" s="3"/>
      <c r="C935" s="3"/>
      <c r="D935" s="319"/>
      <c r="E935" s="3"/>
      <c r="F935" s="3"/>
      <c r="G935" s="3"/>
      <c r="H935" s="3"/>
      <c r="I935" s="3"/>
      <c r="J935" s="3"/>
      <c r="K935" s="3"/>
      <c r="L935" s="3"/>
      <c r="M935" s="3"/>
      <c r="N935" s="3"/>
      <c r="O935" s="3"/>
      <c r="P935" s="53"/>
      <c r="Q935" s="53"/>
      <c r="R935" s="618"/>
      <c r="S935" s="3"/>
      <c r="T935" s="3"/>
      <c r="U935" s="3"/>
      <c r="V935" s="3"/>
      <c r="W935" s="3"/>
      <c r="X935" s="3"/>
      <c r="Y935" s="3"/>
      <c r="Z935" s="3"/>
      <c r="AA935" s="3"/>
      <c r="AB935" s="3"/>
      <c r="AC935" s="3"/>
    </row>
    <row r="936">
      <c r="A936" s="3"/>
      <c r="B936" s="3"/>
      <c r="C936" s="3"/>
      <c r="D936" s="319"/>
      <c r="E936" s="3"/>
      <c r="F936" s="3"/>
      <c r="G936" s="3"/>
      <c r="H936" s="3"/>
      <c r="I936" s="3"/>
      <c r="J936" s="3"/>
      <c r="K936" s="3"/>
      <c r="L936" s="3"/>
      <c r="M936" s="3"/>
      <c r="N936" s="3"/>
      <c r="O936" s="3"/>
      <c r="P936" s="53"/>
      <c r="Q936" s="53"/>
      <c r="R936" s="618"/>
      <c r="S936" s="3"/>
      <c r="T936" s="3"/>
      <c r="U936" s="3"/>
      <c r="V936" s="3"/>
      <c r="W936" s="3"/>
      <c r="X936" s="3"/>
      <c r="Y936" s="3"/>
      <c r="Z936" s="3"/>
      <c r="AA936" s="3"/>
      <c r="AB936" s="3"/>
      <c r="AC936" s="3"/>
    </row>
    <row r="937">
      <c r="A937" s="3"/>
      <c r="B937" s="3"/>
      <c r="C937" s="3"/>
      <c r="D937" s="319"/>
      <c r="E937" s="3"/>
      <c r="F937" s="3"/>
      <c r="G937" s="3"/>
      <c r="H937" s="3"/>
      <c r="I937" s="3"/>
      <c r="J937" s="3"/>
      <c r="K937" s="3"/>
      <c r="L937" s="3"/>
      <c r="M937" s="3"/>
      <c r="N937" s="3"/>
      <c r="O937" s="3"/>
      <c r="P937" s="53"/>
      <c r="Q937" s="53"/>
      <c r="R937" s="618"/>
      <c r="S937" s="3"/>
      <c r="T937" s="3"/>
      <c r="U937" s="3"/>
      <c r="V937" s="3"/>
      <c r="W937" s="3"/>
      <c r="X937" s="3"/>
      <c r="Y937" s="3"/>
      <c r="Z937" s="3"/>
      <c r="AA937" s="3"/>
      <c r="AB937" s="3"/>
      <c r="AC937" s="3"/>
    </row>
    <row r="938">
      <c r="A938" s="3"/>
      <c r="B938" s="3"/>
      <c r="C938" s="3"/>
      <c r="D938" s="319"/>
      <c r="E938" s="3"/>
      <c r="F938" s="3"/>
      <c r="G938" s="3"/>
      <c r="H938" s="3"/>
      <c r="I938" s="3"/>
      <c r="J938" s="3"/>
      <c r="K938" s="3"/>
      <c r="L938" s="3"/>
      <c r="M938" s="3"/>
      <c r="N938" s="3"/>
      <c r="O938" s="3"/>
      <c r="P938" s="53"/>
      <c r="Q938" s="53"/>
      <c r="R938" s="618"/>
      <c r="S938" s="3"/>
      <c r="T938" s="3"/>
      <c r="U938" s="3"/>
      <c r="V938" s="3"/>
      <c r="W938" s="3"/>
      <c r="X938" s="3"/>
      <c r="Y938" s="3"/>
      <c r="Z938" s="3"/>
      <c r="AA938" s="3"/>
      <c r="AB938" s="3"/>
      <c r="AC938" s="3"/>
    </row>
    <row r="939">
      <c r="A939" s="3"/>
      <c r="B939" s="3"/>
      <c r="C939" s="3"/>
      <c r="D939" s="319"/>
      <c r="E939" s="3"/>
      <c r="F939" s="3"/>
      <c r="G939" s="3"/>
      <c r="H939" s="3"/>
      <c r="I939" s="3"/>
      <c r="J939" s="3"/>
      <c r="K939" s="3"/>
      <c r="L939" s="3"/>
      <c r="M939" s="3"/>
      <c r="N939" s="3"/>
      <c r="O939" s="3"/>
      <c r="P939" s="53"/>
      <c r="Q939" s="53"/>
      <c r="R939" s="618"/>
      <c r="S939" s="3"/>
      <c r="T939" s="3"/>
      <c r="U939" s="3"/>
      <c r="V939" s="3"/>
      <c r="W939" s="3"/>
      <c r="X939" s="3"/>
      <c r="Y939" s="3"/>
      <c r="Z939" s="3"/>
      <c r="AA939" s="3"/>
      <c r="AB939" s="3"/>
      <c r="AC939" s="3"/>
    </row>
    <row r="940">
      <c r="A940" s="3"/>
      <c r="B940" s="3"/>
      <c r="C940" s="3"/>
      <c r="D940" s="319"/>
      <c r="E940" s="3"/>
      <c r="F940" s="3"/>
      <c r="G940" s="3"/>
      <c r="H940" s="3"/>
      <c r="I940" s="3"/>
      <c r="J940" s="3"/>
      <c r="K940" s="3"/>
      <c r="L940" s="3"/>
      <c r="M940" s="3"/>
      <c r="N940" s="3"/>
      <c r="O940" s="3"/>
      <c r="P940" s="53"/>
      <c r="Q940" s="53"/>
      <c r="R940" s="618"/>
      <c r="S940" s="3"/>
      <c r="T940" s="3"/>
      <c r="U940" s="3"/>
      <c r="V940" s="3"/>
      <c r="W940" s="3"/>
      <c r="X940" s="3"/>
      <c r="Y940" s="3"/>
      <c r="Z940" s="3"/>
      <c r="AA940" s="3"/>
      <c r="AB940" s="3"/>
      <c r="AC940" s="3"/>
    </row>
    <row r="941">
      <c r="A941" s="3"/>
      <c r="B941" s="3"/>
      <c r="C941" s="3"/>
      <c r="D941" s="319"/>
      <c r="E941" s="3"/>
      <c r="F941" s="3"/>
      <c r="G941" s="3"/>
      <c r="H941" s="3"/>
      <c r="I941" s="3"/>
      <c r="J941" s="3"/>
      <c r="K941" s="3"/>
      <c r="L941" s="3"/>
      <c r="M941" s="3"/>
      <c r="N941" s="3"/>
      <c r="O941" s="3"/>
      <c r="P941" s="53"/>
      <c r="Q941" s="53"/>
      <c r="R941" s="618"/>
      <c r="S941" s="3"/>
      <c r="T941" s="3"/>
      <c r="U941" s="3"/>
      <c r="V941" s="3"/>
      <c r="W941" s="3"/>
      <c r="X941" s="3"/>
      <c r="Y941" s="3"/>
      <c r="Z941" s="3"/>
      <c r="AA941" s="3"/>
      <c r="AB941" s="3"/>
      <c r="AC941" s="3"/>
    </row>
    <row r="942">
      <c r="A942" s="3"/>
      <c r="B942" s="3"/>
      <c r="C942" s="3"/>
      <c r="D942" s="319"/>
      <c r="E942" s="3"/>
      <c r="F942" s="3"/>
      <c r="G942" s="3"/>
      <c r="H942" s="3"/>
      <c r="I942" s="3"/>
      <c r="J942" s="3"/>
      <c r="K942" s="3"/>
      <c r="L942" s="3"/>
      <c r="M942" s="3"/>
      <c r="N942" s="3"/>
      <c r="O942" s="3"/>
      <c r="P942" s="53"/>
      <c r="Q942" s="53"/>
      <c r="R942" s="618"/>
      <c r="S942" s="3"/>
      <c r="T942" s="3"/>
      <c r="U942" s="3"/>
      <c r="V942" s="3"/>
      <c r="W942" s="3"/>
      <c r="X942" s="3"/>
      <c r="Y942" s="3"/>
      <c r="Z942" s="3"/>
      <c r="AA942" s="3"/>
      <c r="AB942" s="3"/>
      <c r="AC942" s="3"/>
    </row>
    <row r="943">
      <c r="A943" s="3"/>
      <c r="B943" s="3"/>
      <c r="C943" s="3"/>
      <c r="D943" s="319"/>
      <c r="E943" s="3"/>
      <c r="F943" s="3"/>
      <c r="G943" s="3"/>
      <c r="H943" s="3"/>
      <c r="I943" s="3"/>
      <c r="J943" s="3"/>
      <c r="K943" s="3"/>
      <c r="L943" s="3"/>
      <c r="M943" s="3"/>
      <c r="N943" s="3"/>
      <c r="O943" s="3"/>
      <c r="P943" s="53"/>
      <c r="Q943" s="53"/>
      <c r="R943" s="618"/>
      <c r="S943" s="3"/>
      <c r="T943" s="3"/>
      <c r="U943" s="3"/>
      <c r="V943" s="3"/>
      <c r="W943" s="3"/>
      <c r="X943" s="3"/>
      <c r="Y943" s="3"/>
      <c r="Z943" s="3"/>
      <c r="AA943" s="3"/>
      <c r="AB943" s="3"/>
      <c r="AC943" s="3"/>
    </row>
    <row r="944">
      <c r="A944" s="3"/>
      <c r="B944" s="3"/>
      <c r="C944" s="3"/>
      <c r="D944" s="319"/>
      <c r="E944" s="3"/>
      <c r="F944" s="3"/>
      <c r="G944" s="3"/>
      <c r="H944" s="3"/>
      <c r="I944" s="3"/>
      <c r="J944" s="3"/>
      <c r="K944" s="3"/>
      <c r="L944" s="3"/>
      <c r="M944" s="3"/>
      <c r="N944" s="3"/>
      <c r="O944" s="3"/>
      <c r="P944" s="53"/>
      <c r="Q944" s="53"/>
      <c r="R944" s="618"/>
      <c r="S944" s="3"/>
      <c r="T944" s="3"/>
      <c r="U944" s="3"/>
      <c r="V944" s="3"/>
      <c r="W944" s="3"/>
      <c r="X944" s="3"/>
      <c r="Y944" s="3"/>
      <c r="Z944" s="3"/>
      <c r="AA944" s="3"/>
      <c r="AB944" s="3"/>
      <c r="AC944" s="3"/>
    </row>
    <row r="945">
      <c r="A945" s="3"/>
      <c r="B945" s="3"/>
      <c r="C945" s="3"/>
      <c r="D945" s="319"/>
      <c r="E945" s="3"/>
      <c r="F945" s="3"/>
      <c r="G945" s="3"/>
      <c r="H945" s="3"/>
      <c r="I945" s="3"/>
      <c r="J945" s="3"/>
      <c r="K945" s="3"/>
      <c r="L945" s="3"/>
      <c r="M945" s="3"/>
      <c r="N945" s="3"/>
      <c r="O945" s="3"/>
      <c r="P945" s="53"/>
      <c r="Q945" s="53"/>
      <c r="R945" s="618"/>
      <c r="S945" s="3"/>
      <c r="T945" s="3"/>
      <c r="U945" s="3"/>
      <c r="V945" s="3"/>
      <c r="W945" s="3"/>
      <c r="X945" s="3"/>
      <c r="Y945" s="3"/>
      <c r="Z945" s="3"/>
      <c r="AA945" s="3"/>
      <c r="AB945" s="3"/>
      <c r="AC945" s="3"/>
    </row>
    <row r="946">
      <c r="A946" s="3"/>
      <c r="B946" s="3"/>
      <c r="C946" s="3"/>
      <c r="D946" s="319"/>
      <c r="E946" s="3"/>
      <c r="F946" s="3"/>
      <c r="G946" s="3"/>
      <c r="H946" s="3"/>
      <c r="I946" s="3"/>
      <c r="J946" s="3"/>
      <c r="K946" s="3"/>
      <c r="L946" s="3"/>
      <c r="M946" s="3"/>
      <c r="N946" s="3"/>
      <c r="O946" s="3"/>
      <c r="P946" s="53"/>
      <c r="Q946" s="53"/>
      <c r="R946" s="618"/>
      <c r="S946" s="3"/>
      <c r="T946" s="3"/>
      <c r="U946" s="3"/>
      <c r="V946" s="3"/>
      <c r="W946" s="3"/>
      <c r="X946" s="3"/>
      <c r="Y946" s="3"/>
      <c r="Z946" s="3"/>
      <c r="AA946" s="3"/>
      <c r="AB946" s="3"/>
      <c r="AC946" s="3"/>
    </row>
    <row r="947">
      <c r="A947" s="3"/>
      <c r="B947" s="3"/>
      <c r="C947" s="3"/>
      <c r="D947" s="319"/>
      <c r="E947" s="3"/>
      <c r="F947" s="3"/>
      <c r="G947" s="3"/>
      <c r="H947" s="3"/>
      <c r="I947" s="3"/>
      <c r="J947" s="3"/>
      <c r="K947" s="3"/>
      <c r="L947" s="3"/>
      <c r="M947" s="3"/>
      <c r="N947" s="3"/>
      <c r="O947" s="3"/>
      <c r="P947" s="53"/>
      <c r="Q947" s="53"/>
      <c r="R947" s="618"/>
      <c r="S947" s="3"/>
      <c r="T947" s="3"/>
      <c r="U947" s="3"/>
      <c r="V947" s="3"/>
      <c r="W947" s="3"/>
      <c r="X947" s="3"/>
      <c r="Y947" s="3"/>
      <c r="Z947" s="3"/>
      <c r="AA947" s="3"/>
      <c r="AB947" s="3"/>
      <c r="AC947" s="3"/>
    </row>
    <row r="948">
      <c r="A948" s="3"/>
      <c r="B948" s="3"/>
      <c r="C948" s="3"/>
      <c r="D948" s="319"/>
      <c r="E948" s="3"/>
      <c r="F948" s="3"/>
      <c r="G948" s="3"/>
      <c r="H948" s="3"/>
      <c r="I948" s="3"/>
      <c r="J948" s="3"/>
      <c r="K948" s="3"/>
      <c r="L948" s="3"/>
      <c r="M948" s="3"/>
      <c r="N948" s="3"/>
      <c r="O948" s="3"/>
      <c r="P948" s="53"/>
      <c r="Q948" s="53"/>
      <c r="R948" s="618"/>
      <c r="S948" s="3"/>
      <c r="T948" s="3"/>
      <c r="U948" s="3"/>
      <c r="V948" s="3"/>
      <c r="W948" s="3"/>
      <c r="X948" s="3"/>
      <c r="Y948" s="3"/>
      <c r="Z948" s="3"/>
      <c r="AA948" s="3"/>
      <c r="AB948" s="3"/>
      <c r="AC948" s="3"/>
    </row>
    <row r="949">
      <c r="A949" s="3"/>
      <c r="B949" s="3"/>
      <c r="C949" s="3"/>
      <c r="D949" s="319"/>
      <c r="E949" s="3"/>
      <c r="F949" s="3"/>
      <c r="G949" s="3"/>
      <c r="H949" s="3"/>
      <c r="I949" s="3"/>
      <c r="J949" s="3"/>
      <c r="K949" s="3"/>
      <c r="L949" s="3"/>
      <c r="M949" s="3"/>
      <c r="N949" s="3"/>
      <c r="O949" s="3"/>
      <c r="P949" s="53"/>
      <c r="Q949" s="53"/>
      <c r="R949" s="618"/>
      <c r="S949" s="3"/>
      <c r="T949" s="3"/>
      <c r="U949" s="3"/>
      <c r="V949" s="3"/>
      <c r="W949" s="3"/>
      <c r="X949" s="3"/>
      <c r="Y949" s="3"/>
      <c r="Z949" s="3"/>
      <c r="AA949" s="3"/>
      <c r="AB949" s="3"/>
      <c r="AC949" s="3"/>
    </row>
    <row r="950">
      <c r="A950" s="3"/>
      <c r="B950" s="3"/>
      <c r="C950" s="3"/>
      <c r="D950" s="319"/>
      <c r="E950" s="3"/>
      <c r="F950" s="3"/>
      <c r="G950" s="3"/>
      <c r="H950" s="3"/>
      <c r="I950" s="3"/>
      <c r="J950" s="3"/>
      <c r="K950" s="3"/>
      <c r="L950" s="3"/>
      <c r="M950" s="3"/>
      <c r="N950" s="3"/>
      <c r="O950" s="3"/>
      <c r="P950" s="53"/>
      <c r="Q950" s="53"/>
      <c r="R950" s="618"/>
      <c r="S950" s="3"/>
      <c r="T950" s="3"/>
      <c r="U950" s="3"/>
      <c r="V950" s="3"/>
      <c r="W950" s="3"/>
      <c r="X950" s="3"/>
      <c r="Y950" s="3"/>
      <c r="Z950" s="3"/>
      <c r="AA950" s="3"/>
      <c r="AB950" s="3"/>
      <c r="AC950" s="3"/>
    </row>
    <row r="951">
      <c r="A951" s="3"/>
      <c r="B951" s="3"/>
      <c r="C951" s="3"/>
      <c r="D951" s="319"/>
      <c r="E951" s="3"/>
      <c r="F951" s="3"/>
      <c r="G951" s="3"/>
      <c r="H951" s="3"/>
      <c r="I951" s="3"/>
      <c r="J951" s="3"/>
      <c r="K951" s="3"/>
      <c r="L951" s="3"/>
      <c r="M951" s="3"/>
      <c r="N951" s="3"/>
      <c r="O951" s="3"/>
      <c r="P951" s="53"/>
      <c r="Q951" s="53"/>
      <c r="R951" s="618"/>
      <c r="S951" s="3"/>
      <c r="T951" s="3"/>
      <c r="U951" s="3"/>
      <c r="V951" s="3"/>
      <c r="W951" s="3"/>
      <c r="X951" s="3"/>
      <c r="Y951" s="3"/>
      <c r="Z951" s="3"/>
      <c r="AA951" s="3"/>
      <c r="AB951" s="3"/>
      <c r="AC951" s="3"/>
    </row>
    <row r="952">
      <c r="A952" s="3"/>
      <c r="B952" s="3"/>
      <c r="C952" s="3"/>
      <c r="D952" s="319"/>
      <c r="E952" s="3"/>
      <c r="F952" s="3"/>
      <c r="G952" s="3"/>
      <c r="H952" s="3"/>
      <c r="I952" s="3"/>
      <c r="J952" s="3"/>
      <c r="K952" s="3"/>
      <c r="L952" s="3"/>
      <c r="M952" s="3"/>
      <c r="N952" s="3"/>
      <c r="O952" s="3"/>
      <c r="P952" s="53"/>
      <c r="Q952" s="53"/>
      <c r="R952" s="618"/>
      <c r="S952" s="3"/>
      <c r="T952" s="3"/>
      <c r="U952" s="3"/>
      <c r="V952" s="3"/>
      <c r="W952" s="3"/>
      <c r="X952" s="3"/>
      <c r="Y952" s="3"/>
      <c r="Z952" s="3"/>
      <c r="AA952" s="3"/>
      <c r="AB952" s="3"/>
      <c r="AC952" s="3"/>
    </row>
    <row r="953">
      <c r="A953" s="3"/>
      <c r="B953" s="3"/>
      <c r="C953" s="3"/>
      <c r="D953" s="319"/>
      <c r="E953" s="3"/>
      <c r="F953" s="3"/>
      <c r="G953" s="3"/>
      <c r="H953" s="3"/>
      <c r="I953" s="3"/>
      <c r="J953" s="3"/>
      <c r="K953" s="3"/>
      <c r="L953" s="3"/>
      <c r="M953" s="3"/>
      <c r="N953" s="3"/>
      <c r="O953" s="3"/>
      <c r="P953" s="53"/>
      <c r="Q953" s="53"/>
      <c r="R953" s="618"/>
      <c r="S953" s="3"/>
      <c r="T953" s="3"/>
      <c r="U953" s="3"/>
      <c r="V953" s="3"/>
      <c r="W953" s="3"/>
      <c r="X953" s="3"/>
      <c r="Y953" s="3"/>
      <c r="Z953" s="3"/>
      <c r="AA953" s="3"/>
      <c r="AB953" s="3"/>
      <c r="AC953" s="3"/>
    </row>
    <row r="954">
      <c r="A954" s="3"/>
      <c r="B954" s="3"/>
      <c r="C954" s="3"/>
      <c r="D954" s="319"/>
      <c r="E954" s="3"/>
      <c r="F954" s="3"/>
      <c r="G954" s="3"/>
      <c r="H954" s="3"/>
      <c r="I954" s="3"/>
      <c r="J954" s="3"/>
      <c r="K954" s="3"/>
      <c r="L954" s="3"/>
      <c r="M954" s="3"/>
      <c r="N954" s="3"/>
      <c r="O954" s="3"/>
      <c r="P954" s="53"/>
      <c r="Q954" s="53"/>
      <c r="R954" s="618"/>
      <c r="S954" s="3"/>
      <c r="T954" s="3"/>
      <c r="U954" s="3"/>
      <c r="V954" s="3"/>
      <c r="W954" s="3"/>
      <c r="X954" s="3"/>
      <c r="Y954" s="3"/>
      <c r="Z954" s="3"/>
      <c r="AA954" s="3"/>
      <c r="AB954" s="3"/>
      <c r="AC954" s="3"/>
    </row>
    <row r="955">
      <c r="A955" s="3"/>
      <c r="B955" s="3"/>
      <c r="C955" s="3"/>
      <c r="D955" s="319"/>
      <c r="E955" s="3"/>
      <c r="F955" s="3"/>
      <c r="G955" s="3"/>
      <c r="H955" s="3"/>
      <c r="I955" s="3"/>
      <c r="J955" s="3"/>
      <c r="K955" s="3"/>
      <c r="L955" s="3"/>
      <c r="M955" s="3"/>
      <c r="N955" s="3"/>
      <c r="O955" s="3"/>
      <c r="P955" s="53"/>
      <c r="Q955" s="53"/>
      <c r="R955" s="618"/>
      <c r="S955" s="3"/>
      <c r="T955" s="3"/>
      <c r="U955" s="3"/>
      <c r="V955" s="3"/>
      <c r="W955" s="3"/>
      <c r="X955" s="3"/>
      <c r="Y955" s="3"/>
      <c r="Z955" s="3"/>
      <c r="AA955" s="3"/>
      <c r="AB955" s="3"/>
      <c r="AC955" s="3"/>
    </row>
    <row r="956">
      <c r="A956" s="3"/>
      <c r="B956" s="3"/>
      <c r="C956" s="3"/>
      <c r="D956" s="319"/>
      <c r="E956" s="3"/>
      <c r="F956" s="3"/>
      <c r="G956" s="3"/>
      <c r="H956" s="3"/>
      <c r="I956" s="3"/>
      <c r="J956" s="3"/>
      <c r="K956" s="3"/>
      <c r="L956" s="3"/>
      <c r="M956" s="3"/>
      <c r="N956" s="3"/>
      <c r="O956" s="3"/>
      <c r="P956" s="53"/>
      <c r="Q956" s="53"/>
      <c r="R956" s="618"/>
      <c r="S956" s="3"/>
      <c r="T956" s="3"/>
      <c r="U956" s="3"/>
      <c r="V956" s="3"/>
      <c r="W956" s="3"/>
      <c r="X956" s="3"/>
      <c r="Y956" s="3"/>
      <c r="Z956" s="3"/>
      <c r="AA956" s="3"/>
      <c r="AB956" s="3"/>
      <c r="AC956" s="3"/>
    </row>
    <row r="957">
      <c r="A957" s="3"/>
      <c r="B957" s="3"/>
      <c r="C957" s="3"/>
      <c r="D957" s="319"/>
      <c r="E957" s="3"/>
      <c r="F957" s="3"/>
      <c r="G957" s="3"/>
      <c r="H957" s="3"/>
      <c r="I957" s="3"/>
      <c r="J957" s="3"/>
      <c r="K957" s="3"/>
      <c r="L957" s="3"/>
      <c r="M957" s="3"/>
      <c r="N957" s="3"/>
      <c r="O957" s="3"/>
      <c r="P957" s="53"/>
      <c r="Q957" s="53"/>
      <c r="R957" s="618"/>
      <c r="S957" s="3"/>
      <c r="T957" s="3"/>
      <c r="U957" s="3"/>
      <c r="V957" s="3"/>
      <c r="W957" s="3"/>
      <c r="X957" s="3"/>
      <c r="Y957" s="3"/>
      <c r="Z957" s="3"/>
      <c r="AA957" s="3"/>
      <c r="AB957" s="3"/>
      <c r="AC957" s="3"/>
    </row>
    <row r="958">
      <c r="A958" s="3"/>
      <c r="B958" s="3"/>
      <c r="C958" s="3"/>
      <c r="D958" s="319"/>
      <c r="E958" s="3"/>
      <c r="F958" s="3"/>
      <c r="G958" s="3"/>
      <c r="H958" s="3"/>
      <c r="I958" s="3"/>
      <c r="J958" s="3"/>
      <c r="K958" s="3"/>
      <c r="L958" s="3"/>
      <c r="M958" s="3"/>
      <c r="N958" s="3"/>
      <c r="O958" s="3"/>
      <c r="P958" s="53"/>
      <c r="Q958" s="53"/>
      <c r="R958" s="618"/>
      <c r="S958" s="3"/>
      <c r="T958" s="3"/>
      <c r="U958" s="3"/>
      <c r="V958" s="3"/>
      <c r="W958" s="3"/>
      <c r="X958" s="3"/>
      <c r="Y958" s="3"/>
      <c r="Z958" s="3"/>
      <c r="AA958" s="3"/>
      <c r="AB958" s="3"/>
      <c r="AC958" s="3"/>
    </row>
    <row r="959">
      <c r="A959" s="3"/>
      <c r="B959" s="3"/>
      <c r="C959" s="3"/>
      <c r="D959" s="319"/>
      <c r="E959" s="3"/>
      <c r="F959" s="3"/>
      <c r="G959" s="3"/>
      <c r="H959" s="3"/>
      <c r="I959" s="3"/>
      <c r="J959" s="3"/>
      <c r="K959" s="3"/>
      <c r="L959" s="3"/>
      <c r="M959" s="3"/>
      <c r="N959" s="3"/>
      <c r="O959" s="3"/>
      <c r="P959" s="53"/>
      <c r="Q959" s="53"/>
      <c r="R959" s="618"/>
      <c r="S959" s="3"/>
      <c r="T959" s="3"/>
      <c r="U959" s="3"/>
      <c r="V959" s="3"/>
      <c r="W959" s="3"/>
      <c r="X959" s="3"/>
      <c r="Y959" s="3"/>
      <c r="Z959" s="3"/>
      <c r="AA959" s="3"/>
      <c r="AB959" s="3"/>
      <c r="AC959" s="3"/>
    </row>
    <row r="960">
      <c r="A960" s="3"/>
      <c r="B960" s="3"/>
      <c r="C960" s="3"/>
      <c r="D960" s="319"/>
      <c r="E960" s="3"/>
      <c r="F960" s="3"/>
      <c r="G960" s="3"/>
      <c r="H960" s="3"/>
      <c r="I960" s="3"/>
      <c r="J960" s="3"/>
      <c r="K960" s="3"/>
      <c r="L960" s="3"/>
      <c r="M960" s="3"/>
      <c r="N960" s="3"/>
      <c r="O960" s="3"/>
      <c r="P960" s="53"/>
      <c r="Q960" s="53"/>
      <c r="R960" s="618"/>
      <c r="S960" s="3"/>
      <c r="T960" s="3"/>
      <c r="U960" s="3"/>
      <c r="V960" s="3"/>
      <c r="W960" s="3"/>
      <c r="X960" s="3"/>
      <c r="Y960" s="3"/>
      <c r="Z960" s="3"/>
      <c r="AA960" s="3"/>
      <c r="AB960" s="3"/>
      <c r="AC960" s="3"/>
    </row>
    <row r="961">
      <c r="A961" s="3"/>
      <c r="B961" s="3"/>
      <c r="C961" s="3"/>
      <c r="D961" s="319"/>
      <c r="E961" s="3"/>
      <c r="F961" s="3"/>
      <c r="G961" s="3"/>
      <c r="H961" s="3"/>
      <c r="I961" s="3"/>
      <c r="J961" s="3"/>
      <c r="K961" s="3"/>
      <c r="L961" s="3"/>
      <c r="M961" s="3"/>
      <c r="N961" s="3"/>
      <c r="O961" s="3"/>
      <c r="P961" s="53"/>
      <c r="Q961" s="53"/>
      <c r="R961" s="618"/>
      <c r="S961" s="3"/>
      <c r="T961" s="3"/>
      <c r="U961" s="3"/>
      <c r="V961" s="3"/>
      <c r="W961" s="3"/>
      <c r="X961" s="3"/>
      <c r="Y961" s="3"/>
      <c r="Z961" s="3"/>
      <c r="AA961" s="3"/>
      <c r="AB961" s="3"/>
      <c r="AC961" s="3"/>
    </row>
    <row r="962">
      <c r="A962" s="3"/>
      <c r="B962" s="3"/>
      <c r="C962" s="3"/>
      <c r="D962" s="319"/>
      <c r="E962" s="3"/>
      <c r="F962" s="3"/>
      <c r="G962" s="3"/>
      <c r="H962" s="3"/>
      <c r="I962" s="3"/>
      <c r="J962" s="3"/>
      <c r="K962" s="3"/>
      <c r="L962" s="3"/>
      <c r="M962" s="3"/>
      <c r="N962" s="3"/>
      <c r="O962" s="3"/>
      <c r="P962" s="53"/>
      <c r="Q962" s="53"/>
      <c r="R962" s="618"/>
      <c r="S962" s="3"/>
      <c r="T962" s="3"/>
      <c r="U962" s="3"/>
      <c r="V962" s="3"/>
      <c r="W962" s="3"/>
      <c r="X962" s="3"/>
      <c r="Y962" s="3"/>
      <c r="Z962" s="3"/>
      <c r="AA962" s="3"/>
      <c r="AB962" s="3"/>
      <c r="AC962" s="3"/>
    </row>
    <row r="963">
      <c r="A963" s="3"/>
      <c r="B963" s="3"/>
      <c r="C963" s="3"/>
      <c r="D963" s="319"/>
      <c r="E963" s="3"/>
      <c r="F963" s="3"/>
      <c r="G963" s="3"/>
      <c r="H963" s="3"/>
      <c r="I963" s="3"/>
      <c r="J963" s="3"/>
      <c r="K963" s="3"/>
      <c r="L963" s="3"/>
      <c r="M963" s="3"/>
      <c r="N963" s="3"/>
      <c r="O963" s="3"/>
      <c r="P963" s="53"/>
      <c r="Q963" s="53"/>
      <c r="R963" s="618"/>
      <c r="S963" s="3"/>
      <c r="T963" s="3"/>
      <c r="U963" s="3"/>
      <c r="V963" s="3"/>
      <c r="W963" s="3"/>
      <c r="X963" s="3"/>
      <c r="Y963" s="3"/>
      <c r="Z963" s="3"/>
      <c r="AA963" s="3"/>
      <c r="AB963" s="3"/>
      <c r="AC963" s="3"/>
    </row>
    <row r="964">
      <c r="A964" s="3"/>
      <c r="B964" s="3"/>
      <c r="C964" s="3"/>
      <c r="D964" s="319"/>
      <c r="E964" s="3"/>
      <c r="F964" s="3"/>
      <c r="G964" s="3"/>
      <c r="H964" s="3"/>
      <c r="I964" s="3"/>
      <c r="J964" s="3"/>
      <c r="K964" s="3"/>
      <c r="L964" s="3"/>
      <c r="M964" s="3"/>
      <c r="N964" s="3"/>
      <c r="O964" s="3"/>
      <c r="P964" s="53"/>
      <c r="Q964" s="53"/>
      <c r="R964" s="618"/>
      <c r="S964" s="3"/>
      <c r="T964" s="3"/>
      <c r="U964" s="3"/>
      <c r="V964" s="3"/>
      <c r="W964" s="3"/>
      <c r="X964" s="3"/>
      <c r="Y964" s="3"/>
      <c r="Z964" s="3"/>
      <c r="AA964" s="3"/>
      <c r="AB964" s="3"/>
      <c r="AC964" s="3"/>
    </row>
    <row r="965">
      <c r="A965" s="3"/>
      <c r="B965" s="3"/>
      <c r="C965" s="3"/>
      <c r="D965" s="319"/>
      <c r="E965" s="3"/>
      <c r="F965" s="3"/>
      <c r="G965" s="3"/>
      <c r="H965" s="3"/>
      <c r="I965" s="3"/>
      <c r="J965" s="3"/>
      <c r="K965" s="3"/>
      <c r="L965" s="3"/>
      <c r="M965" s="3"/>
      <c r="N965" s="3"/>
      <c r="O965" s="3"/>
      <c r="P965" s="53"/>
      <c r="Q965" s="53"/>
      <c r="R965" s="618"/>
      <c r="S965" s="3"/>
      <c r="T965" s="3"/>
      <c r="U965" s="3"/>
      <c r="V965" s="3"/>
      <c r="W965" s="3"/>
      <c r="X965" s="3"/>
      <c r="Y965" s="3"/>
      <c r="Z965" s="3"/>
      <c r="AA965" s="3"/>
      <c r="AB965" s="3"/>
      <c r="AC965" s="3"/>
    </row>
    <row r="966">
      <c r="A966" s="3"/>
      <c r="B966" s="3"/>
      <c r="C966" s="3"/>
      <c r="D966" s="319"/>
      <c r="E966" s="3"/>
      <c r="F966" s="3"/>
      <c r="G966" s="3"/>
      <c r="H966" s="3"/>
      <c r="I966" s="3"/>
      <c r="J966" s="3"/>
      <c r="K966" s="3"/>
      <c r="L966" s="3"/>
      <c r="M966" s="3"/>
      <c r="N966" s="3"/>
      <c r="O966" s="3"/>
      <c r="P966" s="53"/>
      <c r="Q966" s="53"/>
      <c r="R966" s="618"/>
      <c r="S966" s="3"/>
      <c r="T966" s="3"/>
      <c r="U966" s="3"/>
      <c r="V966" s="3"/>
      <c r="W966" s="3"/>
      <c r="X966" s="3"/>
      <c r="Y966" s="3"/>
      <c r="Z966" s="3"/>
      <c r="AA966" s="3"/>
      <c r="AB966" s="3"/>
      <c r="AC966" s="3"/>
    </row>
    <row r="967">
      <c r="A967" s="3"/>
      <c r="B967" s="3"/>
      <c r="C967" s="3"/>
      <c r="D967" s="319"/>
      <c r="E967" s="3"/>
      <c r="F967" s="3"/>
      <c r="G967" s="3"/>
      <c r="H967" s="3"/>
      <c r="I967" s="3"/>
      <c r="J967" s="3"/>
      <c r="K967" s="3"/>
      <c r="L967" s="3"/>
      <c r="M967" s="3"/>
      <c r="N967" s="3"/>
      <c r="O967" s="3"/>
      <c r="P967" s="53"/>
      <c r="Q967" s="53"/>
      <c r="R967" s="618"/>
      <c r="S967" s="3"/>
      <c r="T967" s="3"/>
      <c r="U967" s="3"/>
      <c r="V967" s="3"/>
      <c r="W967" s="3"/>
      <c r="X967" s="3"/>
      <c r="Y967" s="3"/>
      <c r="Z967" s="3"/>
      <c r="AA967" s="3"/>
      <c r="AB967" s="3"/>
      <c r="AC967" s="3"/>
    </row>
    <row r="968">
      <c r="A968" s="3"/>
      <c r="B968" s="3"/>
      <c r="C968" s="3"/>
      <c r="D968" s="319"/>
      <c r="E968" s="3"/>
      <c r="F968" s="3"/>
      <c r="G968" s="3"/>
      <c r="H968" s="3"/>
      <c r="I968" s="3"/>
      <c r="J968" s="3"/>
      <c r="K968" s="3"/>
      <c r="L968" s="3"/>
      <c r="M968" s="3"/>
      <c r="N968" s="3"/>
      <c r="O968" s="3"/>
      <c r="P968" s="53"/>
      <c r="Q968" s="53"/>
      <c r="R968" s="618"/>
      <c r="S968" s="3"/>
      <c r="T968" s="3"/>
      <c r="U968" s="3"/>
      <c r="V968" s="3"/>
      <c r="W968" s="3"/>
      <c r="X968" s="3"/>
      <c r="Y968" s="3"/>
      <c r="Z968" s="3"/>
      <c r="AA968" s="3"/>
      <c r="AB968" s="3"/>
      <c r="AC968" s="3"/>
    </row>
    <row r="969">
      <c r="A969" s="3"/>
      <c r="B969" s="3"/>
      <c r="C969" s="3"/>
      <c r="D969" s="319"/>
      <c r="E969" s="3"/>
      <c r="F969" s="3"/>
      <c r="G969" s="3"/>
      <c r="H969" s="3"/>
      <c r="I969" s="3"/>
      <c r="J969" s="3"/>
      <c r="K969" s="3"/>
      <c r="L969" s="3"/>
      <c r="M969" s="3"/>
      <c r="N969" s="3"/>
      <c r="O969" s="3"/>
      <c r="P969" s="53"/>
      <c r="Q969" s="53"/>
      <c r="R969" s="618"/>
      <c r="S969" s="3"/>
      <c r="T969" s="3"/>
      <c r="U969" s="3"/>
      <c r="V969" s="3"/>
      <c r="W969" s="3"/>
      <c r="X969" s="3"/>
      <c r="Y969" s="3"/>
      <c r="Z969" s="3"/>
      <c r="AA969" s="3"/>
      <c r="AB969" s="3"/>
      <c r="AC969" s="3"/>
    </row>
    <row r="970">
      <c r="A970" s="3"/>
      <c r="B970" s="3"/>
      <c r="C970" s="3"/>
      <c r="D970" s="319"/>
      <c r="E970" s="3"/>
      <c r="F970" s="3"/>
      <c r="G970" s="3"/>
      <c r="H970" s="3"/>
      <c r="I970" s="3"/>
      <c r="J970" s="3"/>
      <c r="K970" s="3"/>
      <c r="L970" s="3"/>
      <c r="M970" s="3"/>
      <c r="N970" s="3"/>
      <c r="O970" s="3"/>
      <c r="P970" s="53"/>
      <c r="Q970" s="53"/>
      <c r="R970" s="618"/>
      <c r="S970" s="3"/>
      <c r="T970" s="3"/>
      <c r="U970" s="3"/>
      <c r="V970" s="3"/>
      <c r="W970" s="3"/>
      <c r="X970" s="3"/>
      <c r="Y970" s="3"/>
      <c r="Z970" s="3"/>
      <c r="AA970" s="3"/>
      <c r="AB970" s="3"/>
      <c r="AC970" s="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2"/>
  <cols>
    <col customWidth="1" min="4" max="4" width="20.0"/>
    <col customWidth="1" min="5" max="5" width="19.63"/>
    <col customWidth="1" min="6" max="6" width="17.88"/>
    <col customWidth="1" min="7" max="7" width="15.38"/>
    <col customWidth="1" min="10" max="10" width="22.5"/>
    <col customWidth="1" min="11" max="11" width="30.88"/>
    <col customWidth="1" min="13" max="13" width="24.13"/>
    <col customWidth="1" min="14" max="14" width="22.25"/>
    <col customWidth="1" min="17" max="17" width="15.25"/>
  </cols>
  <sheetData>
    <row r="1">
      <c r="A1" s="562" t="s">
        <v>0</v>
      </c>
      <c r="B1" s="18" t="s">
        <v>2838</v>
      </c>
      <c r="C1" s="18" t="s">
        <v>2839</v>
      </c>
      <c r="D1" s="18" t="s">
        <v>2841</v>
      </c>
      <c r="E1" s="18" t="s">
        <v>1553</v>
      </c>
      <c r="F1" s="18" t="s">
        <v>2842</v>
      </c>
      <c r="G1" s="18" t="s">
        <v>2843</v>
      </c>
      <c r="H1" s="18" t="s">
        <v>2844</v>
      </c>
      <c r="I1" s="18" t="s">
        <v>2845</v>
      </c>
      <c r="J1" s="18" t="s">
        <v>2846</v>
      </c>
      <c r="K1" s="18" t="s">
        <v>19</v>
      </c>
      <c r="O1" s="3"/>
      <c r="P1" s="3"/>
      <c r="Q1" s="3"/>
      <c r="R1" s="3"/>
      <c r="S1" s="3"/>
      <c r="T1" s="3"/>
      <c r="U1" s="3"/>
      <c r="V1" s="3"/>
      <c r="W1" s="3"/>
      <c r="X1" s="3"/>
      <c r="Y1" s="3"/>
      <c r="Z1" s="3"/>
    </row>
    <row r="2">
      <c r="A2" s="124" t="s">
        <v>2851</v>
      </c>
      <c r="B2" s="422">
        <v>44939.0</v>
      </c>
      <c r="C2" s="124" t="s">
        <v>40</v>
      </c>
      <c r="D2" s="124" t="s">
        <v>1487</v>
      </c>
      <c r="E2" s="422">
        <v>44973.0</v>
      </c>
      <c r="F2" s="425" t="b">
        <v>0</v>
      </c>
      <c r="G2" s="425" t="b">
        <v>0</v>
      </c>
      <c r="H2" s="425" t="b">
        <v>0</v>
      </c>
      <c r="I2" s="425" t="b">
        <v>0</v>
      </c>
      <c r="J2" s="425"/>
      <c r="K2" s="427" t="s">
        <v>2855</v>
      </c>
      <c r="O2" s="3"/>
      <c r="P2" s="3"/>
      <c r="Q2" s="3"/>
      <c r="R2" s="3"/>
      <c r="S2" s="3"/>
      <c r="T2" s="3"/>
      <c r="U2" s="3"/>
      <c r="V2" s="3"/>
      <c r="W2" s="3"/>
      <c r="X2" s="3"/>
      <c r="Y2" s="3"/>
      <c r="Z2" s="3"/>
    </row>
    <row r="3">
      <c r="A3" s="203" t="s">
        <v>2857</v>
      </c>
      <c r="B3" s="244">
        <v>44886.0</v>
      </c>
      <c r="C3" s="203" t="s">
        <v>40</v>
      </c>
      <c r="D3" s="203" t="s">
        <v>2858</v>
      </c>
      <c r="E3" s="214">
        <v>44943.0</v>
      </c>
      <c r="F3" s="203" t="b">
        <v>1</v>
      </c>
      <c r="G3" s="203" t="b">
        <v>1</v>
      </c>
      <c r="H3" s="124" t="b">
        <v>0</v>
      </c>
      <c r="I3" s="124" t="b">
        <v>0</v>
      </c>
      <c r="J3" s="203" t="s">
        <v>1065</v>
      </c>
      <c r="K3" s="262"/>
      <c r="M3" s="3"/>
      <c r="N3" s="3"/>
      <c r="O3" s="3"/>
      <c r="P3" s="3"/>
      <c r="Q3" s="3"/>
      <c r="R3" s="3"/>
      <c r="S3" s="3"/>
      <c r="T3" s="3"/>
      <c r="U3" s="3"/>
      <c r="V3" s="3"/>
      <c r="W3" s="3"/>
      <c r="X3" s="3"/>
      <c r="Y3" s="3"/>
      <c r="Z3" s="3"/>
    </row>
    <row r="4">
      <c r="A4" s="203" t="s">
        <v>2861</v>
      </c>
      <c r="B4" s="244">
        <v>44888.0</v>
      </c>
      <c r="C4" s="203" t="s">
        <v>40</v>
      </c>
      <c r="D4" s="203" t="s">
        <v>2858</v>
      </c>
      <c r="E4" s="214">
        <v>44937.0</v>
      </c>
      <c r="F4" s="203" t="b">
        <v>1</v>
      </c>
      <c r="G4" s="203" t="b">
        <v>1</v>
      </c>
      <c r="H4" s="124" t="b">
        <v>0</v>
      </c>
      <c r="I4" s="124" t="b">
        <v>0</v>
      </c>
      <c r="J4" s="203" t="s">
        <v>1065</v>
      </c>
      <c r="K4" s="124" t="s">
        <v>2862</v>
      </c>
      <c r="M4" s="3"/>
      <c r="N4" s="3"/>
      <c r="O4" s="3"/>
      <c r="P4" s="3"/>
      <c r="Q4" s="3"/>
      <c r="R4" s="3"/>
      <c r="S4" s="3"/>
      <c r="T4" s="3"/>
      <c r="U4" s="3"/>
      <c r="V4" s="3"/>
      <c r="W4" s="3"/>
      <c r="X4" s="3"/>
      <c r="Y4" s="3"/>
      <c r="Z4" s="3"/>
    </row>
    <row r="5">
      <c r="A5" s="124" t="s">
        <v>2863</v>
      </c>
      <c r="B5" s="507">
        <v>44894.0</v>
      </c>
      <c r="C5" s="124" t="s">
        <v>40</v>
      </c>
      <c r="D5" s="124" t="s">
        <v>2858</v>
      </c>
      <c r="E5" s="422">
        <v>44932.0</v>
      </c>
      <c r="F5" s="124" t="b">
        <v>1</v>
      </c>
      <c r="G5" s="124" t="b">
        <v>1</v>
      </c>
      <c r="H5" s="124" t="b">
        <v>0</v>
      </c>
      <c r="I5" s="124" t="b">
        <v>0</v>
      </c>
      <c r="J5" s="124" t="s">
        <v>1232</v>
      </c>
      <c r="K5" s="203" t="s">
        <v>2865</v>
      </c>
      <c r="M5" s="3"/>
      <c r="N5" s="3"/>
      <c r="O5" s="3"/>
      <c r="P5" s="3"/>
      <c r="Q5" s="3"/>
      <c r="R5" s="3"/>
      <c r="S5" s="3"/>
      <c r="T5" s="3"/>
      <c r="U5" s="3"/>
      <c r="V5" s="3"/>
      <c r="W5" s="3"/>
      <c r="X5" s="3"/>
      <c r="Y5" s="3"/>
      <c r="Z5" s="3"/>
    </row>
    <row r="6">
      <c r="A6" s="203" t="s">
        <v>2867</v>
      </c>
      <c r="B6" s="250">
        <v>44903.0</v>
      </c>
      <c r="C6" s="203" t="s">
        <v>40</v>
      </c>
      <c r="D6" s="203" t="s">
        <v>2858</v>
      </c>
      <c r="E6" s="250">
        <v>44949.0</v>
      </c>
      <c r="F6" s="203" t="b">
        <v>0</v>
      </c>
      <c r="G6" s="203" t="b">
        <v>1</v>
      </c>
      <c r="H6" s="124" t="b">
        <v>0</v>
      </c>
      <c r="I6" s="124" t="b">
        <v>0</v>
      </c>
      <c r="J6" s="203" t="s">
        <v>1065</v>
      </c>
      <c r="K6" s="203" t="s">
        <v>2865</v>
      </c>
      <c r="M6" s="3"/>
      <c r="N6" s="3"/>
      <c r="O6" s="3"/>
      <c r="P6" s="3"/>
      <c r="Q6" s="3"/>
      <c r="R6" s="3"/>
      <c r="S6" s="3"/>
      <c r="T6" s="3"/>
      <c r="U6" s="3"/>
      <c r="V6" s="3"/>
      <c r="W6" s="3"/>
      <c r="X6" s="3"/>
      <c r="Y6" s="3"/>
      <c r="Z6" s="3"/>
    </row>
    <row r="7">
      <c r="A7" s="124" t="s">
        <v>2870</v>
      </c>
      <c r="B7" s="507">
        <v>44911.0</v>
      </c>
      <c r="C7" s="124" t="s">
        <v>40</v>
      </c>
      <c r="D7" s="124" t="s">
        <v>2872</v>
      </c>
      <c r="E7" s="422">
        <v>44949.0</v>
      </c>
      <c r="F7" s="124" t="b">
        <v>1</v>
      </c>
      <c r="G7" s="124" t="b">
        <v>0</v>
      </c>
      <c r="H7" s="124" t="b">
        <v>0</v>
      </c>
      <c r="I7" s="124" t="b">
        <v>0</v>
      </c>
      <c r="J7" s="124" t="s">
        <v>1232</v>
      </c>
      <c r="K7" s="124" t="s">
        <v>2862</v>
      </c>
      <c r="M7" s="3"/>
      <c r="N7" s="3"/>
      <c r="O7" s="3"/>
      <c r="P7" s="3"/>
      <c r="Q7" s="3"/>
      <c r="R7" s="3"/>
      <c r="S7" s="3"/>
      <c r="T7" s="3"/>
      <c r="U7" s="3"/>
      <c r="V7" s="3"/>
      <c r="W7" s="3"/>
      <c r="X7" s="3"/>
      <c r="Y7" s="3"/>
      <c r="Z7" s="3"/>
    </row>
    <row r="8">
      <c r="A8" s="203" t="s">
        <v>2874</v>
      </c>
      <c r="B8" s="214">
        <v>44938.0</v>
      </c>
      <c r="C8" s="203" t="s">
        <v>40</v>
      </c>
      <c r="D8" s="203"/>
      <c r="E8" s="214">
        <v>44966.0</v>
      </c>
      <c r="F8" s="203" t="b">
        <v>1</v>
      </c>
      <c r="G8" s="203" t="b">
        <v>1</v>
      </c>
      <c r="H8" s="124" t="b">
        <v>0</v>
      </c>
      <c r="I8" s="124" t="b">
        <v>0</v>
      </c>
      <c r="J8" s="203" t="s">
        <v>1065</v>
      </c>
      <c r="K8" s="203" t="s">
        <v>2865</v>
      </c>
      <c r="M8" s="3"/>
      <c r="N8" s="3"/>
      <c r="O8" s="3"/>
      <c r="P8" s="3"/>
      <c r="Q8" s="3"/>
      <c r="R8" s="3"/>
      <c r="S8" s="3"/>
      <c r="T8" s="3"/>
      <c r="U8" s="3"/>
      <c r="V8" s="3"/>
      <c r="W8" s="3"/>
      <c r="X8" s="3"/>
      <c r="Y8" s="3"/>
      <c r="Z8" s="3"/>
    </row>
    <row r="9">
      <c r="A9" s="203" t="s">
        <v>2879</v>
      </c>
      <c r="B9" s="214">
        <v>44938.0</v>
      </c>
      <c r="C9" s="203" t="s">
        <v>40</v>
      </c>
      <c r="D9" s="203" t="s">
        <v>2858</v>
      </c>
      <c r="E9" s="214">
        <v>44995.0</v>
      </c>
      <c r="F9" s="203" t="b">
        <v>1</v>
      </c>
      <c r="G9" s="203" t="b">
        <v>1</v>
      </c>
      <c r="H9" s="124" t="b">
        <v>0</v>
      </c>
      <c r="I9" s="124" t="b">
        <v>0</v>
      </c>
      <c r="J9" s="203" t="s">
        <v>1065</v>
      </c>
      <c r="K9" s="124" t="s">
        <v>2882</v>
      </c>
      <c r="M9" s="3"/>
      <c r="N9" s="3"/>
      <c r="O9" s="3"/>
      <c r="P9" s="3"/>
      <c r="Q9" s="3"/>
      <c r="R9" s="3"/>
      <c r="S9" s="3"/>
      <c r="T9" s="3"/>
      <c r="U9" s="3"/>
      <c r="V9" s="3"/>
      <c r="W9" s="3"/>
      <c r="X9" s="3"/>
      <c r="Y9" s="3"/>
      <c r="Z9" s="3"/>
    </row>
    <row r="10">
      <c r="A10" s="203" t="s">
        <v>2884</v>
      </c>
      <c r="B10" s="214">
        <v>44939.0</v>
      </c>
      <c r="C10" s="203" t="s">
        <v>28</v>
      </c>
      <c r="D10" s="203" t="s">
        <v>2858</v>
      </c>
      <c r="E10" s="250">
        <v>44943.0</v>
      </c>
      <c r="F10" s="203" t="b">
        <v>1</v>
      </c>
      <c r="G10" s="203" t="b">
        <v>1</v>
      </c>
      <c r="H10" s="124" t="b">
        <v>0</v>
      </c>
      <c r="I10" s="124" t="b">
        <v>0</v>
      </c>
      <c r="J10" s="203" t="s">
        <v>1065</v>
      </c>
      <c r="K10" s="203" t="s">
        <v>2865</v>
      </c>
      <c r="M10" s="3"/>
      <c r="N10" s="3"/>
      <c r="O10" s="3"/>
      <c r="P10" s="3"/>
      <c r="Q10" s="3"/>
      <c r="R10" s="3"/>
      <c r="S10" s="3"/>
      <c r="T10" s="3"/>
      <c r="U10" s="3"/>
      <c r="V10" s="3"/>
      <c r="W10" s="3"/>
      <c r="X10" s="3"/>
      <c r="Y10" s="3"/>
      <c r="Z10" s="3"/>
    </row>
    <row r="11">
      <c r="A11" s="203" t="s">
        <v>2887</v>
      </c>
      <c r="B11" s="214">
        <v>44943.0</v>
      </c>
      <c r="C11" s="203" t="s">
        <v>40</v>
      </c>
      <c r="D11" s="203" t="s">
        <v>2858</v>
      </c>
      <c r="E11" s="214">
        <v>44958.0</v>
      </c>
      <c r="F11" s="203" t="b">
        <v>1</v>
      </c>
      <c r="G11" s="203" t="b">
        <v>1</v>
      </c>
      <c r="H11" s="124" t="b">
        <v>0</v>
      </c>
      <c r="I11" s="124" t="b">
        <v>0</v>
      </c>
      <c r="J11" s="203" t="s">
        <v>1065</v>
      </c>
      <c r="K11" s="203" t="s">
        <v>2889</v>
      </c>
      <c r="M11" s="3"/>
      <c r="N11" s="3"/>
      <c r="O11" s="3"/>
      <c r="P11" s="3"/>
      <c r="Q11" s="3"/>
      <c r="R11" s="3"/>
      <c r="S11" s="3"/>
      <c r="T11" s="3"/>
      <c r="U11" s="3"/>
      <c r="V11" s="3"/>
      <c r="W11" s="3"/>
      <c r="X11" s="3"/>
      <c r="Y11" s="3"/>
      <c r="Z11" s="3"/>
    </row>
    <row r="12">
      <c r="A12" s="203" t="s">
        <v>2891</v>
      </c>
      <c r="B12" s="214">
        <v>44945.0</v>
      </c>
      <c r="C12" s="203" t="s">
        <v>40</v>
      </c>
      <c r="D12" s="203" t="s">
        <v>2858</v>
      </c>
      <c r="E12" s="214">
        <v>44946.0</v>
      </c>
      <c r="F12" s="203" t="b">
        <v>1</v>
      </c>
      <c r="G12" s="203" t="b">
        <v>1</v>
      </c>
      <c r="H12" s="203" t="b">
        <v>0</v>
      </c>
      <c r="I12" s="203" t="b">
        <v>0</v>
      </c>
      <c r="J12" s="203" t="s">
        <v>1065</v>
      </c>
      <c r="K12" s="262"/>
      <c r="M12" s="3"/>
      <c r="N12" s="3"/>
      <c r="O12" s="3"/>
      <c r="P12" s="3"/>
      <c r="Q12" s="3"/>
      <c r="R12" s="3"/>
      <c r="S12" s="3"/>
      <c r="T12" s="3"/>
      <c r="U12" s="3"/>
      <c r="V12" s="3"/>
      <c r="W12" s="3"/>
      <c r="X12" s="3"/>
      <c r="Y12" s="3"/>
      <c r="Z12" s="3"/>
    </row>
    <row r="13">
      <c r="A13" s="124" t="s">
        <v>2897</v>
      </c>
      <c r="B13" s="422">
        <v>44945.0</v>
      </c>
      <c r="C13" s="124" t="s">
        <v>40</v>
      </c>
      <c r="D13" s="124" t="s">
        <v>1487</v>
      </c>
      <c r="E13" s="422">
        <v>44959.0</v>
      </c>
      <c r="F13" s="425" t="b">
        <v>0</v>
      </c>
      <c r="G13" s="425" t="b">
        <v>0</v>
      </c>
      <c r="H13" s="425" t="b">
        <v>0</v>
      </c>
      <c r="I13" s="425" t="b">
        <v>0</v>
      </c>
      <c r="J13" s="425"/>
      <c r="K13" s="203" t="s">
        <v>2865</v>
      </c>
      <c r="M13" s="3"/>
      <c r="N13" s="3"/>
      <c r="O13" s="3"/>
      <c r="P13" s="3"/>
      <c r="Q13" s="3"/>
      <c r="R13" s="3"/>
      <c r="S13" s="3"/>
      <c r="T13" s="3"/>
      <c r="U13" s="3"/>
      <c r="V13" s="3"/>
      <c r="W13" s="3"/>
      <c r="X13" s="3"/>
      <c r="Y13" s="3"/>
      <c r="Z13" s="3"/>
    </row>
    <row r="14">
      <c r="A14" s="203" t="s">
        <v>2901</v>
      </c>
      <c r="B14" s="214">
        <v>44957.0</v>
      </c>
      <c r="C14" s="203" t="s">
        <v>28</v>
      </c>
      <c r="D14" s="203" t="s">
        <v>2858</v>
      </c>
      <c r="E14" s="214">
        <v>44965.0</v>
      </c>
      <c r="F14" s="203" t="b">
        <v>1</v>
      </c>
      <c r="G14" s="203" t="b">
        <v>1</v>
      </c>
      <c r="H14" s="124" t="b">
        <v>0</v>
      </c>
      <c r="I14" s="124" t="b">
        <v>0</v>
      </c>
      <c r="J14" s="124" t="s">
        <v>1232</v>
      </c>
      <c r="K14" s="203" t="s">
        <v>2862</v>
      </c>
      <c r="M14" s="3"/>
      <c r="N14" s="3"/>
      <c r="O14" s="3"/>
      <c r="P14" s="3"/>
      <c r="Q14" s="3"/>
      <c r="R14" s="3"/>
      <c r="S14" s="3"/>
      <c r="T14" s="3"/>
      <c r="U14" s="3"/>
      <c r="V14" s="3"/>
      <c r="W14" s="3"/>
      <c r="X14" s="3"/>
      <c r="Y14" s="3"/>
      <c r="Z14" s="3"/>
    </row>
    <row r="15">
      <c r="A15" s="124" t="s">
        <v>2904</v>
      </c>
      <c r="B15" s="422">
        <v>44958.0</v>
      </c>
      <c r="C15" s="124" t="s">
        <v>40</v>
      </c>
      <c r="D15" s="124" t="s">
        <v>2858</v>
      </c>
      <c r="E15" s="422">
        <v>44987.0</v>
      </c>
      <c r="F15" s="124" t="b">
        <v>1</v>
      </c>
      <c r="G15" s="124" t="b">
        <v>1</v>
      </c>
      <c r="H15" s="124" t="b">
        <v>0</v>
      </c>
      <c r="I15" s="124" t="b">
        <v>0</v>
      </c>
      <c r="J15" s="124" t="s">
        <v>1065</v>
      </c>
      <c r="K15" s="425"/>
      <c r="M15" s="3"/>
      <c r="N15" s="3"/>
      <c r="O15" s="3"/>
      <c r="P15" s="3"/>
      <c r="Q15" s="3"/>
      <c r="R15" s="3"/>
      <c r="S15" s="3"/>
      <c r="T15" s="3"/>
      <c r="U15" s="3"/>
      <c r="V15" s="3"/>
      <c r="W15" s="3"/>
      <c r="X15" s="3"/>
      <c r="Y15" s="3"/>
      <c r="Z15" s="3"/>
    </row>
    <row r="16">
      <c r="A16" s="124" t="s">
        <v>2906</v>
      </c>
      <c r="B16" s="422">
        <v>44958.0</v>
      </c>
      <c r="C16" s="124" t="s">
        <v>28</v>
      </c>
      <c r="D16" s="124" t="s">
        <v>1487</v>
      </c>
      <c r="E16" s="422">
        <v>44966.0</v>
      </c>
      <c r="F16" s="425" t="b">
        <v>0</v>
      </c>
      <c r="G16" s="425" t="b">
        <v>0</v>
      </c>
      <c r="H16" s="425" t="b">
        <v>0</v>
      </c>
      <c r="I16" s="425" t="b">
        <v>0</v>
      </c>
      <c r="J16" s="425"/>
      <c r="K16" s="203" t="s">
        <v>2862</v>
      </c>
      <c r="M16" s="3"/>
      <c r="N16" s="3"/>
      <c r="O16" s="3"/>
      <c r="P16" s="3"/>
      <c r="Q16" s="3"/>
      <c r="R16" s="3"/>
      <c r="S16" s="3"/>
      <c r="T16" s="3"/>
      <c r="U16" s="3"/>
      <c r="V16" s="3"/>
      <c r="W16" s="3"/>
      <c r="X16" s="3"/>
      <c r="Y16" s="3"/>
      <c r="Z16" s="3"/>
    </row>
    <row r="17">
      <c r="A17" s="573" t="s">
        <v>2907</v>
      </c>
      <c r="B17" s="421">
        <v>44965.0</v>
      </c>
      <c r="C17" s="573" t="s">
        <v>40</v>
      </c>
      <c r="D17" s="573" t="s">
        <v>2858</v>
      </c>
      <c r="E17" s="421">
        <v>44970.0</v>
      </c>
      <c r="F17" s="124" t="b">
        <v>1</v>
      </c>
      <c r="G17" s="124" t="b">
        <v>1</v>
      </c>
      <c r="H17" s="124" t="b">
        <v>0</v>
      </c>
      <c r="I17" s="124" t="b">
        <v>0</v>
      </c>
      <c r="J17" s="124" t="s">
        <v>1232</v>
      </c>
      <c r="K17" s="203" t="s">
        <v>2865</v>
      </c>
      <c r="M17" s="3"/>
      <c r="N17" s="3"/>
      <c r="O17" s="3"/>
      <c r="P17" s="3"/>
      <c r="Q17" s="3"/>
      <c r="R17" s="3"/>
      <c r="S17" s="3"/>
      <c r="T17" s="3"/>
      <c r="U17" s="3"/>
      <c r="V17" s="3"/>
      <c r="W17" s="3"/>
      <c r="X17" s="3"/>
      <c r="Y17" s="3"/>
      <c r="Z17" s="3"/>
    </row>
    <row r="18">
      <c r="A18" s="203" t="s">
        <v>2912</v>
      </c>
      <c r="B18" s="214">
        <v>44970.0</v>
      </c>
      <c r="C18" s="203" t="s">
        <v>28</v>
      </c>
      <c r="D18" s="203" t="s">
        <v>2858</v>
      </c>
      <c r="E18" s="214">
        <v>44973.0</v>
      </c>
      <c r="F18" s="203" t="b">
        <v>1</v>
      </c>
      <c r="G18" s="203" t="b">
        <v>1</v>
      </c>
      <c r="H18" s="124" t="b">
        <v>0</v>
      </c>
      <c r="I18" s="124" t="b">
        <v>0</v>
      </c>
      <c r="J18" s="203" t="s">
        <v>1065</v>
      </c>
      <c r="K18" s="424" t="s">
        <v>2913</v>
      </c>
      <c r="M18" s="3"/>
      <c r="N18" s="3"/>
      <c r="O18" s="3"/>
      <c r="P18" s="3"/>
      <c r="Q18" s="3"/>
      <c r="R18" s="3"/>
      <c r="S18" s="3"/>
      <c r="T18" s="3"/>
      <c r="U18" s="3"/>
      <c r="V18" s="3"/>
      <c r="W18" s="3"/>
      <c r="X18" s="3"/>
      <c r="Y18" s="3"/>
      <c r="Z18" s="3"/>
    </row>
    <row r="19">
      <c r="A19" s="203" t="s">
        <v>2914</v>
      </c>
      <c r="B19" s="214">
        <v>44970.0</v>
      </c>
      <c r="C19" s="203" t="s">
        <v>28</v>
      </c>
      <c r="D19" s="203" t="s">
        <v>2858</v>
      </c>
      <c r="E19" s="214">
        <v>44974.0</v>
      </c>
      <c r="F19" s="203" t="b">
        <v>1</v>
      </c>
      <c r="G19" s="203" t="b">
        <v>1</v>
      </c>
      <c r="H19" s="124" t="b">
        <v>0</v>
      </c>
      <c r="I19" s="124" t="b">
        <v>0</v>
      </c>
      <c r="J19" s="425"/>
      <c r="K19" s="203" t="s">
        <v>2862</v>
      </c>
      <c r="M19" s="3"/>
      <c r="N19" s="3"/>
      <c r="O19" s="3"/>
      <c r="P19" s="3"/>
      <c r="Q19" s="3"/>
      <c r="R19" s="3"/>
      <c r="S19" s="3"/>
      <c r="T19" s="3"/>
      <c r="U19" s="3"/>
      <c r="V19" s="3"/>
      <c r="W19" s="3"/>
      <c r="X19" s="3"/>
      <c r="Y19" s="3"/>
      <c r="Z19" s="3"/>
    </row>
    <row r="20">
      <c r="A20" s="203" t="s">
        <v>2918</v>
      </c>
      <c r="B20" s="214">
        <v>44971.0</v>
      </c>
      <c r="C20" s="203" t="s">
        <v>28</v>
      </c>
      <c r="D20" s="203" t="s">
        <v>2858</v>
      </c>
      <c r="E20" s="214">
        <v>45044.0</v>
      </c>
      <c r="F20" s="203" t="b">
        <v>1</v>
      </c>
      <c r="G20" s="203" t="b">
        <v>1</v>
      </c>
      <c r="H20" s="203" t="b">
        <v>1</v>
      </c>
      <c r="I20" s="203" t="b">
        <v>0</v>
      </c>
      <c r="J20" s="203" t="s">
        <v>1065</v>
      </c>
      <c r="K20" s="124" t="s">
        <v>2921</v>
      </c>
      <c r="M20" s="3"/>
      <c r="N20" s="3"/>
      <c r="O20" s="3"/>
      <c r="P20" s="3"/>
      <c r="Q20" s="3"/>
      <c r="R20" s="3"/>
      <c r="S20" s="3"/>
      <c r="T20" s="3"/>
      <c r="U20" s="3"/>
      <c r="V20" s="3"/>
      <c r="W20" s="3"/>
      <c r="X20" s="3"/>
      <c r="Y20" s="3"/>
      <c r="Z20" s="3"/>
    </row>
    <row r="21">
      <c r="A21" s="124" t="s">
        <v>2924</v>
      </c>
      <c r="B21" s="422">
        <v>44978.0</v>
      </c>
      <c r="C21" s="124">
        <v>34.0</v>
      </c>
      <c r="D21" s="124" t="s">
        <v>2858</v>
      </c>
      <c r="E21" s="422">
        <v>45001.0</v>
      </c>
      <c r="F21" s="124" t="b">
        <v>1</v>
      </c>
      <c r="G21" s="124" t="b">
        <v>1</v>
      </c>
      <c r="H21" s="124" t="b">
        <v>0</v>
      </c>
      <c r="I21" s="124" t="b">
        <v>0</v>
      </c>
      <c r="J21" s="124" t="s">
        <v>1065</v>
      </c>
      <c r="K21" s="124" t="s">
        <v>2926</v>
      </c>
      <c r="L21" s="318"/>
      <c r="M21" s="425"/>
      <c r="N21" s="3"/>
      <c r="O21" s="3"/>
      <c r="P21" s="3"/>
      <c r="Q21" s="3"/>
      <c r="R21" s="3"/>
      <c r="S21" s="3"/>
      <c r="T21" s="3"/>
      <c r="U21" s="3"/>
      <c r="V21" s="3"/>
      <c r="W21" s="3"/>
      <c r="X21" s="3"/>
      <c r="Y21" s="3"/>
      <c r="Z21" s="3"/>
    </row>
    <row r="22">
      <c r="A22" s="124" t="s">
        <v>2928</v>
      </c>
      <c r="B22" s="422">
        <v>44984.0</v>
      </c>
      <c r="C22" s="124" t="s">
        <v>40</v>
      </c>
      <c r="D22" s="124"/>
      <c r="E22" s="422">
        <v>44994.0</v>
      </c>
      <c r="F22" s="425" t="b">
        <v>0</v>
      </c>
      <c r="G22" s="425" t="b">
        <v>0</v>
      </c>
      <c r="H22" s="425" t="b">
        <v>0</v>
      </c>
      <c r="I22" s="425" t="b">
        <v>0</v>
      </c>
      <c r="J22" s="425"/>
      <c r="K22" s="424" t="s">
        <v>2930</v>
      </c>
      <c r="M22" s="3"/>
      <c r="N22" s="3"/>
      <c r="O22" s="3"/>
      <c r="P22" s="3"/>
      <c r="Q22" s="3"/>
      <c r="R22" s="3"/>
      <c r="S22" s="3"/>
      <c r="T22" s="3"/>
      <c r="U22" s="3"/>
      <c r="V22" s="3"/>
      <c r="W22" s="3"/>
      <c r="X22" s="3"/>
      <c r="Y22" s="3"/>
      <c r="Z22" s="3"/>
    </row>
    <row r="23">
      <c r="A23" s="203" t="s">
        <v>2931</v>
      </c>
      <c r="B23" s="214">
        <v>44986.0</v>
      </c>
      <c r="C23" s="203" t="s">
        <v>1370</v>
      </c>
      <c r="D23" s="203" t="s">
        <v>2858</v>
      </c>
      <c r="E23" s="214">
        <v>44992.0</v>
      </c>
      <c r="F23" s="203" t="b">
        <v>1</v>
      </c>
      <c r="G23" s="203" t="b">
        <v>1</v>
      </c>
      <c r="H23" s="124" t="b">
        <v>0</v>
      </c>
      <c r="I23" s="124" t="b">
        <v>0</v>
      </c>
      <c r="J23" s="124" t="s">
        <v>1232</v>
      </c>
      <c r="K23" s="203" t="s">
        <v>2865</v>
      </c>
      <c r="M23" s="3"/>
      <c r="N23" s="3"/>
      <c r="O23" s="3"/>
      <c r="P23" s="3"/>
      <c r="Q23" s="3"/>
      <c r="R23" s="3"/>
      <c r="S23" s="3"/>
      <c r="T23" s="3"/>
      <c r="U23" s="3"/>
      <c r="V23" s="3"/>
      <c r="W23" s="3"/>
      <c r="X23" s="3"/>
      <c r="Y23" s="3"/>
      <c r="Z23" s="3"/>
    </row>
    <row r="24">
      <c r="A24" s="124" t="s">
        <v>2934</v>
      </c>
      <c r="B24" s="422">
        <v>44986.0</v>
      </c>
      <c r="C24" s="124" t="s">
        <v>40</v>
      </c>
      <c r="D24" s="425"/>
      <c r="E24" s="422">
        <v>45023.0</v>
      </c>
      <c r="F24" s="425" t="b">
        <v>0</v>
      </c>
      <c r="G24" s="425" t="b">
        <v>0</v>
      </c>
      <c r="H24" s="425" t="b">
        <v>0</v>
      </c>
      <c r="I24" s="425" t="b">
        <v>0</v>
      </c>
      <c r="J24" s="425"/>
      <c r="K24" s="203" t="s">
        <v>2937</v>
      </c>
      <c r="M24" s="3"/>
      <c r="N24" s="3"/>
      <c r="O24" s="3"/>
      <c r="P24" s="3"/>
      <c r="Q24" s="3"/>
      <c r="R24" s="3"/>
      <c r="S24" s="3"/>
      <c r="T24" s="3"/>
      <c r="U24" s="3"/>
      <c r="V24" s="3"/>
      <c r="W24" s="3"/>
      <c r="X24" s="3"/>
      <c r="Y24" s="3"/>
      <c r="Z24" s="3"/>
    </row>
    <row r="25">
      <c r="A25" s="203" t="s">
        <v>2938</v>
      </c>
      <c r="B25" s="214">
        <v>44987.0</v>
      </c>
      <c r="C25" s="203" t="s">
        <v>28</v>
      </c>
      <c r="D25" s="203" t="s">
        <v>2858</v>
      </c>
      <c r="E25" s="214">
        <v>45007.0</v>
      </c>
      <c r="F25" s="203" t="b">
        <v>1</v>
      </c>
      <c r="G25" s="203" t="b">
        <v>1</v>
      </c>
      <c r="H25" s="124" t="b">
        <v>0</v>
      </c>
      <c r="I25" s="124" t="b">
        <v>0</v>
      </c>
      <c r="J25" s="203" t="s">
        <v>1065</v>
      </c>
      <c r="K25" s="203" t="s">
        <v>2862</v>
      </c>
      <c r="M25" s="3"/>
      <c r="N25" s="3"/>
      <c r="O25" s="3"/>
      <c r="P25" s="3"/>
      <c r="Q25" s="3"/>
      <c r="R25" s="3"/>
      <c r="S25" s="3"/>
      <c r="T25" s="3"/>
      <c r="U25" s="3"/>
      <c r="V25" s="3"/>
      <c r="W25" s="3"/>
      <c r="X25" s="3"/>
      <c r="Y25" s="3"/>
      <c r="Z25" s="3"/>
    </row>
    <row r="26">
      <c r="A26" s="124" t="s">
        <v>2942</v>
      </c>
      <c r="B26" s="422">
        <v>44987.0</v>
      </c>
      <c r="C26" s="124" t="s">
        <v>2943</v>
      </c>
      <c r="D26" s="425"/>
      <c r="E26" s="422">
        <v>45008.0</v>
      </c>
      <c r="F26" s="425" t="b">
        <v>0</v>
      </c>
      <c r="G26" s="425" t="b">
        <v>0</v>
      </c>
      <c r="H26" s="425" t="b">
        <v>0</v>
      </c>
      <c r="I26" s="425" t="b">
        <v>0</v>
      </c>
      <c r="J26" s="425"/>
      <c r="K26" s="203" t="s">
        <v>2889</v>
      </c>
      <c r="M26" s="3"/>
      <c r="N26" s="3"/>
      <c r="O26" s="3"/>
      <c r="P26" s="3"/>
      <c r="Q26" s="3"/>
      <c r="R26" s="3"/>
      <c r="S26" s="3"/>
      <c r="T26" s="3"/>
      <c r="U26" s="3"/>
      <c r="V26" s="3"/>
      <c r="W26" s="3"/>
      <c r="X26" s="3"/>
      <c r="Y26" s="3"/>
      <c r="Z26" s="3"/>
    </row>
    <row r="27">
      <c r="A27" s="124" t="s">
        <v>2946</v>
      </c>
      <c r="B27" s="422">
        <v>44994.0</v>
      </c>
      <c r="C27" s="124" t="s">
        <v>28</v>
      </c>
      <c r="D27" s="425"/>
      <c r="E27" s="422">
        <v>44999.0</v>
      </c>
      <c r="F27" s="124" t="b">
        <v>1</v>
      </c>
      <c r="G27" s="124" t="b">
        <v>1</v>
      </c>
      <c r="H27" s="124" t="b">
        <v>0</v>
      </c>
      <c r="I27" s="124" t="b">
        <v>0</v>
      </c>
      <c r="J27" s="124" t="s">
        <v>1232</v>
      </c>
      <c r="K27" s="262"/>
      <c r="M27" s="3"/>
      <c r="N27" s="3"/>
      <c r="O27" s="3"/>
      <c r="P27" s="3"/>
      <c r="Q27" s="3"/>
      <c r="R27" s="3"/>
      <c r="S27" s="3"/>
      <c r="T27" s="3"/>
      <c r="U27" s="3"/>
      <c r="V27" s="3"/>
      <c r="W27" s="3"/>
      <c r="X27" s="3"/>
      <c r="Y27" s="3"/>
      <c r="Z27" s="3"/>
    </row>
    <row r="28">
      <c r="A28" s="124" t="s">
        <v>2949</v>
      </c>
      <c r="B28" s="422">
        <v>44995.0</v>
      </c>
      <c r="C28" s="124" t="s">
        <v>40</v>
      </c>
      <c r="D28" s="124" t="s">
        <v>2858</v>
      </c>
      <c r="E28" s="422">
        <v>45002.0</v>
      </c>
      <c r="F28" s="124" t="b">
        <v>1</v>
      </c>
      <c r="G28" s="124" t="b">
        <v>1</v>
      </c>
      <c r="H28" s="124" t="b">
        <v>0</v>
      </c>
      <c r="I28" s="124" t="b">
        <v>0</v>
      </c>
      <c r="J28" s="203" t="s">
        <v>1065</v>
      </c>
      <c r="K28" s="124" t="s">
        <v>2951</v>
      </c>
      <c r="M28" s="3"/>
      <c r="N28" s="3"/>
      <c r="O28" s="3"/>
      <c r="P28" s="3"/>
      <c r="Q28" s="3"/>
      <c r="R28" s="3"/>
      <c r="S28" s="3"/>
      <c r="T28" s="3"/>
      <c r="U28" s="3"/>
      <c r="V28" s="3"/>
      <c r="W28" s="3"/>
      <c r="X28" s="3"/>
      <c r="Y28" s="3"/>
      <c r="Z28" s="3"/>
    </row>
    <row r="29">
      <c r="A29" s="203" t="s">
        <v>2953</v>
      </c>
      <c r="B29" s="214">
        <v>44999.0</v>
      </c>
      <c r="C29" s="203" t="s">
        <v>2954</v>
      </c>
      <c r="D29" s="203" t="s">
        <v>2858</v>
      </c>
      <c r="E29" s="214">
        <v>45008.0</v>
      </c>
      <c r="F29" s="203" t="b">
        <v>1</v>
      </c>
      <c r="G29" s="203" t="b">
        <v>1</v>
      </c>
      <c r="H29" s="124" t="b">
        <v>0</v>
      </c>
      <c r="I29" s="124" t="b">
        <v>0</v>
      </c>
      <c r="J29" s="203" t="s">
        <v>1065</v>
      </c>
      <c r="K29" s="203" t="s">
        <v>2957</v>
      </c>
      <c r="M29" s="3"/>
      <c r="N29" s="3"/>
      <c r="O29" s="3"/>
      <c r="P29" s="3"/>
      <c r="Q29" s="3"/>
      <c r="R29" s="3"/>
      <c r="S29" s="3"/>
      <c r="T29" s="3"/>
      <c r="U29" s="3"/>
      <c r="V29" s="3"/>
      <c r="W29" s="3"/>
      <c r="X29" s="3"/>
      <c r="Y29" s="3"/>
      <c r="Z29" s="3"/>
    </row>
    <row r="30">
      <c r="A30" s="124" t="s">
        <v>2958</v>
      </c>
      <c r="B30" s="422">
        <v>45002.0</v>
      </c>
      <c r="C30" s="124" t="s">
        <v>28</v>
      </c>
      <c r="D30" s="425"/>
      <c r="E30" s="422">
        <v>45015.0</v>
      </c>
      <c r="F30" s="425" t="b">
        <v>0</v>
      </c>
      <c r="G30" s="425" t="b">
        <v>0</v>
      </c>
      <c r="H30" s="425" t="b">
        <v>0</v>
      </c>
      <c r="I30" s="425" t="b">
        <v>0</v>
      </c>
      <c r="J30" s="425"/>
      <c r="K30" s="203" t="s">
        <v>2865</v>
      </c>
      <c r="M30" s="3"/>
      <c r="N30" s="3"/>
      <c r="O30" s="3"/>
      <c r="P30" s="3"/>
      <c r="Q30" s="3"/>
      <c r="R30" s="3"/>
      <c r="S30" s="3"/>
      <c r="T30" s="3"/>
      <c r="U30" s="3"/>
      <c r="V30" s="3"/>
      <c r="W30" s="3"/>
      <c r="X30" s="3"/>
      <c r="Y30" s="3"/>
      <c r="Z30" s="3"/>
    </row>
    <row r="31">
      <c r="A31" s="203" t="s">
        <v>2961</v>
      </c>
      <c r="B31" s="214">
        <v>45006.0</v>
      </c>
      <c r="C31" s="203" t="s">
        <v>2943</v>
      </c>
      <c r="D31" s="262"/>
      <c r="E31" s="214">
        <v>45037.0</v>
      </c>
      <c r="F31" s="203" t="b">
        <v>1</v>
      </c>
      <c r="G31" s="203" t="b">
        <v>1</v>
      </c>
      <c r="H31" s="203" t="b">
        <v>1</v>
      </c>
      <c r="I31" s="203" t="b">
        <v>0</v>
      </c>
      <c r="J31" s="203" t="s">
        <v>1065</v>
      </c>
      <c r="K31" s="203" t="s">
        <v>2862</v>
      </c>
      <c r="M31" s="3"/>
      <c r="N31" s="3"/>
      <c r="O31" s="3"/>
      <c r="P31" s="3"/>
      <c r="Q31" s="3"/>
      <c r="R31" s="3"/>
      <c r="S31" s="3"/>
      <c r="T31" s="3"/>
      <c r="U31" s="3"/>
      <c r="V31" s="3"/>
      <c r="W31" s="3"/>
      <c r="X31" s="3"/>
      <c r="Y31" s="3"/>
      <c r="Z31" s="3"/>
    </row>
    <row r="32">
      <c r="A32" s="124" t="s">
        <v>2964</v>
      </c>
      <c r="B32" s="422">
        <v>45006.0</v>
      </c>
      <c r="C32" s="124" t="s">
        <v>2943</v>
      </c>
      <c r="D32" s="425"/>
      <c r="E32" s="422">
        <v>45008.0</v>
      </c>
      <c r="F32" s="425" t="b">
        <v>0</v>
      </c>
      <c r="G32" s="425" t="b">
        <v>0</v>
      </c>
      <c r="H32" s="425" t="b">
        <v>0</v>
      </c>
      <c r="I32" s="425" t="b">
        <v>0</v>
      </c>
      <c r="J32" s="425"/>
      <c r="K32" s="203" t="s">
        <v>2862</v>
      </c>
      <c r="M32" s="3"/>
      <c r="N32" s="3"/>
      <c r="O32" s="3"/>
      <c r="P32" s="3"/>
      <c r="Q32" s="3"/>
      <c r="R32" s="3"/>
      <c r="S32" s="3"/>
      <c r="T32" s="3"/>
      <c r="U32" s="3"/>
      <c r="V32" s="3"/>
      <c r="W32" s="3"/>
      <c r="X32" s="3"/>
      <c r="Y32" s="3"/>
      <c r="Z32" s="3"/>
    </row>
    <row r="33">
      <c r="A33" s="203" t="s">
        <v>2969</v>
      </c>
      <c r="B33" s="214">
        <v>45006.0</v>
      </c>
      <c r="C33" s="203" t="s">
        <v>28</v>
      </c>
      <c r="D33" s="203" t="s">
        <v>2858</v>
      </c>
      <c r="E33" s="214">
        <v>45014.0</v>
      </c>
      <c r="F33" s="203" t="b">
        <v>1</v>
      </c>
      <c r="G33" s="203" t="b">
        <v>1</v>
      </c>
      <c r="H33" s="124" t="b">
        <v>0</v>
      </c>
      <c r="I33" s="124" t="b">
        <v>0</v>
      </c>
      <c r="J33" s="203" t="s">
        <v>1065</v>
      </c>
      <c r="K33" s="203" t="s">
        <v>2889</v>
      </c>
      <c r="M33" s="3"/>
      <c r="N33" s="3"/>
      <c r="O33" s="3"/>
      <c r="P33" s="3"/>
      <c r="Q33" s="3"/>
      <c r="R33" s="3"/>
      <c r="S33" s="3"/>
      <c r="T33" s="3"/>
      <c r="U33" s="3"/>
      <c r="V33" s="3"/>
      <c r="W33" s="3"/>
      <c r="X33" s="3"/>
      <c r="Y33" s="3"/>
      <c r="Z33" s="3"/>
    </row>
    <row r="34">
      <c r="A34" s="203" t="s">
        <v>2972</v>
      </c>
      <c r="B34" s="214">
        <v>45006.0</v>
      </c>
      <c r="C34" s="203" t="s">
        <v>2954</v>
      </c>
      <c r="D34" s="203" t="s">
        <v>2858</v>
      </c>
      <c r="E34" s="214">
        <v>45019.0</v>
      </c>
      <c r="F34" s="203" t="b">
        <v>1</v>
      </c>
      <c r="G34" s="203" t="b">
        <v>1</v>
      </c>
      <c r="H34" s="124" t="b">
        <v>0</v>
      </c>
      <c r="I34" s="124" t="b">
        <v>0</v>
      </c>
      <c r="J34" s="203" t="s">
        <v>1065</v>
      </c>
      <c r="K34" s="262"/>
      <c r="M34" s="3"/>
      <c r="N34" s="3"/>
      <c r="O34" s="3"/>
      <c r="P34" s="3"/>
      <c r="Q34" s="3"/>
      <c r="R34" s="3"/>
      <c r="S34" s="3"/>
      <c r="T34" s="3"/>
      <c r="U34" s="3"/>
      <c r="V34" s="3"/>
      <c r="W34" s="3"/>
      <c r="X34" s="3"/>
      <c r="Y34" s="3"/>
      <c r="Z34" s="3"/>
    </row>
    <row r="35">
      <c r="A35" s="124" t="s">
        <v>2974</v>
      </c>
      <c r="B35" s="422">
        <v>45006.0</v>
      </c>
      <c r="C35" s="124" t="s">
        <v>28</v>
      </c>
      <c r="D35" s="124" t="s">
        <v>2858</v>
      </c>
      <c r="E35" s="422">
        <v>45012.0</v>
      </c>
      <c r="F35" s="124" t="b">
        <v>1</v>
      </c>
      <c r="G35" s="124" t="b">
        <v>1</v>
      </c>
      <c r="H35" s="124" t="b">
        <v>0</v>
      </c>
      <c r="I35" s="124" t="b">
        <v>0</v>
      </c>
      <c r="J35" s="124" t="s">
        <v>1065</v>
      </c>
      <c r="K35" s="203" t="s">
        <v>2862</v>
      </c>
      <c r="M35" s="3"/>
      <c r="N35" s="3"/>
      <c r="O35" s="3"/>
      <c r="P35" s="3"/>
      <c r="Q35" s="3"/>
      <c r="R35" s="3"/>
      <c r="S35" s="3"/>
      <c r="T35" s="3"/>
      <c r="U35" s="3"/>
      <c r="V35" s="3"/>
      <c r="W35" s="3"/>
      <c r="X35" s="3"/>
      <c r="Y35" s="3"/>
      <c r="Z35" s="3"/>
    </row>
    <row r="36">
      <c r="A36" s="203" t="s">
        <v>2977</v>
      </c>
      <c r="B36" s="214">
        <v>45007.0</v>
      </c>
      <c r="C36" s="203" t="s">
        <v>40</v>
      </c>
      <c r="D36" s="203" t="s">
        <v>2858</v>
      </c>
      <c r="E36" s="214">
        <v>45015.0</v>
      </c>
      <c r="F36" s="203" t="b">
        <v>1</v>
      </c>
      <c r="G36" s="203" t="b">
        <v>1</v>
      </c>
      <c r="H36" s="124" t="b">
        <v>0</v>
      </c>
      <c r="I36" s="124" t="b">
        <v>0</v>
      </c>
      <c r="J36" s="203" t="s">
        <v>1065</v>
      </c>
      <c r="K36" s="203" t="s">
        <v>2862</v>
      </c>
      <c r="M36" s="3"/>
      <c r="N36" s="3"/>
      <c r="O36" s="3"/>
      <c r="P36" s="3"/>
      <c r="Q36" s="3"/>
      <c r="R36" s="3"/>
      <c r="S36" s="3"/>
      <c r="T36" s="3"/>
      <c r="U36" s="3"/>
      <c r="V36" s="3"/>
      <c r="W36" s="3"/>
      <c r="X36" s="3"/>
      <c r="Y36" s="3"/>
      <c r="Z36" s="3"/>
    </row>
    <row r="37">
      <c r="A37" s="124" t="s">
        <v>2980</v>
      </c>
      <c r="B37" s="422">
        <v>45009.0</v>
      </c>
      <c r="C37" s="124" t="s">
        <v>2943</v>
      </c>
      <c r="D37" s="425"/>
      <c r="E37" s="422">
        <v>45023.0</v>
      </c>
      <c r="F37" s="425" t="b">
        <v>0</v>
      </c>
      <c r="G37" s="425" t="b">
        <v>0</v>
      </c>
      <c r="H37" s="124" t="b">
        <v>0</v>
      </c>
      <c r="I37" s="124" t="b">
        <v>0</v>
      </c>
      <c r="J37" s="425"/>
      <c r="K37" s="424" t="s">
        <v>2981</v>
      </c>
      <c r="M37" s="3"/>
      <c r="N37" s="3"/>
      <c r="O37" s="3"/>
      <c r="P37" s="3"/>
      <c r="Q37" s="3"/>
      <c r="R37" s="3"/>
      <c r="S37" s="3"/>
      <c r="T37" s="3"/>
      <c r="U37" s="3"/>
      <c r="V37" s="3"/>
      <c r="W37" s="3"/>
      <c r="X37" s="3"/>
      <c r="Y37" s="3"/>
      <c r="Z37" s="3"/>
    </row>
    <row r="38">
      <c r="A38" s="203" t="s">
        <v>2982</v>
      </c>
      <c r="B38" s="214">
        <v>45021.0</v>
      </c>
      <c r="C38" s="203" t="s">
        <v>28</v>
      </c>
      <c r="D38" s="203" t="s">
        <v>1065</v>
      </c>
      <c r="E38" s="214">
        <v>45156.0</v>
      </c>
      <c r="F38" s="203" t="b">
        <v>1</v>
      </c>
      <c r="G38" s="203" t="b">
        <v>1</v>
      </c>
      <c r="H38" s="203" t="b">
        <v>1</v>
      </c>
      <c r="I38" s="203" t="b">
        <v>0</v>
      </c>
      <c r="J38" s="203" t="s">
        <v>1065</v>
      </c>
      <c r="K38" s="203" t="s">
        <v>2862</v>
      </c>
      <c r="M38" s="3"/>
      <c r="N38" s="3"/>
      <c r="O38" s="3"/>
      <c r="P38" s="3"/>
      <c r="Q38" s="3"/>
      <c r="R38" s="3"/>
      <c r="S38" s="3"/>
      <c r="T38" s="3"/>
      <c r="U38" s="3"/>
      <c r="V38" s="3"/>
      <c r="W38" s="3"/>
      <c r="X38" s="3"/>
      <c r="Y38" s="3"/>
      <c r="Z38" s="3"/>
    </row>
    <row r="39">
      <c r="A39" s="124" t="s">
        <v>2986</v>
      </c>
      <c r="B39" s="422">
        <v>45026.0</v>
      </c>
      <c r="C39" s="124" t="s">
        <v>28</v>
      </c>
      <c r="D39" s="124" t="s">
        <v>2858</v>
      </c>
      <c r="E39" s="422">
        <v>45035.0</v>
      </c>
      <c r="F39" s="124" t="b">
        <v>1</v>
      </c>
      <c r="G39" s="124" t="b">
        <v>1</v>
      </c>
      <c r="H39" s="124" t="b">
        <v>1</v>
      </c>
      <c r="I39" s="124" t="b">
        <v>0</v>
      </c>
      <c r="J39" s="124" t="s">
        <v>1065</v>
      </c>
      <c r="K39" s="203" t="s">
        <v>2862</v>
      </c>
      <c r="M39" s="3"/>
      <c r="N39" s="3"/>
      <c r="O39" s="3"/>
      <c r="P39" s="3"/>
      <c r="Q39" s="3"/>
      <c r="R39" s="3"/>
      <c r="S39" s="3"/>
      <c r="T39" s="3"/>
      <c r="U39" s="3"/>
      <c r="V39" s="3"/>
      <c r="W39" s="3"/>
      <c r="X39" s="3"/>
      <c r="Y39" s="3"/>
      <c r="Z39" s="3"/>
    </row>
    <row r="40">
      <c r="A40" s="124" t="s">
        <v>2988</v>
      </c>
      <c r="B40" s="422">
        <v>45028.0</v>
      </c>
      <c r="C40" s="124" t="s">
        <v>28</v>
      </c>
      <c r="D40" s="425"/>
      <c r="E40" s="422">
        <v>45033.0</v>
      </c>
      <c r="F40" s="425" t="b">
        <v>0</v>
      </c>
      <c r="G40" s="425" t="b">
        <v>0</v>
      </c>
      <c r="H40" s="425" t="b">
        <v>0</v>
      </c>
      <c r="I40" s="425" t="b">
        <v>0</v>
      </c>
      <c r="J40" s="425"/>
      <c r="K40" s="124" t="s">
        <v>2990</v>
      </c>
      <c r="M40" s="3"/>
      <c r="N40" s="3"/>
      <c r="O40" s="3"/>
      <c r="P40" s="3"/>
      <c r="Q40" s="3"/>
      <c r="R40" s="3"/>
      <c r="S40" s="3"/>
      <c r="T40" s="3"/>
      <c r="U40" s="3"/>
      <c r="V40" s="3"/>
      <c r="W40" s="3"/>
      <c r="X40" s="3"/>
      <c r="Y40" s="3"/>
      <c r="Z40" s="3"/>
    </row>
    <row r="41">
      <c r="A41" s="124" t="s">
        <v>2992</v>
      </c>
      <c r="B41" s="422">
        <v>45029.0</v>
      </c>
      <c r="C41" s="124" t="s">
        <v>40</v>
      </c>
      <c r="D41" s="425"/>
      <c r="E41" s="422">
        <v>45036.0</v>
      </c>
      <c r="F41" s="425" t="b">
        <v>0</v>
      </c>
      <c r="G41" s="425" t="b">
        <v>0</v>
      </c>
      <c r="H41" s="425" t="b">
        <v>0</v>
      </c>
      <c r="I41" s="425" t="b">
        <v>0</v>
      </c>
      <c r="J41" s="425"/>
      <c r="K41" s="124" t="s">
        <v>2998</v>
      </c>
      <c r="M41" s="3"/>
      <c r="N41" s="3"/>
      <c r="O41" s="3"/>
      <c r="P41" s="3"/>
      <c r="Q41" s="3"/>
      <c r="R41" s="3"/>
      <c r="S41" s="3"/>
      <c r="T41" s="3"/>
      <c r="U41" s="3"/>
      <c r="V41" s="3"/>
      <c r="W41" s="3"/>
      <c r="X41" s="3"/>
      <c r="Y41" s="3"/>
      <c r="Z41" s="3"/>
    </row>
    <row r="42">
      <c r="A42" s="124" t="s">
        <v>3000</v>
      </c>
      <c r="B42" s="422">
        <v>45033.0</v>
      </c>
      <c r="C42" s="124" t="s">
        <v>28</v>
      </c>
      <c r="D42" s="124" t="s">
        <v>2858</v>
      </c>
      <c r="E42" s="422">
        <v>45042.0</v>
      </c>
      <c r="F42" s="124" t="b">
        <v>1</v>
      </c>
      <c r="G42" s="124" t="b">
        <v>1</v>
      </c>
      <c r="H42" s="124" t="b">
        <v>1</v>
      </c>
      <c r="I42" s="124" t="b">
        <v>0</v>
      </c>
      <c r="J42" s="124" t="s">
        <v>1065</v>
      </c>
      <c r="K42" s="124" t="s">
        <v>3001</v>
      </c>
      <c r="M42" s="3"/>
      <c r="N42" s="3"/>
      <c r="O42" s="3"/>
      <c r="P42" s="3"/>
      <c r="Q42" s="3"/>
      <c r="R42" s="3"/>
      <c r="S42" s="3"/>
      <c r="T42" s="3"/>
      <c r="U42" s="3"/>
      <c r="V42" s="3"/>
      <c r="W42" s="3"/>
      <c r="X42" s="3"/>
      <c r="Y42" s="3"/>
      <c r="Z42" s="3"/>
    </row>
    <row r="43">
      <c r="A43" s="203" t="s">
        <v>3002</v>
      </c>
      <c r="B43" s="202">
        <v>45034.0</v>
      </c>
      <c r="C43" s="203" t="s">
        <v>2954</v>
      </c>
      <c r="D43" s="203" t="s">
        <v>2858</v>
      </c>
      <c r="E43" s="202">
        <v>45048.0</v>
      </c>
      <c r="F43" s="203" t="b">
        <v>1</v>
      </c>
      <c r="G43" s="203" t="b">
        <v>1</v>
      </c>
      <c r="H43" s="203" t="b">
        <v>1</v>
      </c>
      <c r="I43" s="203" t="b">
        <v>0</v>
      </c>
      <c r="J43" s="124" t="s">
        <v>1232</v>
      </c>
      <c r="K43" s="262"/>
      <c r="M43" s="3"/>
      <c r="N43" s="3"/>
      <c r="O43" s="3"/>
      <c r="P43" s="3"/>
      <c r="Q43" s="3"/>
      <c r="R43" s="3"/>
      <c r="S43" s="3"/>
      <c r="T43" s="3"/>
      <c r="U43" s="3"/>
      <c r="V43" s="3"/>
      <c r="W43" s="3"/>
      <c r="X43" s="3"/>
      <c r="Y43" s="3"/>
      <c r="Z43" s="3"/>
    </row>
    <row r="44">
      <c r="A44" s="203" t="s">
        <v>3008</v>
      </c>
      <c r="B44" s="202">
        <v>45034.0</v>
      </c>
      <c r="C44" s="203" t="s">
        <v>28</v>
      </c>
      <c r="D44" s="262"/>
      <c r="E44" s="214">
        <v>45056.0</v>
      </c>
      <c r="F44" s="203" t="b">
        <v>1</v>
      </c>
      <c r="G44" s="203" t="b">
        <v>1</v>
      </c>
      <c r="H44" s="203" t="b">
        <v>1</v>
      </c>
      <c r="I44" s="203" t="b">
        <v>0</v>
      </c>
      <c r="J44" s="203" t="s">
        <v>1065</v>
      </c>
      <c r="K44" s="203" t="s">
        <v>2889</v>
      </c>
      <c r="M44" s="3"/>
      <c r="N44" s="262"/>
      <c r="O44" s="425"/>
      <c r="P44" s="425"/>
      <c r="Q44" s="425"/>
      <c r="R44" s="425"/>
      <c r="S44" s="425"/>
      <c r="T44" s="425"/>
      <c r="U44" s="425"/>
      <c r="V44" s="425"/>
      <c r="W44" s="425"/>
      <c r="X44" s="425"/>
      <c r="Y44" s="425"/>
      <c r="Z44" s="425"/>
    </row>
    <row r="45">
      <c r="A45" s="124" t="s">
        <v>3011</v>
      </c>
      <c r="B45" s="422">
        <v>45042.0</v>
      </c>
      <c r="C45" s="124" t="s">
        <v>40</v>
      </c>
      <c r="D45" s="425"/>
      <c r="E45" s="422">
        <v>45051.0</v>
      </c>
      <c r="F45" s="425" t="b">
        <v>0</v>
      </c>
      <c r="G45" s="425" t="b">
        <v>0</v>
      </c>
      <c r="H45" s="425" t="b">
        <v>0</v>
      </c>
      <c r="I45" s="425" t="b">
        <v>0</v>
      </c>
      <c r="J45" s="425"/>
      <c r="K45" s="203" t="s">
        <v>2862</v>
      </c>
      <c r="M45" s="3"/>
      <c r="N45" s="3"/>
      <c r="O45" s="262"/>
      <c r="P45" s="262"/>
      <c r="Q45" s="262"/>
      <c r="R45" s="262"/>
      <c r="S45" s="262"/>
      <c r="T45" s="262"/>
      <c r="U45" s="262"/>
      <c r="V45" s="262"/>
      <c r="W45" s="262"/>
      <c r="X45" s="262"/>
      <c r="Y45" s="262"/>
      <c r="Z45" s="262"/>
    </row>
    <row r="46">
      <c r="A46" s="203" t="s">
        <v>3013</v>
      </c>
      <c r="B46" s="202">
        <v>45044.0</v>
      </c>
      <c r="C46" s="203" t="s">
        <v>3014</v>
      </c>
      <c r="D46" s="203" t="s">
        <v>1065</v>
      </c>
      <c r="E46" s="202">
        <v>45117.0</v>
      </c>
      <c r="F46" s="203" t="b">
        <v>1</v>
      </c>
      <c r="G46" s="203" t="b">
        <v>1</v>
      </c>
      <c r="H46" s="203" t="b">
        <v>1</v>
      </c>
      <c r="I46" s="203" t="b">
        <v>0</v>
      </c>
      <c r="J46" s="203" t="s">
        <v>1065</v>
      </c>
      <c r="K46" s="203" t="s">
        <v>2889</v>
      </c>
      <c r="M46" s="3"/>
      <c r="N46" s="3"/>
      <c r="O46" s="3"/>
      <c r="P46" s="3"/>
      <c r="Q46" s="3"/>
      <c r="R46" s="3"/>
      <c r="S46" s="3"/>
      <c r="T46" s="3"/>
      <c r="U46" s="3"/>
      <c r="V46" s="3"/>
      <c r="W46" s="3"/>
      <c r="X46" s="3"/>
      <c r="Y46" s="3"/>
      <c r="Z46" s="3"/>
    </row>
    <row r="47">
      <c r="A47" s="203" t="s">
        <v>3017</v>
      </c>
      <c r="B47" s="214">
        <v>45044.0</v>
      </c>
      <c r="C47" s="203" t="s">
        <v>40</v>
      </c>
      <c r="D47" s="203" t="s">
        <v>2858</v>
      </c>
      <c r="E47" s="214">
        <v>45050.0</v>
      </c>
      <c r="F47" s="203" t="b">
        <v>1</v>
      </c>
      <c r="G47" s="203" t="b">
        <v>1</v>
      </c>
      <c r="H47" s="203" t="b">
        <v>1</v>
      </c>
      <c r="I47" s="203" t="b">
        <v>0</v>
      </c>
      <c r="J47" s="203" t="s">
        <v>1065</v>
      </c>
      <c r="K47" s="203" t="s">
        <v>2862</v>
      </c>
      <c r="M47" s="3"/>
      <c r="N47" s="3"/>
      <c r="O47" s="3"/>
      <c r="P47" s="3"/>
      <c r="Q47" s="3"/>
      <c r="R47" s="3"/>
      <c r="S47" s="3"/>
      <c r="T47" s="3"/>
      <c r="U47" s="3"/>
      <c r="V47" s="3"/>
      <c r="W47" s="3"/>
      <c r="X47" s="3"/>
      <c r="Y47" s="3"/>
      <c r="Z47" s="3"/>
    </row>
    <row r="48">
      <c r="A48" s="124" t="s">
        <v>3021</v>
      </c>
      <c r="B48" s="422">
        <v>45048.0</v>
      </c>
      <c r="C48" s="124" t="s">
        <v>40</v>
      </c>
      <c r="D48" s="425"/>
      <c r="E48" s="422">
        <v>45050.0</v>
      </c>
      <c r="F48" s="425" t="b">
        <v>0</v>
      </c>
      <c r="G48" s="425" t="b">
        <v>0</v>
      </c>
      <c r="H48" s="425" t="b">
        <v>0</v>
      </c>
      <c r="I48" s="425" t="b">
        <v>0</v>
      </c>
      <c r="J48" s="425"/>
      <c r="K48" s="124" t="s">
        <v>3022</v>
      </c>
      <c r="M48" s="3"/>
      <c r="N48" s="3"/>
      <c r="O48" s="3"/>
      <c r="P48" s="3"/>
      <c r="Q48" s="3"/>
      <c r="R48" s="3"/>
      <c r="S48" s="3"/>
      <c r="T48" s="3"/>
      <c r="U48" s="3"/>
      <c r="V48" s="3"/>
      <c r="W48" s="3"/>
      <c r="X48" s="3"/>
      <c r="Y48" s="3"/>
      <c r="Z48" s="3"/>
    </row>
    <row r="49">
      <c r="A49" s="203" t="s">
        <v>3024</v>
      </c>
      <c r="B49" s="214">
        <v>45055.0</v>
      </c>
      <c r="C49" s="203" t="s">
        <v>28</v>
      </c>
      <c r="D49" s="203" t="s">
        <v>2858</v>
      </c>
      <c r="E49" s="214">
        <v>45056.0</v>
      </c>
      <c r="F49" s="203" t="b">
        <v>1</v>
      </c>
      <c r="G49" s="203" t="b">
        <v>1</v>
      </c>
      <c r="H49" s="203" t="b">
        <v>1</v>
      </c>
      <c r="I49" s="203" t="b">
        <v>0</v>
      </c>
      <c r="J49" s="203" t="s">
        <v>1065</v>
      </c>
      <c r="K49" s="425"/>
      <c r="M49" s="3"/>
      <c r="N49" s="3"/>
      <c r="O49" s="3"/>
      <c r="P49" s="3"/>
      <c r="Q49" s="3"/>
      <c r="R49" s="3"/>
      <c r="S49" s="3"/>
      <c r="T49" s="3"/>
      <c r="U49" s="3"/>
      <c r="V49" s="3"/>
      <c r="W49" s="3"/>
      <c r="X49" s="3"/>
      <c r="Y49" s="3"/>
      <c r="Z49" s="3"/>
    </row>
    <row r="50">
      <c r="A50" s="124" t="s">
        <v>3027</v>
      </c>
      <c r="B50" s="422">
        <v>45062.0</v>
      </c>
      <c r="C50" s="124" t="s">
        <v>40</v>
      </c>
      <c r="D50" s="425"/>
      <c r="E50" s="422">
        <v>45064.0</v>
      </c>
      <c r="F50" s="425" t="b">
        <v>0</v>
      </c>
      <c r="G50" s="425" t="b">
        <v>0</v>
      </c>
      <c r="H50" s="425" t="b">
        <v>0</v>
      </c>
      <c r="I50" s="425" t="b">
        <v>0</v>
      </c>
      <c r="J50" s="425"/>
      <c r="K50" s="124" t="s">
        <v>3029</v>
      </c>
      <c r="M50" s="3"/>
      <c r="N50" s="3"/>
      <c r="O50" s="3"/>
      <c r="P50" s="3"/>
      <c r="Q50" s="3"/>
      <c r="R50" s="3"/>
      <c r="S50" s="3"/>
      <c r="T50" s="3"/>
      <c r="U50" s="3"/>
      <c r="V50" s="3"/>
      <c r="W50" s="3"/>
      <c r="X50" s="3"/>
      <c r="Y50" s="3"/>
      <c r="Z50" s="3"/>
    </row>
    <row r="51">
      <c r="A51" s="124" t="s">
        <v>3030</v>
      </c>
      <c r="B51" s="422">
        <v>45062.0</v>
      </c>
      <c r="C51" s="124" t="s">
        <v>40</v>
      </c>
      <c r="D51" s="425"/>
      <c r="E51" s="422">
        <v>45069.0</v>
      </c>
      <c r="F51" s="425" t="b">
        <v>0</v>
      </c>
      <c r="G51" s="425" t="b">
        <v>0</v>
      </c>
      <c r="H51" s="425" t="b">
        <v>0</v>
      </c>
      <c r="I51" s="425" t="b">
        <v>0</v>
      </c>
      <c r="J51" s="425"/>
      <c r="K51" s="203" t="s">
        <v>2862</v>
      </c>
      <c r="L51" s="253"/>
      <c r="M51" s="262"/>
      <c r="N51" s="425"/>
      <c r="O51" s="425"/>
      <c r="P51" s="425"/>
      <c r="Q51" s="425"/>
      <c r="R51" s="425"/>
      <c r="S51" s="425"/>
      <c r="T51" s="425"/>
      <c r="U51" s="425"/>
      <c r="V51" s="425"/>
      <c r="W51" s="425"/>
      <c r="X51" s="425"/>
      <c r="Y51" s="425"/>
      <c r="Z51" s="425"/>
    </row>
    <row r="52">
      <c r="A52" s="124" t="s">
        <v>3033</v>
      </c>
      <c r="B52" s="422">
        <v>45063.0</v>
      </c>
      <c r="C52" s="124" t="s">
        <v>40</v>
      </c>
      <c r="D52" s="124" t="s">
        <v>2858</v>
      </c>
      <c r="E52" s="422">
        <v>45076.0</v>
      </c>
      <c r="F52" s="124" t="b">
        <v>1</v>
      </c>
      <c r="G52" s="124" t="b">
        <v>1</v>
      </c>
      <c r="H52" s="124" t="b">
        <v>1</v>
      </c>
      <c r="I52" s="124" t="b">
        <v>0</v>
      </c>
      <c r="J52" s="582" t="s">
        <v>1232</v>
      </c>
      <c r="K52" s="203" t="s">
        <v>2862</v>
      </c>
      <c r="M52" s="3"/>
      <c r="N52" s="3"/>
      <c r="O52" s="3"/>
      <c r="P52" s="3"/>
      <c r="Q52" s="3"/>
      <c r="R52" s="3"/>
      <c r="S52" s="3"/>
      <c r="T52" s="3"/>
      <c r="U52" s="3"/>
      <c r="V52" s="3"/>
      <c r="W52" s="3"/>
      <c r="X52" s="3"/>
      <c r="Y52" s="3"/>
      <c r="Z52" s="3"/>
    </row>
    <row r="53">
      <c r="A53" s="203" t="s">
        <v>3038</v>
      </c>
      <c r="B53" s="244">
        <v>45063.0</v>
      </c>
      <c r="C53" s="203" t="s">
        <v>2954</v>
      </c>
      <c r="D53" s="203" t="s">
        <v>2858</v>
      </c>
      <c r="E53" s="202">
        <v>45079.0</v>
      </c>
      <c r="F53" s="203" t="b">
        <v>1</v>
      </c>
      <c r="G53" s="203" t="b">
        <v>1</v>
      </c>
      <c r="H53" s="203" t="b">
        <v>1</v>
      </c>
      <c r="I53" s="203" t="b">
        <v>0</v>
      </c>
      <c r="J53" s="203" t="s">
        <v>1065</v>
      </c>
      <c r="K53" s="203" t="s">
        <v>2862</v>
      </c>
      <c r="M53" s="3"/>
      <c r="N53" s="3"/>
      <c r="O53" s="262"/>
      <c r="P53" s="262"/>
      <c r="Q53" s="262"/>
      <c r="R53" s="262"/>
      <c r="S53" s="262"/>
      <c r="T53" s="262"/>
      <c r="U53" s="262"/>
      <c r="V53" s="262"/>
      <c r="W53" s="262"/>
      <c r="X53" s="262"/>
      <c r="Y53" s="262"/>
      <c r="Z53" s="262"/>
    </row>
    <row r="54">
      <c r="A54" s="203" t="s">
        <v>3042</v>
      </c>
      <c r="B54" s="202">
        <v>45063.0</v>
      </c>
      <c r="C54" s="203" t="s">
        <v>2954</v>
      </c>
      <c r="D54" s="203" t="s">
        <v>2858</v>
      </c>
      <c r="E54" s="202">
        <v>45079.0</v>
      </c>
      <c r="F54" s="203" t="b">
        <v>1</v>
      </c>
      <c r="G54" s="203" t="b">
        <v>1</v>
      </c>
      <c r="H54" s="203" t="b">
        <v>1</v>
      </c>
      <c r="I54" s="203" t="b">
        <v>0</v>
      </c>
      <c r="J54" s="203" t="s">
        <v>1065</v>
      </c>
      <c r="K54" s="203" t="s">
        <v>2889</v>
      </c>
      <c r="M54" s="3"/>
      <c r="N54" s="3"/>
      <c r="O54" s="3"/>
      <c r="P54" s="3"/>
      <c r="Q54" s="3"/>
      <c r="R54" s="3"/>
      <c r="S54" s="3"/>
      <c r="T54" s="3"/>
      <c r="U54" s="3"/>
      <c r="V54" s="3"/>
      <c r="W54" s="3"/>
      <c r="X54" s="3"/>
      <c r="Y54" s="3"/>
      <c r="Z54" s="3"/>
    </row>
    <row r="55">
      <c r="A55" s="203" t="s">
        <v>3044</v>
      </c>
      <c r="B55" s="202">
        <v>45064.0</v>
      </c>
      <c r="C55" s="203" t="s">
        <v>2943</v>
      </c>
      <c r="D55" s="203" t="s">
        <v>2858</v>
      </c>
      <c r="E55" s="202">
        <v>45069.0</v>
      </c>
      <c r="F55" s="203" t="b">
        <v>1</v>
      </c>
      <c r="G55" s="203" t="b">
        <v>1</v>
      </c>
      <c r="H55" s="203" t="b">
        <v>1</v>
      </c>
      <c r="I55" s="203" t="b">
        <v>0</v>
      </c>
      <c r="J55" s="203" t="s">
        <v>1065</v>
      </c>
      <c r="K55" s="203" t="s">
        <v>2862</v>
      </c>
      <c r="M55" s="3"/>
      <c r="N55" s="3"/>
      <c r="O55" s="3"/>
      <c r="P55" s="3"/>
      <c r="Q55" s="3"/>
      <c r="R55" s="3"/>
      <c r="S55" s="3"/>
      <c r="T55" s="3"/>
      <c r="U55" s="3"/>
      <c r="V55" s="3"/>
      <c r="W55" s="3"/>
      <c r="X55" s="3"/>
      <c r="Y55" s="3"/>
      <c r="Z55" s="3"/>
    </row>
    <row r="56">
      <c r="A56" s="203" t="s">
        <v>3048</v>
      </c>
      <c r="B56" s="202">
        <v>45070.0</v>
      </c>
      <c r="C56" s="203" t="s">
        <v>2943</v>
      </c>
      <c r="D56" s="203" t="s">
        <v>1065</v>
      </c>
      <c r="E56" s="202">
        <v>45079.0</v>
      </c>
      <c r="F56" s="203" t="b">
        <v>1</v>
      </c>
      <c r="G56" s="203" t="b">
        <v>1</v>
      </c>
      <c r="H56" s="203" t="b">
        <v>1</v>
      </c>
      <c r="I56" s="203" t="b">
        <v>0</v>
      </c>
      <c r="J56" s="203" t="s">
        <v>1065</v>
      </c>
      <c r="K56" s="124" t="s">
        <v>3051</v>
      </c>
      <c r="M56" s="3"/>
      <c r="N56" s="3"/>
      <c r="O56" s="3"/>
      <c r="P56" s="3"/>
      <c r="Q56" s="3"/>
      <c r="R56" s="3"/>
      <c r="S56" s="3"/>
      <c r="T56" s="3"/>
      <c r="U56" s="3"/>
      <c r="V56" s="3"/>
      <c r="W56" s="3"/>
      <c r="X56" s="3"/>
      <c r="Y56" s="3"/>
      <c r="Z56" s="3"/>
    </row>
    <row r="57">
      <c r="A57" s="124" t="s">
        <v>3053</v>
      </c>
      <c r="B57" s="422">
        <v>45077.0</v>
      </c>
      <c r="C57" s="124" t="s">
        <v>28</v>
      </c>
      <c r="D57" s="425"/>
      <c r="E57" s="451">
        <v>45260.0</v>
      </c>
      <c r="F57" s="425" t="b">
        <v>0</v>
      </c>
      <c r="G57" s="425" t="b">
        <v>0</v>
      </c>
      <c r="H57" s="425" t="b">
        <v>0</v>
      </c>
      <c r="I57" s="425" t="b">
        <v>0</v>
      </c>
      <c r="J57" s="425"/>
      <c r="K57" s="124" t="s">
        <v>3056</v>
      </c>
      <c r="M57" s="3"/>
      <c r="N57" s="3"/>
      <c r="O57" s="3"/>
      <c r="P57" s="3"/>
      <c r="Q57" s="3"/>
      <c r="R57" s="3"/>
      <c r="S57" s="3"/>
      <c r="T57" s="3"/>
      <c r="U57" s="3"/>
      <c r="V57" s="3"/>
      <c r="W57" s="3"/>
      <c r="X57" s="3"/>
      <c r="Y57" s="3"/>
      <c r="Z57" s="3"/>
    </row>
    <row r="58">
      <c r="A58" s="124" t="s">
        <v>3057</v>
      </c>
      <c r="B58" s="422">
        <v>45078.0</v>
      </c>
      <c r="C58" s="124" t="s">
        <v>40</v>
      </c>
      <c r="D58" s="124" t="s">
        <v>1065</v>
      </c>
      <c r="E58" s="422">
        <v>45084.0</v>
      </c>
      <c r="F58" s="124" t="b">
        <v>1</v>
      </c>
      <c r="G58" s="124" t="b">
        <v>1</v>
      </c>
      <c r="H58" s="124" t="b">
        <v>1</v>
      </c>
      <c r="I58" s="124" t="b">
        <v>0</v>
      </c>
      <c r="J58" s="124" t="s">
        <v>1065</v>
      </c>
      <c r="K58" s="203" t="s">
        <v>2865</v>
      </c>
      <c r="M58" s="3"/>
      <c r="N58" s="3"/>
      <c r="O58" s="3"/>
      <c r="P58" s="3"/>
      <c r="Q58" s="3"/>
      <c r="R58" s="3"/>
      <c r="S58" s="3"/>
      <c r="T58" s="3"/>
      <c r="U58" s="3"/>
      <c r="V58" s="3"/>
      <c r="W58" s="3"/>
      <c r="X58" s="3"/>
      <c r="Y58" s="3"/>
      <c r="Z58" s="3"/>
    </row>
    <row r="59">
      <c r="A59" s="124" t="s">
        <v>3061</v>
      </c>
      <c r="B59" s="422">
        <v>45078.0</v>
      </c>
      <c r="C59" s="124" t="s">
        <v>1370</v>
      </c>
      <c r="D59" s="124"/>
      <c r="E59" s="422">
        <v>45092.0</v>
      </c>
      <c r="F59" s="425" t="b">
        <v>0</v>
      </c>
      <c r="G59" s="425" t="b">
        <v>0</v>
      </c>
      <c r="H59" s="425" t="b">
        <v>0</v>
      </c>
      <c r="I59" s="425" t="b">
        <v>0</v>
      </c>
      <c r="J59" s="425"/>
      <c r="K59" s="124" t="s">
        <v>3063</v>
      </c>
      <c r="M59" s="3"/>
      <c r="N59" s="3"/>
      <c r="O59" s="3"/>
      <c r="P59" s="3"/>
      <c r="Q59" s="3"/>
      <c r="R59" s="3"/>
      <c r="S59" s="3"/>
      <c r="T59" s="3"/>
      <c r="U59" s="3"/>
      <c r="V59" s="3"/>
      <c r="W59" s="3"/>
      <c r="X59" s="3"/>
      <c r="Y59" s="3"/>
      <c r="Z59" s="3"/>
    </row>
    <row r="60">
      <c r="A60" s="124" t="s">
        <v>3065</v>
      </c>
      <c r="B60" s="422">
        <v>45082.0</v>
      </c>
      <c r="C60" s="124" t="s">
        <v>2954</v>
      </c>
      <c r="D60" s="425"/>
      <c r="E60" s="422">
        <v>45100.0</v>
      </c>
      <c r="F60" s="425" t="b">
        <v>0</v>
      </c>
      <c r="G60" s="425" t="b">
        <v>0</v>
      </c>
      <c r="H60" s="425" t="b">
        <v>0</v>
      </c>
      <c r="I60" s="425" t="b">
        <v>0</v>
      </c>
      <c r="J60" s="425"/>
      <c r="K60" s="424" t="s">
        <v>3066</v>
      </c>
      <c r="O60" s="3"/>
      <c r="P60" s="3"/>
      <c r="Q60" s="3"/>
      <c r="R60" s="3"/>
      <c r="S60" s="3"/>
      <c r="T60" s="3"/>
      <c r="U60" s="3"/>
      <c r="V60" s="3"/>
      <c r="W60" s="3"/>
      <c r="X60" s="3"/>
      <c r="Y60" s="3"/>
      <c r="Z60" s="3"/>
    </row>
    <row r="61">
      <c r="A61" s="203" t="s">
        <v>3067</v>
      </c>
      <c r="B61" s="214">
        <v>45090.0</v>
      </c>
      <c r="C61" s="203" t="s">
        <v>40</v>
      </c>
      <c r="D61" s="203" t="s">
        <v>1065</v>
      </c>
      <c r="E61" s="214">
        <v>45117.0</v>
      </c>
      <c r="F61" s="203" t="b">
        <v>1</v>
      </c>
      <c r="G61" s="203" t="b">
        <v>1</v>
      </c>
      <c r="H61" s="203" t="b">
        <v>1</v>
      </c>
      <c r="I61" s="203" t="b">
        <v>0</v>
      </c>
      <c r="J61" s="262"/>
      <c r="K61" s="203" t="s">
        <v>2862</v>
      </c>
      <c r="M61" s="3"/>
      <c r="N61" s="3"/>
      <c r="O61" s="3"/>
      <c r="P61" s="3"/>
      <c r="Q61" s="3"/>
      <c r="R61" s="3"/>
      <c r="S61" s="3"/>
      <c r="T61" s="3"/>
      <c r="U61" s="3"/>
      <c r="V61" s="3"/>
      <c r="W61" s="3"/>
      <c r="X61" s="3"/>
      <c r="Y61" s="3"/>
      <c r="Z61" s="3"/>
    </row>
    <row r="62">
      <c r="A62" s="203" t="s">
        <v>3069</v>
      </c>
      <c r="B62" s="214">
        <v>45092.0</v>
      </c>
      <c r="C62" s="203" t="s">
        <v>40</v>
      </c>
      <c r="D62" s="203" t="s">
        <v>1065</v>
      </c>
      <c r="E62" s="214">
        <v>45097.0</v>
      </c>
      <c r="F62" s="203" t="b">
        <v>1</v>
      </c>
      <c r="G62" s="203" t="b">
        <v>1</v>
      </c>
      <c r="H62" s="203" t="b">
        <v>1</v>
      </c>
      <c r="I62" s="203" t="b">
        <v>0</v>
      </c>
      <c r="J62" s="203" t="s">
        <v>1065</v>
      </c>
      <c r="K62" s="124" t="s">
        <v>3073</v>
      </c>
      <c r="M62" s="3"/>
      <c r="N62" s="3"/>
      <c r="O62" s="3"/>
      <c r="P62" s="3"/>
      <c r="Q62" s="3"/>
      <c r="R62" s="3"/>
      <c r="S62" s="3"/>
      <c r="T62" s="3"/>
      <c r="U62" s="3"/>
      <c r="V62" s="3"/>
      <c r="W62" s="3"/>
      <c r="X62" s="3"/>
      <c r="Y62" s="3"/>
      <c r="Z62" s="3"/>
    </row>
    <row r="63">
      <c r="A63" s="203" t="s">
        <v>3074</v>
      </c>
      <c r="B63" s="214">
        <v>45092.0</v>
      </c>
      <c r="C63" s="203" t="s">
        <v>40</v>
      </c>
      <c r="D63" s="203" t="s">
        <v>1065</v>
      </c>
      <c r="E63" s="214">
        <v>45103.0</v>
      </c>
      <c r="F63" s="203" t="b">
        <v>1</v>
      </c>
      <c r="G63" s="203" t="b">
        <v>1</v>
      </c>
      <c r="H63" s="203" t="b">
        <v>1</v>
      </c>
      <c r="I63" s="203" t="b">
        <v>0</v>
      </c>
      <c r="J63" s="203" t="s">
        <v>1065</v>
      </c>
      <c r="K63" s="203" t="s">
        <v>2862</v>
      </c>
      <c r="M63" s="3"/>
      <c r="N63" s="3"/>
      <c r="O63" s="3"/>
      <c r="P63" s="3"/>
      <c r="Q63" s="3"/>
      <c r="R63" s="3"/>
      <c r="S63" s="3"/>
      <c r="T63" s="3"/>
      <c r="U63" s="3"/>
      <c r="V63" s="3"/>
      <c r="W63" s="3"/>
      <c r="X63" s="3"/>
      <c r="Y63" s="3"/>
      <c r="Z63" s="3"/>
    </row>
    <row r="64">
      <c r="A64" s="203" t="s">
        <v>3080</v>
      </c>
      <c r="B64" s="214">
        <v>45092.0</v>
      </c>
      <c r="C64" s="203" t="s">
        <v>28</v>
      </c>
      <c r="D64" s="203" t="s">
        <v>1065</v>
      </c>
      <c r="E64" s="214">
        <v>45096.0</v>
      </c>
      <c r="F64" s="203" t="b">
        <v>1</v>
      </c>
      <c r="G64" s="203" t="b">
        <v>1</v>
      </c>
      <c r="H64" s="203" t="b">
        <v>1</v>
      </c>
      <c r="I64" s="203" t="b">
        <v>0</v>
      </c>
      <c r="J64" s="203" t="s">
        <v>1065</v>
      </c>
      <c r="K64" s="203" t="s">
        <v>2862</v>
      </c>
      <c r="M64" s="3"/>
      <c r="N64" s="3"/>
      <c r="O64" s="3"/>
      <c r="P64" s="3"/>
      <c r="Q64" s="3"/>
      <c r="R64" s="3"/>
      <c r="S64" s="3"/>
      <c r="T64" s="3"/>
      <c r="U64" s="3"/>
      <c r="V64" s="3"/>
      <c r="W64" s="3"/>
      <c r="X64" s="3"/>
      <c r="Y64" s="3"/>
      <c r="Z64" s="3"/>
    </row>
    <row r="65">
      <c r="A65" s="203" t="s">
        <v>3083</v>
      </c>
      <c r="B65" s="214">
        <v>45097.0</v>
      </c>
      <c r="C65" s="203" t="s">
        <v>28</v>
      </c>
      <c r="D65" s="203" t="s">
        <v>1065</v>
      </c>
      <c r="E65" s="214">
        <v>45097.0</v>
      </c>
      <c r="F65" s="203" t="b">
        <v>1</v>
      </c>
      <c r="G65" s="203" t="b">
        <v>1</v>
      </c>
      <c r="H65" s="203" t="b">
        <v>1</v>
      </c>
      <c r="I65" s="203" t="b">
        <v>0</v>
      </c>
      <c r="J65" s="203" t="s">
        <v>1065</v>
      </c>
      <c r="K65" s="124" t="s">
        <v>3086</v>
      </c>
      <c r="M65" s="3"/>
      <c r="N65" s="3"/>
      <c r="O65" s="3"/>
      <c r="P65" s="3"/>
      <c r="Q65" s="3"/>
      <c r="R65" s="3"/>
      <c r="S65" s="3"/>
      <c r="T65" s="3"/>
      <c r="U65" s="3"/>
      <c r="V65" s="3"/>
      <c r="W65" s="3"/>
      <c r="X65" s="3"/>
      <c r="Y65" s="3"/>
      <c r="Z65" s="3"/>
    </row>
    <row r="66">
      <c r="A66" s="203" t="s">
        <v>3087</v>
      </c>
      <c r="B66" s="214">
        <v>45103.0</v>
      </c>
      <c r="C66" s="203" t="s">
        <v>28</v>
      </c>
      <c r="D66" s="203" t="s">
        <v>1065</v>
      </c>
      <c r="E66" s="214">
        <v>45131.0</v>
      </c>
      <c r="F66" s="203" t="b">
        <v>1</v>
      </c>
      <c r="G66" s="203" t="b">
        <v>1</v>
      </c>
      <c r="H66" s="425" t="b">
        <v>0</v>
      </c>
      <c r="I66" s="425" t="b">
        <v>0</v>
      </c>
      <c r="J66" s="203" t="s">
        <v>1065</v>
      </c>
      <c r="K66" s="203" t="s">
        <v>2862</v>
      </c>
      <c r="M66" s="3"/>
      <c r="N66" s="3"/>
      <c r="O66" s="3"/>
      <c r="P66" s="3"/>
      <c r="Q66" s="3"/>
      <c r="R66" s="3"/>
      <c r="S66" s="3"/>
      <c r="T66" s="3"/>
      <c r="U66" s="3"/>
      <c r="V66" s="3"/>
      <c r="W66" s="3"/>
      <c r="X66" s="3"/>
      <c r="Y66" s="3"/>
      <c r="Z66" s="3"/>
    </row>
    <row r="67">
      <c r="A67" s="203" t="s">
        <v>3089</v>
      </c>
      <c r="B67" s="214">
        <v>45103.0</v>
      </c>
      <c r="C67" s="203" t="s">
        <v>28</v>
      </c>
      <c r="D67" s="203" t="s">
        <v>1065</v>
      </c>
      <c r="E67" s="214">
        <v>45106.0</v>
      </c>
      <c r="F67" s="203" t="b">
        <v>1</v>
      </c>
      <c r="G67" s="203" t="b">
        <v>1</v>
      </c>
      <c r="H67" s="203" t="b">
        <v>1</v>
      </c>
      <c r="I67" s="203" t="b">
        <v>0</v>
      </c>
      <c r="J67" s="203" t="s">
        <v>1065</v>
      </c>
      <c r="K67" s="203" t="s">
        <v>2862</v>
      </c>
      <c r="M67" s="3"/>
      <c r="N67" s="3"/>
      <c r="O67" s="3"/>
      <c r="P67" s="3"/>
      <c r="Q67" s="3"/>
      <c r="R67" s="3"/>
      <c r="S67" s="3"/>
      <c r="T67" s="3"/>
      <c r="U67" s="3"/>
      <c r="V67" s="3"/>
      <c r="W67" s="3"/>
      <c r="X67" s="3"/>
      <c r="Y67" s="3"/>
      <c r="Z67" s="3"/>
    </row>
    <row r="68">
      <c r="A68" s="203" t="s">
        <v>3090</v>
      </c>
      <c r="B68" s="214">
        <v>45104.0</v>
      </c>
      <c r="C68" s="203" t="s">
        <v>28</v>
      </c>
      <c r="D68" s="203" t="s">
        <v>1065</v>
      </c>
      <c r="E68" s="214">
        <v>45139.0</v>
      </c>
      <c r="F68" s="203" t="b">
        <v>1</v>
      </c>
      <c r="G68" s="203" t="b">
        <v>1</v>
      </c>
      <c r="H68" s="203" t="b">
        <v>1</v>
      </c>
      <c r="I68" s="203" t="b">
        <v>0</v>
      </c>
      <c r="J68" s="203" t="s">
        <v>1065</v>
      </c>
      <c r="K68" s="124" t="s">
        <v>3092</v>
      </c>
      <c r="M68" s="3"/>
      <c r="N68" s="3"/>
      <c r="O68" s="3"/>
      <c r="P68" s="3"/>
      <c r="Q68" s="3"/>
      <c r="R68" s="3"/>
      <c r="S68" s="3"/>
      <c r="T68" s="3"/>
      <c r="U68" s="3"/>
      <c r="V68" s="3"/>
      <c r="W68" s="3"/>
      <c r="X68" s="3"/>
      <c r="Y68" s="3"/>
      <c r="Z68" s="3"/>
    </row>
    <row r="69">
      <c r="A69" s="203" t="s">
        <v>3094</v>
      </c>
      <c r="B69" s="214">
        <v>45104.0</v>
      </c>
      <c r="C69" s="203" t="s">
        <v>40</v>
      </c>
      <c r="D69" s="203" t="s">
        <v>1065</v>
      </c>
      <c r="E69" s="214">
        <v>45118.0</v>
      </c>
      <c r="F69" s="203" t="b">
        <v>1</v>
      </c>
      <c r="G69" s="203" t="b">
        <v>1</v>
      </c>
      <c r="H69" s="203" t="b">
        <v>1</v>
      </c>
      <c r="I69" s="203" t="b">
        <v>0</v>
      </c>
      <c r="J69" s="203" t="s">
        <v>1065</v>
      </c>
      <c r="K69" s="124" t="s">
        <v>3095</v>
      </c>
      <c r="M69" s="3"/>
      <c r="N69" s="3"/>
      <c r="O69" s="3"/>
      <c r="P69" s="3"/>
      <c r="Q69" s="3"/>
      <c r="R69" s="3"/>
      <c r="S69" s="3"/>
      <c r="T69" s="3"/>
      <c r="U69" s="3"/>
      <c r="V69" s="3"/>
      <c r="W69" s="3"/>
      <c r="X69" s="3"/>
      <c r="Y69" s="3"/>
      <c r="Z69" s="3"/>
    </row>
    <row r="70">
      <c r="A70" s="124" t="s">
        <v>3097</v>
      </c>
      <c r="B70" s="422">
        <v>45104.0</v>
      </c>
      <c r="C70" s="124" t="s">
        <v>1370</v>
      </c>
      <c r="D70" s="425"/>
      <c r="E70" s="422">
        <v>45121.0</v>
      </c>
      <c r="F70" s="425" t="b">
        <v>0</v>
      </c>
      <c r="G70" s="425" t="b">
        <v>0</v>
      </c>
      <c r="H70" s="124" t="b">
        <v>0</v>
      </c>
      <c r="I70" s="124" t="b">
        <v>0</v>
      </c>
      <c r="J70" s="425"/>
      <c r="K70" s="262"/>
      <c r="M70" s="3"/>
      <c r="N70" s="3"/>
      <c r="O70" s="3"/>
      <c r="P70" s="3"/>
      <c r="Q70" s="3"/>
      <c r="R70" s="3"/>
      <c r="S70" s="3"/>
      <c r="T70" s="3"/>
      <c r="U70" s="3"/>
      <c r="V70" s="3"/>
      <c r="W70" s="3"/>
      <c r="X70" s="3"/>
      <c r="Y70" s="3"/>
      <c r="Z70" s="3"/>
    </row>
    <row r="71">
      <c r="A71" s="203" t="s">
        <v>3100</v>
      </c>
      <c r="B71" s="214">
        <v>45112.0</v>
      </c>
      <c r="C71" s="203" t="s">
        <v>28</v>
      </c>
      <c r="D71" s="203" t="s">
        <v>1065</v>
      </c>
      <c r="E71" s="214">
        <v>45121.0</v>
      </c>
      <c r="F71" s="203" t="b">
        <v>1</v>
      </c>
      <c r="G71" s="203" t="b">
        <v>1</v>
      </c>
      <c r="H71" s="203" t="b">
        <v>1</v>
      </c>
      <c r="I71" s="203" t="b">
        <v>0</v>
      </c>
      <c r="J71" s="203" t="s">
        <v>1065</v>
      </c>
      <c r="K71" s="262"/>
      <c r="M71" s="3"/>
      <c r="N71" s="3"/>
      <c r="O71" s="3"/>
      <c r="P71" s="3"/>
      <c r="Q71" s="3"/>
      <c r="R71" s="3"/>
      <c r="S71" s="3"/>
      <c r="T71" s="3"/>
      <c r="U71" s="3"/>
      <c r="V71" s="3"/>
      <c r="W71" s="3"/>
      <c r="X71" s="3"/>
      <c r="Y71" s="3"/>
      <c r="Z71" s="3"/>
    </row>
    <row r="72">
      <c r="A72" s="124" t="s">
        <v>3102</v>
      </c>
      <c r="B72" s="422">
        <v>45120.0</v>
      </c>
      <c r="C72" s="124" t="s">
        <v>40</v>
      </c>
      <c r="D72" s="425"/>
      <c r="E72" s="422">
        <v>45148.0</v>
      </c>
      <c r="F72" s="425" t="b">
        <v>0</v>
      </c>
      <c r="G72" s="425" t="b">
        <v>0</v>
      </c>
      <c r="H72" s="425" t="b">
        <v>0</v>
      </c>
      <c r="I72" s="425" t="b">
        <v>0</v>
      </c>
      <c r="J72" s="425"/>
      <c r="K72" s="124" t="s">
        <v>3104</v>
      </c>
      <c r="M72" s="3"/>
      <c r="N72" s="3"/>
      <c r="O72" s="3"/>
      <c r="P72" s="3"/>
      <c r="Q72" s="3"/>
      <c r="R72" s="3"/>
      <c r="S72" s="3"/>
      <c r="T72" s="3"/>
      <c r="U72" s="3"/>
      <c r="V72" s="3"/>
      <c r="W72" s="3"/>
      <c r="X72" s="3"/>
      <c r="Y72" s="3"/>
      <c r="Z72" s="3"/>
    </row>
    <row r="73">
      <c r="A73" s="124" t="s">
        <v>3106</v>
      </c>
      <c r="B73" s="422">
        <v>45120.0</v>
      </c>
      <c r="C73" s="124" t="s">
        <v>1370</v>
      </c>
      <c r="D73" s="425"/>
      <c r="E73" s="422">
        <v>45148.0</v>
      </c>
      <c r="F73" s="425" t="b">
        <v>0</v>
      </c>
      <c r="G73" s="425" t="b">
        <v>0</v>
      </c>
      <c r="H73" s="425" t="b">
        <v>0</v>
      </c>
      <c r="I73" s="425" t="b">
        <v>0</v>
      </c>
      <c r="J73" s="425"/>
      <c r="K73" s="124" t="s">
        <v>1728</v>
      </c>
      <c r="M73" s="3"/>
      <c r="N73" s="3"/>
      <c r="O73" s="3"/>
      <c r="P73" s="3"/>
      <c r="Q73" s="3"/>
      <c r="R73" s="3"/>
      <c r="S73" s="3"/>
      <c r="T73" s="3"/>
      <c r="U73" s="3"/>
      <c r="V73" s="3"/>
      <c r="W73" s="3"/>
      <c r="X73" s="3"/>
      <c r="Y73" s="3"/>
      <c r="Z73" s="3"/>
    </row>
    <row r="74">
      <c r="A74" s="203" t="s">
        <v>3107</v>
      </c>
      <c r="B74" s="214">
        <v>45126.0</v>
      </c>
      <c r="C74" s="203" t="s">
        <v>28</v>
      </c>
      <c r="D74" s="203" t="s">
        <v>1065</v>
      </c>
      <c r="E74" s="214">
        <v>45140.0</v>
      </c>
      <c r="F74" s="203" t="b">
        <v>1</v>
      </c>
      <c r="G74" s="203" t="b">
        <v>1</v>
      </c>
      <c r="H74" s="203" t="b">
        <v>1</v>
      </c>
      <c r="I74" s="203" t="b">
        <v>0</v>
      </c>
      <c r="J74" s="203" t="s">
        <v>1065</v>
      </c>
      <c r="K74" s="203" t="s">
        <v>2865</v>
      </c>
      <c r="M74" s="3"/>
      <c r="N74" s="3"/>
      <c r="O74" s="3"/>
      <c r="P74" s="3"/>
      <c r="Q74" s="3"/>
      <c r="R74" s="3"/>
      <c r="S74" s="3"/>
      <c r="T74" s="3"/>
      <c r="U74" s="3"/>
      <c r="V74" s="3"/>
      <c r="W74" s="3"/>
      <c r="X74" s="3"/>
      <c r="Y74" s="3"/>
      <c r="Z74" s="3"/>
    </row>
    <row r="75">
      <c r="A75" s="203" t="s">
        <v>3109</v>
      </c>
      <c r="B75" s="214">
        <v>45127.0</v>
      </c>
      <c r="C75" s="203" t="s">
        <v>2943</v>
      </c>
      <c r="D75" s="203" t="s">
        <v>1065</v>
      </c>
      <c r="E75" s="214">
        <v>45141.0</v>
      </c>
      <c r="F75" s="203" t="b">
        <v>1</v>
      </c>
      <c r="G75" s="203" t="b">
        <v>1</v>
      </c>
      <c r="H75" s="203" t="b">
        <v>1</v>
      </c>
      <c r="I75" s="203" t="b">
        <v>0</v>
      </c>
      <c r="J75" s="262"/>
      <c r="K75" s="203" t="s">
        <v>3110</v>
      </c>
      <c r="M75" s="3"/>
      <c r="N75" s="3"/>
      <c r="O75" s="3"/>
      <c r="P75" s="3"/>
      <c r="Q75" s="3"/>
      <c r="R75" s="3"/>
      <c r="S75" s="3"/>
      <c r="T75" s="3"/>
      <c r="U75" s="3"/>
      <c r="V75" s="3"/>
      <c r="W75" s="3"/>
      <c r="X75" s="3"/>
      <c r="Y75" s="3"/>
      <c r="Z75" s="3"/>
    </row>
    <row r="76">
      <c r="A76" s="124" t="s">
        <v>3111</v>
      </c>
      <c r="B76" s="422">
        <v>45132.0</v>
      </c>
      <c r="C76" s="124" t="s">
        <v>40</v>
      </c>
      <c r="D76" s="425"/>
      <c r="E76" s="422">
        <v>45142.0</v>
      </c>
      <c r="F76" s="425" t="b">
        <v>0</v>
      </c>
      <c r="G76" s="425" t="b">
        <v>0</v>
      </c>
      <c r="H76" s="425" t="b">
        <v>0</v>
      </c>
      <c r="I76" s="425" t="b">
        <v>0</v>
      </c>
      <c r="J76" s="425"/>
      <c r="K76" s="124" t="s">
        <v>3112</v>
      </c>
      <c r="M76" s="3"/>
      <c r="N76" s="3"/>
      <c r="O76" s="3"/>
      <c r="P76" s="3"/>
      <c r="Q76" s="3"/>
      <c r="R76" s="3"/>
      <c r="S76" s="3"/>
      <c r="T76" s="3"/>
      <c r="U76" s="3"/>
      <c r="V76" s="3"/>
      <c r="W76" s="3"/>
      <c r="X76" s="3"/>
      <c r="Y76" s="3"/>
      <c r="Z76" s="3"/>
    </row>
    <row r="77">
      <c r="A77" s="203" t="s">
        <v>3113</v>
      </c>
      <c r="B77" s="214">
        <v>45132.0</v>
      </c>
      <c r="C77" s="203" t="s">
        <v>28</v>
      </c>
      <c r="D77" s="203" t="s">
        <v>1065</v>
      </c>
      <c r="E77" s="214">
        <v>45140.0</v>
      </c>
      <c r="F77" s="203" t="b">
        <v>1</v>
      </c>
      <c r="G77" s="203" t="b">
        <v>1</v>
      </c>
      <c r="H77" s="203" t="b">
        <v>1</v>
      </c>
      <c r="I77" s="203" t="b">
        <v>0</v>
      </c>
      <c r="J77" s="203" t="s">
        <v>1065</v>
      </c>
      <c r="K77" s="203" t="s">
        <v>2865</v>
      </c>
      <c r="M77" s="3"/>
      <c r="N77" s="3"/>
      <c r="O77" s="3"/>
      <c r="P77" s="3"/>
      <c r="Q77" s="3"/>
      <c r="R77" s="3"/>
      <c r="S77" s="3"/>
      <c r="T77" s="3"/>
      <c r="U77" s="3"/>
      <c r="V77" s="3"/>
      <c r="W77" s="3"/>
      <c r="X77" s="3"/>
      <c r="Y77" s="3"/>
      <c r="Z77" s="3"/>
    </row>
    <row r="78">
      <c r="A78" s="203" t="s">
        <v>3114</v>
      </c>
      <c r="B78" s="214">
        <v>45139.0</v>
      </c>
      <c r="C78" s="203" t="s">
        <v>2954</v>
      </c>
      <c r="D78" s="203" t="s">
        <v>1065</v>
      </c>
      <c r="E78" s="214">
        <v>45152.0</v>
      </c>
      <c r="F78" s="203" t="b">
        <v>1</v>
      </c>
      <c r="G78" s="203" t="b">
        <v>1</v>
      </c>
      <c r="H78" s="203" t="b">
        <v>1</v>
      </c>
      <c r="I78" s="203" t="b">
        <v>0</v>
      </c>
      <c r="J78" s="203" t="s">
        <v>1065</v>
      </c>
      <c r="K78" s="203" t="s">
        <v>2865</v>
      </c>
      <c r="M78" s="3"/>
      <c r="N78" s="3"/>
      <c r="O78" s="3"/>
      <c r="P78" s="3"/>
      <c r="Q78" s="3"/>
      <c r="R78" s="3"/>
      <c r="S78" s="3"/>
      <c r="T78" s="3"/>
      <c r="U78" s="3"/>
      <c r="V78" s="3"/>
      <c r="W78" s="3"/>
      <c r="X78" s="3"/>
      <c r="Y78" s="3"/>
      <c r="Z78" s="3"/>
    </row>
    <row r="79">
      <c r="A79" s="124" t="s">
        <v>3117</v>
      </c>
      <c r="B79" s="422">
        <v>45141.0</v>
      </c>
      <c r="C79" s="124" t="s">
        <v>40</v>
      </c>
      <c r="D79" s="425"/>
      <c r="E79" s="422">
        <v>45146.0</v>
      </c>
      <c r="F79" s="425" t="b">
        <v>0</v>
      </c>
      <c r="G79" s="425" t="b">
        <v>0</v>
      </c>
      <c r="H79" s="425" t="b">
        <v>0</v>
      </c>
      <c r="I79" s="425" t="b">
        <v>0</v>
      </c>
      <c r="J79" s="425"/>
      <c r="K79" s="203" t="s">
        <v>2862</v>
      </c>
      <c r="M79" s="3"/>
      <c r="N79" s="3"/>
      <c r="O79" s="3"/>
      <c r="P79" s="3"/>
      <c r="Q79" s="3"/>
      <c r="R79" s="3"/>
      <c r="S79" s="3"/>
      <c r="T79" s="3"/>
      <c r="U79" s="3"/>
      <c r="V79" s="3"/>
      <c r="W79" s="3"/>
      <c r="X79" s="3"/>
      <c r="Y79" s="3"/>
      <c r="Z79" s="3"/>
    </row>
    <row r="80">
      <c r="A80" s="124" t="s">
        <v>3119</v>
      </c>
      <c r="B80" s="428">
        <v>45142.0</v>
      </c>
      <c r="C80" s="124" t="s">
        <v>649</v>
      </c>
      <c r="D80" s="124" t="s">
        <v>1065</v>
      </c>
      <c r="E80" s="428">
        <v>45148.0</v>
      </c>
      <c r="F80" s="124" t="b">
        <v>1</v>
      </c>
      <c r="G80" s="124" t="b">
        <v>1</v>
      </c>
      <c r="H80" s="124" t="b">
        <v>1</v>
      </c>
      <c r="I80" s="124" t="b">
        <v>0</v>
      </c>
      <c r="J80" s="124" t="s">
        <v>1065</v>
      </c>
      <c r="K80" s="262"/>
      <c r="M80" s="3"/>
      <c r="N80" s="3"/>
      <c r="O80" s="3"/>
      <c r="P80" s="3"/>
      <c r="Q80" s="3"/>
      <c r="R80" s="3"/>
      <c r="S80" s="3"/>
      <c r="T80" s="3"/>
      <c r="U80" s="3"/>
      <c r="V80" s="3"/>
      <c r="W80" s="3"/>
      <c r="X80" s="3"/>
      <c r="Y80" s="3"/>
      <c r="Z80" s="3"/>
    </row>
    <row r="81">
      <c r="A81" s="124" t="s">
        <v>3122</v>
      </c>
      <c r="B81" s="422">
        <v>45145.0</v>
      </c>
      <c r="C81" s="124" t="s">
        <v>40</v>
      </c>
      <c r="D81" s="425"/>
      <c r="E81" s="422">
        <v>45146.0</v>
      </c>
      <c r="F81" s="425" t="b">
        <v>0</v>
      </c>
      <c r="G81" s="425" t="b">
        <v>0</v>
      </c>
      <c r="H81" s="425" t="b">
        <v>0</v>
      </c>
      <c r="I81" s="425" t="b">
        <v>0</v>
      </c>
      <c r="J81" s="425"/>
      <c r="K81" s="124" t="s">
        <v>3123</v>
      </c>
      <c r="M81" s="3"/>
      <c r="N81" s="3"/>
      <c r="O81" s="3"/>
      <c r="P81" s="3"/>
      <c r="Q81" s="3"/>
      <c r="R81" s="3"/>
      <c r="S81" s="3"/>
      <c r="T81" s="3"/>
      <c r="U81" s="3"/>
      <c r="V81" s="3"/>
      <c r="W81" s="3"/>
      <c r="X81" s="3"/>
      <c r="Y81" s="3"/>
      <c r="Z81" s="3"/>
    </row>
    <row r="82">
      <c r="A82" s="203" t="s">
        <v>3124</v>
      </c>
      <c r="B82" s="214">
        <v>45146.0</v>
      </c>
      <c r="C82" s="203" t="s">
        <v>40</v>
      </c>
      <c r="D82" s="203" t="s">
        <v>1065</v>
      </c>
      <c r="E82" s="214">
        <v>45156.0</v>
      </c>
      <c r="F82" s="203" t="b">
        <v>1</v>
      </c>
      <c r="G82" s="203" t="b">
        <v>1</v>
      </c>
      <c r="H82" s="203" t="b">
        <v>1</v>
      </c>
      <c r="I82" s="203" t="b">
        <v>0</v>
      </c>
      <c r="J82" s="203" t="s">
        <v>1065</v>
      </c>
      <c r="K82" s="425"/>
      <c r="M82" s="3"/>
      <c r="N82" s="3"/>
      <c r="O82" s="3"/>
      <c r="P82" s="3"/>
      <c r="Q82" s="3"/>
      <c r="R82" s="3"/>
      <c r="S82" s="3"/>
      <c r="T82" s="3"/>
      <c r="U82" s="3"/>
      <c r="V82" s="3"/>
      <c r="W82" s="3"/>
      <c r="X82" s="3"/>
      <c r="Y82" s="3"/>
      <c r="Z82" s="3"/>
    </row>
    <row r="83">
      <c r="A83" s="203" t="s">
        <v>3126</v>
      </c>
      <c r="B83" s="214">
        <v>45146.0</v>
      </c>
      <c r="C83" s="203" t="s">
        <v>2954</v>
      </c>
      <c r="D83" s="203" t="s">
        <v>1065</v>
      </c>
      <c r="E83" s="214">
        <v>45160.0</v>
      </c>
      <c r="F83" s="203" t="b">
        <v>1</v>
      </c>
      <c r="G83" s="203" t="b">
        <v>1</v>
      </c>
      <c r="H83" s="203" t="b">
        <v>1</v>
      </c>
      <c r="I83" s="203" t="b">
        <v>0</v>
      </c>
      <c r="J83" s="203" t="s">
        <v>1065</v>
      </c>
      <c r="K83" s="241" t="s">
        <v>3128</v>
      </c>
      <c r="O83" s="3"/>
      <c r="P83" s="3"/>
      <c r="Q83" s="3"/>
      <c r="R83" s="3"/>
      <c r="S83" s="3"/>
      <c r="T83" s="3"/>
      <c r="U83" s="3"/>
      <c r="V83" s="3"/>
      <c r="W83" s="3"/>
      <c r="X83" s="3"/>
      <c r="Y83" s="3"/>
      <c r="Z83" s="3"/>
    </row>
    <row r="84">
      <c r="A84" s="124" t="s">
        <v>3129</v>
      </c>
      <c r="B84" s="422">
        <v>45147.0</v>
      </c>
      <c r="C84" s="124" t="s">
        <v>649</v>
      </c>
      <c r="D84" s="124" t="s">
        <v>1065</v>
      </c>
      <c r="E84" s="422">
        <v>45154.0</v>
      </c>
      <c r="F84" s="124" t="b">
        <v>1</v>
      </c>
      <c r="G84" s="124" t="b">
        <v>1</v>
      </c>
      <c r="H84" s="124" t="b">
        <v>1</v>
      </c>
      <c r="I84" s="124" t="b">
        <v>0</v>
      </c>
      <c r="J84" s="124" t="s">
        <v>1065</v>
      </c>
      <c r="K84" s="593" t="s">
        <v>2862</v>
      </c>
      <c r="M84" s="3"/>
      <c r="N84" s="3"/>
      <c r="O84" s="3"/>
      <c r="P84" s="3"/>
      <c r="Q84" s="3"/>
      <c r="R84" s="3"/>
      <c r="S84" s="3"/>
      <c r="T84" s="3"/>
      <c r="U84" s="3"/>
      <c r="V84" s="3"/>
      <c r="W84" s="3"/>
      <c r="X84" s="3"/>
      <c r="Y84" s="3"/>
      <c r="Z84" s="3"/>
    </row>
    <row r="85">
      <c r="A85" s="203" t="s">
        <v>3130</v>
      </c>
      <c r="B85" s="214">
        <v>45149.0</v>
      </c>
      <c r="C85" s="203" t="s">
        <v>28</v>
      </c>
      <c r="D85" s="203" t="s">
        <v>1065</v>
      </c>
      <c r="E85" s="214">
        <v>45153.0</v>
      </c>
      <c r="F85" s="203" t="b">
        <v>1</v>
      </c>
      <c r="G85" s="203" t="b">
        <v>1</v>
      </c>
      <c r="H85" s="203" t="b">
        <v>1</v>
      </c>
      <c r="I85" s="203" t="b">
        <v>0</v>
      </c>
      <c r="J85" s="203" t="s">
        <v>1065</v>
      </c>
      <c r="K85" s="203" t="s">
        <v>2865</v>
      </c>
      <c r="L85" s="253"/>
      <c r="M85" s="3"/>
      <c r="N85" s="3"/>
      <c r="O85" s="3"/>
      <c r="P85" s="3"/>
      <c r="Q85" s="3"/>
      <c r="R85" s="3"/>
      <c r="S85" s="3"/>
      <c r="T85" s="3"/>
      <c r="U85" s="3"/>
      <c r="V85" s="3"/>
      <c r="W85" s="3"/>
      <c r="X85" s="3"/>
      <c r="Y85" s="3"/>
      <c r="Z85" s="3"/>
    </row>
    <row r="86">
      <c r="A86" s="203" t="s">
        <v>3131</v>
      </c>
      <c r="B86" s="214">
        <v>45152.0</v>
      </c>
      <c r="C86" s="203" t="s">
        <v>40</v>
      </c>
      <c r="D86" s="203" t="s">
        <v>1065</v>
      </c>
      <c r="E86" s="214">
        <v>45168.0</v>
      </c>
      <c r="F86" s="203" t="b">
        <v>1</v>
      </c>
      <c r="G86" s="203" t="b">
        <v>1</v>
      </c>
      <c r="H86" s="203" t="b">
        <v>1</v>
      </c>
      <c r="I86" s="203" t="b">
        <v>0</v>
      </c>
      <c r="J86" s="203" t="s">
        <v>1065</v>
      </c>
      <c r="K86" s="124" t="s">
        <v>3132</v>
      </c>
      <c r="O86" s="3"/>
      <c r="P86" s="3"/>
      <c r="Q86" s="3"/>
      <c r="R86" s="3"/>
      <c r="S86" s="3"/>
      <c r="T86" s="3"/>
      <c r="U86" s="3"/>
      <c r="V86" s="3"/>
      <c r="W86" s="3"/>
      <c r="X86" s="3"/>
      <c r="Y86" s="3"/>
      <c r="Z86" s="3"/>
    </row>
    <row r="87">
      <c r="A87" s="124" t="s">
        <v>3133</v>
      </c>
      <c r="B87" s="422">
        <v>45153.0</v>
      </c>
      <c r="C87" s="124" t="s">
        <v>40</v>
      </c>
      <c r="D87" s="425"/>
      <c r="E87" s="422">
        <v>45176.0</v>
      </c>
      <c r="F87" s="425" t="b">
        <v>0</v>
      </c>
      <c r="G87" s="425" t="b">
        <v>0</v>
      </c>
      <c r="H87" s="425" t="b">
        <v>0</v>
      </c>
      <c r="I87" s="425" t="b">
        <v>0</v>
      </c>
      <c r="J87" s="425"/>
      <c r="K87" s="124" t="s">
        <v>3134</v>
      </c>
      <c r="M87" s="3"/>
      <c r="N87" s="262"/>
      <c r="O87" s="3"/>
      <c r="P87" s="3"/>
      <c r="Q87" s="3"/>
      <c r="R87" s="3"/>
      <c r="S87" s="3"/>
      <c r="T87" s="3"/>
      <c r="U87" s="3"/>
      <c r="V87" s="3"/>
      <c r="W87" s="3"/>
      <c r="X87" s="3"/>
      <c r="Y87" s="3"/>
      <c r="Z87" s="3"/>
    </row>
    <row r="88">
      <c r="A88" s="203" t="s">
        <v>3135</v>
      </c>
      <c r="B88" s="214">
        <v>45155.0</v>
      </c>
      <c r="C88" s="203" t="s">
        <v>2954</v>
      </c>
      <c r="D88" s="203" t="s">
        <v>1065</v>
      </c>
      <c r="E88" s="214">
        <v>45162.0</v>
      </c>
      <c r="F88" s="203" t="b">
        <v>1</v>
      </c>
      <c r="G88" s="203" t="b">
        <v>1</v>
      </c>
      <c r="H88" s="203" t="b">
        <v>1</v>
      </c>
      <c r="I88" s="203" t="b">
        <v>0</v>
      </c>
      <c r="J88" s="203" t="s">
        <v>1065</v>
      </c>
      <c r="K88" s="124" t="s">
        <v>3137</v>
      </c>
      <c r="M88" s="3"/>
      <c r="N88" s="3"/>
      <c r="O88" s="3"/>
      <c r="P88" s="3"/>
      <c r="Q88" s="3"/>
      <c r="R88" s="3"/>
      <c r="S88" s="3"/>
      <c r="T88" s="3"/>
      <c r="U88" s="3"/>
      <c r="V88" s="3"/>
      <c r="W88" s="3"/>
      <c r="X88" s="3"/>
      <c r="Y88" s="3"/>
      <c r="Z88" s="3"/>
    </row>
    <row r="89">
      <c r="A89" s="124" t="s">
        <v>3138</v>
      </c>
      <c r="B89" s="422">
        <v>45155.0</v>
      </c>
      <c r="C89" s="124" t="s">
        <v>40</v>
      </c>
      <c r="D89" s="124" t="s">
        <v>1065</v>
      </c>
      <c r="E89" s="422">
        <v>45176.0</v>
      </c>
      <c r="F89" s="124" t="b">
        <v>1</v>
      </c>
      <c r="G89" s="124" t="b">
        <v>1</v>
      </c>
      <c r="H89" s="124" t="b">
        <v>1</v>
      </c>
      <c r="I89" s="124" t="b">
        <v>0</v>
      </c>
      <c r="J89" s="124" t="s">
        <v>1065</v>
      </c>
      <c r="K89" s="203" t="s">
        <v>3139</v>
      </c>
      <c r="M89" s="3"/>
      <c r="N89" s="3"/>
      <c r="O89" s="3"/>
      <c r="P89" s="3"/>
      <c r="Q89" s="3"/>
      <c r="R89" s="3"/>
      <c r="S89" s="3"/>
      <c r="T89" s="3"/>
      <c r="U89" s="3"/>
      <c r="V89" s="3"/>
      <c r="W89" s="3"/>
      <c r="X89" s="3"/>
      <c r="Y89" s="3"/>
      <c r="Z89" s="3"/>
    </row>
    <row r="90">
      <c r="A90" s="203" t="s">
        <v>3141</v>
      </c>
      <c r="B90" s="214">
        <v>45155.0</v>
      </c>
      <c r="C90" s="203" t="s">
        <v>40</v>
      </c>
      <c r="D90" s="203" t="s">
        <v>1065</v>
      </c>
      <c r="E90" s="214">
        <v>45161.0</v>
      </c>
      <c r="F90" s="203" t="b">
        <v>1</v>
      </c>
      <c r="G90" s="203" t="b">
        <v>1</v>
      </c>
      <c r="H90" s="203" t="b">
        <v>1</v>
      </c>
      <c r="I90" s="203" t="b">
        <v>0</v>
      </c>
      <c r="J90" s="203" t="s">
        <v>1065</v>
      </c>
      <c r="K90" s="203" t="s">
        <v>3143</v>
      </c>
      <c r="M90" s="3"/>
      <c r="N90" s="3"/>
      <c r="O90" s="3"/>
      <c r="P90" s="3"/>
      <c r="Q90" s="3"/>
      <c r="R90" s="3"/>
      <c r="S90" s="3"/>
      <c r="T90" s="3"/>
      <c r="U90" s="3"/>
      <c r="V90" s="3"/>
      <c r="W90" s="3"/>
      <c r="X90" s="3"/>
      <c r="Y90" s="3"/>
      <c r="Z90" s="3"/>
    </row>
    <row r="91">
      <c r="A91" s="124" t="s">
        <v>3145</v>
      </c>
      <c r="B91" s="422">
        <v>45160.0</v>
      </c>
      <c r="C91" s="124" t="s">
        <v>28</v>
      </c>
      <c r="D91" s="425"/>
      <c r="E91" s="422">
        <v>45168.0</v>
      </c>
      <c r="F91" s="425" t="b">
        <v>0</v>
      </c>
      <c r="G91" s="425" t="b">
        <v>0</v>
      </c>
      <c r="H91" s="425" t="b">
        <v>0</v>
      </c>
      <c r="I91" s="425" t="b">
        <v>0</v>
      </c>
      <c r="J91" s="425"/>
      <c r="K91" s="203" t="s">
        <v>2937</v>
      </c>
      <c r="M91" s="3"/>
      <c r="N91" s="3"/>
      <c r="O91" s="3"/>
      <c r="P91" s="3"/>
      <c r="Q91" s="3"/>
      <c r="R91" s="3"/>
      <c r="S91" s="3"/>
      <c r="T91" s="3"/>
      <c r="U91" s="3"/>
      <c r="V91" s="3"/>
      <c r="W91" s="3"/>
      <c r="X91" s="3"/>
      <c r="Y91" s="3"/>
      <c r="Z91" s="3"/>
    </row>
    <row r="92">
      <c r="A92" s="203" t="s">
        <v>3147</v>
      </c>
      <c r="B92" s="250">
        <v>45163.0</v>
      </c>
      <c r="C92" s="203" t="s">
        <v>40</v>
      </c>
      <c r="D92" s="203" t="s">
        <v>1065</v>
      </c>
      <c r="E92" s="214"/>
      <c r="F92" s="203" t="b">
        <v>1</v>
      </c>
      <c r="G92" s="203" t="b">
        <v>1</v>
      </c>
      <c r="H92" s="203" t="b">
        <v>1</v>
      </c>
      <c r="I92" s="203" t="b">
        <v>0</v>
      </c>
      <c r="J92" s="203" t="s">
        <v>1065</v>
      </c>
      <c r="K92" s="425"/>
      <c r="M92" s="3"/>
      <c r="N92" s="3"/>
      <c r="O92" s="3"/>
      <c r="P92" s="3"/>
      <c r="Q92" s="3"/>
      <c r="R92" s="3"/>
      <c r="S92" s="3"/>
      <c r="T92" s="3"/>
      <c r="U92" s="3"/>
      <c r="V92" s="3"/>
      <c r="W92" s="3"/>
      <c r="X92" s="3"/>
      <c r="Y92" s="3"/>
      <c r="Z92" s="3"/>
    </row>
    <row r="93">
      <c r="A93" s="203" t="s">
        <v>3148</v>
      </c>
      <c r="B93" s="214">
        <v>45163.0</v>
      </c>
      <c r="C93" s="203" t="s">
        <v>40</v>
      </c>
      <c r="D93" s="203" t="s">
        <v>1065</v>
      </c>
      <c r="E93" s="214">
        <v>45174.0</v>
      </c>
      <c r="F93" s="203" t="b">
        <v>1</v>
      </c>
      <c r="G93" s="203" t="b">
        <v>1</v>
      </c>
      <c r="H93" s="203" t="b">
        <v>1</v>
      </c>
      <c r="I93" s="203" t="b">
        <v>0</v>
      </c>
      <c r="J93" s="203" t="s">
        <v>1065</v>
      </c>
      <c r="K93" s="425"/>
      <c r="M93" s="3"/>
      <c r="N93" s="3"/>
      <c r="O93" s="3"/>
      <c r="P93" s="3"/>
      <c r="Q93" s="3"/>
      <c r="R93" s="3"/>
      <c r="S93" s="3"/>
      <c r="T93" s="3"/>
      <c r="U93" s="3"/>
      <c r="V93" s="3"/>
      <c r="W93" s="3"/>
      <c r="X93" s="3"/>
      <c r="Y93" s="3"/>
      <c r="Z93" s="3"/>
    </row>
    <row r="94">
      <c r="A94" s="203" t="s">
        <v>3150</v>
      </c>
      <c r="B94" s="250">
        <v>45167.0</v>
      </c>
      <c r="C94" s="203" t="s">
        <v>649</v>
      </c>
      <c r="D94" s="203" t="s">
        <v>1065</v>
      </c>
      <c r="E94" s="214">
        <v>45189.0</v>
      </c>
      <c r="F94" s="203" t="b">
        <v>1</v>
      </c>
      <c r="G94" s="203" t="b">
        <v>1</v>
      </c>
      <c r="H94" s="203" t="b">
        <v>1</v>
      </c>
      <c r="I94" s="203" t="b">
        <v>0</v>
      </c>
      <c r="J94" s="203" t="s">
        <v>1065</v>
      </c>
      <c r="K94" s="124" t="s">
        <v>3151</v>
      </c>
      <c r="M94" s="3"/>
      <c r="N94" s="3"/>
      <c r="O94" s="3"/>
      <c r="P94" s="3"/>
      <c r="Q94" s="3"/>
      <c r="R94" s="3"/>
      <c r="S94" s="3"/>
      <c r="T94" s="3"/>
      <c r="U94" s="3"/>
      <c r="V94" s="3"/>
      <c r="W94" s="3"/>
      <c r="X94" s="3"/>
      <c r="Y94" s="3"/>
      <c r="Z94" s="3"/>
    </row>
    <row r="95">
      <c r="A95" s="203" t="s">
        <v>3152</v>
      </c>
      <c r="B95" s="250">
        <v>45177.0</v>
      </c>
      <c r="C95" s="203" t="s">
        <v>649</v>
      </c>
      <c r="D95" s="203" t="s">
        <v>1065</v>
      </c>
      <c r="E95" s="250">
        <v>45196.0</v>
      </c>
      <c r="F95" s="203" t="b">
        <v>1</v>
      </c>
      <c r="G95" s="203" t="b">
        <v>1</v>
      </c>
      <c r="H95" s="203" t="b">
        <v>1</v>
      </c>
      <c r="I95" s="203" t="b">
        <v>0</v>
      </c>
      <c r="J95" s="203" t="s">
        <v>1065</v>
      </c>
      <c r="K95" s="203" t="s">
        <v>2865</v>
      </c>
      <c r="M95" s="3"/>
      <c r="N95" s="3"/>
      <c r="O95" s="3"/>
      <c r="P95" s="3"/>
      <c r="Q95" s="3"/>
      <c r="R95" s="3"/>
      <c r="S95" s="3"/>
      <c r="T95" s="3"/>
      <c r="U95" s="3"/>
      <c r="V95" s="3"/>
      <c r="W95" s="3"/>
      <c r="X95" s="3"/>
      <c r="Y95" s="3"/>
      <c r="Z95" s="3"/>
    </row>
    <row r="96">
      <c r="A96" s="203" t="s">
        <v>3153</v>
      </c>
      <c r="B96" s="214">
        <v>45180.0</v>
      </c>
      <c r="C96" s="203" t="s">
        <v>40</v>
      </c>
      <c r="D96" s="203" t="s">
        <v>1065</v>
      </c>
      <c r="E96" s="214">
        <v>45187.0</v>
      </c>
      <c r="F96" s="203" t="b">
        <v>1</v>
      </c>
      <c r="G96" s="203" t="b">
        <v>1</v>
      </c>
      <c r="H96" s="203" t="b">
        <v>1</v>
      </c>
      <c r="I96" s="203" t="b">
        <v>0</v>
      </c>
      <c r="J96" s="262"/>
      <c r="K96" s="203" t="s">
        <v>2865</v>
      </c>
      <c r="M96" s="3"/>
      <c r="N96" s="3"/>
      <c r="O96" s="3"/>
      <c r="P96" s="3"/>
      <c r="Q96" s="3"/>
      <c r="R96" s="3"/>
      <c r="S96" s="3"/>
      <c r="T96" s="3"/>
      <c r="U96" s="3"/>
      <c r="V96" s="3"/>
      <c r="W96" s="3"/>
      <c r="X96" s="3"/>
      <c r="Y96" s="3"/>
      <c r="Z96" s="3"/>
    </row>
    <row r="97">
      <c r="A97" s="203" t="s">
        <v>3154</v>
      </c>
      <c r="B97" s="214">
        <v>45187.0</v>
      </c>
      <c r="C97" s="203" t="s">
        <v>649</v>
      </c>
      <c r="D97" s="203" t="s">
        <v>1065</v>
      </c>
      <c r="E97" s="214">
        <v>45191.0</v>
      </c>
      <c r="F97" s="203" t="b">
        <v>1</v>
      </c>
      <c r="G97" s="203" t="b">
        <v>1</v>
      </c>
      <c r="H97" s="203" t="b">
        <v>1</v>
      </c>
      <c r="I97" s="203" t="b">
        <v>0</v>
      </c>
      <c r="J97" s="203" t="s">
        <v>1065</v>
      </c>
      <c r="K97" s="124" t="s">
        <v>3155</v>
      </c>
      <c r="M97" s="3"/>
      <c r="N97" s="3"/>
      <c r="O97" s="3"/>
      <c r="P97" s="3"/>
      <c r="Q97" s="3"/>
      <c r="R97" s="3"/>
      <c r="S97" s="3"/>
      <c r="T97" s="3"/>
      <c r="U97" s="3"/>
      <c r="V97" s="3"/>
      <c r="W97" s="3"/>
      <c r="X97" s="3"/>
      <c r="Y97" s="3"/>
      <c r="Z97" s="3"/>
    </row>
    <row r="98">
      <c r="A98" s="203" t="s">
        <v>3156</v>
      </c>
      <c r="B98" s="214">
        <v>45189.0</v>
      </c>
      <c r="C98" s="203" t="s">
        <v>1370</v>
      </c>
      <c r="D98" s="203" t="s">
        <v>1065</v>
      </c>
      <c r="E98" s="214">
        <v>45198.0</v>
      </c>
      <c r="F98" s="203" t="b">
        <v>1</v>
      </c>
      <c r="G98" s="203" t="b">
        <v>1</v>
      </c>
      <c r="H98" s="203" t="b">
        <v>1</v>
      </c>
      <c r="I98" s="203" t="b">
        <v>0</v>
      </c>
      <c r="J98" s="203" t="s">
        <v>1065</v>
      </c>
      <c r="K98" s="124" t="s">
        <v>3159</v>
      </c>
      <c r="M98" s="3"/>
      <c r="N98" s="3"/>
      <c r="O98" s="3"/>
      <c r="P98" s="3"/>
      <c r="Q98" s="3"/>
      <c r="R98" s="3"/>
      <c r="S98" s="3"/>
      <c r="T98" s="3"/>
      <c r="U98" s="3"/>
      <c r="V98" s="3"/>
      <c r="W98" s="3"/>
      <c r="X98" s="3"/>
      <c r="Y98" s="3"/>
      <c r="Z98" s="3"/>
    </row>
    <row r="99">
      <c r="A99" s="124" t="s">
        <v>3160</v>
      </c>
      <c r="B99" s="422">
        <v>45190.0</v>
      </c>
      <c r="C99" s="124" t="s">
        <v>1370</v>
      </c>
      <c r="D99" s="425"/>
      <c r="E99" s="124" t="s">
        <v>3161</v>
      </c>
      <c r="F99" s="425" t="b">
        <v>0</v>
      </c>
      <c r="G99" s="425" t="b">
        <v>0</v>
      </c>
      <c r="H99" s="425" t="b">
        <v>0</v>
      </c>
      <c r="I99" s="425" t="b">
        <v>0</v>
      </c>
      <c r="J99" s="425"/>
      <c r="K99" s="203" t="s">
        <v>2865</v>
      </c>
      <c r="M99" s="3"/>
      <c r="N99" s="3"/>
      <c r="O99" s="3"/>
      <c r="P99" s="3"/>
      <c r="Q99" s="3"/>
      <c r="R99" s="3"/>
      <c r="S99" s="3"/>
      <c r="T99" s="3"/>
      <c r="U99" s="3"/>
      <c r="V99" s="3"/>
      <c r="W99" s="3"/>
      <c r="X99" s="3"/>
      <c r="Y99" s="3"/>
      <c r="Z99" s="3"/>
    </row>
    <row r="100">
      <c r="A100" s="203" t="s">
        <v>3162</v>
      </c>
      <c r="B100" s="214">
        <v>45190.0</v>
      </c>
      <c r="C100" s="203" t="s">
        <v>28</v>
      </c>
      <c r="D100" s="203" t="s">
        <v>1065</v>
      </c>
      <c r="E100" s="214">
        <v>45195.0</v>
      </c>
      <c r="F100" s="203" t="b">
        <v>1</v>
      </c>
      <c r="G100" s="203" t="b">
        <v>1</v>
      </c>
      <c r="H100" s="203" t="b">
        <v>1</v>
      </c>
      <c r="I100" s="203" t="b">
        <v>0</v>
      </c>
      <c r="J100" s="203" t="s">
        <v>1065</v>
      </c>
      <c r="K100" s="124" t="s">
        <v>3163</v>
      </c>
      <c r="M100" s="3"/>
      <c r="N100" s="3"/>
      <c r="O100" s="3"/>
      <c r="P100" s="3"/>
      <c r="Q100" s="3"/>
      <c r="R100" s="3"/>
      <c r="S100" s="3"/>
      <c r="T100" s="3"/>
      <c r="U100" s="3"/>
      <c r="V100" s="3"/>
      <c r="W100" s="3"/>
      <c r="X100" s="3"/>
      <c r="Y100" s="3"/>
      <c r="Z100" s="3"/>
    </row>
    <row r="101">
      <c r="A101" s="124" t="s">
        <v>3164</v>
      </c>
      <c r="B101" s="422">
        <v>45190.0</v>
      </c>
      <c r="C101" s="124" t="s">
        <v>40</v>
      </c>
      <c r="D101" s="425"/>
      <c r="E101" s="422">
        <v>45194.0</v>
      </c>
      <c r="F101" s="425" t="b">
        <v>0</v>
      </c>
      <c r="G101" s="425" t="b">
        <v>0</v>
      </c>
      <c r="H101" s="425" t="b">
        <v>0</v>
      </c>
      <c r="I101" s="425" t="b">
        <v>0</v>
      </c>
      <c r="J101" s="425"/>
      <c r="K101" s="135" t="s">
        <v>3166</v>
      </c>
      <c r="M101" s="3"/>
      <c r="N101" s="3"/>
      <c r="O101" s="3"/>
      <c r="P101" s="3"/>
      <c r="Q101" s="3"/>
      <c r="R101" s="3"/>
      <c r="S101" s="3"/>
      <c r="T101" s="3"/>
      <c r="U101" s="3"/>
      <c r="V101" s="3"/>
      <c r="W101" s="3"/>
      <c r="X101" s="3"/>
      <c r="Y101" s="3"/>
      <c r="Z101" s="3"/>
    </row>
    <row r="102">
      <c r="A102" s="124" t="s">
        <v>3168</v>
      </c>
      <c r="B102" s="422">
        <v>45194.0</v>
      </c>
      <c r="C102" s="124" t="s">
        <v>736</v>
      </c>
      <c r="D102" s="425"/>
      <c r="E102" s="507">
        <v>45212.0</v>
      </c>
      <c r="F102" s="124" t="b">
        <v>0</v>
      </c>
      <c r="G102" s="425" t="b">
        <v>0</v>
      </c>
      <c r="H102" s="425" t="b">
        <v>0</v>
      </c>
      <c r="I102" s="425" t="b">
        <v>0</v>
      </c>
      <c r="J102" s="425"/>
      <c r="K102" s="124" t="s">
        <v>3170</v>
      </c>
      <c r="M102" s="3"/>
      <c r="N102" s="3"/>
      <c r="O102" s="3"/>
      <c r="P102" s="3"/>
      <c r="Q102" s="3"/>
      <c r="R102" s="3"/>
      <c r="S102" s="3"/>
      <c r="T102" s="3"/>
      <c r="U102" s="3"/>
      <c r="V102" s="3"/>
      <c r="W102" s="3"/>
      <c r="X102" s="3"/>
      <c r="Y102" s="3"/>
      <c r="Z102" s="3"/>
    </row>
    <row r="103">
      <c r="A103" s="203" t="s">
        <v>3171</v>
      </c>
      <c r="B103" s="250">
        <v>45195.0</v>
      </c>
      <c r="C103" s="203" t="s">
        <v>649</v>
      </c>
      <c r="D103" s="203" t="s">
        <v>1065</v>
      </c>
      <c r="E103" s="250">
        <v>45201.0</v>
      </c>
      <c r="F103" s="203" t="b">
        <v>1</v>
      </c>
      <c r="G103" s="203" t="b">
        <v>1</v>
      </c>
      <c r="H103" s="203" t="b">
        <v>1</v>
      </c>
      <c r="I103" s="203" t="b">
        <v>0</v>
      </c>
      <c r="J103" s="262"/>
      <c r="K103" s="203" t="s">
        <v>2862</v>
      </c>
      <c r="M103" s="3"/>
      <c r="N103" s="3"/>
      <c r="O103" s="3"/>
      <c r="P103" s="3"/>
      <c r="Q103" s="3"/>
      <c r="R103" s="3"/>
      <c r="S103" s="3"/>
      <c r="T103" s="3"/>
      <c r="U103" s="3"/>
      <c r="V103" s="3"/>
      <c r="W103" s="3"/>
      <c r="X103" s="3"/>
      <c r="Y103" s="3"/>
      <c r="Z103" s="3"/>
    </row>
    <row r="104">
      <c r="A104" s="124" t="s">
        <v>3172</v>
      </c>
      <c r="B104" s="422">
        <v>45195.0</v>
      </c>
      <c r="C104" s="124" t="s">
        <v>649</v>
      </c>
      <c r="D104" s="425"/>
      <c r="E104" s="422">
        <v>45394.0</v>
      </c>
      <c r="F104" s="425" t="b">
        <v>0</v>
      </c>
      <c r="G104" s="425" t="b">
        <v>0</v>
      </c>
      <c r="H104" s="425" t="b">
        <v>0</v>
      </c>
      <c r="I104" s="425" t="b">
        <v>0</v>
      </c>
      <c r="J104" s="425"/>
      <c r="K104" s="124" t="s">
        <v>3174</v>
      </c>
      <c r="M104" s="3"/>
      <c r="N104" s="425"/>
      <c r="O104" s="3"/>
      <c r="P104" s="3"/>
      <c r="Q104" s="3"/>
      <c r="R104" s="3"/>
      <c r="S104" s="3"/>
      <c r="T104" s="3"/>
      <c r="U104" s="3"/>
      <c r="V104" s="3"/>
      <c r="W104" s="3"/>
      <c r="X104" s="3"/>
      <c r="Y104" s="3"/>
      <c r="Z104" s="3"/>
    </row>
    <row r="105">
      <c r="A105" s="203" t="s">
        <v>3175</v>
      </c>
      <c r="B105" s="214">
        <v>45201.0</v>
      </c>
      <c r="C105" s="203" t="s">
        <v>736</v>
      </c>
      <c r="D105" s="203" t="s">
        <v>2858</v>
      </c>
      <c r="E105" s="250">
        <v>45202.0</v>
      </c>
      <c r="F105" s="203" t="b">
        <v>1</v>
      </c>
      <c r="G105" s="203" t="b">
        <v>1</v>
      </c>
      <c r="H105" s="203" t="b">
        <v>1</v>
      </c>
      <c r="I105" s="203" t="b">
        <v>0</v>
      </c>
      <c r="J105" s="262"/>
      <c r="K105" s="203" t="s">
        <v>2862</v>
      </c>
      <c r="M105" s="3"/>
      <c r="N105" s="3"/>
      <c r="O105" s="3"/>
      <c r="P105" s="3"/>
      <c r="Q105" s="3"/>
      <c r="R105" s="3"/>
      <c r="S105" s="3"/>
      <c r="T105" s="3"/>
      <c r="U105" s="3"/>
      <c r="V105" s="3"/>
      <c r="W105" s="3"/>
      <c r="X105" s="3"/>
      <c r="Y105" s="3"/>
      <c r="Z105" s="3"/>
    </row>
    <row r="106">
      <c r="A106" s="203" t="s">
        <v>3177</v>
      </c>
      <c r="B106" s="214">
        <v>45201.0</v>
      </c>
      <c r="C106" s="203" t="s">
        <v>40</v>
      </c>
      <c r="D106" s="203" t="s">
        <v>2858</v>
      </c>
      <c r="E106" s="250">
        <v>45202.0</v>
      </c>
      <c r="F106" s="203" t="b">
        <v>1</v>
      </c>
      <c r="G106" s="203" t="b">
        <v>1</v>
      </c>
      <c r="H106" s="203" t="b">
        <v>1</v>
      </c>
      <c r="I106" s="203" t="b">
        <v>0</v>
      </c>
      <c r="J106" s="203" t="s">
        <v>1065</v>
      </c>
      <c r="K106" s="180" t="s">
        <v>2865</v>
      </c>
      <c r="L106" s="253"/>
      <c r="M106" s="262"/>
      <c r="N106" s="3"/>
      <c r="O106" s="3"/>
      <c r="P106" s="3"/>
      <c r="Q106" s="3"/>
      <c r="R106" s="3"/>
      <c r="S106" s="3"/>
      <c r="T106" s="3"/>
      <c r="U106" s="3"/>
      <c r="V106" s="3"/>
      <c r="W106" s="3"/>
      <c r="X106" s="3"/>
      <c r="Y106" s="3"/>
      <c r="Z106" s="3"/>
    </row>
    <row r="107">
      <c r="A107" s="203" t="s">
        <v>3178</v>
      </c>
      <c r="B107" s="214">
        <v>45201.0</v>
      </c>
      <c r="C107" s="203" t="s">
        <v>40</v>
      </c>
      <c r="D107" s="203" t="s">
        <v>2858</v>
      </c>
      <c r="E107" s="214">
        <v>45202.0</v>
      </c>
      <c r="F107" s="203" t="b">
        <v>1</v>
      </c>
      <c r="G107" s="203" t="b">
        <v>1</v>
      </c>
      <c r="H107" s="203" t="b">
        <v>1</v>
      </c>
      <c r="I107" s="203" t="b">
        <v>0</v>
      </c>
      <c r="J107" s="203" t="s">
        <v>2858</v>
      </c>
      <c r="K107" s="203" t="s">
        <v>3179</v>
      </c>
      <c r="M107" s="3"/>
      <c r="N107" s="3"/>
      <c r="O107" s="3"/>
      <c r="P107" s="3"/>
      <c r="Q107" s="3"/>
      <c r="R107" s="3"/>
      <c r="S107" s="3"/>
      <c r="T107" s="3"/>
      <c r="U107" s="3"/>
      <c r="V107" s="3"/>
      <c r="W107" s="3"/>
      <c r="X107" s="3"/>
      <c r="Y107" s="3"/>
      <c r="Z107" s="3"/>
    </row>
    <row r="108">
      <c r="A108" s="203" t="s">
        <v>3180</v>
      </c>
      <c r="B108" s="214">
        <v>45203.0</v>
      </c>
      <c r="C108" s="203" t="s">
        <v>736</v>
      </c>
      <c r="D108" s="203" t="s">
        <v>1065</v>
      </c>
      <c r="E108" s="202">
        <v>45224.0</v>
      </c>
      <c r="F108" s="203" t="b">
        <v>1</v>
      </c>
      <c r="G108" s="203" t="b">
        <v>1</v>
      </c>
      <c r="H108" s="203" t="b">
        <v>1</v>
      </c>
      <c r="I108" s="203" t="b">
        <v>0</v>
      </c>
      <c r="J108" s="203" t="s">
        <v>2858</v>
      </c>
      <c r="K108" s="203" t="s">
        <v>2862</v>
      </c>
      <c r="M108" s="3"/>
      <c r="N108" s="3"/>
      <c r="O108" s="425"/>
      <c r="P108" s="425"/>
      <c r="Q108" s="425"/>
      <c r="R108" s="425"/>
      <c r="S108" s="425"/>
      <c r="T108" s="425"/>
      <c r="U108" s="425"/>
      <c r="V108" s="425"/>
      <c r="W108" s="425"/>
      <c r="X108" s="425"/>
      <c r="Y108" s="425"/>
      <c r="Z108" s="425"/>
    </row>
    <row r="109">
      <c r="A109" s="203" t="s">
        <v>3183</v>
      </c>
      <c r="B109" s="214">
        <v>45203.0</v>
      </c>
      <c r="C109" s="203" t="s">
        <v>1370</v>
      </c>
      <c r="D109" s="203" t="s">
        <v>1065</v>
      </c>
      <c r="E109" s="202">
        <v>45210.0</v>
      </c>
      <c r="F109" s="203" t="b">
        <v>1</v>
      </c>
      <c r="G109" s="203" t="b">
        <v>1</v>
      </c>
      <c r="H109" s="203" t="b">
        <v>1</v>
      </c>
      <c r="I109" s="203" t="b">
        <v>0</v>
      </c>
      <c r="J109" s="203" t="s">
        <v>1065</v>
      </c>
      <c r="K109" s="124" t="s">
        <v>3184</v>
      </c>
      <c r="O109" s="3"/>
      <c r="P109" s="3"/>
      <c r="Q109" s="3"/>
      <c r="R109" s="3"/>
      <c r="S109" s="3"/>
      <c r="T109" s="3"/>
      <c r="U109" s="3"/>
      <c r="V109" s="3"/>
      <c r="W109" s="3"/>
      <c r="X109" s="3"/>
      <c r="Y109" s="3"/>
      <c r="Z109" s="3"/>
    </row>
    <row r="110">
      <c r="A110" s="203" t="s">
        <v>3185</v>
      </c>
      <c r="B110" s="214">
        <v>45204.0</v>
      </c>
      <c r="C110" s="203" t="s">
        <v>736</v>
      </c>
      <c r="D110" s="203" t="s">
        <v>1065</v>
      </c>
      <c r="E110" s="202">
        <v>45210.0</v>
      </c>
      <c r="F110" s="203" t="b">
        <v>1</v>
      </c>
      <c r="G110" s="203" t="b">
        <v>1</v>
      </c>
      <c r="H110" s="203" t="b">
        <v>1</v>
      </c>
      <c r="I110" s="203" t="b">
        <v>0</v>
      </c>
      <c r="J110" s="203" t="s">
        <v>1065</v>
      </c>
      <c r="K110" s="203" t="s">
        <v>2862</v>
      </c>
      <c r="M110" s="3"/>
      <c r="N110" s="3"/>
      <c r="O110" s="3"/>
      <c r="P110" s="3"/>
      <c r="Q110" s="3"/>
      <c r="R110" s="3"/>
      <c r="S110" s="3"/>
      <c r="T110" s="3"/>
      <c r="U110" s="3"/>
      <c r="V110" s="3"/>
      <c r="W110" s="3"/>
      <c r="X110" s="3"/>
      <c r="Y110" s="3"/>
      <c r="Z110" s="3"/>
    </row>
    <row r="111">
      <c r="A111" s="124" t="s">
        <v>3186</v>
      </c>
      <c r="B111" s="422">
        <v>45204.0</v>
      </c>
      <c r="C111" s="124" t="s">
        <v>649</v>
      </c>
      <c r="D111" s="425"/>
      <c r="E111" s="422">
        <v>45244.0</v>
      </c>
      <c r="F111" s="425" t="b">
        <v>0</v>
      </c>
      <c r="G111" s="425" t="b">
        <v>0</v>
      </c>
      <c r="H111" s="425" t="b">
        <v>0</v>
      </c>
      <c r="I111" s="425" t="b">
        <v>0</v>
      </c>
      <c r="J111" s="425"/>
      <c r="K111" s="124" t="s">
        <v>3188</v>
      </c>
      <c r="M111" s="3"/>
      <c r="N111" s="3"/>
      <c r="O111" s="3"/>
      <c r="P111" s="3"/>
      <c r="Q111" s="3"/>
      <c r="R111" s="3"/>
      <c r="S111" s="3"/>
      <c r="T111" s="3"/>
      <c r="U111" s="3"/>
      <c r="V111" s="3"/>
      <c r="W111" s="3"/>
      <c r="X111" s="3"/>
      <c r="Y111" s="3"/>
      <c r="Z111" s="3"/>
    </row>
    <row r="112">
      <c r="A112" s="203" t="s">
        <v>3189</v>
      </c>
      <c r="B112" s="214">
        <v>45204.0</v>
      </c>
      <c r="C112" s="203" t="s">
        <v>649</v>
      </c>
      <c r="D112" s="203" t="s">
        <v>1065</v>
      </c>
      <c r="E112" s="202">
        <v>45215.0</v>
      </c>
      <c r="F112" s="203" t="b">
        <v>1</v>
      </c>
      <c r="G112" s="203" t="b">
        <v>1</v>
      </c>
      <c r="H112" s="203" t="b">
        <v>1</v>
      </c>
      <c r="I112" s="203" t="b">
        <v>0</v>
      </c>
      <c r="J112" s="203" t="s">
        <v>1065</v>
      </c>
      <c r="K112" s="262"/>
      <c r="M112" s="3"/>
      <c r="N112" s="3"/>
      <c r="O112" s="3"/>
      <c r="P112" s="3"/>
      <c r="Q112" s="3"/>
      <c r="R112" s="3"/>
      <c r="S112" s="3"/>
      <c r="T112" s="3"/>
      <c r="U112" s="3"/>
      <c r="V112" s="3"/>
      <c r="W112" s="3"/>
      <c r="X112" s="3"/>
      <c r="Y112" s="3"/>
      <c r="Z112" s="3"/>
    </row>
    <row r="113">
      <c r="A113" s="203" t="s">
        <v>3191</v>
      </c>
      <c r="B113" s="214">
        <v>45204.0</v>
      </c>
      <c r="C113" s="203" t="s">
        <v>3192</v>
      </c>
      <c r="D113" s="203" t="s">
        <v>1065</v>
      </c>
      <c r="E113" s="202">
        <v>45224.0</v>
      </c>
      <c r="F113" s="203" t="b">
        <v>1</v>
      </c>
      <c r="G113" s="203" t="b">
        <v>1</v>
      </c>
      <c r="H113" s="203" t="b">
        <v>1</v>
      </c>
      <c r="I113" s="203" t="b">
        <v>0</v>
      </c>
      <c r="J113" s="203" t="s">
        <v>1065</v>
      </c>
      <c r="K113" s="124" t="s">
        <v>3194</v>
      </c>
      <c r="M113" s="3"/>
      <c r="N113" s="3"/>
      <c r="O113" s="3"/>
      <c r="P113" s="3"/>
      <c r="Q113" s="3"/>
      <c r="R113" s="3"/>
      <c r="S113" s="3"/>
      <c r="T113" s="3"/>
      <c r="U113" s="3"/>
      <c r="V113" s="3"/>
      <c r="W113" s="3"/>
      <c r="X113" s="3"/>
      <c r="Y113" s="3"/>
      <c r="Z113" s="3"/>
    </row>
    <row r="114">
      <c r="A114" s="203" t="s">
        <v>3195</v>
      </c>
      <c r="B114" s="214">
        <v>45205.0</v>
      </c>
      <c r="C114" s="203" t="s">
        <v>649</v>
      </c>
      <c r="D114" s="203" t="s">
        <v>1065</v>
      </c>
      <c r="E114" s="202">
        <v>45279.0</v>
      </c>
      <c r="F114" s="203" t="b">
        <v>1</v>
      </c>
      <c r="G114" s="203" t="b">
        <v>1</v>
      </c>
      <c r="H114" s="203" t="b">
        <v>1</v>
      </c>
      <c r="I114" s="203" t="b">
        <v>1</v>
      </c>
      <c r="J114" s="203" t="s">
        <v>1065</v>
      </c>
      <c r="K114" s="425"/>
      <c r="L114" s="318"/>
      <c r="M114" s="425"/>
      <c r="N114" s="3"/>
      <c r="O114" s="3"/>
      <c r="P114" s="3"/>
      <c r="Q114" s="3"/>
      <c r="R114" s="3"/>
      <c r="S114" s="3"/>
      <c r="T114" s="3"/>
      <c r="U114" s="3"/>
      <c r="V114" s="3"/>
      <c r="W114" s="3"/>
      <c r="X114" s="3"/>
      <c r="Y114" s="3"/>
      <c r="Z114" s="3"/>
    </row>
    <row r="115">
      <c r="A115" s="124" t="s">
        <v>3197</v>
      </c>
      <c r="B115" s="422">
        <v>45208.0</v>
      </c>
      <c r="C115" s="124" t="s">
        <v>736</v>
      </c>
      <c r="D115" s="425"/>
      <c r="E115" s="451">
        <v>45229.0</v>
      </c>
      <c r="F115" s="425" t="b">
        <v>0</v>
      </c>
      <c r="G115" s="425" t="b">
        <v>0</v>
      </c>
      <c r="H115" s="425" t="b">
        <v>0</v>
      </c>
      <c r="I115" s="425" t="b">
        <v>0</v>
      </c>
      <c r="J115" s="124" t="s">
        <v>1232</v>
      </c>
      <c r="K115" s="363" t="s">
        <v>3199</v>
      </c>
      <c r="L115" s="318"/>
      <c r="M115" s="3"/>
      <c r="N115" s="3"/>
      <c r="O115" s="3"/>
      <c r="P115" s="3"/>
      <c r="Q115" s="3"/>
      <c r="R115" s="3"/>
      <c r="S115" s="3"/>
      <c r="T115" s="3"/>
      <c r="U115" s="3"/>
      <c r="V115" s="3"/>
      <c r="W115" s="3"/>
      <c r="X115" s="3"/>
      <c r="Y115" s="3"/>
      <c r="Z115" s="3"/>
    </row>
    <row r="116">
      <c r="A116" s="203" t="s">
        <v>3201</v>
      </c>
      <c r="B116" s="202">
        <v>45210.0</v>
      </c>
      <c r="C116" s="203" t="s">
        <v>649</v>
      </c>
      <c r="D116" s="203" t="s">
        <v>1065</v>
      </c>
      <c r="E116" s="202">
        <v>45215.0</v>
      </c>
      <c r="F116" s="203" t="b">
        <v>1</v>
      </c>
      <c r="G116" s="203" t="b">
        <v>1</v>
      </c>
      <c r="H116" s="203" t="b">
        <v>1</v>
      </c>
      <c r="I116" s="203" t="b">
        <v>0</v>
      </c>
      <c r="J116" s="203" t="s">
        <v>1065</v>
      </c>
      <c r="K116" s="203" t="s">
        <v>2957</v>
      </c>
      <c r="M116" s="3"/>
      <c r="N116" s="3"/>
      <c r="O116" s="3"/>
      <c r="P116" s="3"/>
      <c r="Q116" s="3"/>
      <c r="R116" s="3"/>
      <c r="S116" s="3"/>
      <c r="T116" s="3"/>
      <c r="U116" s="3"/>
      <c r="V116" s="3"/>
      <c r="W116" s="3"/>
      <c r="X116" s="3"/>
      <c r="Y116" s="3"/>
      <c r="Z116" s="3"/>
    </row>
    <row r="117">
      <c r="A117" s="203" t="s">
        <v>3203</v>
      </c>
      <c r="B117" s="214">
        <v>45210.0</v>
      </c>
      <c r="C117" s="203" t="s">
        <v>736</v>
      </c>
      <c r="D117" s="203" t="s">
        <v>1065</v>
      </c>
      <c r="E117" s="202">
        <v>45217.0</v>
      </c>
      <c r="F117" s="203" t="b">
        <v>1</v>
      </c>
      <c r="G117" s="203" t="b">
        <v>1</v>
      </c>
      <c r="H117" s="203" t="b">
        <v>1</v>
      </c>
      <c r="I117" s="203" t="b">
        <v>0</v>
      </c>
      <c r="J117" s="203" t="s">
        <v>1232</v>
      </c>
      <c r="K117" s="124" t="s">
        <v>3204</v>
      </c>
      <c r="M117" s="3"/>
      <c r="N117" s="3"/>
      <c r="O117" s="3"/>
      <c r="P117" s="3"/>
      <c r="Q117" s="3"/>
      <c r="R117" s="3"/>
      <c r="S117" s="3"/>
      <c r="T117" s="3"/>
      <c r="U117" s="3"/>
      <c r="V117" s="3"/>
      <c r="W117" s="3"/>
      <c r="X117" s="3"/>
      <c r="Y117" s="3"/>
      <c r="Z117" s="3"/>
    </row>
    <row r="118">
      <c r="A118" s="203" t="s">
        <v>3205</v>
      </c>
      <c r="B118" s="202">
        <v>45215.0</v>
      </c>
      <c r="C118" s="203" t="s">
        <v>40</v>
      </c>
      <c r="D118" s="203" t="s">
        <v>1065</v>
      </c>
      <c r="E118" s="202">
        <v>45222.0</v>
      </c>
      <c r="F118" s="203" t="b">
        <v>1</v>
      </c>
      <c r="G118" s="203" t="b">
        <v>1</v>
      </c>
      <c r="H118" s="203" t="b">
        <v>1</v>
      </c>
      <c r="I118" s="203" t="b">
        <v>0</v>
      </c>
      <c r="J118" s="203" t="s">
        <v>1065</v>
      </c>
      <c r="K118" s="262"/>
      <c r="M118" s="3"/>
      <c r="N118" s="3"/>
      <c r="O118" s="3"/>
      <c r="P118" s="3"/>
      <c r="Q118" s="3"/>
      <c r="R118" s="3"/>
      <c r="S118" s="3"/>
      <c r="T118" s="3"/>
      <c r="U118" s="3"/>
      <c r="V118" s="3"/>
      <c r="W118" s="3"/>
      <c r="X118" s="3"/>
      <c r="Y118" s="3"/>
      <c r="Z118" s="3"/>
    </row>
    <row r="119">
      <c r="A119" s="203" t="s">
        <v>3207</v>
      </c>
      <c r="B119" s="202">
        <v>45215.0</v>
      </c>
      <c r="C119" s="203" t="s">
        <v>1370</v>
      </c>
      <c r="D119" s="203" t="s">
        <v>1065</v>
      </c>
      <c r="E119" s="202">
        <v>45216.0</v>
      </c>
      <c r="F119" s="203" t="b">
        <v>1</v>
      </c>
      <c r="G119" s="203" t="b">
        <v>1</v>
      </c>
      <c r="H119" s="203" t="b">
        <v>1</v>
      </c>
      <c r="I119" s="203" t="b">
        <v>0</v>
      </c>
      <c r="J119" s="203" t="s">
        <v>1065</v>
      </c>
      <c r="K119" s="203" t="s">
        <v>3209</v>
      </c>
      <c r="M119" s="3"/>
      <c r="N119" s="3"/>
      <c r="O119" s="3"/>
      <c r="P119" s="3"/>
      <c r="Q119" s="3"/>
      <c r="R119" s="3"/>
      <c r="S119" s="3"/>
      <c r="T119" s="3"/>
      <c r="U119" s="3"/>
      <c r="V119" s="3"/>
      <c r="W119" s="3"/>
      <c r="X119" s="3"/>
      <c r="Y119" s="3"/>
      <c r="Z119" s="3"/>
    </row>
    <row r="120">
      <c r="A120" s="203" t="s">
        <v>3210</v>
      </c>
      <c r="B120" s="214">
        <v>45216.0</v>
      </c>
      <c r="C120" s="203" t="s">
        <v>736</v>
      </c>
      <c r="D120" s="203" t="s">
        <v>1065</v>
      </c>
      <c r="E120" s="202">
        <v>45244.0</v>
      </c>
      <c r="F120" s="203" t="b">
        <v>1</v>
      </c>
      <c r="G120" s="203" t="b">
        <v>1</v>
      </c>
      <c r="H120" s="203" t="b">
        <v>1</v>
      </c>
      <c r="I120" s="203" t="b">
        <v>1</v>
      </c>
      <c r="J120" s="203" t="s">
        <v>1065</v>
      </c>
      <c r="K120" s="124" t="s">
        <v>3212</v>
      </c>
      <c r="M120" s="3"/>
      <c r="N120" s="3"/>
      <c r="O120" s="3"/>
      <c r="P120" s="3"/>
      <c r="Q120" s="3"/>
      <c r="R120" s="3"/>
      <c r="S120" s="3"/>
      <c r="T120" s="3"/>
      <c r="U120" s="3"/>
      <c r="V120" s="3"/>
      <c r="W120" s="3"/>
      <c r="X120" s="3"/>
      <c r="Y120" s="3"/>
      <c r="Z120" s="3"/>
    </row>
    <row r="121">
      <c r="A121" s="124" t="s">
        <v>3213</v>
      </c>
      <c r="B121" s="451">
        <v>45217.0</v>
      </c>
      <c r="C121" s="124" t="s">
        <v>40</v>
      </c>
      <c r="D121" s="318"/>
      <c r="E121" s="124" t="s">
        <v>3214</v>
      </c>
      <c r="F121" s="124" t="b">
        <v>0</v>
      </c>
      <c r="G121" s="425" t="b">
        <v>0</v>
      </c>
      <c r="H121" s="425" t="b">
        <v>0</v>
      </c>
      <c r="I121" s="425" t="b">
        <v>0</v>
      </c>
      <c r="J121" s="425"/>
      <c r="K121" s="124" t="s">
        <v>3215</v>
      </c>
      <c r="M121" s="3"/>
      <c r="N121" s="3"/>
      <c r="O121" s="262"/>
      <c r="P121" s="262"/>
      <c r="Q121" s="262"/>
      <c r="R121" s="262"/>
      <c r="S121" s="262"/>
      <c r="T121" s="262"/>
      <c r="U121" s="262"/>
      <c r="V121" s="262"/>
      <c r="W121" s="262"/>
      <c r="X121" s="262"/>
      <c r="Y121" s="262"/>
      <c r="Z121" s="262"/>
    </row>
    <row r="122">
      <c r="A122" s="203" t="s">
        <v>3217</v>
      </c>
      <c r="B122" s="202">
        <v>45218.0</v>
      </c>
      <c r="C122" s="203" t="s">
        <v>3192</v>
      </c>
      <c r="D122" s="203" t="s">
        <v>1065</v>
      </c>
      <c r="E122" s="202">
        <v>45224.0</v>
      </c>
      <c r="F122" s="203" t="b">
        <v>1</v>
      </c>
      <c r="G122" s="203" t="b">
        <v>1</v>
      </c>
      <c r="H122" s="203" t="b">
        <v>1</v>
      </c>
      <c r="I122" s="203" t="b">
        <v>0</v>
      </c>
      <c r="J122" s="203" t="s">
        <v>1065</v>
      </c>
      <c r="K122" s="363" t="s">
        <v>3218</v>
      </c>
      <c r="M122" s="3"/>
      <c r="N122" s="3"/>
      <c r="O122" s="3"/>
      <c r="P122" s="3"/>
      <c r="Q122" s="3"/>
      <c r="R122" s="3"/>
      <c r="S122" s="3"/>
      <c r="T122" s="3"/>
      <c r="U122" s="3"/>
      <c r="V122" s="3"/>
      <c r="W122" s="3"/>
      <c r="X122" s="3"/>
      <c r="Y122" s="3"/>
      <c r="Z122" s="3"/>
    </row>
    <row r="123">
      <c r="A123" s="203" t="s">
        <v>3219</v>
      </c>
      <c r="B123" s="202">
        <v>45218.0</v>
      </c>
      <c r="C123" s="203" t="s">
        <v>40</v>
      </c>
      <c r="D123" s="203" t="s">
        <v>1065</v>
      </c>
      <c r="E123" s="202">
        <v>45225.0</v>
      </c>
      <c r="F123" s="203" t="b">
        <v>1</v>
      </c>
      <c r="G123" s="203" t="b">
        <v>1</v>
      </c>
      <c r="H123" s="203" t="b">
        <v>1</v>
      </c>
      <c r="I123" s="203" t="b">
        <v>0</v>
      </c>
      <c r="J123" s="203" t="s">
        <v>1065</v>
      </c>
      <c r="K123" s="203" t="s">
        <v>2862</v>
      </c>
      <c r="L123" s="253"/>
      <c r="M123" s="262"/>
      <c r="N123" s="3"/>
      <c r="O123" s="3"/>
      <c r="P123" s="3"/>
      <c r="Q123" s="3"/>
      <c r="R123" s="3"/>
      <c r="S123" s="3"/>
      <c r="T123" s="3"/>
      <c r="U123" s="3"/>
      <c r="V123" s="3"/>
      <c r="W123" s="3"/>
      <c r="X123" s="3"/>
      <c r="Y123" s="3"/>
      <c r="Z123" s="3"/>
    </row>
    <row r="124">
      <c r="A124" s="203" t="s">
        <v>3221</v>
      </c>
      <c r="B124" s="202">
        <v>45222.0</v>
      </c>
      <c r="C124" s="203" t="s">
        <v>736</v>
      </c>
      <c r="D124" s="203" t="s">
        <v>1065</v>
      </c>
      <c r="E124" s="202">
        <v>45236.0</v>
      </c>
      <c r="F124" s="203" t="b">
        <v>0</v>
      </c>
      <c r="G124" s="203" t="b">
        <v>1</v>
      </c>
      <c r="H124" s="203" t="b">
        <v>1</v>
      </c>
      <c r="I124" s="203" t="b">
        <v>1</v>
      </c>
      <c r="J124" s="203" t="s">
        <v>1065</v>
      </c>
      <c r="K124" s="203" t="s">
        <v>3222</v>
      </c>
      <c r="M124" s="3"/>
      <c r="N124" s="3"/>
      <c r="O124" s="3"/>
      <c r="P124" s="3"/>
      <c r="Q124" s="3"/>
      <c r="R124" s="3"/>
      <c r="S124" s="3"/>
      <c r="T124" s="3"/>
      <c r="U124" s="3"/>
      <c r="V124" s="3"/>
      <c r="W124" s="3"/>
      <c r="X124" s="3"/>
      <c r="Y124" s="3"/>
      <c r="Z124" s="3"/>
    </row>
    <row r="125">
      <c r="A125" s="124" t="s">
        <v>3223</v>
      </c>
      <c r="B125" s="451">
        <v>45225.0</v>
      </c>
      <c r="C125" s="124" t="s">
        <v>3192</v>
      </c>
      <c r="D125" s="425"/>
      <c r="E125" s="451">
        <v>45240.0</v>
      </c>
      <c r="F125" s="425" t="b">
        <v>0</v>
      </c>
      <c r="G125" s="425" t="b">
        <v>0</v>
      </c>
      <c r="H125" s="425" t="b">
        <v>0</v>
      </c>
      <c r="I125" s="425" t="b">
        <v>0</v>
      </c>
      <c r="J125" s="425"/>
      <c r="K125" s="262"/>
      <c r="M125" s="3"/>
      <c r="N125" s="262"/>
      <c r="O125" s="3"/>
      <c r="P125" s="3"/>
      <c r="Q125" s="3"/>
      <c r="R125" s="3"/>
      <c r="S125" s="3"/>
      <c r="T125" s="3"/>
      <c r="U125" s="3"/>
      <c r="V125" s="3"/>
      <c r="W125" s="3"/>
      <c r="X125" s="3"/>
      <c r="Y125" s="3"/>
      <c r="Z125" s="3"/>
    </row>
    <row r="126">
      <c r="A126" s="124" t="s">
        <v>3225</v>
      </c>
      <c r="B126" s="451">
        <v>45226.0</v>
      </c>
      <c r="C126" s="124" t="s">
        <v>1370</v>
      </c>
      <c r="D126" s="425"/>
      <c r="E126" s="451">
        <v>45238.0</v>
      </c>
      <c r="F126" s="425" t="b">
        <v>0</v>
      </c>
      <c r="G126" s="425" t="b">
        <v>0</v>
      </c>
      <c r="H126" s="425" t="b">
        <v>0</v>
      </c>
      <c r="I126" s="425" t="b">
        <v>0</v>
      </c>
      <c r="J126" s="425"/>
      <c r="K126" s="203" t="s">
        <v>2862</v>
      </c>
      <c r="M126" s="3"/>
      <c r="N126" s="3"/>
      <c r="O126" s="3"/>
      <c r="P126" s="3"/>
      <c r="Q126" s="3"/>
      <c r="R126" s="3"/>
      <c r="S126" s="3"/>
      <c r="T126" s="3"/>
      <c r="U126" s="3"/>
      <c r="V126" s="3"/>
      <c r="W126" s="3"/>
      <c r="X126" s="3"/>
      <c r="Y126" s="3"/>
      <c r="Z126" s="3"/>
    </row>
    <row r="127">
      <c r="A127" s="203" t="s">
        <v>3226</v>
      </c>
      <c r="B127" s="202">
        <v>45229.0</v>
      </c>
      <c r="C127" s="203" t="s">
        <v>649</v>
      </c>
      <c r="D127" s="203" t="s">
        <v>1065</v>
      </c>
      <c r="E127" s="214">
        <v>45236.0</v>
      </c>
      <c r="F127" s="203" t="b">
        <v>1</v>
      </c>
      <c r="G127" s="203" t="b">
        <v>1</v>
      </c>
      <c r="H127" s="203" t="b">
        <v>1</v>
      </c>
      <c r="I127" s="203" t="b">
        <v>1</v>
      </c>
      <c r="J127" s="203" t="s">
        <v>1065</v>
      </c>
      <c r="K127" s="124" t="s">
        <v>3230</v>
      </c>
      <c r="M127" s="3"/>
      <c r="N127" s="3"/>
      <c r="O127" s="3"/>
      <c r="P127" s="3"/>
      <c r="Q127" s="3"/>
      <c r="R127" s="3"/>
      <c r="S127" s="3"/>
      <c r="T127" s="3"/>
      <c r="U127" s="3"/>
      <c r="V127" s="3"/>
      <c r="W127" s="3"/>
      <c r="X127" s="3"/>
      <c r="Y127" s="3"/>
      <c r="Z127" s="3"/>
    </row>
    <row r="128">
      <c r="A128" s="124" t="s">
        <v>3231</v>
      </c>
      <c r="B128" s="451">
        <v>45230.0</v>
      </c>
      <c r="C128" s="124" t="s">
        <v>736</v>
      </c>
      <c r="D128" s="318"/>
      <c r="E128" s="124" t="s">
        <v>3232</v>
      </c>
      <c r="F128" s="425" t="b">
        <v>0</v>
      </c>
      <c r="G128" s="425" t="b">
        <v>0</v>
      </c>
      <c r="H128" s="425" t="b">
        <v>0</v>
      </c>
      <c r="I128" s="425" t="b">
        <v>0</v>
      </c>
      <c r="J128" s="425"/>
      <c r="K128" s="124" t="s">
        <v>3234</v>
      </c>
      <c r="M128" s="3"/>
      <c r="N128" s="3"/>
      <c r="O128" s="3"/>
      <c r="P128" s="3"/>
      <c r="Q128" s="3"/>
      <c r="R128" s="3"/>
      <c r="S128" s="3"/>
      <c r="T128" s="3"/>
      <c r="U128" s="3"/>
      <c r="V128" s="3"/>
      <c r="W128" s="3"/>
      <c r="X128" s="3"/>
      <c r="Y128" s="3"/>
      <c r="Z128" s="3"/>
    </row>
    <row r="129">
      <c r="A129" s="124" t="s">
        <v>3235</v>
      </c>
      <c r="B129" s="422">
        <v>45236.0</v>
      </c>
      <c r="C129" s="124" t="s">
        <v>649</v>
      </c>
      <c r="D129" s="425"/>
      <c r="E129" s="422">
        <v>45267.0</v>
      </c>
      <c r="F129" s="425" t="b">
        <v>0</v>
      </c>
      <c r="G129" s="425" t="b">
        <v>0</v>
      </c>
      <c r="H129" s="425" t="b">
        <v>0</v>
      </c>
      <c r="I129" s="425" t="b">
        <v>0</v>
      </c>
      <c r="J129" s="425"/>
      <c r="K129" s="124" t="s">
        <v>3237</v>
      </c>
      <c r="M129" s="3"/>
      <c r="N129" s="3"/>
      <c r="O129" s="3"/>
      <c r="P129" s="3"/>
      <c r="Q129" s="3"/>
      <c r="R129" s="3"/>
      <c r="S129" s="3"/>
      <c r="T129" s="3"/>
      <c r="U129" s="3"/>
      <c r="V129" s="3"/>
      <c r="W129" s="3"/>
      <c r="X129" s="3"/>
      <c r="Y129" s="3"/>
      <c r="Z129" s="3"/>
    </row>
    <row r="130">
      <c r="A130" s="203" t="s">
        <v>3241</v>
      </c>
      <c r="B130" s="214">
        <v>45237.0</v>
      </c>
      <c r="C130" s="203" t="s">
        <v>649</v>
      </c>
      <c r="D130" s="203" t="s">
        <v>1065</v>
      </c>
      <c r="E130" s="214">
        <v>45239.0</v>
      </c>
      <c r="F130" s="203" t="b">
        <v>1</v>
      </c>
      <c r="G130" s="203" t="b">
        <v>1</v>
      </c>
      <c r="H130" s="203" t="b">
        <v>1</v>
      </c>
      <c r="I130" s="203" t="b">
        <v>1</v>
      </c>
      <c r="J130" s="203" t="s">
        <v>1065</v>
      </c>
      <c r="K130" s="203" t="s">
        <v>2862</v>
      </c>
      <c r="M130" s="3"/>
      <c r="N130" s="3"/>
      <c r="O130" s="3"/>
      <c r="P130" s="3"/>
      <c r="Q130" s="3"/>
      <c r="R130" s="3"/>
      <c r="S130" s="3"/>
      <c r="T130" s="3"/>
      <c r="U130" s="3"/>
      <c r="V130" s="3"/>
      <c r="W130" s="3"/>
      <c r="X130" s="3"/>
      <c r="Y130" s="3"/>
      <c r="Z130" s="3"/>
    </row>
    <row r="131">
      <c r="A131" s="203" t="s">
        <v>3243</v>
      </c>
      <c r="B131" s="214">
        <v>45238.0</v>
      </c>
      <c r="C131" s="203" t="s">
        <v>28</v>
      </c>
      <c r="D131" s="203" t="s">
        <v>1065</v>
      </c>
      <c r="E131" s="202">
        <v>45245.0</v>
      </c>
      <c r="F131" s="203" t="b">
        <v>1</v>
      </c>
      <c r="G131" s="203" t="b">
        <v>1</v>
      </c>
      <c r="H131" s="203" t="b">
        <v>1</v>
      </c>
      <c r="I131" s="203" t="b">
        <v>1</v>
      </c>
      <c r="J131" s="203" t="s">
        <v>1065</v>
      </c>
      <c r="K131" s="203" t="s">
        <v>2862</v>
      </c>
      <c r="M131" s="3"/>
      <c r="N131" s="3"/>
      <c r="O131" s="3"/>
      <c r="P131" s="3"/>
      <c r="Q131" s="3"/>
      <c r="R131" s="3"/>
      <c r="S131" s="3"/>
      <c r="T131" s="3"/>
      <c r="U131" s="3"/>
      <c r="V131" s="3"/>
      <c r="W131" s="3"/>
      <c r="X131" s="3"/>
      <c r="Y131" s="3"/>
      <c r="Z131" s="3"/>
    </row>
    <row r="132">
      <c r="A132" s="124" t="s">
        <v>3246</v>
      </c>
      <c r="B132" s="422">
        <v>45238.0</v>
      </c>
      <c r="C132" s="124" t="s">
        <v>736</v>
      </c>
      <c r="D132" s="425"/>
      <c r="E132" s="124" t="s">
        <v>3232</v>
      </c>
      <c r="F132" s="425" t="b">
        <v>0</v>
      </c>
      <c r="G132" s="425" t="b">
        <v>0</v>
      </c>
      <c r="H132" s="425" t="b">
        <v>0</v>
      </c>
      <c r="I132" s="425" t="b">
        <v>0</v>
      </c>
      <c r="J132" s="425"/>
      <c r="K132" s="124" t="s">
        <v>3247</v>
      </c>
      <c r="M132" s="3"/>
      <c r="N132" s="3"/>
      <c r="O132" s="3"/>
      <c r="P132" s="3"/>
      <c r="Q132" s="3"/>
      <c r="R132" s="3"/>
      <c r="S132" s="3"/>
      <c r="T132" s="3"/>
      <c r="U132" s="3"/>
      <c r="V132" s="3"/>
      <c r="W132" s="3"/>
      <c r="X132" s="3"/>
      <c r="Y132" s="3"/>
      <c r="Z132" s="3"/>
    </row>
    <row r="133">
      <c r="A133" s="203" t="s">
        <v>3249</v>
      </c>
      <c r="B133" s="202">
        <v>45240.0</v>
      </c>
      <c r="C133" s="203" t="s">
        <v>649</v>
      </c>
      <c r="D133" s="203" t="s">
        <v>1065</v>
      </c>
      <c r="E133" s="202">
        <v>45244.0</v>
      </c>
      <c r="F133" s="203" t="b">
        <v>1</v>
      </c>
      <c r="G133" s="203" t="b">
        <v>1</v>
      </c>
      <c r="H133" s="203" t="b">
        <v>1</v>
      </c>
      <c r="I133" s="203" t="b">
        <v>1</v>
      </c>
      <c r="J133" s="203" t="s">
        <v>1065</v>
      </c>
      <c r="K133" s="203" t="s">
        <v>2862</v>
      </c>
      <c r="M133" s="3"/>
      <c r="N133" s="3"/>
      <c r="O133" s="3"/>
      <c r="P133" s="3"/>
      <c r="Q133" s="3"/>
      <c r="R133" s="3"/>
      <c r="S133" s="3"/>
      <c r="T133" s="3"/>
      <c r="U133" s="3"/>
      <c r="V133" s="3"/>
      <c r="W133" s="3"/>
      <c r="X133" s="3"/>
      <c r="Y133" s="3"/>
      <c r="Z133" s="3"/>
    </row>
    <row r="134">
      <c r="A134" s="203" t="s">
        <v>3250</v>
      </c>
      <c r="B134" s="202">
        <v>45240.0</v>
      </c>
      <c r="C134" s="203" t="s">
        <v>736</v>
      </c>
      <c r="D134" s="203" t="s">
        <v>1065</v>
      </c>
      <c r="E134" s="202">
        <v>45252.0</v>
      </c>
      <c r="F134" s="203" t="b">
        <v>1</v>
      </c>
      <c r="G134" s="203" t="b">
        <v>1</v>
      </c>
      <c r="H134" s="203" t="b">
        <v>1</v>
      </c>
      <c r="I134" s="203" t="b">
        <v>1</v>
      </c>
      <c r="J134" s="203" t="s">
        <v>1065</v>
      </c>
      <c r="K134" s="262"/>
      <c r="M134" s="3"/>
      <c r="N134" s="3"/>
      <c r="O134" s="3"/>
      <c r="P134" s="3"/>
      <c r="Q134" s="3"/>
      <c r="R134" s="3"/>
      <c r="S134" s="3"/>
      <c r="T134" s="3"/>
      <c r="U134" s="3"/>
      <c r="V134" s="3"/>
      <c r="W134" s="3"/>
      <c r="X134" s="3"/>
      <c r="Y134" s="3"/>
      <c r="Z134" s="3"/>
    </row>
    <row r="135">
      <c r="A135" s="203" t="s">
        <v>3251</v>
      </c>
      <c r="B135" s="214">
        <v>45240.0</v>
      </c>
      <c r="C135" s="203" t="s">
        <v>736</v>
      </c>
      <c r="D135" s="203" t="s">
        <v>1065</v>
      </c>
      <c r="E135" s="202">
        <v>45245.0</v>
      </c>
      <c r="F135" s="203" t="b">
        <v>1</v>
      </c>
      <c r="G135" s="203" t="b">
        <v>1</v>
      </c>
      <c r="H135" s="203" t="b">
        <v>1</v>
      </c>
      <c r="I135" s="203" t="b">
        <v>1</v>
      </c>
      <c r="J135" s="203" t="s">
        <v>1065</v>
      </c>
      <c r="K135" s="262"/>
      <c r="M135" s="3"/>
      <c r="N135" s="3"/>
      <c r="O135" s="3"/>
      <c r="P135" s="3"/>
      <c r="Q135" s="3"/>
      <c r="R135" s="3"/>
      <c r="S135" s="3"/>
      <c r="T135" s="3"/>
      <c r="U135" s="3"/>
      <c r="V135" s="3"/>
      <c r="W135" s="3"/>
      <c r="X135" s="3"/>
      <c r="Y135" s="3"/>
      <c r="Z135" s="3"/>
    </row>
    <row r="136">
      <c r="A136" s="203" t="s">
        <v>3253</v>
      </c>
      <c r="B136" s="202">
        <v>45243.0</v>
      </c>
      <c r="C136" s="203" t="s">
        <v>40</v>
      </c>
      <c r="D136" s="203" t="s">
        <v>1065</v>
      </c>
      <c r="E136" s="202">
        <v>45259.0</v>
      </c>
      <c r="F136" s="203" t="b">
        <v>1</v>
      </c>
      <c r="G136" s="203" t="b">
        <v>1</v>
      </c>
      <c r="H136" s="203" t="b">
        <v>1</v>
      </c>
      <c r="I136" s="203" t="b">
        <v>1</v>
      </c>
      <c r="J136" s="262"/>
      <c r="K136" s="262"/>
      <c r="M136" s="3"/>
      <c r="N136" s="3"/>
      <c r="O136" s="3"/>
      <c r="P136" s="3"/>
      <c r="Q136" s="3"/>
      <c r="R136" s="3"/>
      <c r="S136" s="3"/>
      <c r="T136" s="3"/>
      <c r="U136" s="3"/>
      <c r="V136" s="3"/>
      <c r="W136" s="3"/>
      <c r="X136" s="3"/>
      <c r="Y136" s="3"/>
      <c r="Z136" s="3"/>
    </row>
    <row r="137">
      <c r="A137" s="124" t="s">
        <v>3257</v>
      </c>
      <c r="B137" s="451">
        <v>45244.0</v>
      </c>
      <c r="C137" s="124" t="s">
        <v>3192</v>
      </c>
      <c r="D137" s="425"/>
      <c r="E137" s="451">
        <v>45252.0</v>
      </c>
      <c r="F137" s="425" t="b">
        <v>0</v>
      </c>
      <c r="G137" s="425" t="b">
        <v>0</v>
      </c>
      <c r="H137" s="425" t="b">
        <v>0</v>
      </c>
      <c r="I137" s="425" t="b">
        <v>0</v>
      </c>
      <c r="J137" s="425"/>
      <c r="K137" s="124" t="s">
        <v>3258</v>
      </c>
      <c r="L137" s="318"/>
      <c r="M137" s="3"/>
      <c r="N137" s="3"/>
      <c r="O137" s="3"/>
      <c r="P137" s="3"/>
      <c r="Q137" s="3"/>
      <c r="R137" s="3"/>
      <c r="S137" s="3"/>
      <c r="T137" s="3"/>
      <c r="U137" s="3"/>
      <c r="V137" s="3"/>
      <c r="W137" s="3"/>
      <c r="X137" s="3"/>
      <c r="Y137" s="3"/>
      <c r="Z137" s="3"/>
    </row>
    <row r="138">
      <c r="A138" s="124" t="s">
        <v>3259</v>
      </c>
      <c r="B138" s="451">
        <v>45244.0</v>
      </c>
      <c r="C138" s="124" t="s">
        <v>40</v>
      </c>
      <c r="D138" s="425"/>
      <c r="E138" s="451">
        <v>45257.0</v>
      </c>
      <c r="F138" s="425" t="b">
        <v>0</v>
      </c>
      <c r="G138" s="425" t="b">
        <v>0</v>
      </c>
      <c r="H138" s="425" t="b">
        <v>0</v>
      </c>
      <c r="I138" s="425" t="b">
        <v>0</v>
      </c>
      <c r="J138" s="425"/>
      <c r="K138" s="203" t="s">
        <v>2865</v>
      </c>
      <c r="M138" s="3"/>
      <c r="N138" s="3"/>
      <c r="O138" s="3"/>
      <c r="P138" s="3"/>
      <c r="Q138" s="3"/>
      <c r="R138" s="3"/>
      <c r="S138" s="3"/>
      <c r="T138" s="3"/>
      <c r="U138" s="3"/>
      <c r="V138" s="3"/>
      <c r="W138" s="3"/>
      <c r="X138" s="3"/>
      <c r="Y138" s="3"/>
      <c r="Z138" s="3"/>
    </row>
    <row r="139">
      <c r="A139" s="124" t="s">
        <v>3259</v>
      </c>
      <c r="B139" s="451">
        <v>45244.0</v>
      </c>
      <c r="C139" s="124" t="s">
        <v>40</v>
      </c>
      <c r="D139" s="425"/>
      <c r="E139" s="451">
        <v>45257.0</v>
      </c>
      <c r="F139" s="425" t="b">
        <v>0</v>
      </c>
      <c r="G139" s="425" t="b">
        <v>0</v>
      </c>
      <c r="H139" s="425" t="b">
        <v>0</v>
      </c>
      <c r="I139" s="425" t="b">
        <v>0</v>
      </c>
      <c r="J139" s="425"/>
      <c r="K139" s="262"/>
      <c r="M139" s="3"/>
      <c r="N139" s="3"/>
      <c r="O139" s="3"/>
      <c r="P139" s="3"/>
      <c r="Q139" s="3"/>
      <c r="R139" s="3"/>
      <c r="S139" s="3"/>
      <c r="T139" s="3"/>
      <c r="U139" s="3"/>
      <c r="V139" s="3"/>
      <c r="W139" s="3"/>
      <c r="X139" s="3"/>
      <c r="Y139" s="3"/>
      <c r="Z139" s="3"/>
    </row>
    <row r="140">
      <c r="A140" s="203" t="s">
        <v>3264</v>
      </c>
      <c r="B140" s="202">
        <v>45245.0</v>
      </c>
      <c r="C140" s="203" t="s">
        <v>736</v>
      </c>
      <c r="D140" s="203" t="s">
        <v>1065</v>
      </c>
      <c r="E140" s="244">
        <v>45260.0</v>
      </c>
      <c r="F140" s="203" t="b">
        <v>1</v>
      </c>
      <c r="G140" s="203" t="b">
        <v>1</v>
      </c>
      <c r="H140" s="203" t="b">
        <v>1</v>
      </c>
      <c r="I140" s="203" t="b">
        <v>1</v>
      </c>
      <c r="J140" s="203" t="s">
        <v>1065</v>
      </c>
      <c r="K140" s="262"/>
      <c r="M140" s="3"/>
      <c r="N140" s="3"/>
      <c r="O140" s="3"/>
      <c r="P140" s="3"/>
      <c r="Q140" s="3"/>
      <c r="R140" s="3"/>
      <c r="S140" s="3"/>
      <c r="T140" s="3"/>
      <c r="U140" s="3"/>
      <c r="V140" s="3"/>
      <c r="W140" s="3"/>
      <c r="X140" s="3"/>
      <c r="Y140" s="3"/>
      <c r="Z140" s="3"/>
    </row>
    <row r="141">
      <c r="A141" s="203" t="s">
        <v>3265</v>
      </c>
      <c r="B141" s="202">
        <v>45245.0</v>
      </c>
      <c r="C141" s="203" t="s">
        <v>649</v>
      </c>
      <c r="D141" s="203" t="s">
        <v>1065</v>
      </c>
      <c r="E141" s="202">
        <v>45257.0</v>
      </c>
      <c r="F141" s="203" t="b">
        <v>1</v>
      </c>
      <c r="G141" s="203" t="b">
        <v>1</v>
      </c>
      <c r="H141" s="203" t="b">
        <v>1</v>
      </c>
      <c r="I141" s="203" t="b">
        <v>1</v>
      </c>
      <c r="J141" s="203" t="s">
        <v>1065</v>
      </c>
      <c r="K141" s="124" t="s">
        <v>3266</v>
      </c>
      <c r="M141" s="3"/>
      <c r="N141" s="3"/>
      <c r="O141" s="3"/>
      <c r="P141" s="3"/>
      <c r="Q141" s="3"/>
      <c r="R141" s="3"/>
      <c r="S141" s="3"/>
      <c r="T141" s="3"/>
      <c r="U141" s="3"/>
      <c r="V141" s="3"/>
      <c r="W141" s="3"/>
      <c r="X141" s="3"/>
      <c r="Y141" s="3"/>
      <c r="Z141" s="3"/>
    </row>
    <row r="142">
      <c r="A142" s="203" t="s">
        <v>3267</v>
      </c>
      <c r="B142" s="202">
        <v>45247.0</v>
      </c>
      <c r="C142" s="203" t="s">
        <v>40</v>
      </c>
      <c r="D142" s="203" t="s">
        <v>1065</v>
      </c>
      <c r="E142" s="603">
        <v>45250.0</v>
      </c>
      <c r="F142" s="203" t="b">
        <v>1</v>
      </c>
      <c r="G142" s="203" t="b">
        <v>1</v>
      </c>
      <c r="H142" s="203" t="b">
        <v>1</v>
      </c>
      <c r="I142" s="203" t="b">
        <v>1</v>
      </c>
      <c r="J142" s="203" t="s">
        <v>1065</v>
      </c>
      <c r="K142" s="124" t="s">
        <v>3272</v>
      </c>
      <c r="M142" s="3"/>
      <c r="N142" s="3"/>
      <c r="O142" s="3"/>
      <c r="P142" s="3"/>
      <c r="Q142" s="3"/>
      <c r="R142" s="3"/>
      <c r="S142" s="3"/>
      <c r="T142" s="3"/>
      <c r="U142" s="3"/>
      <c r="V142" s="3"/>
      <c r="W142" s="3"/>
      <c r="X142" s="3"/>
      <c r="Y142" s="3"/>
      <c r="Z142" s="3"/>
    </row>
    <row r="143">
      <c r="A143" s="203" t="s">
        <v>3273</v>
      </c>
      <c r="B143" s="202">
        <v>45247.0</v>
      </c>
      <c r="C143" s="203" t="s">
        <v>736</v>
      </c>
      <c r="D143" s="203" t="s">
        <v>1065</v>
      </c>
      <c r="E143" s="202">
        <v>45258.0</v>
      </c>
      <c r="F143" s="203" t="b">
        <v>1</v>
      </c>
      <c r="G143" s="203" t="b">
        <v>1</v>
      </c>
      <c r="H143" s="203" t="b">
        <v>1</v>
      </c>
      <c r="I143" s="203" t="b">
        <v>1</v>
      </c>
      <c r="J143" s="203" t="s">
        <v>1065</v>
      </c>
      <c r="K143" s="203" t="s">
        <v>2862</v>
      </c>
      <c r="M143" s="3"/>
      <c r="N143" s="3"/>
      <c r="O143" s="3"/>
      <c r="P143" s="3"/>
      <c r="Q143" s="3"/>
      <c r="R143" s="3"/>
      <c r="S143" s="3"/>
      <c r="T143" s="3"/>
      <c r="U143" s="3"/>
      <c r="V143" s="3"/>
      <c r="W143" s="3"/>
      <c r="X143" s="3"/>
      <c r="Y143" s="3"/>
      <c r="Z143" s="3"/>
    </row>
    <row r="144">
      <c r="A144" s="203" t="s">
        <v>3276</v>
      </c>
      <c r="B144" s="202">
        <v>45247.0</v>
      </c>
      <c r="C144" s="203" t="s">
        <v>736</v>
      </c>
      <c r="D144" s="203" t="s">
        <v>1065</v>
      </c>
      <c r="E144" s="202">
        <v>45261.0</v>
      </c>
      <c r="F144" s="203" t="b">
        <v>1</v>
      </c>
      <c r="G144" s="203" t="b">
        <v>1</v>
      </c>
      <c r="H144" s="203" t="b">
        <v>1</v>
      </c>
      <c r="I144" s="203" t="b">
        <v>1</v>
      </c>
      <c r="J144" s="203" t="s">
        <v>1065</v>
      </c>
      <c r="K144" s="203" t="s">
        <v>3132</v>
      </c>
      <c r="O144" s="3"/>
      <c r="P144" s="3"/>
      <c r="Q144" s="3"/>
      <c r="R144" s="3"/>
      <c r="S144" s="3"/>
      <c r="T144" s="3"/>
      <c r="U144" s="3"/>
      <c r="V144" s="3"/>
      <c r="W144" s="3"/>
      <c r="X144" s="3"/>
      <c r="Y144" s="3"/>
      <c r="Z144" s="3"/>
    </row>
    <row r="145">
      <c r="A145" s="203" t="s">
        <v>3280</v>
      </c>
      <c r="B145" s="202">
        <v>45250.0</v>
      </c>
      <c r="C145" s="203" t="s">
        <v>649</v>
      </c>
      <c r="D145" s="203" t="s">
        <v>1065</v>
      </c>
      <c r="E145" s="202">
        <v>45278.0</v>
      </c>
      <c r="F145" s="203" t="b">
        <v>1</v>
      </c>
      <c r="G145" s="203" t="b">
        <v>1</v>
      </c>
      <c r="H145" s="203" t="b">
        <v>1</v>
      </c>
      <c r="I145" s="203" t="b">
        <v>1</v>
      </c>
      <c r="J145" s="203" t="s">
        <v>1065</v>
      </c>
      <c r="K145" s="124" t="s">
        <v>3281</v>
      </c>
      <c r="M145" s="3"/>
      <c r="N145" s="3"/>
      <c r="O145" s="3"/>
      <c r="P145" s="3"/>
      <c r="Q145" s="3"/>
      <c r="R145" s="3"/>
      <c r="S145" s="3"/>
      <c r="T145" s="3"/>
      <c r="U145" s="3"/>
      <c r="V145" s="3"/>
      <c r="W145" s="3"/>
      <c r="X145" s="3"/>
      <c r="Y145" s="3"/>
      <c r="Z145" s="3"/>
    </row>
    <row r="146">
      <c r="A146" s="203" t="s">
        <v>3284</v>
      </c>
      <c r="B146" s="202">
        <v>45250.0</v>
      </c>
      <c r="C146" s="203" t="s">
        <v>40</v>
      </c>
      <c r="D146" s="203" t="s">
        <v>1065</v>
      </c>
      <c r="E146" s="202">
        <v>45252.0</v>
      </c>
      <c r="F146" s="203" t="b">
        <v>1</v>
      </c>
      <c r="G146" s="203" t="b">
        <v>0</v>
      </c>
      <c r="H146" s="203" t="b">
        <v>1</v>
      </c>
      <c r="I146" s="203" t="b">
        <v>1</v>
      </c>
      <c r="J146" s="203" t="s">
        <v>1065</v>
      </c>
      <c r="K146" s="124" t="s">
        <v>3286</v>
      </c>
      <c r="M146" s="3"/>
      <c r="N146" s="3"/>
      <c r="O146" s="3"/>
      <c r="P146" s="3"/>
      <c r="Q146" s="3"/>
      <c r="R146" s="3"/>
      <c r="S146" s="3"/>
      <c r="T146" s="3"/>
      <c r="U146" s="3"/>
      <c r="V146" s="3"/>
      <c r="W146" s="3"/>
      <c r="X146" s="3"/>
      <c r="Y146" s="3"/>
      <c r="Z146" s="3"/>
    </row>
    <row r="147">
      <c r="A147" s="203" t="s">
        <v>3288</v>
      </c>
      <c r="B147" s="202">
        <v>45250.0</v>
      </c>
      <c r="C147" s="203" t="s">
        <v>736</v>
      </c>
      <c r="D147" s="203" t="s">
        <v>1065</v>
      </c>
      <c r="E147" s="202">
        <v>45251.0</v>
      </c>
      <c r="F147" s="203" t="b">
        <v>1</v>
      </c>
      <c r="G147" s="203" t="b">
        <v>1</v>
      </c>
      <c r="H147" s="203" t="b">
        <v>1</v>
      </c>
      <c r="I147" s="203" t="b">
        <v>1</v>
      </c>
      <c r="J147" s="203" t="s">
        <v>1065</v>
      </c>
      <c r="K147" s="262"/>
      <c r="M147" s="3"/>
      <c r="N147" s="3"/>
      <c r="O147" s="604"/>
      <c r="P147" s="604"/>
      <c r="Q147" s="604"/>
      <c r="R147" s="604"/>
      <c r="S147" s="604"/>
      <c r="T147" s="604"/>
      <c r="U147" s="604"/>
      <c r="V147" s="604"/>
      <c r="W147" s="604"/>
      <c r="X147" s="604"/>
      <c r="Y147" s="604"/>
      <c r="Z147" s="604"/>
    </row>
    <row r="148">
      <c r="A148" s="203" t="s">
        <v>3292</v>
      </c>
      <c r="B148" s="202">
        <v>45251.0</v>
      </c>
      <c r="C148" s="203" t="s">
        <v>649</v>
      </c>
      <c r="D148" s="203" t="s">
        <v>1065</v>
      </c>
      <c r="E148" s="214">
        <v>45295.0</v>
      </c>
      <c r="F148" s="203" t="b">
        <v>1</v>
      </c>
      <c r="G148" s="203" t="b">
        <v>1</v>
      </c>
      <c r="H148" s="203" t="b">
        <v>1</v>
      </c>
      <c r="I148" s="203" t="b">
        <v>1</v>
      </c>
      <c r="J148" s="203" t="s">
        <v>1065</v>
      </c>
      <c r="K148" s="262"/>
      <c r="M148" s="3"/>
      <c r="N148" s="3"/>
      <c r="O148" s="3"/>
      <c r="P148" s="3"/>
      <c r="Q148" s="3"/>
      <c r="R148" s="3"/>
      <c r="S148" s="3"/>
      <c r="T148" s="3"/>
      <c r="U148" s="3"/>
      <c r="V148" s="3"/>
      <c r="W148" s="3"/>
      <c r="X148" s="3"/>
      <c r="Y148" s="3"/>
      <c r="Z148" s="3"/>
    </row>
    <row r="149">
      <c r="A149" s="203" t="s">
        <v>3296</v>
      </c>
      <c r="B149" s="202">
        <v>45251.0</v>
      </c>
      <c r="C149" s="203" t="s">
        <v>40</v>
      </c>
      <c r="D149" s="203" t="s">
        <v>1065</v>
      </c>
      <c r="E149" s="202">
        <v>45257.0</v>
      </c>
      <c r="F149" s="212" t="b">
        <v>1</v>
      </c>
      <c r="G149" s="212" t="b">
        <v>1</v>
      </c>
      <c r="H149" s="212" t="b">
        <v>1</v>
      </c>
      <c r="I149" s="212" t="b">
        <v>1</v>
      </c>
      <c r="J149" s="203" t="s">
        <v>1065</v>
      </c>
      <c r="K149" s="425"/>
      <c r="M149" s="3"/>
      <c r="N149" s="3"/>
      <c r="O149" s="3"/>
      <c r="P149" s="3"/>
      <c r="Q149" s="3"/>
      <c r="R149" s="3"/>
      <c r="S149" s="3"/>
      <c r="T149" s="3"/>
      <c r="U149" s="3"/>
      <c r="V149" s="3"/>
      <c r="W149" s="3"/>
      <c r="X149" s="3"/>
      <c r="Y149" s="3"/>
      <c r="Z149" s="3"/>
    </row>
    <row r="150">
      <c r="A150" s="203" t="s">
        <v>3298</v>
      </c>
      <c r="B150" s="202">
        <v>45252.0</v>
      </c>
      <c r="C150" s="203" t="s">
        <v>40</v>
      </c>
      <c r="D150" s="203" t="s">
        <v>1065</v>
      </c>
      <c r="E150" s="202">
        <v>45259.0</v>
      </c>
      <c r="F150" s="203" t="b">
        <v>1</v>
      </c>
      <c r="G150" s="203" t="b">
        <v>1</v>
      </c>
      <c r="H150" s="203" t="b">
        <v>1</v>
      </c>
      <c r="I150" s="203" t="b">
        <v>1</v>
      </c>
      <c r="J150" s="203" t="s">
        <v>1065</v>
      </c>
      <c r="K150" s="124" t="s">
        <v>3300</v>
      </c>
      <c r="M150" s="3"/>
      <c r="N150" s="3"/>
      <c r="O150" s="3"/>
      <c r="P150" s="3"/>
      <c r="Q150" s="3"/>
      <c r="R150" s="3"/>
      <c r="S150" s="3"/>
      <c r="T150" s="3"/>
      <c r="U150" s="3"/>
      <c r="V150" s="3"/>
      <c r="W150" s="3"/>
      <c r="X150" s="3"/>
      <c r="Y150" s="3"/>
      <c r="Z150" s="3"/>
    </row>
    <row r="151">
      <c r="A151" s="124" t="s">
        <v>3302</v>
      </c>
      <c r="B151" s="451">
        <v>45252.0</v>
      </c>
      <c r="C151" s="124" t="s">
        <v>736</v>
      </c>
      <c r="D151" s="425"/>
      <c r="E151" s="124" t="s">
        <v>3232</v>
      </c>
      <c r="F151" s="425" t="b">
        <v>0</v>
      </c>
      <c r="G151" s="425" t="b">
        <v>0</v>
      </c>
      <c r="H151" s="425" t="b">
        <v>0</v>
      </c>
      <c r="I151" s="425" t="b">
        <v>0</v>
      </c>
      <c r="J151" s="425"/>
      <c r="K151" s="124" t="s">
        <v>3303</v>
      </c>
      <c r="M151" s="3"/>
      <c r="N151" s="3"/>
      <c r="O151" s="3"/>
      <c r="P151" s="3"/>
      <c r="Q151" s="3"/>
      <c r="R151" s="3"/>
      <c r="S151" s="3"/>
      <c r="T151" s="3"/>
      <c r="U151" s="3"/>
      <c r="V151" s="3"/>
      <c r="W151" s="3"/>
      <c r="X151" s="3"/>
      <c r="Y151" s="3"/>
      <c r="Z151" s="3"/>
    </row>
    <row r="152">
      <c r="A152" s="203" t="s">
        <v>3305</v>
      </c>
      <c r="B152" s="202">
        <v>45257.0</v>
      </c>
      <c r="C152" s="203" t="s">
        <v>40</v>
      </c>
      <c r="D152" s="203" t="s">
        <v>1065</v>
      </c>
      <c r="E152" s="214">
        <v>45261.0</v>
      </c>
      <c r="F152" s="203" t="b">
        <v>1</v>
      </c>
      <c r="G152" s="203" t="b">
        <v>1</v>
      </c>
      <c r="H152" s="203" t="b">
        <v>1</v>
      </c>
      <c r="I152" s="203" t="b">
        <v>1</v>
      </c>
      <c r="J152" s="203" t="s">
        <v>1065</v>
      </c>
      <c r="K152" s="203" t="s">
        <v>2862</v>
      </c>
      <c r="L152" s="14"/>
      <c r="M152" s="14"/>
      <c r="N152" s="14"/>
      <c r="O152" s="14"/>
      <c r="P152" s="14"/>
      <c r="Q152" s="14"/>
      <c r="R152" s="14"/>
      <c r="S152" s="14"/>
      <c r="T152" s="3"/>
      <c r="U152" s="3"/>
      <c r="V152" s="3"/>
      <c r="W152" s="3"/>
      <c r="X152" s="3"/>
      <c r="Y152" s="3"/>
      <c r="Z152" s="3"/>
    </row>
    <row r="153">
      <c r="A153" s="203" t="s">
        <v>3308</v>
      </c>
      <c r="B153" s="202">
        <v>45258.0</v>
      </c>
      <c r="C153" s="203" t="s">
        <v>40</v>
      </c>
      <c r="D153" s="203" t="s">
        <v>1065</v>
      </c>
      <c r="E153" s="202">
        <v>45279.0</v>
      </c>
      <c r="F153" s="203" t="b">
        <v>1</v>
      </c>
      <c r="G153" s="203" t="b">
        <v>1</v>
      </c>
      <c r="H153" s="203" t="b">
        <v>1</v>
      </c>
      <c r="I153" s="203" t="b">
        <v>1</v>
      </c>
      <c r="J153" s="203" t="s">
        <v>1065</v>
      </c>
      <c r="K153" s="203" t="s">
        <v>2862</v>
      </c>
      <c r="M153" s="3"/>
      <c r="N153" s="3"/>
      <c r="O153" s="3"/>
      <c r="P153" s="3"/>
      <c r="Q153" s="3"/>
      <c r="R153" s="3"/>
      <c r="S153" s="3"/>
      <c r="T153" s="3"/>
      <c r="U153" s="3"/>
      <c r="V153" s="3"/>
      <c r="W153" s="3"/>
      <c r="X153" s="3"/>
      <c r="Y153" s="3"/>
      <c r="Z153" s="3"/>
    </row>
    <row r="154">
      <c r="A154" s="124" t="s">
        <v>3311</v>
      </c>
      <c r="B154" s="451">
        <v>45258.0</v>
      </c>
      <c r="C154" s="124" t="s">
        <v>3192</v>
      </c>
      <c r="D154" s="425"/>
      <c r="E154" s="124" t="s">
        <v>3312</v>
      </c>
      <c r="F154" s="425" t="b">
        <v>0</v>
      </c>
      <c r="G154" s="425" t="b">
        <v>0</v>
      </c>
      <c r="H154" s="425" t="b">
        <v>0</v>
      </c>
      <c r="I154" s="425" t="b">
        <v>0</v>
      </c>
      <c r="J154" s="425"/>
      <c r="K154" s="203" t="s">
        <v>3313</v>
      </c>
      <c r="M154" s="3"/>
      <c r="N154" s="3"/>
      <c r="O154" s="3"/>
      <c r="P154" s="3"/>
      <c r="Q154" s="3"/>
      <c r="R154" s="3"/>
      <c r="S154" s="3"/>
      <c r="T154" s="3"/>
      <c r="U154" s="3"/>
      <c r="V154" s="3"/>
      <c r="W154" s="3"/>
      <c r="X154" s="3"/>
      <c r="Y154" s="3"/>
      <c r="Z154" s="3"/>
    </row>
    <row r="155">
      <c r="A155" s="124" t="s">
        <v>3315</v>
      </c>
      <c r="B155" s="451">
        <v>45259.0</v>
      </c>
      <c r="C155" s="124" t="s">
        <v>40</v>
      </c>
      <c r="D155" s="425"/>
      <c r="E155" s="422">
        <v>45265.0</v>
      </c>
      <c r="F155" s="124" t="b">
        <v>1</v>
      </c>
      <c r="G155" s="124" t="b">
        <v>1</v>
      </c>
      <c r="H155" s="124" t="b">
        <v>1</v>
      </c>
      <c r="I155" s="124" t="b">
        <v>1</v>
      </c>
      <c r="J155" s="124" t="s">
        <v>1065</v>
      </c>
      <c r="K155" s="124" t="s">
        <v>3317</v>
      </c>
      <c r="M155" s="3"/>
      <c r="N155" s="3"/>
      <c r="O155" s="3"/>
      <c r="P155" s="3"/>
      <c r="Q155" s="3"/>
      <c r="R155" s="3"/>
      <c r="S155" s="3"/>
      <c r="T155" s="3"/>
      <c r="U155" s="3"/>
      <c r="V155" s="3"/>
      <c r="W155" s="3"/>
      <c r="X155" s="3"/>
      <c r="Y155" s="3"/>
      <c r="Z155" s="3"/>
    </row>
    <row r="156">
      <c r="A156" s="203" t="s">
        <v>3319</v>
      </c>
      <c r="B156" s="214">
        <v>45261.0</v>
      </c>
      <c r="C156" s="203" t="s">
        <v>40</v>
      </c>
      <c r="D156" s="203" t="s">
        <v>1065</v>
      </c>
      <c r="E156" s="214">
        <v>45265.0</v>
      </c>
      <c r="F156" s="203" t="b">
        <v>1</v>
      </c>
      <c r="G156" s="203" t="b">
        <v>1</v>
      </c>
      <c r="H156" s="203" t="b">
        <v>1</v>
      </c>
      <c r="I156" s="203" t="b">
        <v>1</v>
      </c>
      <c r="J156" s="203" t="s">
        <v>1065</v>
      </c>
      <c r="K156" s="124" t="s">
        <v>3320</v>
      </c>
      <c r="M156" s="3"/>
      <c r="N156" s="3"/>
      <c r="O156" s="3"/>
      <c r="P156" s="3"/>
      <c r="Q156" s="3"/>
      <c r="R156" s="3"/>
      <c r="S156" s="3"/>
      <c r="T156" s="3"/>
      <c r="U156" s="3"/>
      <c r="V156" s="3"/>
      <c r="W156" s="3"/>
      <c r="X156" s="3"/>
      <c r="Y156" s="3"/>
      <c r="Z156" s="3"/>
    </row>
    <row r="157">
      <c r="A157" s="203" t="s">
        <v>3321</v>
      </c>
      <c r="B157" s="214">
        <v>45265.0</v>
      </c>
      <c r="C157" s="203" t="s">
        <v>649</v>
      </c>
      <c r="D157" s="203" t="s">
        <v>1065</v>
      </c>
      <c r="E157" s="250">
        <v>45307.0</v>
      </c>
      <c r="F157" s="203" t="b">
        <v>1</v>
      </c>
      <c r="G157" s="203" t="b">
        <v>1</v>
      </c>
      <c r="H157" s="203" t="b">
        <v>1</v>
      </c>
      <c r="I157" s="203" t="b">
        <v>1</v>
      </c>
      <c r="J157" s="203" t="s">
        <v>1065</v>
      </c>
      <c r="K157" s="203" t="s">
        <v>2862</v>
      </c>
      <c r="M157" s="3"/>
      <c r="N157" s="3"/>
      <c r="O157" s="3"/>
      <c r="P157" s="3"/>
      <c r="Q157" s="3"/>
      <c r="R157" s="3"/>
      <c r="S157" s="3"/>
      <c r="T157" s="3"/>
      <c r="U157" s="3"/>
      <c r="V157" s="3"/>
      <c r="W157" s="3"/>
      <c r="X157" s="3"/>
      <c r="Y157" s="3"/>
      <c r="Z157" s="3"/>
    </row>
    <row r="158">
      <c r="A158" s="203" t="s">
        <v>3322</v>
      </c>
      <c r="B158" s="214">
        <v>45265.0</v>
      </c>
      <c r="C158" s="203" t="s">
        <v>736</v>
      </c>
      <c r="D158" s="203" t="s">
        <v>1065</v>
      </c>
      <c r="E158" s="214">
        <v>45280.0</v>
      </c>
      <c r="F158" s="203" t="b">
        <v>1</v>
      </c>
      <c r="G158" s="203" t="b">
        <v>1</v>
      </c>
      <c r="H158" s="203" t="b">
        <v>1</v>
      </c>
      <c r="I158" s="203" t="b">
        <v>1</v>
      </c>
      <c r="J158" s="203" t="s">
        <v>1065</v>
      </c>
      <c r="K158" s="124" t="s">
        <v>3324</v>
      </c>
      <c r="M158" s="3"/>
      <c r="N158" s="3"/>
      <c r="O158" s="3"/>
      <c r="P158" s="3"/>
      <c r="Q158" s="3"/>
      <c r="R158" s="3"/>
      <c r="S158" s="3"/>
      <c r="T158" s="3"/>
      <c r="U158" s="3"/>
      <c r="V158" s="3"/>
      <c r="W158" s="3"/>
      <c r="X158" s="3"/>
      <c r="Y158" s="3"/>
      <c r="Z158" s="3"/>
    </row>
    <row r="159">
      <c r="A159" s="203" t="s">
        <v>3326</v>
      </c>
      <c r="B159" s="250">
        <v>45266.0</v>
      </c>
      <c r="C159" s="203" t="s">
        <v>736</v>
      </c>
      <c r="D159" s="203" t="s">
        <v>1065</v>
      </c>
      <c r="E159" s="244">
        <v>45273.0</v>
      </c>
      <c r="F159" s="203" t="b">
        <v>1</v>
      </c>
      <c r="G159" s="203" t="b">
        <v>1</v>
      </c>
      <c r="H159" s="203" t="b">
        <v>1</v>
      </c>
      <c r="I159" s="203" t="b">
        <v>1</v>
      </c>
      <c r="J159" s="203" t="s">
        <v>1065</v>
      </c>
      <c r="K159" s="124" t="s">
        <v>3327</v>
      </c>
      <c r="M159" s="3"/>
      <c r="N159" s="3"/>
      <c r="O159" s="3"/>
      <c r="P159" s="3"/>
      <c r="Q159" s="3"/>
      <c r="R159" s="3"/>
      <c r="S159" s="3"/>
      <c r="T159" s="3"/>
      <c r="U159" s="3"/>
      <c r="V159" s="3"/>
      <c r="W159" s="3"/>
      <c r="X159" s="3"/>
      <c r="Y159" s="3"/>
      <c r="Z159" s="3"/>
    </row>
    <row r="160">
      <c r="A160" s="203" t="s">
        <v>3329</v>
      </c>
      <c r="B160" s="214">
        <v>45266.0</v>
      </c>
      <c r="C160" s="203" t="s">
        <v>736</v>
      </c>
      <c r="D160" s="203" t="s">
        <v>1065</v>
      </c>
      <c r="E160" s="214">
        <v>45273.0</v>
      </c>
      <c r="F160" s="203" t="b">
        <v>1</v>
      </c>
      <c r="G160" s="203" t="b">
        <v>1</v>
      </c>
      <c r="H160" s="203" t="b">
        <v>1</v>
      </c>
      <c r="I160" s="203" t="b">
        <v>1</v>
      </c>
      <c r="J160" s="203" t="s">
        <v>1065</v>
      </c>
      <c r="K160" s="203" t="s">
        <v>2862</v>
      </c>
      <c r="M160" s="3"/>
      <c r="N160" s="3"/>
      <c r="O160" s="3"/>
      <c r="P160" s="3"/>
      <c r="Q160" s="3"/>
      <c r="R160" s="3"/>
      <c r="S160" s="3"/>
      <c r="T160" s="3"/>
      <c r="U160" s="3"/>
      <c r="V160" s="3"/>
      <c r="W160" s="3"/>
      <c r="X160" s="3"/>
      <c r="Y160" s="3"/>
      <c r="Z160" s="3"/>
    </row>
    <row r="161">
      <c r="A161" s="203" t="s">
        <v>3333</v>
      </c>
      <c r="B161" s="214">
        <v>45266.0</v>
      </c>
      <c r="C161" s="203" t="s">
        <v>736</v>
      </c>
      <c r="D161" s="203" t="s">
        <v>1065</v>
      </c>
      <c r="E161" s="214">
        <v>45271.0</v>
      </c>
      <c r="F161" s="203" t="b">
        <v>1</v>
      </c>
      <c r="G161" s="203" t="b">
        <v>1</v>
      </c>
      <c r="H161" s="203" t="b">
        <v>1</v>
      </c>
      <c r="I161" s="203" t="b">
        <v>1</v>
      </c>
      <c r="J161" s="203" t="s">
        <v>1065</v>
      </c>
      <c r="K161" s="203" t="s">
        <v>2862</v>
      </c>
      <c r="M161" s="3"/>
      <c r="N161" s="3"/>
      <c r="O161" s="3"/>
      <c r="P161" s="3"/>
      <c r="Q161" s="3"/>
      <c r="R161" s="3"/>
      <c r="S161" s="3"/>
      <c r="T161" s="3"/>
      <c r="U161" s="3"/>
      <c r="V161" s="3"/>
      <c r="W161" s="3"/>
      <c r="X161" s="3"/>
      <c r="Y161" s="3"/>
      <c r="Z161" s="3"/>
    </row>
    <row r="162">
      <c r="A162" s="124" t="s">
        <v>3335</v>
      </c>
      <c r="B162" s="451">
        <v>45268.0</v>
      </c>
      <c r="C162" s="124" t="s">
        <v>736</v>
      </c>
      <c r="D162" s="124" t="s">
        <v>1065</v>
      </c>
      <c r="E162" s="451">
        <v>45460.0</v>
      </c>
      <c r="F162" s="124" t="b">
        <v>1</v>
      </c>
      <c r="G162" s="124" t="b">
        <v>1</v>
      </c>
      <c r="H162" s="124" t="b">
        <v>1</v>
      </c>
      <c r="I162" s="124" t="b">
        <v>1</v>
      </c>
      <c r="J162" s="124" t="s">
        <v>1065</v>
      </c>
      <c r="K162" s="262"/>
      <c r="M162" s="3"/>
      <c r="N162" s="3"/>
      <c r="O162" s="3"/>
      <c r="P162" s="3"/>
      <c r="Q162" s="3"/>
      <c r="R162" s="3"/>
      <c r="S162" s="3"/>
      <c r="T162" s="3"/>
      <c r="U162" s="3"/>
      <c r="V162" s="3"/>
      <c r="W162" s="3"/>
      <c r="X162" s="3"/>
      <c r="Y162" s="3"/>
      <c r="Z162" s="3"/>
    </row>
    <row r="163">
      <c r="A163" s="203" t="s">
        <v>3338</v>
      </c>
      <c r="B163" s="214">
        <v>45272.0</v>
      </c>
      <c r="C163" s="203" t="s">
        <v>736</v>
      </c>
      <c r="D163" s="203" t="s">
        <v>1065</v>
      </c>
      <c r="E163" s="214">
        <v>45280.0</v>
      </c>
      <c r="F163" s="203" t="b">
        <v>1</v>
      </c>
      <c r="G163" s="203" t="b">
        <v>1</v>
      </c>
      <c r="H163" s="203" t="b">
        <v>1</v>
      </c>
      <c r="I163" s="203" t="b">
        <v>1</v>
      </c>
      <c r="J163" s="203" t="s">
        <v>1065</v>
      </c>
      <c r="K163" s="124" t="s">
        <v>3340</v>
      </c>
      <c r="M163" s="3"/>
      <c r="N163" s="3"/>
      <c r="O163" s="3"/>
      <c r="P163" s="3"/>
      <c r="Q163" s="3"/>
      <c r="R163" s="3"/>
      <c r="S163" s="3"/>
      <c r="T163" s="3"/>
      <c r="U163" s="3"/>
      <c r="V163" s="3"/>
      <c r="W163" s="3"/>
      <c r="X163" s="3"/>
      <c r="Y163" s="3"/>
      <c r="Z163" s="3"/>
    </row>
    <row r="164">
      <c r="A164" s="124" t="s">
        <v>3342</v>
      </c>
      <c r="B164" s="422">
        <v>45272.0</v>
      </c>
      <c r="C164" s="124" t="s">
        <v>736</v>
      </c>
      <c r="D164" s="425"/>
      <c r="E164" s="124" t="s">
        <v>3343</v>
      </c>
      <c r="F164" s="425" t="b">
        <v>0</v>
      </c>
      <c r="G164" s="425" t="b">
        <v>0</v>
      </c>
      <c r="H164" s="425" t="b">
        <v>0</v>
      </c>
      <c r="I164" s="124" t="b">
        <v>1</v>
      </c>
      <c r="J164" s="425"/>
      <c r="K164" s="124" t="s">
        <v>3345</v>
      </c>
      <c r="M164" s="3"/>
      <c r="N164" s="3"/>
      <c r="O164" s="3"/>
      <c r="P164" s="3"/>
      <c r="Q164" s="3"/>
      <c r="R164" s="3"/>
      <c r="S164" s="3"/>
      <c r="T164" s="3"/>
      <c r="U164" s="3"/>
      <c r="V164" s="3"/>
      <c r="W164" s="3"/>
      <c r="X164" s="3"/>
      <c r="Y164" s="3"/>
      <c r="Z164" s="3"/>
    </row>
    <row r="165">
      <c r="A165" s="203" t="s">
        <v>3346</v>
      </c>
      <c r="B165" s="202">
        <v>45272.0</v>
      </c>
      <c r="C165" s="203" t="s">
        <v>649</v>
      </c>
      <c r="D165" s="203" t="s">
        <v>1065</v>
      </c>
      <c r="E165" s="244">
        <v>45273.0</v>
      </c>
      <c r="F165" s="203" t="b">
        <v>1</v>
      </c>
      <c r="G165" s="203" t="b">
        <v>1</v>
      </c>
      <c r="H165" s="203" t="b">
        <v>1</v>
      </c>
      <c r="I165" s="203" t="b">
        <v>1</v>
      </c>
      <c r="J165" s="203" t="s">
        <v>1065</v>
      </c>
      <c r="K165" s="262"/>
      <c r="M165" s="3"/>
      <c r="N165" s="3"/>
      <c r="O165" s="3"/>
      <c r="P165" s="3"/>
      <c r="Q165" s="3"/>
      <c r="R165" s="3"/>
      <c r="S165" s="3"/>
      <c r="T165" s="3"/>
      <c r="U165" s="3"/>
      <c r="V165" s="3"/>
      <c r="W165" s="3"/>
      <c r="X165" s="3"/>
      <c r="Y165" s="3"/>
      <c r="Z165" s="3"/>
    </row>
    <row r="166">
      <c r="A166" s="124" t="s">
        <v>3349</v>
      </c>
      <c r="B166" s="422">
        <v>45272.0</v>
      </c>
      <c r="C166" s="124" t="s">
        <v>40</v>
      </c>
      <c r="D166" s="425"/>
      <c r="E166" s="451">
        <v>45274.0</v>
      </c>
      <c r="F166" s="124" t="b">
        <v>1</v>
      </c>
      <c r="G166" s="124" t="b">
        <v>1</v>
      </c>
      <c r="H166" s="124" t="b">
        <v>1</v>
      </c>
      <c r="I166" s="124" t="b">
        <v>1</v>
      </c>
      <c r="J166" s="124" t="s">
        <v>1232</v>
      </c>
      <c r="K166" s="604"/>
      <c r="M166" s="3"/>
      <c r="N166" s="3"/>
      <c r="O166" s="3"/>
      <c r="P166" s="3"/>
      <c r="Q166" s="3"/>
      <c r="R166" s="3"/>
      <c r="S166" s="3"/>
      <c r="T166" s="3"/>
      <c r="U166" s="3"/>
      <c r="V166" s="3"/>
      <c r="W166" s="3"/>
      <c r="X166" s="3"/>
      <c r="Y166" s="3"/>
      <c r="Z166" s="3"/>
    </row>
    <row r="167">
      <c r="A167" s="203" t="s">
        <v>3351</v>
      </c>
      <c r="B167" s="244">
        <v>45273.0</v>
      </c>
      <c r="C167" s="203" t="s">
        <v>28</v>
      </c>
      <c r="D167" s="203" t="s">
        <v>2858</v>
      </c>
      <c r="E167" s="250">
        <v>45328.0</v>
      </c>
      <c r="F167" s="203" t="b">
        <v>1</v>
      </c>
      <c r="G167" s="203" t="b">
        <v>1</v>
      </c>
      <c r="H167" s="203" t="b">
        <v>1</v>
      </c>
      <c r="I167" s="203" t="b">
        <v>1</v>
      </c>
      <c r="J167" s="262"/>
      <c r="K167" s="203" t="s">
        <v>2862</v>
      </c>
      <c r="M167" s="3"/>
      <c r="N167" s="3"/>
      <c r="O167" s="3"/>
      <c r="P167" s="3"/>
      <c r="Q167" s="3"/>
      <c r="R167" s="3"/>
      <c r="S167" s="3"/>
      <c r="T167" s="3"/>
      <c r="U167" s="3"/>
      <c r="V167" s="3"/>
      <c r="W167" s="3"/>
      <c r="X167" s="3"/>
      <c r="Y167" s="3"/>
      <c r="Z167" s="3"/>
    </row>
    <row r="168">
      <c r="A168" s="203" t="s">
        <v>3354</v>
      </c>
      <c r="B168" s="202">
        <v>45280.0</v>
      </c>
      <c r="C168" s="203" t="s">
        <v>40</v>
      </c>
      <c r="D168" s="203" t="s">
        <v>1065</v>
      </c>
      <c r="E168" s="214">
        <v>45294.0</v>
      </c>
      <c r="F168" s="203" t="b">
        <v>1</v>
      </c>
      <c r="G168" s="203" t="b">
        <v>1</v>
      </c>
      <c r="H168" s="203" t="b">
        <v>1</v>
      </c>
      <c r="I168" s="203" t="b">
        <v>1</v>
      </c>
      <c r="J168" s="203" t="s">
        <v>1065</v>
      </c>
      <c r="K168" s="124" t="s">
        <v>3355</v>
      </c>
      <c r="M168" s="3"/>
      <c r="N168" s="3"/>
      <c r="O168" s="3"/>
      <c r="P168" s="3"/>
      <c r="Q168" s="3"/>
      <c r="R168" s="3"/>
      <c r="S168" s="3"/>
      <c r="T168" s="3"/>
      <c r="U168" s="3"/>
      <c r="V168" s="3"/>
      <c r="W168" s="3"/>
      <c r="X168" s="3"/>
      <c r="Y168" s="3"/>
      <c r="Z168" s="3"/>
    </row>
    <row r="169">
      <c r="A169" s="203" t="s">
        <v>3356</v>
      </c>
      <c r="B169" s="214">
        <v>45294.0</v>
      </c>
      <c r="C169" s="203" t="s">
        <v>649</v>
      </c>
      <c r="D169" s="203" t="s">
        <v>1065</v>
      </c>
      <c r="E169" s="250">
        <v>44934.0</v>
      </c>
      <c r="F169" s="203" t="b">
        <v>1</v>
      </c>
      <c r="G169" s="203" t="b">
        <v>1</v>
      </c>
      <c r="H169" s="203" t="b">
        <v>1</v>
      </c>
      <c r="I169" s="203" t="b">
        <v>1</v>
      </c>
      <c r="J169" s="203" t="s">
        <v>1065</v>
      </c>
      <c r="K169" s="203" t="s">
        <v>2862</v>
      </c>
      <c r="M169" s="3"/>
      <c r="N169" s="3"/>
      <c r="O169" s="3"/>
      <c r="P169" s="3"/>
      <c r="Q169" s="3"/>
      <c r="R169" s="3"/>
      <c r="S169" s="3"/>
      <c r="T169" s="3"/>
      <c r="U169" s="3"/>
      <c r="V169" s="3"/>
      <c r="W169" s="3"/>
      <c r="X169" s="3"/>
      <c r="Y169" s="3"/>
      <c r="Z169" s="3"/>
    </row>
    <row r="170">
      <c r="A170" s="203" t="s">
        <v>3357</v>
      </c>
      <c r="B170" s="214">
        <v>45294.0</v>
      </c>
      <c r="C170" s="203" t="s">
        <v>40</v>
      </c>
      <c r="D170" s="203" t="s">
        <v>1065</v>
      </c>
      <c r="E170" s="214">
        <v>45294.0</v>
      </c>
      <c r="F170" s="203" t="b">
        <v>1</v>
      </c>
      <c r="G170" s="203" t="b">
        <v>1</v>
      </c>
      <c r="H170" s="203" t="b">
        <v>1</v>
      </c>
      <c r="I170" s="203" t="b">
        <v>1</v>
      </c>
      <c r="J170" s="203" t="s">
        <v>1065</v>
      </c>
      <c r="K170" s="203" t="s">
        <v>2862</v>
      </c>
      <c r="M170" s="3"/>
      <c r="N170" s="3"/>
      <c r="O170" s="3"/>
      <c r="P170" s="3"/>
      <c r="Q170" s="3"/>
      <c r="R170" s="3"/>
      <c r="S170" s="3"/>
      <c r="T170" s="3"/>
      <c r="U170" s="3"/>
      <c r="V170" s="3"/>
      <c r="W170" s="3"/>
      <c r="X170" s="3"/>
      <c r="Y170" s="3"/>
      <c r="Z170" s="3"/>
    </row>
    <row r="171">
      <c r="A171" s="203" t="s">
        <v>3359</v>
      </c>
      <c r="B171" s="214">
        <v>45296.0</v>
      </c>
      <c r="C171" s="203" t="s">
        <v>28</v>
      </c>
      <c r="D171" s="203" t="s">
        <v>1065</v>
      </c>
      <c r="E171" s="250">
        <v>45307.0</v>
      </c>
      <c r="F171" s="203" t="b">
        <v>1</v>
      </c>
      <c r="G171" s="203" t="b">
        <v>1</v>
      </c>
      <c r="H171" s="203" t="b">
        <v>1</v>
      </c>
      <c r="I171" s="203" t="b">
        <v>1</v>
      </c>
      <c r="J171" s="262"/>
      <c r="K171" s="262"/>
      <c r="M171" s="3"/>
      <c r="N171" s="3"/>
      <c r="O171" s="3"/>
      <c r="P171" s="3"/>
      <c r="Q171" s="3"/>
      <c r="R171" s="3"/>
      <c r="S171" s="3"/>
      <c r="T171" s="3"/>
      <c r="U171" s="3"/>
      <c r="V171" s="3"/>
      <c r="W171" s="3"/>
      <c r="X171" s="3"/>
      <c r="Y171" s="3"/>
      <c r="Z171" s="3"/>
    </row>
    <row r="172">
      <c r="A172" s="203" t="s">
        <v>3363</v>
      </c>
      <c r="B172" s="202">
        <v>45296.0</v>
      </c>
      <c r="C172" s="203" t="s">
        <v>736</v>
      </c>
      <c r="D172" s="203" t="s">
        <v>1065</v>
      </c>
      <c r="E172" s="250">
        <v>45307.0</v>
      </c>
      <c r="F172" s="203" t="b">
        <v>1</v>
      </c>
      <c r="G172" s="203" t="b">
        <v>1</v>
      </c>
      <c r="H172" s="203" t="b">
        <v>1</v>
      </c>
      <c r="I172" s="203" t="b">
        <v>1</v>
      </c>
      <c r="J172" s="203" t="s">
        <v>1065</v>
      </c>
      <c r="K172" s="604"/>
      <c r="M172" s="3"/>
      <c r="N172" s="3"/>
      <c r="O172" s="3"/>
      <c r="P172" s="3"/>
      <c r="Q172" s="3"/>
      <c r="R172" s="3"/>
      <c r="S172" s="3"/>
      <c r="T172" s="3"/>
      <c r="U172" s="3"/>
      <c r="V172" s="3"/>
      <c r="W172" s="3"/>
      <c r="X172" s="3"/>
      <c r="Y172" s="3"/>
      <c r="Z172" s="3"/>
    </row>
    <row r="173">
      <c r="A173" s="203" t="s">
        <v>3364</v>
      </c>
      <c r="B173" s="214">
        <v>45299.0</v>
      </c>
      <c r="C173" s="203" t="s">
        <v>649</v>
      </c>
      <c r="D173" s="203" t="s">
        <v>1065</v>
      </c>
      <c r="E173" s="214">
        <v>45299.0</v>
      </c>
      <c r="F173" s="203" t="b">
        <v>1</v>
      </c>
      <c r="G173" s="203" t="b">
        <v>1</v>
      </c>
      <c r="H173" s="203" t="b">
        <v>1</v>
      </c>
      <c r="I173" s="203" t="b">
        <v>1</v>
      </c>
      <c r="J173" s="203" t="s">
        <v>1065</v>
      </c>
      <c r="K173" s="203" t="s">
        <v>2862</v>
      </c>
      <c r="M173" s="3"/>
      <c r="N173" s="3"/>
      <c r="O173" s="3"/>
      <c r="P173" s="3"/>
      <c r="Q173" s="3"/>
      <c r="R173" s="3"/>
      <c r="S173" s="3"/>
      <c r="T173" s="3"/>
      <c r="U173" s="3"/>
      <c r="V173" s="3"/>
      <c r="W173" s="3"/>
      <c r="X173" s="3"/>
      <c r="Y173" s="3"/>
      <c r="Z173" s="3"/>
    </row>
    <row r="174">
      <c r="A174" s="124" t="s">
        <v>3365</v>
      </c>
      <c r="B174" s="422">
        <v>45299.0</v>
      </c>
      <c r="C174" s="124" t="s">
        <v>1370</v>
      </c>
      <c r="D174" s="425"/>
      <c r="E174" s="124" t="s">
        <v>3367</v>
      </c>
      <c r="F174" s="425" t="b">
        <v>0</v>
      </c>
      <c r="G174" s="425" t="b">
        <v>0</v>
      </c>
      <c r="H174" s="425" t="b">
        <v>0</v>
      </c>
      <c r="I174" s="425" t="b">
        <v>0</v>
      </c>
      <c r="J174" s="425"/>
      <c r="K174" s="132" t="s">
        <v>3368</v>
      </c>
      <c r="M174" s="3"/>
      <c r="N174" s="3"/>
      <c r="O174" s="3"/>
      <c r="P174" s="3"/>
      <c r="Q174" s="3"/>
      <c r="R174" s="3"/>
      <c r="S174" s="3"/>
      <c r="T174" s="3"/>
      <c r="U174" s="3"/>
      <c r="V174" s="3"/>
      <c r="W174" s="3"/>
      <c r="X174" s="3"/>
      <c r="Y174" s="3"/>
      <c r="Z174" s="3"/>
    </row>
    <row r="175">
      <c r="A175" s="124" t="s">
        <v>3369</v>
      </c>
      <c r="B175" s="422">
        <v>45301.0</v>
      </c>
      <c r="C175" s="124" t="s">
        <v>736</v>
      </c>
      <c r="D175" s="124" t="s">
        <v>1065</v>
      </c>
      <c r="E175" s="422">
        <v>45302.0</v>
      </c>
      <c r="F175" s="124" t="b">
        <v>1</v>
      </c>
      <c r="G175" s="124" t="b">
        <v>1</v>
      </c>
      <c r="H175" s="124" t="b">
        <v>1</v>
      </c>
      <c r="I175" s="124" t="b">
        <v>1</v>
      </c>
      <c r="J175" s="124" t="s">
        <v>1065</v>
      </c>
      <c r="K175" s="425"/>
      <c r="M175" s="3"/>
      <c r="N175" s="3"/>
      <c r="O175" s="3"/>
      <c r="P175" s="3"/>
      <c r="Q175" s="3"/>
      <c r="R175" s="3"/>
      <c r="S175" s="3"/>
      <c r="T175" s="3"/>
      <c r="U175" s="3"/>
      <c r="V175" s="3"/>
      <c r="W175" s="3"/>
      <c r="X175" s="3"/>
      <c r="Y175" s="3"/>
      <c r="Z175" s="3"/>
    </row>
    <row r="176">
      <c r="A176" s="124" t="s">
        <v>3373</v>
      </c>
      <c r="B176" s="422">
        <v>45301.0</v>
      </c>
      <c r="C176" s="124" t="s">
        <v>736</v>
      </c>
      <c r="D176" s="425"/>
      <c r="E176" s="124" t="s">
        <v>3232</v>
      </c>
      <c r="F176" s="425" t="b">
        <v>0</v>
      </c>
      <c r="G176" s="425" t="b">
        <v>0</v>
      </c>
      <c r="H176" s="425" t="b">
        <v>0</v>
      </c>
      <c r="I176" s="425" t="b">
        <v>0</v>
      </c>
      <c r="J176" s="425"/>
      <c r="K176" s="124" t="s">
        <v>3376</v>
      </c>
      <c r="M176" s="3"/>
      <c r="N176" s="3"/>
      <c r="O176" s="3"/>
      <c r="P176" s="3"/>
      <c r="Q176" s="3"/>
      <c r="R176" s="3"/>
      <c r="S176" s="3"/>
      <c r="T176" s="3"/>
      <c r="U176" s="3"/>
      <c r="V176" s="3"/>
      <c r="W176" s="3"/>
      <c r="X176" s="3"/>
      <c r="Y176" s="3"/>
      <c r="Z176" s="3"/>
    </row>
    <row r="177">
      <c r="A177" s="203" t="s">
        <v>3379</v>
      </c>
      <c r="B177" s="214">
        <v>45312.0</v>
      </c>
      <c r="C177" s="203" t="s">
        <v>3192</v>
      </c>
      <c r="D177" s="203" t="s">
        <v>1065</v>
      </c>
      <c r="E177" s="214">
        <v>45320.0</v>
      </c>
      <c r="F177" s="203" t="b">
        <v>1</v>
      </c>
      <c r="G177" s="203" t="b">
        <v>1</v>
      </c>
      <c r="H177" s="203" t="b">
        <v>1</v>
      </c>
      <c r="I177" s="203" t="b">
        <v>1</v>
      </c>
      <c r="J177" s="203" t="s">
        <v>1065</v>
      </c>
      <c r="K177" s="262"/>
      <c r="M177" s="3"/>
      <c r="N177" s="3"/>
      <c r="O177" s="3"/>
      <c r="P177" s="3"/>
      <c r="Q177" s="3"/>
      <c r="R177" s="3"/>
      <c r="S177" s="3"/>
      <c r="T177" s="3"/>
      <c r="U177" s="3"/>
      <c r="V177" s="3"/>
      <c r="W177" s="3"/>
      <c r="X177" s="3"/>
      <c r="Y177" s="3"/>
      <c r="Z177" s="3"/>
    </row>
    <row r="178">
      <c r="A178" s="203" t="s">
        <v>3387</v>
      </c>
      <c r="B178" s="214">
        <v>45321.0</v>
      </c>
      <c r="C178" s="203" t="s">
        <v>649</v>
      </c>
      <c r="D178" s="203" t="s">
        <v>1065</v>
      </c>
      <c r="E178" s="214">
        <v>45394.0</v>
      </c>
      <c r="F178" s="203" t="b">
        <v>1</v>
      </c>
      <c r="G178" s="203" t="b">
        <v>1</v>
      </c>
      <c r="H178" s="203" t="b">
        <v>1</v>
      </c>
      <c r="I178" s="203" t="b">
        <v>1</v>
      </c>
      <c r="J178" s="124" t="s">
        <v>1232</v>
      </c>
      <c r="K178" s="262"/>
      <c r="M178" s="3"/>
      <c r="N178" s="3"/>
      <c r="O178" s="3"/>
      <c r="P178" s="3"/>
      <c r="Q178" s="3"/>
      <c r="R178" s="3"/>
      <c r="S178" s="3"/>
      <c r="T178" s="3"/>
      <c r="U178" s="3"/>
      <c r="V178" s="3"/>
      <c r="W178" s="3"/>
      <c r="X178" s="3"/>
      <c r="Y178" s="3"/>
      <c r="Z178" s="3"/>
    </row>
    <row r="179">
      <c r="A179" s="203" t="s">
        <v>3391</v>
      </c>
      <c r="B179" s="250">
        <v>45321.0</v>
      </c>
      <c r="C179" s="203" t="s">
        <v>649</v>
      </c>
      <c r="D179" s="203" t="s">
        <v>1065</v>
      </c>
      <c r="E179" s="250">
        <v>45328.0</v>
      </c>
      <c r="F179" s="203" t="b">
        <v>1</v>
      </c>
      <c r="G179" s="203" t="b">
        <v>1</v>
      </c>
      <c r="H179" s="203" t="b">
        <v>1</v>
      </c>
      <c r="I179" s="203" t="b">
        <v>1</v>
      </c>
      <c r="J179" s="203" t="s">
        <v>1065</v>
      </c>
      <c r="K179" s="124" t="s">
        <v>3392</v>
      </c>
      <c r="M179" s="3"/>
      <c r="N179" s="3"/>
      <c r="O179" s="3"/>
      <c r="P179" s="3"/>
      <c r="Q179" s="3"/>
      <c r="R179" s="3"/>
      <c r="S179" s="3"/>
      <c r="T179" s="3"/>
      <c r="U179" s="3"/>
      <c r="V179" s="3"/>
      <c r="W179" s="3"/>
      <c r="X179" s="3"/>
      <c r="Y179" s="3"/>
      <c r="Z179" s="3"/>
    </row>
    <row r="180">
      <c r="A180" s="203" t="s">
        <v>3396</v>
      </c>
      <c r="B180" s="214">
        <v>45321.0</v>
      </c>
      <c r="C180" s="203" t="s">
        <v>1370</v>
      </c>
      <c r="D180" s="203" t="s">
        <v>1065</v>
      </c>
      <c r="E180" s="214">
        <v>45328.0</v>
      </c>
      <c r="F180" s="203" t="b">
        <v>1</v>
      </c>
      <c r="G180" s="203" t="b">
        <v>1</v>
      </c>
      <c r="H180" s="203" t="b">
        <v>1</v>
      </c>
      <c r="I180" s="203" t="b">
        <v>1</v>
      </c>
      <c r="J180" s="203" t="s">
        <v>1065</v>
      </c>
      <c r="K180" s="262"/>
      <c r="M180" s="3"/>
      <c r="N180" s="3"/>
      <c r="O180" s="3"/>
      <c r="P180" s="3"/>
      <c r="Q180" s="3"/>
      <c r="R180" s="3"/>
      <c r="S180" s="3"/>
      <c r="T180" s="3"/>
      <c r="U180" s="3"/>
      <c r="V180" s="3"/>
      <c r="W180" s="3"/>
      <c r="X180" s="3"/>
      <c r="Y180" s="3"/>
      <c r="Z180" s="3"/>
    </row>
    <row r="181">
      <c r="A181" s="124" t="s">
        <v>3399</v>
      </c>
      <c r="B181" s="422">
        <v>45321.0</v>
      </c>
      <c r="C181" s="124" t="s">
        <v>40</v>
      </c>
      <c r="D181" s="425"/>
      <c r="E181" s="422">
        <v>45322.0</v>
      </c>
      <c r="F181" s="425" t="b">
        <v>0</v>
      </c>
      <c r="G181" s="425" t="b">
        <v>0</v>
      </c>
      <c r="H181" s="425" t="b">
        <v>0</v>
      </c>
      <c r="I181" s="425" t="b">
        <v>0</v>
      </c>
      <c r="J181" s="425"/>
      <c r="K181" s="203" t="s">
        <v>2865</v>
      </c>
      <c r="M181" s="3"/>
      <c r="N181" s="3"/>
      <c r="O181" s="3"/>
      <c r="P181" s="3"/>
      <c r="Q181" s="3"/>
      <c r="R181" s="3"/>
      <c r="S181" s="3"/>
      <c r="T181" s="3"/>
      <c r="U181" s="3"/>
      <c r="V181" s="3"/>
      <c r="W181" s="3"/>
      <c r="X181" s="3"/>
      <c r="Y181" s="3"/>
      <c r="Z181" s="3"/>
    </row>
    <row r="182">
      <c r="A182" s="203" t="s">
        <v>3402</v>
      </c>
      <c r="B182" s="214">
        <v>45321.0</v>
      </c>
      <c r="C182" s="203" t="s">
        <v>1370</v>
      </c>
      <c r="D182" s="203" t="s">
        <v>1065</v>
      </c>
      <c r="E182" s="214">
        <v>45328.0</v>
      </c>
      <c r="F182" s="203" t="b">
        <v>1</v>
      </c>
      <c r="G182" s="203" t="b">
        <v>1</v>
      </c>
      <c r="H182" s="203" t="b">
        <v>1</v>
      </c>
      <c r="I182" s="203" t="b">
        <v>1</v>
      </c>
      <c r="J182" s="203" t="s">
        <v>1065</v>
      </c>
      <c r="K182" s="124" t="s">
        <v>3404</v>
      </c>
      <c r="M182" s="3"/>
      <c r="N182" s="3"/>
      <c r="O182" s="3"/>
      <c r="P182" s="3"/>
      <c r="Q182" s="3"/>
      <c r="R182" s="3"/>
      <c r="S182" s="3"/>
      <c r="T182" s="3"/>
      <c r="U182" s="3"/>
      <c r="V182" s="3"/>
      <c r="W182" s="3"/>
      <c r="X182" s="3"/>
      <c r="Y182" s="3"/>
      <c r="Z182" s="3"/>
    </row>
    <row r="183">
      <c r="A183" s="203" t="s">
        <v>3406</v>
      </c>
      <c r="B183" s="202">
        <v>45322.0</v>
      </c>
      <c r="C183" s="203" t="s">
        <v>736</v>
      </c>
      <c r="D183" s="203" t="s">
        <v>1065</v>
      </c>
      <c r="E183" s="250">
        <v>45331.0</v>
      </c>
      <c r="F183" s="203" t="b">
        <v>1</v>
      </c>
      <c r="G183" s="203" t="b">
        <v>1</v>
      </c>
      <c r="H183" s="203" t="b">
        <v>1</v>
      </c>
      <c r="I183" s="203" t="b">
        <v>1</v>
      </c>
      <c r="J183" s="203" t="s">
        <v>1065</v>
      </c>
      <c r="K183" s="203" t="s">
        <v>2862</v>
      </c>
      <c r="M183" s="3"/>
      <c r="N183" s="3"/>
      <c r="O183" s="3"/>
      <c r="P183" s="3"/>
      <c r="Q183" s="3"/>
      <c r="R183" s="3"/>
      <c r="S183" s="3"/>
      <c r="T183" s="3"/>
      <c r="U183" s="3"/>
      <c r="V183" s="3"/>
      <c r="W183" s="3"/>
      <c r="X183" s="3"/>
      <c r="Y183" s="3"/>
      <c r="Z183" s="3"/>
    </row>
    <row r="184">
      <c r="A184" s="203" t="s">
        <v>3409</v>
      </c>
      <c r="B184" s="202">
        <v>45322.0</v>
      </c>
      <c r="C184" s="203" t="s">
        <v>736</v>
      </c>
      <c r="D184" s="203" t="s">
        <v>1065</v>
      </c>
      <c r="E184" s="250">
        <v>45331.0</v>
      </c>
      <c r="F184" s="203" t="b">
        <v>1</v>
      </c>
      <c r="G184" s="203" t="b">
        <v>1</v>
      </c>
      <c r="H184" s="203" t="b">
        <v>1</v>
      </c>
      <c r="I184" s="203" t="b">
        <v>1</v>
      </c>
      <c r="J184" s="203" t="s">
        <v>1065</v>
      </c>
      <c r="K184" s="203" t="s">
        <v>3132</v>
      </c>
      <c r="O184" s="3"/>
      <c r="P184" s="3"/>
      <c r="Q184" s="3"/>
      <c r="R184" s="3"/>
      <c r="S184" s="3"/>
      <c r="T184" s="3"/>
      <c r="U184" s="3"/>
      <c r="V184" s="3"/>
      <c r="W184" s="3"/>
      <c r="X184" s="3"/>
      <c r="Y184" s="3"/>
      <c r="Z184" s="3"/>
    </row>
    <row r="185">
      <c r="A185" s="203" t="s">
        <v>3411</v>
      </c>
      <c r="B185" s="214">
        <v>45322.0</v>
      </c>
      <c r="C185" s="203" t="s">
        <v>40</v>
      </c>
      <c r="D185" s="203" t="s">
        <v>1065</v>
      </c>
      <c r="E185" s="214">
        <v>45330.0</v>
      </c>
      <c r="F185" s="203" t="b">
        <v>1</v>
      </c>
      <c r="G185" s="203" t="b">
        <v>1</v>
      </c>
      <c r="H185" s="203" t="b">
        <v>1</v>
      </c>
      <c r="I185" s="203" t="b">
        <v>1</v>
      </c>
      <c r="J185" s="203" t="s">
        <v>1232</v>
      </c>
      <c r="K185" s="203" t="s">
        <v>2865</v>
      </c>
      <c r="M185" s="3"/>
      <c r="N185" s="3"/>
      <c r="O185" s="3"/>
      <c r="P185" s="3"/>
      <c r="Q185" s="3"/>
      <c r="R185" s="3"/>
      <c r="S185" s="3"/>
      <c r="T185" s="3"/>
      <c r="U185" s="3"/>
      <c r="V185" s="3"/>
      <c r="W185" s="3"/>
      <c r="X185" s="3"/>
      <c r="Y185" s="3"/>
      <c r="Z185" s="3"/>
    </row>
    <row r="186">
      <c r="A186" s="203" t="s">
        <v>3413</v>
      </c>
      <c r="B186" s="202">
        <v>45327.0</v>
      </c>
      <c r="C186" s="203" t="s">
        <v>736</v>
      </c>
      <c r="D186" s="203" t="s">
        <v>1065</v>
      </c>
      <c r="E186" s="250">
        <v>45328.0</v>
      </c>
      <c r="F186" s="203" t="b">
        <v>1</v>
      </c>
      <c r="G186" s="203" t="b">
        <v>1</v>
      </c>
      <c r="H186" s="203" t="b">
        <v>1</v>
      </c>
      <c r="I186" s="203" t="b">
        <v>1</v>
      </c>
      <c r="J186" s="203" t="s">
        <v>1065</v>
      </c>
      <c r="K186" s="203" t="s">
        <v>3415</v>
      </c>
      <c r="M186" s="3"/>
      <c r="N186" s="3"/>
      <c r="O186" s="3"/>
      <c r="P186" s="3"/>
      <c r="Q186" s="3"/>
      <c r="R186" s="3"/>
      <c r="S186" s="3"/>
      <c r="T186" s="3"/>
      <c r="U186" s="3"/>
      <c r="V186" s="3"/>
      <c r="W186" s="3"/>
      <c r="X186" s="3"/>
      <c r="Y186" s="3"/>
      <c r="Z186" s="3"/>
    </row>
    <row r="187">
      <c r="A187" s="124" t="s">
        <v>3416</v>
      </c>
      <c r="B187" s="451">
        <v>45327.0</v>
      </c>
      <c r="C187" s="124" t="s">
        <v>736</v>
      </c>
      <c r="D187" s="124" t="s">
        <v>1065</v>
      </c>
      <c r="E187" s="428">
        <v>45335.0</v>
      </c>
      <c r="F187" s="124" t="b">
        <v>1</v>
      </c>
      <c r="G187" s="124" t="b">
        <v>1</v>
      </c>
      <c r="H187" s="124" t="b">
        <v>1</v>
      </c>
      <c r="I187" s="124" t="b">
        <v>1</v>
      </c>
      <c r="J187" s="124" t="s">
        <v>1065</v>
      </c>
      <c r="K187" s="455" t="s">
        <v>3418</v>
      </c>
      <c r="M187" s="3"/>
      <c r="N187" s="3"/>
      <c r="O187" s="3"/>
      <c r="P187" s="3"/>
      <c r="Q187" s="3"/>
      <c r="R187" s="3"/>
      <c r="S187" s="3"/>
      <c r="T187" s="3"/>
      <c r="U187" s="3"/>
      <c r="V187" s="3"/>
      <c r="W187" s="3"/>
      <c r="X187" s="3"/>
      <c r="Y187" s="3"/>
      <c r="Z187" s="3"/>
    </row>
    <row r="188">
      <c r="A188" s="203" t="s">
        <v>3420</v>
      </c>
      <c r="B188" s="202">
        <v>45329.0</v>
      </c>
      <c r="C188" s="203" t="s">
        <v>736</v>
      </c>
      <c r="D188" s="203" t="s">
        <v>1065</v>
      </c>
      <c r="E188" s="250">
        <v>45337.0</v>
      </c>
      <c r="F188" s="203" t="b">
        <v>1</v>
      </c>
      <c r="G188" s="203" t="b">
        <v>1</v>
      </c>
      <c r="H188" s="203" t="b">
        <v>1</v>
      </c>
      <c r="I188" s="203" t="b">
        <v>1</v>
      </c>
      <c r="J188" s="203" t="s">
        <v>1065</v>
      </c>
      <c r="K188" s="124" t="s">
        <v>3421</v>
      </c>
      <c r="M188" s="3"/>
      <c r="N188" s="3"/>
      <c r="O188" s="3"/>
      <c r="P188" s="3"/>
      <c r="Q188" s="3"/>
      <c r="R188" s="3"/>
      <c r="S188" s="3"/>
      <c r="T188" s="3"/>
      <c r="U188" s="3"/>
      <c r="V188" s="3"/>
      <c r="W188" s="3"/>
      <c r="X188" s="3"/>
      <c r="Y188" s="3"/>
      <c r="Z188" s="3"/>
    </row>
    <row r="189">
      <c r="A189" s="203" t="s">
        <v>3423</v>
      </c>
      <c r="B189" s="202">
        <v>45329.0</v>
      </c>
      <c r="C189" s="203" t="s">
        <v>736</v>
      </c>
      <c r="D189" s="203" t="s">
        <v>1065</v>
      </c>
      <c r="E189" s="250">
        <v>45345.0</v>
      </c>
      <c r="F189" s="203" t="b">
        <v>1</v>
      </c>
      <c r="G189" s="203" t="b">
        <v>1</v>
      </c>
      <c r="H189" s="203" t="b">
        <v>1</v>
      </c>
      <c r="I189" s="203" t="b">
        <v>1</v>
      </c>
      <c r="J189" s="203" t="s">
        <v>1065</v>
      </c>
      <c r="K189" s="124" t="s">
        <v>3425</v>
      </c>
      <c r="M189" s="3"/>
      <c r="N189" s="3"/>
      <c r="O189" s="3"/>
      <c r="P189" s="3"/>
      <c r="Q189" s="3"/>
      <c r="R189" s="3"/>
      <c r="S189" s="3"/>
      <c r="T189" s="3"/>
      <c r="U189" s="3"/>
      <c r="V189" s="3"/>
      <c r="W189" s="3"/>
      <c r="X189" s="3"/>
      <c r="Y189" s="3"/>
      <c r="Z189" s="3"/>
    </row>
    <row r="190">
      <c r="A190" s="203" t="s">
        <v>3427</v>
      </c>
      <c r="B190" s="202">
        <v>45329.0</v>
      </c>
      <c r="C190" s="203" t="s">
        <v>736</v>
      </c>
      <c r="D190" s="203" t="s">
        <v>1065</v>
      </c>
      <c r="E190" s="250">
        <v>45349.0</v>
      </c>
      <c r="F190" s="203" t="b">
        <v>1</v>
      </c>
      <c r="G190" s="203" t="b">
        <v>1</v>
      </c>
      <c r="H190" s="203" t="b">
        <v>1</v>
      </c>
      <c r="I190" s="203" t="b">
        <v>1</v>
      </c>
      <c r="J190" s="203" t="s">
        <v>1065</v>
      </c>
      <c r="K190" s="124" t="s">
        <v>3429</v>
      </c>
      <c r="L190" s="318"/>
      <c r="M190" s="425"/>
      <c r="N190" s="425"/>
      <c r="O190" s="425"/>
      <c r="P190" s="425"/>
      <c r="Q190" s="425"/>
      <c r="R190" s="425"/>
      <c r="S190" s="425"/>
      <c r="T190" s="425"/>
      <c r="U190" s="425"/>
      <c r="V190" s="425"/>
      <c r="W190" s="425"/>
      <c r="X190" s="425"/>
      <c r="Y190" s="425"/>
      <c r="Z190" s="425"/>
    </row>
    <row r="191">
      <c r="A191" s="445" t="s">
        <v>3431</v>
      </c>
      <c r="B191" s="422">
        <v>45329.0</v>
      </c>
      <c r="C191" s="124" t="s">
        <v>3432</v>
      </c>
      <c r="D191" s="425"/>
      <c r="E191" s="422">
        <v>45561.0</v>
      </c>
      <c r="F191" s="425" t="b">
        <v>0</v>
      </c>
      <c r="G191" s="425" t="b">
        <v>0</v>
      </c>
      <c r="H191" s="425" t="b">
        <v>0</v>
      </c>
      <c r="I191" s="124" t="b">
        <v>0</v>
      </c>
      <c r="J191" s="425"/>
      <c r="K191" s="364" t="s">
        <v>3092</v>
      </c>
      <c r="M191" s="3"/>
      <c r="N191" s="3"/>
      <c r="O191" s="3"/>
      <c r="P191" s="3"/>
      <c r="Q191" s="3"/>
      <c r="R191" s="3"/>
      <c r="S191" s="3"/>
      <c r="T191" s="3"/>
      <c r="U191" s="3"/>
      <c r="V191" s="3"/>
      <c r="W191" s="3"/>
      <c r="X191" s="3"/>
      <c r="Y191" s="3"/>
      <c r="Z191" s="3"/>
    </row>
    <row r="192">
      <c r="A192" s="124" t="s">
        <v>3434</v>
      </c>
      <c r="B192" s="451">
        <v>45329.0</v>
      </c>
      <c r="C192" s="124" t="s">
        <v>736</v>
      </c>
      <c r="D192" s="124" t="s">
        <v>1065</v>
      </c>
      <c r="E192" s="428">
        <v>45343.0</v>
      </c>
      <c r="F192" s="124" t="b">
        <v>1</v>
      </c>
      <c r="G192" s="124" t="b">
        <v>1</v>
      </c>
      <c r="H192" s="124" t="b">
        <v>1</v>
      </c>
      <c r="I192" s="124" t="b">
        <v>1</v>
      </c>
      <c r="J192" s="124" t="s">
        <v>1065</v>
      </c>
      <c r="K192" s="203" t="s">
        <v>3436</v>
      </c>
      <c r="M192" s="3"/>
      <c r="N192" s="3"/>
      <c r="O192" s="3"/>
      <c r="P192" s="3"/>
      <c r="Q192" s="3"/>
      <c r="R192" s="3"/>
      <c r="S192" s="3"/>
      <c r="T192" s="3"/>
      <c r="U192" s="3"/>
      <c r="V192" s="3"/>
      <c r="W192" s="3"/>
      <c r="X192" s="3"/>
      <c r="Y192" s="3"/>
      <c r="Z192" s="3"/>
    </row>
    <row r="193">
      <c r="A193" s="203" t="s">
        <v>3438</v>
      </c>
      <c r="B193" s="214">
        <v>45330.0</v>
      </c>
      <c r="C193" s="203" t="s">
        <v>1370</v>
      </c>
      <c r="D193" s="203" t="s">
        <v>1065</v>
      </c>
      <c r="E193" s="214">
        <v>45336.0</v>
      </c>
      <c r="F193" s="203" t="b">
        <v>1</v>
      </c>
      <c r="G193" s="203" t="b">
        <v>1</v>
      </c>
      <c r="H193" s="203" t="b">
        <v>1</v>
      </c>
      <c r="I193" s="203" t="b">
        <v>1</v>
      </c>
      <c r="J193" s="203" t="s">
        <v>1065</v>
      </c>
      <c r="K193" s="262"/>
      <c r="M193" s="3"/>
      <c r="N193" s="3"/>
      <c r="O193" s="3"/>
      <c r="P193" s="3"/>
      <c r="Q193" s="3"/>
      <c r="R193" s="3"/>
      <c r="S193" s="3"/>
      <c r="T193" s="3"/>
      <c r="U193" s="3"/>
      <c r="V193" s="3"/>
      <c r="W193" s="3"/>
      <c r="X193" s="3"/>
      <c r="Y193" s="3"/>
      <c r="Z193" s="3"/>
    </row>
    <row r="194">
      <c r="A194" s="203" t="s">
        <v>3441</v>
      </c>
      <c r="B194" s="214">
        <v>45331.0</v>
      </c>
      <c r="C194" s="203" t="s">
        <v>1370</v>
      </c>
      <c r="D194" s="203" t="s">
        <v>2858</v>
      </c>
      <c r="E194" s="214">
        <v>45337.0</v>
      </c>
      <c r="F194" s="262" t="b">
        <v>0</v>
      </c>
      <c r="G194" s="262" t="b">
        <v>0</v>
      </c>
      <c r="H194" s="262" t="b">
        <v>0</v>
      </c>
      <c r="I194" s="262" t="b">
        <v>0</v>
      </c>
      <c r="J194" s="203" t="s">
        <v>1065</v>
      </c>
      <c r="K194" s="262"/>
      <c r="M194" s="3"/>
      <c r="N194" s="3"/>
      <c r="O194" s="3"/>
      <c r="P194" s="3"/>
      <c r="Q194" s="3"/>
      <c r="R194" s="3"/>
      <c r="S194" s="3"/>
      <c r="T194" s="3"/>
      <c r="U194" s="3"/>
      <c r="V194" s="3"/>
      <c r="W194" s="3"/>
      <c r="X194" s="3"/>
      <c r="Y194" s="3"/>
      <c r="Z194" s="3"/>
    </row>
    <row r="195">
      <c r="A195" s="124" t="s">
        <v>3444</v>
      </c>
      <c r="B195" s="422">
        <v>45333.0</v>
      </c>
      <c r="C195" s="124" t="s">
        <v>3192</v>
      </c>
      <c r="D195" s="425"/>
      <c r="E195" s="422">
        <v>45336.0</v>
      </c>
      <c r="F195" s="425" t="b">
        <v>0</v>
      </c>
      <c r="G195" s="425" t="b">
        <v>0</v>
      </c>
      <c r="H195" s="425" t="b">
        <v>0</v>
      </c>
      <c r="I195" s="425" t="b">
        <v>0</v>
      </c>
      <c r="J195" s="425"/>
      <c r="K195" s="124" t="s">
        <v>3446</v>
      </c>
      <c r="M195" s="3"/>
      <c r="N195" s="3"/>
      <c r="O195" s="3"/>
      <c r="P195" s="3"/>
      <c r="Q195" s="3"/>
      <c r="R195" s="3"/>
      <c r="S195" s="3"/>
      <c r="T195" s="3"/>
      <c r="U195" s="3"/>
      <c r="V195" s="3"/>
      <c r="W195" s="3"/>
      <c r="X195" s="3"/>
      <c r="Y195" s="3"/>
      <c r="Z195" s="3"/>
    </row>
    <row r="196">
      <c r="A196" s="203" t="s">
        <v>3447</v>
      </c>
      <c r="B196" s="214">
        <v>45335.0</v>
      </c>
      <c r="C196" s="203" t="s">
        <v>649</v>
      </c>
      <c r="D196" s="203" t="s">
        <v>1065</v>
      </c>
      <c r="E196" s="214">
        <v>45336.0</v>
      </c>
      <c r="F196" s="203" t="b">
        <v>1</v>
      </c>
      <c r="G196" s="203" t="b">
        <v>1</v>
      </c>
      <c r="H196" s="203" t="b">
        <v>1</v>
      </c>
      <c r="I196" s="203" t="b">
        <v>1</v>
      </c>
      <c r="J196" s="203" t="s">
        <v>1065</v>
      </c>
      <c r="K196" s="262"/>
      <c r="M196" s="3"/>
      <c r="N196" s="3"/>
      <c r="O196" s="3"/>
      <c r="P196" s="3"/>
      <c r="Q196" s="3"/>
      <c r="R196" s="3"/>
      <c r="S196" s="3"/>
      <c r="T196" s="3"/>
      <c r="U196" s="3"/>
      <c r="V196" s="3"/>
      <c r="W196" s="3"/>
      <c r="X196" s="3"/>
      <c r="Y196" s="3"/>
      <c r="Z196" s="3"/>
    </row>
    <row r="197">
      <c r="A197" s="203" t="s">
        <v>3451</v>
      </c>
      <c r="B197" s="214">
        <v>45335.0</v>
      </c>
      <c r="C197" s="203" t="s">
        <v>40</v>
      </c>
      <c r="D197" s="203" t="s">
        <v>1065</v>
      </c>
      <c r="E197" s="214">
        <v>45343.0</v>
      </c>
      <c r="F197" s="203" t="b">
        <v>1</v>
      </c>
      <c r="G197" s="203" t="b">
        <v>1</v>
      </c>
      <c r="H197" s="203" t="b">
        <v>1</v>
      </c>
      <c r="I197" s="203" t="b">
        <v>1</v>
      </c>
      <c r="J197" s="203" t="s">
        <v>1065</v>
      </c>
      <c r="K197" s="203" t="s">
        <v>3092</v>
      </c>
      <c r="M197" s="3"/>
      <c r="N197" s="3"/>
      <c r="O197" s="3"/>
      <c r="P197" s="3"/>
      <c r="Q197" s="3"/>
      <c r="R197" s="3"/>
      <c r="S197" s="3"/>
      <c r="T197" s="3"/>
      <c r="U197" s="3"/>
      <c r="V197" s="3"/>
      <c r="W197" s="3"/>
      <c r="X197" s="3"/>
      <c r="Y197" s="3"/>
      <c r="Z197" s="3"/>
    </row>
    <row r="198">
      <c r="A198" s="124" t="s">
        <v>3452</v>
      </c>
      <c r="B198" s="451">
        <v>45341.0</v>
      </c>
      <c r="C198" s="124" t="s">
        <v>3192</v>
      </c>
      <c r="D198" s="425"/>
      <c r="E198" s="422">
        <v>45385.0</v>
      </c>
      <c r="F198" s="425" t="b">
        <v>0</v>
      </c>
      <c r="G198" s="425" t="b">
        <v>0</v>
      </c>
      <c r="H198" s="425" t="b">
        <v>0</v>
      </c>
      <c r="I198" s="124" t="b">
        <v>0</v>
      </c>
      <c r="J198" s="425"/>
      <c r="K198" s="124" t="s">
        <v>3184</v>
      </c>
      <c r="O198" s="3"/>
      <c r="P198" s="3"/>
      <c r="Q198" s="3"/>
      <c r="R198" s="3"/>
      <c r="S198" s="3"/>
      <c r="T198" s="3"/>
      <c r="U198" s="3"/>
      <c r="V198" s="3"/>
      <c r="W198" s="3"/>
      <c r="X198" s="3"/>
      <c r="Y198" s="3"/>
      <c r="Z198" s="3"/>
    </row>
    <row r="199">
      <c r="A199" s="445" t="s">
        <v>3456</v>
      </c>
      <c r="B199" s="422">
        <v>45342.0</v>
      </c>
      <c r="C199" s="124" t="s">
        <v>736</v>
      </c>
      <c r="D199" s="124" t="s">
        <v>3457</v>
      </c>
      <c r="E199" s="422">
        <v>45561.0</v>
      </c>
      <c r="F199" s="425" t="b">
        <v>0</v>
      </c>
      <c r="G199" s="425" t="b">
        <v>0</v>
      </c>
      <c r="H199" s="425" t="b">
        <v>0</v>
      </c>
      <c r="I199" s="124" t="b">
        <v>0</v>
      </c>
      <c r="J199" s="425"/>
      <c r="K199" s="203" t="s">
        <v>3132</v>
      </c>
      <c r="O199" s="3"/>
      <c r="P199" s="3"/>
      <c r="Q199" s="3"/>
      <c r="R199" s="3"/>
      <c r="S199" s="3"/>
      <c r="T199" s="3"/>
      <c r="U199" s="3"/>
      <c r="V199" s="3"/>
      <c r="W199" s="3"/>
      <c r="X199" s="3"/>
      <c r="Y199" s="3"/>
      <c r="Z199" s="3"/>
    </row>
    <row r="200">
      <c r="A200" s="203" t="s">
        <v>3459</v>
      </c>
      <c r="B200" s="214">
        <v>45343.0</v>
      </c>
      <c r="C200" s="203" t="s">
        <v>40</v>
      </c>
      <c r="D200" s="262"/>
      <c r="E200" s="214">
        <v>45384.0</v>
      </c>
      <c r="F200" s="203" t="b">
        <v>1</v>
      </c>
      <c r="G200" s="203" t="b">
        <v>1</v>
      </c>
      <c r="H200" s="203" t="b">
        <v>1</v>
      </c>
      <c r="I200" s="203" t="b">
        <v>1</v>
      </c>
      <c r="J200" s="203" t="s">
        <v>1065</v>
      </c>
      <c r="K200" s="203" t="s">
        <v>2862</v>
      </c>
      <c r="M200" s="3"/>
      <c r="N200" s="3"/>
      <c r="O200" s="3"/>
      <c r="P200" s="3"/>
      <c r="Q200" s="3"/>
      <c r="R200" s="3"/>
      <c r="S200" s="3"/>
      <c r="T200" s="3"/>
      <c r="U200" s="3"/>
      <c r="V200" s="3"/>
      <c r="W200" s="3"/>
      <c r="X200" s="3"/>
      <c r="Y200" s="3"/>
      <c r="Z200" s="3"/>
    </row>
    <row r="201">
      <c r="A201" s="203" t="s">
        <v>3463</v>
      </c>
      <c r="B201" s="214">
        <v>45343.0</v>
      </c>
      <c r="C201" s="203" t="s">
        <v>649</v>
      </c>
      <c r="D201" s="203" t="s">
        <v>2858</v>
      </c>
      <c r="E201" s="214">
        <v>45349.0</v>
      </c>
      <c r="F201" s="203" t="b">
        <v>1</v>
      </c>
      <c r="G201" s="203" t="b">
        <v>1</v>
      </c>
      <c r="H201" s="203" t="b">
        <v>1</v>
      </c>
      <c r="I201" s="203" t="b">
        <v>1</v>
      </c>
      <c r="J201" s="262"/>
      <c r="K201" s="427" t="s">
        <v>3468</v>
      </c>
      <c r="M201" s="3"/>
      <c r="N201" s="425"/>
      <c r="O201" s="132" t="s">
        <v>3470</v>
      </c>
      <c r="P201" s="3"/>
      <c r="S201" s="3"/>
      <c r="T201" s="3"/>
      <c r="U201" s="3"/>
      <c r="V201" s="3"/>
      <c r="W201" s="3"/>
      <c r="X201" s="3"/>
      <c r="Y201" s="3"/>
      <c r="Z201" s="3"/>
    </row>
    <row r="202">
      <c r="A202" s="203" t="s">
        <v>3471</v>
      </c>
      <c r="B202" s="250">
        <v>45347.0</v>
      </c>
      <c r="C202" s="203" t="s">
        <v>3192</v>
      </c>
      <c r="D202" s="203" t="s">
        <v>1065</v>
      </c>
      <c r="E202" s="250">
        <v>45352.0</v>
      </c>
      <c r="F202" s="203" t="b">
        <v>1</v>
      </c>
      <c r="G202" s="203" t="b">
        <v>1</v>
      </c>
      <c r="H202" s="203" t="b">
        <v>1</v>
      </c>
      <c r="I202" s="203" t="b">
        <v>1</v>
      </c>
      <c r="J202" s="203" t="s">
        <v>1065</v>
      </c>
      <c r="K202" s="427" t="s">
        <v>3473</v>
      </c>
      <c r="M202" s="3"/>
      <c r="N202" s="3"/>
      <c r="O202" s="3"/>
      <c r="P202" s="3"/>
      <c r="Q202" s="3"/>
      <c r="R202" s="3"/>
      <c r="S202" s="3"/>
      <c r="T202" s="3"/>
      <c r="U202" s="3"/>
      <c r="V202" s="3"/>
      <c r="W202" s="3"/>
      <c r="X202" s="3"/>
      <c r="Y202" s="3"/>
      <c r="Z202" s="3"/>
    </row>
    <row r="203">
      <c r="A203" s="124" t="s">
        <v>3474</v>
      </c>
      <c r="B203" s="422">
        <v>45355.0</v>
      </c>
      <c r="C203" s="124" t="s">
        <v>40</v>
      </c>
      <c r="D203" s="124" t="s">
        <v>2858</v>
      </c>
      <c r="E203" s="422">
        <v>45365.0</v>
      </c>
      <c r="F203" s="124" t="b">
        <v>1</v>
      </c>
      <c r="G203" s="124" t="b">
        <v>1</v>
      </c>
      <c r="H203" s="124" t="b">
        <v>1</v>
      </c>
      <c r="I203" s="124" t="b">
        <v>1</v>
      </c>
      <c r="J203" s="124" t="s">
        <v>1065</v>
      </c>
      <c r="K203" s="124" t="s">
        <v>3478</v>
      </c>
      <c r="M203" s="3"/>
      <c r="N203" s="3"/>
      <c r="O203" s="3"/>
      <c r="P203" s="3"/>
      <c r="Q203" s="3"/>
      <c r="R203" s="3"/>
      <c r="S203" s="3"/>
      <c r="T203" s="3"/>
      <c r="U203" s="3"/>
      <c r="V203" s="3"/>
      <c r="W203" s="3"/>
      <c r="X203" s="3"/>
      <c r="Y203" s="3"/>
      <c r="Z203" s="3"/>
    </row>
    <row r="204">
      <c r="A204" s="203" t="s">
        <v>3479</v>
      </c>
      <c r="B204" s="214">
        <v>45356.0</v>
      </c>
      <c r="C204" s="203" t="s">
        <v>40</v>
      </c>
      <c r="D204" s="203" t="s">
        <v>1065</v>
      </c>
      <c r="E204" s="214">
        <v>45383.0</v>
      </c>
      <c r="F204" s="203" t="b">
        <v>1</v>
      </c>
      <c r="G204" s="203" t="b">
        <v>1</v>
      </c>
      <c r="H204" s="203" t="b">
        <v>1</v>
      </c>
      <c r="I204" s="203" t="b">
        <v>1</v>
      </c>
      <c r="J204" s="203" t="s">
        <v>1065</v>
      </c>
      <c r="K204" s="124" t="s">
        <v>2862</v>
      </c>
      <c r="O204" s="3"/>
      <c r="P204" s="3"/>
      <c r="Q204" s="3"/>
      <c r="R204" s="3"/>
      <c r="S204" s="3"/>
      <c r="T204" s="3"/>
      <c r="U204" s="3"/>
      <c r="V204" s="3"/>
      <c r="W204" s="3"/>
      <c r="X204" s="3"/>
      <c r="Y204" s="3"/>
      <c r="Z204" s="3"/>
    </row>
    <row r="205">
      <c r="A205" s="203" t="s">
        <v>3481</v>
      </c>
      <c r="B205" s="214">
        <v>45356.0</v>
      </c>
      <c r="C205" s="203" t="s">
        <v>736</v>
      </c>
      <c r="D205" s="203" t="s">
        <v>1065</v>
      </c>
      <c r="E205" s="214">
        <v>45391.0</v>
      </c>
      <c r="F205" s="203" t="b">
        <v>1</v>
      </c>
      <c r="G205" s="203" t="b">
        <v>1</v>
      </c>
      <c r="H205" s="203" t="b">
        <v>1</v>
      </c>
      <c r="I205" s="203" t="b">
        <v>1</v>
      </c>
      <c r="J205" s="203" t="s">
        <v>1065</v>
      </c>
      <c r="K205" s="203" t="s">
        <v>2862</v>
      </c>
      <c r="M205" s="3"/>
      <c r="N205" s="3"/>
      <c r="O205" s="3"/>
      <c r="P205" s="3"/>
      <c r="Q205" s="3"/>
      <c r="R205" s="3"/>
      <c r="S205" s="3"/>
      <c r="T205" s="3"/>
      <c r="U205" s="3"/>
      <c r="V205" s="3"/>
      <c r="W205" s="3"/>
      <c r="X205" s="3"/>
      <c r="Y205" s="3"/>
      <c r="Z205" s="3"/>
    </row>
    <row r="206">
      <c r="A206" s="203" t="s">
        <v>3484</v>
      </c>
      <c r="B206" s="214">
        <v>45357.0</v>
      </c>
      <c r="C206" s="203" t="s">
        <v>736</v>
      </c>
      <c r="D206" s="203" t="s">
        <v>2858</v>
      </c>
      <c r="E206" s="214">
        <v>45364.0</v>
      </c>
      <c r="F206" s="203" t="b">
        <v>1</v>
      </c>
      <c r="G206" s="203" t="b">
        <v>1</v>
      </c>
      <c r="H206" s="203" t="b">
        <v>1</v>
      </c>
      <c r="I206" s="203" t="b">
        <v>1</v>
      </c>
      <c r="J206" s="203" t="s">
        <v>1065</v>
      </c>
      <c r="K206" s="203" t="s">
        <v>2862</v>
      </c>
      <c r="M206" s="3"/>
      <c r="N206" s="3"/>
      <c r="O206" s="3"/>
      <c r="P206" s="3"/>
      <c r="Q206" s="3"/>
      <c r="R206" s="3"/>
      <c r="S206" s="3"/>
      <c r="T206" s="3"/>
      <c r="U206" s="3"/>
      <c r="V206" s="3"/>
      <c r="W206" s="3"/>
      <c r="X206" s="3"/>
      <c r="Y206" s="3"/>
      <c r="Z206" s="3"/>
    </row>
    <row r="207">
      <c r="A207" s="124" t="s">
        <v>3488</v>
      </c>
      <c r="B207" s="422">
        <v>45357.0</v>
      </c>
      <c r="C207" s="124" t="s">
        <v>649</v>
      </c>
      <c r="D207" s="425"/>
      <c r="E207" s="124" t="s">
        <v>3166</v>
      </c>
      <c r="F207" s="425" t="b">
        <v>0</v>
      </c>
      <c r="G207" s="425" t="b">
        <v>0</v>
      </c>
      <c r="H207" s="425" t="b">
        <v>0</v>
      </c>
      <c r="I207" s="425" t="b">
        <v>0</v>
      </c>
      <c r="J207" s="425"/>
      <c r="K207" s="203" t="s">
        <v>2862</v>
      </c>
      <c r="O207" s="3"/>
      <c r="P207" s="3"/>
      <c r="Q207" s="3"/>
      <c r="R207" s="3"/>
      <c r="S207" s="3"/>
      <c r="T207" s="3"/>
      <c r="U207" s="3"/>
      <c r="V207" s="3"/>
      <c r="W207" s="3"/>
      <c r="X207" s="3"/>
      <c r="Y207" s="3"/>
      <c r="Z207" s="3"/>
    </row>
    <row r="208">
      <c r="A208" s="203" t="s">
        <v>3490</v>
      </c>
      <c r="B208" s="214">
        <v>45358.0</v>
      </c>
      <c r="C208" s="203" t="s">
        <v>736</v>
      </c>
      <c r="D208" s="203" t="s">
        <v>1065</v>
      </c>
      <c r="E208" s="214">
        <v>45394.0</v>
      </c>
      <c r="F208" s="203" t="b">
        <v>1</v>
      </c>
      <c r="G208" s="203" t="b">
        <v>1</v>
      </c>
      <c r="H208" s="203" t="b">
        <v>1</v>
      </c>
      <c r="I208" s="203" t="b">
        <v>1</v>
      </c>
      <c r="J208" s="203" t="s">
        <v>1065</v>
      </c>
      <c r="K208" s="203" t="s">
        <v>2862</v>
      </c>
      <c r="M208" s="3"/>
      <c r="N208" s="3"/>
      <c r="O208" s="3"/>
      <c r="P208" s="3"/>
      <c r="Q208" s="3"/>
      <c r="R208" s="3"/>
      <c r="S208" s="3"/>
      <c r="T208" s="3"/>
      <c r="U208" s="3"/>
      <c r="V208" s="3"/>
      <c r="W208" s="3"/>
      <c r="X208" s="3"/>
      <c r="Y208" s="3"/>
      <c r="Z208" s="3"/>
    </row>
    <row r="209">
      <c r="A209" s="203" t="s">
        <v>3494</v>
      </c>
      <c r="B209" s="214">
        <v>45358.0</v>
      </c>
      <c r="C209" s="203" t="s">
        <v>736</v>
      </c>
      <c r="D209" s="203" t="s">
        <v>2858</v>
      </c>
      <c r="E209" s="214">
        <v>45362.0</v>
      </c>
      <c r="F209" s="203" t="b">
        <v>1</v>
      </c>
      <c r="G209" s="203" t="b">
        <v>1</v>
      </c>
      <c r="H209" s="203" t="b">
        <v>1</v>
      </c>
      <c r="I209" s="203" t="b">
        <v>1</v>
      </c>
      <c r="J209" s="203" t="s">
        <v>2858</v>
      </c>
      <c r="K209" s="424" t="s">
        <v>3497</v>
      </c>
      <c r="M209" s="3"/>
      <c r="N209" s="3"/>
      <c r="O209" s="3"/>
      <c r="P209" s="3"/>
      <c r="Q209" s="3"/>
      <c r="R209" s="3"/>
      <c r="S209" s="3"/>
      <c r="T209" s="3"/>
      <c r="U209" s="3"/>
      <c r="V209" s="3"/>
      <c r="W209" s="3"/>
      <c r="X209" s="3"/>
      <c r="Y209" s="3"/>
      <c r="Z209" s="3"/>
    </row>
    <row r="210">
      <c r="A210" s="124" t="s">
        <v>3498</v>
      </c>
      <c r="B210" s="422">
        <v>45362.0</v>
      </c>
      <c r="C210" s="124" t="s">
        <v>2954</v>
      </c>
      <c r="D210" s="425"/>
      <c r="E210" s="422">
        <v>45373.0</v>
      </c>
      <c r="F210" s="425" t="b">
        <v>0</v>
      </c>
      <c r="G210" s="425" t="b">
        <v>0</v>
      </c>
      <c r="H210" s="425" t="b">
        <v>0</v>
      </c>
      <c r="I210" s="425" t="b">
        <v>0</v>
      </c>
      <c r="J210" s="425"/>
      <c r="K210" s="124" t="s">
        <v>3499</v>
      </c>
      <c r="M210" s="3"/>
      <c r="N210" s="3"/>
      <c r="O210" s="3"/>
      <c r="P210" s="3"/>
      <c r="Q210" s="3"/>
      <c r="R210" s="3"/>
      <c r="S210" s="3"/>
      <c r="T210" s="3"/>
      <c r="U210" s="3"/>
      <c r="V210" s="3"/>
      <c r="W210" s="3"/>
      <c r="X210" s="3"/>
      <c r="Y210" s="3"/>
      <c r="Z210" s="3"/>
    </row>
    <row r="211">
      <c r="A211" s="124" t="s">
        <v>3500</v>
      </c>
      <c r="B211" s="422">
        <v>45362.0</v>
      </c>
      <c r="C211" s="124" t="s">
        <v>40</v>
      </c>
      <c r="D211" s="425"/>
      <c r="E211" s="422">
        <v>45371.0</v>
      </c>
      <c r="F211" s="425" t="b">
        <v>0</v>
      </c>
      <c r="G211" s="425" t="b">
        <v>0</v>
      </c>
      <c r="H211" s="425" t="b">
        <v>0</v>
      </c>
      <c r="I211" s="425" t="b">
        <v>0</v>
      </c>
      <c r="J211" s="425"/>
      <c r="K211" s="427" t="s">
        <v>3501</v>
      </c>
      <c r="O211" s="3"/>
      <c r="P211" s="3"/>
      <c r="Q211" s="3"/>
      <c r="R211" s="3"/>
      <c r="S211" s="3"/>
      <c r="T211" s="3"/>
      <c r="U211" s="3"/>
      <c r="V211" s="3"/>
      <c r="W211" s="3"/>
      <c r="X211" s="3"/>
      <c r="Y211" s="3"/>
      <c r="Z211" s="3"/>
    </row>
    <row r="212">
      <c r="A212" s="203" t="s">
        <v>3503</v>
      </c>
      <c r="B212" s="214">
        <v>45363.0</v>
      </c>
      <c r="C212" s="203" t="s">
        <v>736</v>
      </c>
      <c r="D212" s="203" t="s">
        <v>2858</v>
      </c>
      <c r="E212" s="214">
        <v>45370.0</v>
      </c>
      <c r="F212" s="203" t="b">
        <v>1</v>
      </c>
      <c r="G212" s="203" t="b">
        <v>1</v>
      </c>
      <c r="H212" s="203" t="b">
        <v>1</v>
      </c>
      <c r="I212" s="203" t="b">
        <v>1</v>
      </c>
      <c r="J212" s="203" t="s">
        <v>2858</v>
      </c>
      <c r="K212" s="124" t="s">
        <v>3504</v>
      </c>
      <c r="O212" s="3"/>
      <c r="P212" s="3"/>
      <c r="Q212" s="3"/>
      <c r="R212" s="3"/>
      <c r="S212" s="3"/>
      <c r="T212" s="3"/>
      <c r="U212" s="3"/>
      <c r="V212" s="3"/>
      <c r="W212" s="3"/>
      <c r="X212" s="3"/>
      <c r="Y212" s="3"/>
      <c r="Z212" s="3"/>
    </row>
    <row r="213">
      <c r="A213" s="124" t="s">
        <v>3505</v>
      </c>
      <c r="B213" s="422">
        <v>45365.0</v>
      </c>
      <c r="C213" s="124" t="s">
        <v>2954</v>
      </c>
      <c r="D213" s="425"/>
      <c r="E213" s="422">
        <v>45385.0</v>
      </c>
      <c r="F213" s="425" t="b">
        <v>0</v>
      </c>
      <c r="G213" s="425" t="b">
        <v>0</v>
      </c>
      <c r="H213" s="425" t="b">
        <v>0</v>
      </c>
      <c r="I213" s="425" t="b">
        <v>0</v>
      </c>
      <c r="J213" s="425"/>
      <c r="K213" s="424" t="s">
        <v>3506</v>
      </c>
      <c r="O213" s="3"/>
      <c r="P213" s="3"/>
      <c r="Q213" s="3"/>
      <c r="R213" s="3"/>
      <c r="S213" s="3"/>
      <c r="T213" s="3"/>
      <c r="U213" s="3"/>
      <c r="V213" s="3"/>
      <c r="W213" s="3"/>
      <c r="X213" s="3"/>
      <c r="Y213" s="3"/>
      <c r="Z213" s="3"/>
    </row>
    <row r="214">
      <c r="A214" s="124" t="s">
        <v>3508</v>
      </c>
      <c r="B214" s="422">
        <v>45365.0</v>
      </c>
      <c r="C214" s="124" t="s">
        <v>649</v>
      </c>
      <c r="D214" s="425"/>
      <c r="E214" s="124" t="s">
        <v>3509</v>
      </c>
      <c r="F214" s="425" t="b">
        <v>0</v>
      </c>
      <c r="G214" s="425" t="b">
        <v>0</v>
      </c>
      <c r="H214" s="425" t="b">
        <v>0</v>
      </c>
      <c r="I214" s="425" t="b">
        <v>0</v>
      </c>
      <c r="J214" s="425"/>
      <c r="K214" s="203" t="s">
        <v>2862</v>
      </c>
      <c r="M214" s="3"/>
      <c r="N214" s="3"/>
      <c r="O214" s="3"/>
      <c r="P214" s="3"/>
      <c r="Q214" s="3"/>
      <c r="R214" s="3"/>
      <c r="S214" s="3"/>
      <c r="T214" s="3"/>
      <c r="U214" s="3"/>
      <c r="V214" s="3"/>
      <c r="W214" s="3"/>
      <c r="X214" s="3"/>
      <c r="Y214" s="3"/>
      <c r="Z214" s="3"/>
    </row>
    <row r="215">
      <c r="A215" s="203" t="s">
        <v>3510</v>
      </c>
      <c r="B215" s="214">
        <v>45366.0</v>
      </c>
      <c r="C215" s="203" t="s">
        <v>649</v>
      </c>
      <c r="D215" s="262"/>
      <c r="E215" s="214">
        <v>45372.0</v>
      </c>
      <c r="F215" s="203" t="b">
        <v>1</v>
      </c>
      <c r="G215" s="203" t="b">
        <v>1</v>
      </c>
      <c r="H215" s="203" t="b">
        <v>1</v>
      </c>
      <c r="I215" s="203" t="b">
        <v>1</v>
      </c>
      <c r="J215" s="203" t="s">
        <v>1065</v>
      </c>
      <c r="K215" s="124" t="s">
        <v>3511</v>
      </c>
      <c r="M215" s="3"/>
      <c r="N215" s="3"/>
      <c r="O215" s="3"/>
      <c r="P215" s="3"/>
      <c r="Q215" s="3"/>
      <c r="R215" s="3"/>
      <c r="S215" s="3"/>
      <c r="T215" s="3"/>
      <c r="U215" s="3"/>
      <c r="V215" s="3"/>
      <c r="W215" s="3"/>
      <c r="X215" s="3"/>
      <c r="Y215" s="3"/>
      <c r="Z215" s="3"/>
    </row>
    <row r="216">
      <c r="A216" s="124" t="s">
        <v>3512</v>
      </c>
      <c r="B216" s="422">
        <v>45366.0</v>
      </c>
      <c r="C216" s="124" t="s">
        <v>649</v>
      </c>
      <c r="D216" s="425"/>
      <c r="E216" s="422">
        <v>45398.0</v>
      </c>
      <c r="F216" s="425" t="b">
        <v>0</v>
      </c>
      <c r="G216" s="425" t="b">
        <v>0</v>
      </c>
      <c r="H216" s="425" t="b">
        <v>0</v>
      </c>
      <c r="I216" s="425" t="b">
        <v>0</v>
      </c>
      <c r="J216" s="425"/>
      <c r="K216" s="424" t="s">
        <v>3513</v>
      </c>
      <c r="M216" s="3"/>
      <c r="N216" s="3"/>
      <c r="O216" s="3"/>
      <c r="P216" s="3"/>
      <c r="Q216" s="3"/>
      <c r="R216" s="3"/>
      <c r="S216" s="3"/>
      <c r="T216" s="3"/>
      <c r="U216" s="3"/>
      <c r="V216" s="3"/>
      <c r="W216" s="3"/>
      <c r="X216" s="3"/>
      <c r="Y216" s="3"/>
      <c r="Z216" s="3"/>
    </row>
    <row r="217">
      <c r="A217" s="203" t="s">
        <v>3514</v>
      </c>
      <c r="B217" s="214">
        <v>45369.0</v>
      </c>
      <c r="C217" s="203" t="s">
        <v>736</v>
      </c>
      <c r="D217" s="203" t="s">
        <v>1065</v>
      </c>
      <c r="E217" s="214">
        <v>45378.0</v>
      </c>
      <c r="F217" s="203" t="b">
        <v>1</v>
      </c>
      <c r="G217" s="203" t="b">
        <v>1</v>
      </c>
      <c r="H217" s="203" t="b">
        <v>1</v>
      </c>
      <c r="I217" s="203" t="b">
        <v>1</v>
      </c>
      <c r="J217" s="203" t="s">
        <v>1065</v>
      </c>
      <c r="K217" s="203" t="s">
        <v>2862</v>
      </c>
      <c r="M217" s="3"/>
      <c r="N217" s="3"/>
      <c r="O217" s="3"/>
      <c r="P217" s="3"/>
      <c r="Q217" s="3"/>
      <c r="R217" s="3"/>
      <c r="S217" s="3"/>
      <c r="T217" s="3"/>
      <c r="U217" s="3"/>
      <c r="V217" s="3"/>
      <c r="W217" s="3"/>
      <c r="X217" s="3"/>
      <c r="Y217" s="3"/>
      <c r="Z217" s="3"/>
    </row>
    <row r="218">
      <c r="A218" s="203" t="s">
        <v>3515</v>
      </c>
      <c r="B218" s="214">
        <v>45373.0</v>
      </c>
      <c r="C218" s="203" t="s">
        <v>736</v>
      </c>
      <c r="D218" s="262"/>
      <c r="E218" s="214">
        <v>45386.0</v>
      </c>
      <c r="F218" s="203" t="b">
        <v>1</v>
      </c>
      <c r="G218" s="203" t="b">
        <v>1</v>
      </c>
      <c r="H218" s="203" t="b">
        <v>1</v>
      </c>
      <c r="I218" s="203" t="b">
        <v>1</v>
      </c>
      <c r="J218" s="203" t="s">
        <v>1065</v>
      </c>
      <c r="K218" s="442" t="s">
        <v>3516</v>
      </c>
      <c r="M218" s="3"/>
      <c r="N218" s="3"/>
      <c r="O218" s="3"/>
      <c r="P218" s="3"/>
      <c r="Q218" s="3"/>
      <c r="R218" s="3"/>
      <c r="S218" s="3"/>
      <c r="T218" s="3"/>
      <c r="U218" s="3"/>
      <c r="V218" s="3"/>
      <c r="W218" s="3"/>
      <c r="X218" s="3"/>
      <c r="Y218" s="3"/>
      <c r="Z218" s="3"/>
    </row>
    <row r="219">
      <c r="A219" s="203" t="s">
        <v>3517</v>
      </c>
      <c r="B219" s="214">
        <v>45376.0</v>
      </c>
      <c r="C219" s="203" t="s">
        <v>625</v>
      </c>
      <c r="D219" s="203" t="s">
        <v>1065</v>
      </c>
      <c r="E219" s="214">
        <v>45380.0</v>
      </c>
      <c r="F219" s="203" t="b">
        <v>1</v>
      </c>
      <c r="G219" s="203" t="b">
        <v>1</v>
      </c>
      <c r="H219" s="203" t="b">
        <v>1</v>
      </c>
      <c r="I219" s="203" t="b">
        <v>1</v>
      </c>
      <c r="J219" s="203" t="s">
        <v>1065</v>
      </c>
      <c r="K219" s="124" t="s">
        <v>3518</v>
      </c>
      <c r="O219" s="3"/>
      <c r="P219" s="3"/>
      <c r="Q219" s="3"/>
      <c r="R219" s="3"/>
      <c r="S219" s="3"/>
      <c r="T219" s="3"/>
      <c r="U219" s="3"/>
      <c r="V219" s="3"/>
      <c r="W219" s="3"/>
      <c r="X219" s="3"/>
      <c r="Y219" s="3"/>
      <c r="Z219" s="3"/>
    </row>
    <row r="220">
      <c r="A220" s="203" t="s">
        <v>3519</v>
      </c>
      <c r="B220" s="214">
        <v>45377.0</v>
      </c>
      <c r="C220" s="203" t="s">
        <v>625</v>
      </c>
      <c r="D220" s="203" t="s">
        <v>1065</v>
      </c>
      <c r="E220" s="214">
        <v>45391.0</v>
      </c>
      <c r="F220" s="203" t="b">
        <v>1</v>
      </c>
      <c r="G220" s="203" t="b">
        <v>1</v>
      </c>
      <c r="H220" s="203" t="b">
        <v>1</v>
      </c>
      <c r="I220" s="203" t="b">
        <v>1</v>
      </c>
      <c r="J220" s="203" t="s">
        <v>1065</v>
      </c>
      <c r="K220" s="424" t="s">
        <v>3520</v>
      </c>
      <c r="M220" s="3"/>
      <c r="N220" s="3"/>
      <c r="O220" s="3"/>
      <c r="P220" s="3"/>
      <c r="Q220" s="3"/>
      <c r="R220" s="3"/>
      <c r="S220" s="3"/>
      <c r="T220" s="3"/>
      <c r="U220" s="3"/>
      <c r="V220" s="3"/>
      <c r="W220" s="3"/>
      <c r="X220" s="3"/>
      <c r="Y220" s="3"/>
      <c r="Z220" s="3"/>
    </row>
    <row r="221">
      <c r="A221" s="203" t="s">
        <v>3521</v>
      </c>
      <c r="B221" s="214">
        <v>45377.0</v>
      </c>
      <c r="C221" s="203" t="s">
        <v>28</v>
      </c>
      <c r="D221" s="203" t="s">
        <v>1065</v>
      </c>
      <c r="E221" s="214">
        <v>45397.0</v>
      </c>
      <c r="F221" s="203" t="b">
        <v>1</v>
      </c>
      <c r="G221" s="203" t="b">
        <v>1</v>
      </c>
      <c r="H221" s="203" t="b">
        <v>1</v>
      </c>
      <c r="I221" s="203" t="b">
        <v>1</v>
      </c>
      <c r="J221" s="203" t="s">
        <v>1065</v>
      </c>
      <c r="K221" s="124" t="s">
        <v>3522</v>
      </c>
      <c r="M221" s="3"/>
      <c r="N221" s="3"/>
      <c r="O221" s="3"/>
      <c r="P221" s="3"/>
      <c r="Q221" s="3"/>
      <c r="R221" s="3"/>
      <c r="S221" s="3"/>
      <c r="T221" s="3"/>
      <c r="U221" s="3"/>
      <c r="V221" s="3"/>
      <c r="W221" s="3"/>
      <c r="X221" s="3"/>
      <c r="Y221" s="3"/>
      <c r="Z221" s="3"/>
    </row>
    <row r="222">
      <c r="A222" s="124" t="s">
        <v>3523</v>
      </c>
      <c r="B222" s="422">
        <v>45378.0</v>
      </c>
      <c r="C222" s="124" t="s">
        <v>625</v>
      </c>
      <c r="D222" s="124"/>
      <c r="E222" s="124" t="s">
        <v>3166</v>
      </c>
      <c r="F222" s="124" t="b">
        <v>0</v>
      </c>
      <c r="G222" s="124" t="b">
        <v>0</v>
      </c>
      <c r="H222" s="124" t="b">
        <v>0</v>
      </c>
      <c r="I222" s="124" t="b">
        <v>0</v>
      </c>
      <c r="J222" s="124"/>
      <c r="K222" s="124" t="s">
        <v>2862</v>
      </c>
      <c r="M222" s="3"/>
      <c r="N222" s="3"/>
      <c r="O222" s="3"/>
      <c r="P222" s="3"/>
      <c r="Q222" s="3"/>
      <c r="R222" s="3"/>
      <c r="S222" s="3"/>
      <c r="T222" s="3"/>
      <c r="U222" s="3"/>
      <c r="V222" s="3"/>
      <c r="W222" s="3"/>
      <c r="X222" s="3"/>
      <c r="Y222" s="3"/>
      <c r="Z222" s="3"/>
    </row>
    <row r="223">
      <c r="A223" s="203" t="s">
        <v>3524</v>
      </c>
      <c r="B223" s="214">
        <v>45379.0</v>
      </c>
      <c r="C223" s="203" t="s">
        <v>28</v>
      </c>
      <c r="D223" s="203" t="s">
        <v>1065</v>
      </c>
      <c r="E223" s="214">
        <v>45383.0</v>
      </c>
      <c r="F223" s="203" t="b">
        <v>1</v>
      </c>
      <c r="G223" s="203" t="b">
        <v>1</v>
      </c>
      <c r="H223" s="203" t="b">
        <v>1</v>
      </c>
      <c r="I223" s="203" t="b">
        <v>1</v>
      </c>
      <c r="J223" s="203" t="s">
        <v>1065</v>
      </c>
      <c r="K223" s="203" t="s">
        <v>2862</v>
      </c>
      <c r="M223" s="3"/>
      <c r="N223" s="3"/>
      <c r="O223" s="3"/>
      <c r="P223" s="3"/>
      <c r="Q223" s="3"/>
      <c r="R223" s="3"/>
      <c r="S223" s="3"/>
      <c r="T223" s="3"/>
      <c r="U223" s="3"/>
      <c r="V223" s="3"/>
      <c r="W223" s="3"/>
      <c r="X223" s="3"/>
      <c r="Y223" s="3"/>
      <c r="Z223" s="3"/>
    </row>
    <row r="224">
      <c r="A224" s="203" t="s">
        <v>3525</v>
      </c>
      <c r="B224" s="214">
        <v>45380.0</v>
      </c>
      <c r="C224" s="203" t="s">
        <v>736</v>
      </c>
      <c r="D224" s="203" t="s">
        <v>1065</v>
      </c>
      <c r="E224" s="214">
        <v>45385.0</v>
      </c>
      <c r="F224" s="203" t="b">
        <v>1</v>
      </c>
      <c r="G224" s="203" t="b">
        <v>1</v>
      </c>
      <c r="H224" s="203" t="b">
        <v>1</v>
      </c>
      <c r="I224" s="203" t="b">
        <v>1</v>
      </c>
      <c r="J224" s="203" t="s">
        <v>1065</v>
      </c>
      <c r="K224" s="124" t="s">
        <v>3526</v>
      </c>
      <c r="M224" s="3"/>
      <c r="N224" s="3"/>
      <c r="O224" s="3"/>
      <c r="P224" s="3"/>
      <c r="Q224" s="3"/>
      <c r="R224" s="3"/>
      <c r="S224" s="3"/>
      <c r="T224" s="3"/>
      <c r="U224" s="3"/>
      <c r="V224" s="3"/>
      <c r="W224" s="3"/>
      <c r="X224" s="3"/>
      <c r="Y224" s="3"/>
      <c r="Z224" s="3"/>
    </row>
    <row r="225">
      <c r="A225" s="203" t="s">
        <v>3527</v>
      </c>
      <c r="B225" s="214">
        <v>45383.0</v>
      </c>
      <c r="C225" s="203" t="s">
        <v>736</v>
      </c>
      <c r="D225" s="203" t="s">
        <v>1065</v>
      </c>
      <c r="E225" s="214">
        <v>45390.0</v>
      </c>
      <c r="F225" s="203" t="b">
        <v>1</v>
      </c>
      <c r="G225" s="203" t="b">
        <v>1</v>
      </c>
      <c r="H225" s="203" t="b">
        <v>1</v>
      </c>
      <c r="I225" s="203" t="b">
        <v>1</v>
      </c>
      <c r="J225" s="203" t="s">
        <v>1065</v>
      </c>
      <c r="K225" s="442" t="s">
        <v>3528</v>
      </c>
      <c r="M225" s="3"/>
      <c r="N225" s="3"/>
      <c r="O225" s="3"/>
      <c r="P225" s="3"/>
      <c r="Q225" s="3"/>
      <c r="R225" s="3"/>
      <c r="S225" s="3"/>
      <c r="T225" s="3"/>
      <c r="U225" s="3"/>
      <c r="V225" s="3"/>
      <c r="W225" s="3"/>
      <c r="X225" s="3"/>
      <c r="Y225" s="3"/>
      <c r="Z225" s="3"/>
    </row>
    <row r="226">
      <c r="A226" s="124" t="s">
        <v>3529</v>
      </c>
      <c r="B226" s="451">
        <v>45384.0</v>
      </c>
      <c r="C226" s="124" t="s">
        <v>625</v>
      </c>
      <c r="D226" s="124" t="s">
        <v>3466</v>
      </c>
      <c r="E226" s="451">
        <v>45407.0</v>
      </c>
      <c r="F226" s="425" t="b">
        <v>0</v>
      </c>
      <c r="G226" s="425" t="b">
        <v>0</v>
      </c>
      <c r="H226" s="425" t="b">
        <v>0</v>
      </c>
      <c r="I226" s="425" t="b">
        <v>0</v>
      </c>
      <c r="J226" s="425"/>
      <c r="K226" s="424" t="s">
        <v>3530</v>
      </c>
      <c r="M226" s="3"/>
      <c r="N226" s="3"/>
      <c r="O226" s="3"/>
      <c r="P226" s="3"/>
      <c r="Q226" s="3"/>
      <c r="R226" s="3"/>
      <c r="S226" s="3"/>
      <c r="T226" s="3"/>
      <c r="U226" s="3"/>
      <c r="V226" s="3"/>
      <c r="W226" s="3"/>
      <c r="X226" s="3"/>
      <c r="Y226" s="3"/>
      <c r="Z226" s="3"/>
    </row>
    <row r="227">
      <c r="A227" s="203" t="s">
        <v>3531</v>
      </c>
      <c r="B227" s="202">
        <v>45384.0</v>
      </c>
      <c r="C227" s="203" t="s">
        <v>28</v>
      </c>
      <c r="D227" s="262"/>
      <c r="E227" s="202">
        <v>45392.0</v>
      </c>
      <c r="F227" s="203" t="b">
        <v>1</v>
      </c>
      <c r="G227" s="203" t="b">
        <v>1</v>
      </c>
      <c r="H227" s="203" t="b">
        <v>1</v>
      </c>
      <c r="I227" s="203" t="b">
        <v>1</v>
      </c>
      <c r="J227" s="262"/>
      <c r="K227" s="203" t="s">
        <v>2862</v>
      </c>
      <c r="M227" s="3"/>
      <c r="N227" s="3"/>
      <c r="O227" s="3"/>
      <c r="P227" s="3"/>
      <c r="Q227" s="3"/>
      <c r="R227" s="3"/>
      <c r="S227" s="3"/>
      <c r="T227" s="3"/>
      <c r="U227" s="3"/>
      <c r="V227" s="3"/>
      <c r="W227" s="3"/>
      <c r="X227" s="3"/>
      <c r="Y227" s="3"/>
      <c r="Z227" s="3"/>
    </row>
    <row r="228">
      <c r="A228" s="203" t="s">
        <v>3532</v>
      </c>
      <c r="B228" s="214">
        <v>45385.0</v>
      </c>
      <c r="C228" s="203" t="s">
        <v>736</v>
      </c>
      <c r="D228" s="203" t="s">
        <v>1065</v>
      </c>
      <c r="E228" s="214">
        <v>45392.0</v>
      </c>
      <c r="F228" s="203" t="b">
        <v>1</v>
      </c>
      <c r="G228" s="203" t="b">
        <v>1</v>
      </c>
      <c r="H228" s="203" t="b">
        <v>1</v>
      </c>
      <c r="I228" s="203" t="b">
        <v>1</v>
      </c>
      <c r="J228" s="203" t="s">
        <v>1065</v>
      </c>
      <c r="K228" s="424" t="s">
        <v>3533</v>
      </c>
      <c r="M228" s="3"/>
      <c r="N228" s="3"/>
      <c r="O228" s="3"/>
      <c r="P228" s="3"/>
      <c r="Q228" s="3"/>
      <c r="R228" s="3"/>
      <c r="S228" s="3"/>
      <c r="T228" s="3"/>
      <c r="U228" s="3"/>
      <c r="V228" s="3"/>
      <c r="W228" s="3"/>
      <c r="X228" s="3"/>
      <c r="Y228" s="3"/>
      <c r="Z228" s="3"/>
    </row>
    <row r="229">
      <c r="A229" s="203" t="s">
        <v>3534</v>
      </c>
      <c r="B229" s="214">
        <v>45387.0</v>
      </c>
      <c r="C229" s="203" t="s">
        <v>40</v>
      </c>
      <c r="D229" s="262"/>
      <c r="E229" s="214">
        <v>45390.0</v>
      </c>
      <c r="F229" s="203" t="b">
        <v>1</v>
      </c>
      <c r="G229" s="203" t="b">
        <v>1</v>
      </c>
      <c r="H229" s="203" t="b">
        <v>1</v>
      </c>
      <c r="I229" s="203" t="b">
        <v>1</v>
      </c>
      <c r="J229" s="203" t="s">
        <v>1065</v>
      </c>
      <c r="K229" s="424" t="s">
        <v>3535</v>
      </c>
      <c r="M229" s="3"/>
      <c r="N229" s="3"/>
      <c r="O229" s="3"/>
      <c r="P229" s="3"/>
      <c r="Q229" s="3"/>
      <c r="R229" s="3"/>
      <c r="S229" s="3"/>
      <c r="T229" s="3"/>
      <c r="U229" s="3"/>
      <c r="V229" s="3"/>
      <c r="W229" s="3"/>
      <c r="X229" s="3"/>
      <c r="Y229" s="3"/>
      <c r="Z229" s="3"/>
    </row>
    <row r="230">
      <c r="A230" s="203" t="s">
        <v>3536</v>
      </c>
      <c r="B230" s="214">
        <v>45390.0</v>
      </c>
      <c r="C230" s="203" t="s">
        <v>736</v>
      </c>
      <c r="D230" s="203" t="s">
        <v>1065</v>
      </c>
      <c r="E230" s="214">
        <v>45407.0</v>
      </c>
      <c r="F230" s="203" t="b">
        <v>1</v>
      </c>
      <c r="G230" s="203" t="b">
        <v>1</v>
      </c>
      <c r="H230" s="203" t="b">
        <v>1</v>
      </c>
      <c r="I230" s="203" t="b">
        <v>1</v>
      </c>
      <c r="J230" s="203" t="s">
        <v>1065</v>
      </c>
      <c r="K230" s="124" t="s">
        <v>2862</v>
      </c>
      <c r="M230" s="3"/>
      <c r="N230" s="3"/>
      <c r="O230" s="3"/>
      <c r="P230" s="3"/>
      <c r="Q230" s="3"/>
      <c r="R230" s="3"/>
      <c r="S230" s="3"/>
      <c r="T230" s="3"/>
      <c r="U230" s="3"/>
      <c r="V230" s="3"/>
      <c r="W230" s="3"/>
      <c r="X230" s="3"/>
      <c r="Y230" s="3"/>
      <c r="Z230" s="3"/>
    </row>
    <row r="231">
      <c r="A231" s="124" t="s">
        <v>3537</v>
      </c>
      <c r="B231" s="422">
        <v>45390.0</v>
      </c>
      <c r="C231" s="124" t="s">
        <v>625</v>
      </c>
      <c r="D231" s="124" t="s">
        <v>3538</v>
      </c>
      <c r="E231" s="451">
        <v>45449.0</v>
      </c>
      <c r="F231" s="425" t="b">
        <v>0</v>
      </c>
      <c r="G231" s="425" t="b">
        <v>0</v>
      </c>
      <c r="H231" s="425" t="b">
        <v>0</v>
      </c>
      <c r="I231" s="425" t="b">
        <v>0</v>
      </c>
      <c r="J231" s="425"/>
      <c r="K231" s="203" t="s">
        <v>2862</v>
      </c>
      <c r="M231" s="3"/>
      <c r="N231" s="3"/>
      <c r="O231" s="3"/>
      <c r="P231" s="3"/>
      <c r="Q231" s="3"/>
      <c r="R231" s="3"/>
      <c r="S231" s="3"/>
      <c r="T231" s="3"/>
      <c r="U231" s="3"/>
      <c r="V231" s="3"/>
      <c r="W231" s="3"/>
      <c r="X231" s="3"/>
      <c r="Y231" s="3"/>
      <c r="Z231" s="3"/>
    </row>
    <row r="232">
      <c r="A232" s="203" t="s">
        <v>3539</v>
      </c>
      <c r="B232" s="214">
        <v>45390.0</v>
      </c>
      <c r="C232" s="203" t="s">
        <v>736</v>
      </c>
      <c r="D232" s="203" t="s">
        <v>1065</v>
      </c>
      <c r="E232" s="202">
        <v>45399.0</v>
      </c>
      <c r="F232" s="203" t="b">
        <v>1</v>
      </c>
      <c r="G232" s="203" t="b">
        <v>1</v>
      </c>
      <c r="H232" s="203" t="b">
        <v>1</v>
      </c>
      <c r="I232" s="203" t="b">
        <v>1</v>
      </c>
      <c r="J232" s="203" t="s">
        <v>1065</v>
      </c>
      <c r="K232" s="124" t="s">
        <v>3540</v>
      </c>
      <c r="M232" s="3"/>
      <c r="N232" s="3"/>
      <c r="O232" s="3"/>
      <c r="P232" s="3"/>
      <c r="Q232" s="3"/>
      <c r="R232" s="3"/>
      <c r="S232" s="3"/>
      <c r="T232" s="3"/>
      <c r="U232" s="3"/>
      <c r="V232" s="3"/>
      <c r="W232" s="3"/>
      <c r="X232" s="3"/>
      <c r="Y232" s="3"/>
      <c r="Z232" s="3"/>
    </row>
    <row r="233">
      <c r="A233" s="124" t="s">
        <v>3541</v>
      </c>
      <c r="B233" s="451">
        <v>45392.0</v>
      </c>
      <c r="C233" s="124" t="s">
        <v>625</v>
      </c>
      <c r="D233" s="124" t="s">
        <v>1065</v>
      </c>
      <c r="E233" s="451">
        <v>45400.0</v>
      </c>
      <c r="F233" s="124" t="b">
        <v>1</v>
      </c>
      <c r="G233" s="124" t="b">
        <v>1</v>
      </c>
      <c r="H233" s="124" t="b">
        <v>1</v>
      </c>
      <c r="I233" s="124" t="b">
        <v>1</v>
      </c>
      <c r="J233" s="124" t="s">
        <v>1065</v>
      </c>
      <c r="K233" s="203" t="s">
        <v>3542</v>
      </c>
      <c r="M233" s="3"/>
      <c r="N233" s="3"/>
      <c r="O233" s="3"/>
      <c r="P233" s="3"/>
      <c r="Q233" s="3"/>
      <c r="R233" s="3"/>
      <c r="S233" s="3"/>
      <c r="T233" s="3"/>
      <c r="U233" s="3"/>
      <c r="V233" s="3"/>
      <c r="W233" s="3"/>
      <c r="X233" s="3"/>
      <c r="Y233" s="3"/>
      <c r="Z233" s="3"/>
    </row>
    <row r="234">
      <c r="A234" s="203"/>
      <c r="B234" s="202">
        <v>45392.0</v>
      </c>
      <c r="C234" s="203" t="s">
        <v>625</v>
      </c>
      <c r="D234" s="203" t="s">
        <v>1065</v>
      </c>
      <c r="E234" s="202">
        <v>45406.0</v>
      </c>
      <c r="F234" s="203" t="b">
        <v>1</v>
      </c>
      <c r="G234" s="203" t="b">
        <v>1</v>
      </c>
      <c r="H234" s="203" t="b">
        <v>1</v>
      </c>
      <c r="I234" s="203" t="b">
        <v>1</v>
      </c>
      <c r="J234" s="124" t="s">
        <v>1232</v>
      </c>
      <c r="K234" s="203" t="s">
        <v>2862</v>
      </c>
      <c r="M234" s="3"/>
      <c r="N234" s="3"/>
      <c r="O234" s="3"/>
      <c r="P234" s="3"/>
      <c r="Q234" s="3"/>
      <c r="R234" s="3"/>
      <c r="S234" s="3"/>
      <c r="T234" s="3"/>
      <c r="U234" s="3"/>
      <c r="V234" s="3"/>
      <c r="W234" s="3"/>
      <c r="X234" s="3"/>
      <c r="Y234" s="3"/>
      <c r="Z234" s="3"/>
    </row>
    <row r="235">
      <c r="A235" s="203" t="s">
        <v>3543</v>
      </c>
      <c r="B235" s="202">
        <v>45394.0</v>
      </c>
      <c r="C235" s="203" t="s">
        <v>625</v>
      </c>
      <c r="D235" s="203" t="s">
        <v>1065</v>
      </c>
      <c r="E235" s="202">
        <v>45398.0</v>
      </c>
      <c r="F235" s="203" t="b">
        <v>1</v>
      </c>
      <c r="G235" s="203" t="b">
        <v>1</v>
      </c>
      <c r="H235" s="203" t="b">
        <v>1</v>
      </c>
      <c r="I235" s="203" t="b">
        <v>1</v>
      </c>
      <c r="J235" s="124" t="s">
        <v>1232</v>
      </c>
      <c r="K235" s="203" t="s">
        <v>2862</v>
      </c>
      <c r="M235" s="3"/>
      <c r="N235" s="3"/>
      <c r="O235" s="3"/>
      <c r="P235" s="3"/>
      <c r="Q235" s="3"/>
      <c r="R235" s="3"/>
      <c r="S235" s="3"/>
      <c r="T235" s="3"/>
      <c r="U235" s="3"/>
      <c r="V235" s="3"/>
      <c r="W235" s="3"/>
      <c r="X235" s="3"/>
      <c r="Y235" s="3"/>
      <c r="Z235" s="3"/>
    </row>
    <row r="236">
      <c r="A236" s="124" t="s">
        <v>3544</v>
      </c>
      <c r="B236" s="451">
        <v>45399.0</v>
      </c>
      <c r="C236" s="124" t="s">
        <v>736</v>
      </c>
      <c r="D236" s="425"/>
      <c r="E236" s="451">
        <v>45405.0</v>
      </c>
      <c r="F236" s="425" t="b">
        <v>0</v>
      </c>
      <c r="G236" s="425" t="b">
        <v>0</v>
      </c>
      <c r="H236" s="425" t="b">
        <v>0</v>
      </c>
      <c r="I236" s="425" t="b">
        <v>0</v>
      </c>
      <c r="J236" s="425"/>
      <c r="K236" s="203" t="s">
        <v>2862</v>
      </c>
      <c r="M236" s="3"/>
      <c r="N236" s="3"/>
      <c r="O236" s="3"/>
      <c r="P236" s="3"/>
      <c r="Q236" s="3"/>
      <c r="R236" s="3"/>
      <c r="S236" s="3"/>
      <c r="T236" s="3"/>
      <c r="U236" s="3"/>
      <c r="V236" s="3"/>
      <c r="W236" s="3"/>
      <c r="X236" s="3"/>
      <c r="Y236" s="3"/>
      <c r="Z236" s="3"/>
    </row>
    <row r="237">
      <c r="A237" s="124" t="s">
        <v>3545</v>
      </c>
      <c r="B237" s="451">
        <v>45400.0</v>
      </c>
      <c r="C237" s="124" t="s">
        <v>625</v>
      </c>
      <c r="D237" s="124"/>
      <c r="E237" s="124" t="s">
        <v>3546</v>
      </c>
      <c r="F237" s="425" t="b">
        <v>0</v>
      </c>
      <c r="G237" s="425" t="b">
        <v>0</v>
      </c>
      <c r="H237" s="425" t="b">
        <v>0</v>
      </c>
      <c r="I237" s="425" t="b">
        <v>0</v>
      </c>
      <c r="J237" s="425"/>
      <c r="K237" s="124" t="s">
        <v>3547</v>
      </c>
      <c r="M237" s="3"/>
      <c r="N237" s="3"/>
      <c r="O237" s="3"/>
      <c r="P237" s="3"/>
      <c r="Q237" s="3"/>
      <c r="R237" s="3"/>
      <c r="S237" s="3"/>
      <c r="T237" s="3"/>
      <c r="U237" s="3"/>
      <c r="V237" s="3"/>
      <c r="W237" s="3"/>
      <c r="X237" s="3"/>
      <c r="Y237" s="3"/>
      <c r="Z237" s="3"/>
    </row>
    <row r="238">
      <c r="A238" s="124" t="s">
        <v>3548</v>
      </c>
      <c r="B238" s="451">
        <v>45400.0</v>
      </c>
      <c r="C238" s="124" t="s">
        <v>625</v>
      </c>
      <c r="D238" s="124" t="s">
        <v>3466</v>
      </c>
      <c r="E238" s="451">
        <v>45406.0</v>
      </c>
      <c r="F238" s="425" t="b">
        <v>0</v>
      </c>
      <c r="G238" s="425" t="b">
        <v>0</v>
      </c>
      <c r="H238" s="425" t="b">
        <v>0</v>
      </c>
      <c r="I238" s="425" t="b">
        <v>0</v>
      </c>
      <c r="J238" s="124"/>
      <c r="K238" s="203" t="s">
        <v>2862</v>
      </c>
      <c r="M238" s="3"/>
      <c r="N238" s="3"/>
      <c r="O238" s="3"/>
      <c r="P238" s="3"/>
      <c r="Q238" s="3"/>
      <c r="R238" s="3"/>
      <c r="S238" s="3"/>
      <c r="T238" s="3"/>
      <c r="U238" s="3"/>
      <c r="V238" s="3"/>
      <c r="W238" s="3"/>
      <c r="X238" s="3"/>
      <c r="Y238" s="3"/>
      <c r="Z238" s="3"/>
    </row>
    <row r="239">
      <c r="A239" s="124" t="s">
        <v>3549</v>
      </c>
      <c r="B239" s="451">
        <v>45401.0</v>
      </c>
      <c r="C239" s="124" t="s">
        <v>736</v>
      </c>
      <c r="D239" s="425"/>
      <c r="E239" s="124" t="s">
        <v>3550</v>
      </c>
      <c r="F239" s="425" t="b">
        <v>0</v>
      </c>
      <c r="G239" s="425" t="b">
        <v>0</v>
      </c>
      <c r="H239" s="425" t="b">
        <v>0</v>
      </c>
      <c r="I239" s="425" t="b">
        <v>0</v>
      </c>
      <c r="J239" s="425"/>
      <c r="K239" s="203" t="s">
        <v>2862</v>
      </c>
      <c r="M239" s="3"/>
      <c r="N239" s="3"/>
      <c r="O239" s="3"/>
      <c r="P239" s="3"/>
      <c r="Q239" s="3"/>
      <c r="R239" s="3"/>
      <c r="S239" s="3"/>
      <c r="T239" s="3"/>
      <c r="U239" s="3"/>
      <c r="V239" s="3"/>
      <c r="W239" s="3"/>
      <c r="X239" s="3"/>
      <c r="Y239" s="3"/>
      <c r="Z239" s="3"/>
    </row>
    <row r="240">
      <c r="A240" s="203" t="s">
        <v>3551</v>
      </c>
      <c r="B240" s="202">
        <v>45405.0</v>
      </c>
      <c r="C240" s="203" t="s">
        <v>625</v>
      </c>
      <c r="D240" s="203" t="s">
        <v>1065</v>
      </c>
      <c r="E240" s="202">
        <v>45407.0</v>
      </c>
      <c r="F240" s="203" t="b">
        <v>1</v>
      </c>
      <c r="G240" s="203" t="b">
        <v>1</v>
      </c>
      <c r="H240" s="203" t="b">
        <v>1</v>
      </c>
      <c r="I240" s="203" t="b">
        <v>1</v>
      </c>
      <c r="J240" s="203" t="s">
        <v>1065</v>
      </c>
      <c r="K240" s="203" t="s">
        <v>2862</v>
      </c>
      <c r="M240" s="3"/>
      <c r="N240" s="3"/>
      <c r="O240" s="3"/>
      <c r="P240" s="3"/>
      <c r="Q240" s="3"/>
      <c r="R240" s="3"/>
      <c r="S240" s="3"/>
      <c r="T240" s="3"/>
      <c r="U240" s="3"/>
      <c r="V240" s="3"/>
      <c r="W240" s="3"/>
      <c r="X240" s="3"/>
      <c r="Y240" s="3"/>
      <c r="Z240" s="3"/>
    </row>
    <row r="241">
      <c r="A241" s="203" t="s">
        <v>3552</v>
      </c>
      <c r="B241" s="202">
        <v>45405.0</v>
      </c>
      <c r="C241" s="203" t="s">
        <v>625</v>
      </c>
      <c r="D241" s="203" t="s">
        <v>1065</v>
      </c>
      <c r="E241" s="202">
        <v>45411.0</v>
      </c>
      <c r="F241" s="203" t="b">
        <v>1</v>
      </c>
      <c r="G241" s="203" t="b">
        <v>1</v>
      </c>
      <c r="H241" s="203" t="b">
        <v>1</v>
      </c>
      <c r="I241" s="203" t="b">
        <v>1</v>
      </c>
      <c r="J241" s="203" t="s">
        <v>1065</v>
      </c>
      <c r="K241" s="203" t="s">
        <v>2862</v>
      </c>
      <c r="M241" s="3"/>
      <c r="N241" s="3"/>
      <c r="O241" s="3"/>
      <c r="P241" s="3"/>
      <c r="Q241" s="3"/>
      <c r="R241" s="3"/>
      <c r="S241" s="3"/>
      <c r="T241" s="3"/>
      <c r="U241" s="3"/>
      <c r="V241" s="3"/>
      <c r="W241" s="3"/>
      <c r="X241" s="3"/>
      <c r="Y241" s="3"/>
      <c r="Z241" s="3"/>
    </row>
    <row r="242">
      <c r="A242" s="124" t="s">
        <v>3553</v>
      </c>
      <c r="B242" s="451">
        <v>45405.0</v>
      </c>
      <c r="C242" s="124" t="s">
        <v>625</v>
      </c>
      <c r="D242" s="124" t="s">
        <v>1065</v>
      </c>
      <c r="E242" s="451">
        <v>45420.0</v>
      </c>
      <c r="F242" s="124" t="b">
        <v>1</v>
      </c>
      <c r="G242" s="124" t="b">
        <v>1</v>
      </c>
      <c r="H242" s="124" t="b">
        <v>1</v>
      </c>
      <c r="I242" s="124" t="b">
        <v>1</v>
      </c>
      <c r="J242" s="425"/>
      <c r="K242" s="124" t="s">
        <v>3554</v>
      </c>
      <c r="M242" s="3"/>
      <c r="N242" s="3"/>
      <c r="O242" s="3"/>
      <c r="P242" s="3"/>
      <c r="Q242" s="3"/>
      <c r="R242" s="3"/>
      <c r="S242" s="3"/>
      <c r="T242" s="3"/>
      <c r="U242" s="3"/>
      <c r="V242" s="3"/>
      <c r="W242" s="3"/>
      <c r="X242" s="3"/>
      <c r="Y242" s="3"/>
      <c r="Z242" s="3"/>
    </row>
    <row r="243">
      <c r="A243" s="203" t="s">
        <v>3555</v>
      </c>
      <c r="B243" s="202">
        <v>45405.0</v>
      </c>
      <c r="C243" s="203" t="s">
        <v>625</v>
      </c>
      <c r="D243" s="203" t="s">
        <v>1065</v>
      </c>
      <c r="E243" s="202">
        <v>45418.0</v>
      </c>
      <c r="F243" s="203" t="b">
        <v>1</v>
      </c>
      <c r="G243" s="203" t="b">
        <v>1</v>
      </c>
      <c r="H243" s="203" t="b">
        <v>1</v>
      </c>
      <c r="I243" s="203" t="b">
        <v>1</v>
      </c>
      <c r="J243" s="203" t="s">
        <v>1065</v>
      </c>
      <c r="K243" s="203" t="s">
        <v>3556</v>
      </c>
      <c r="M243" s="3"/>
      <c r="N243" s="3"/>
      <c r="O243" s="3"/>
      <c r="P243" s="3"/>
      <c r="Q243" s="3"/>
      <c r="R243" s="3"/>
      <c r="S243" s="3"/>
      <c r="T243" s="3"/>
      <c r="U243" s="3"/>
      <c r="V243" s="3"/>
      <c r="W243" s="3"/>
      <c r="X243" s="3"/>
      <c r="Y243" s="3"/>
      <c r="Z243" s="3"/>
    </row>
    <row r="244">
      <c r="A244" s="203" t="s">
        <v>3557</v>
      </c>
      <c r="B244" s="202">
        <v>45406.0</v>
      </c>
      <c r="C244" s="203" t="s">
        <v>736</v>
      </c>
      <c r="D244" s="203" t="s">
        <v>1065</v>
      </c>
      <c r="E244" s="202">
        <v>45412.0</v>
      </c>
      <c r="F244" s="203" t="b">
        <v>1</v>
      </c>
      <c r="G244" s="203" t="b">
        <v>1</v>
      </c>
      <c r="H244" s="203" t="b">
        <v>1</v>
      </c>
      <c r="I244" s="203" t="b">
        <v>1</v>
      </c>
      <c r="J244" s="203" t="s">
        <v>1065</v>
      </c>
      <c r="K244" s="547" t="s">
        <v>3558</v>
      </c>
      <c r="M244" s="3"/>
      <c r="N244" s="3"/>
      <c r="O244" s="3"/>
      <c r="P244" s="3"/>
      <c r="Q244" s="3"/>
      <c r="R244" s="3"/>
      <c r="S244" s="3"/>
      <c r="T244" s="3"/>
      <c r="U244" s="3"/>
      <c r="V244" s="3"/>
      <c r="W244" s="3"/>
      <c r="X244" s="3"/>
      <c r="Y244" s="3"/>
      <c r="Z244" s="3"/>
    </row>
    <row r="245">
      <c r="A245" s="203" t="s">
        <v>3559</v>
      </c>
      <c r="B245" s="214">
        <v>45420.0</v>
      </c>
      <c r="C245" s="203" t="s">
        <v>1370</v>
      </c>
      <c r="D245" s="262"/>
      <c r="E245" s="214">
        <v>45446.0</v>
      </c>
      <c r="F245" s="203" t="b">
        <v>1</v>
      </c>
      <c r="G245" s="203" t="b">
        <v>1</v>
      </c>
      <c r="H245" s="203" t="b">
        <v>1</v>
      </c>
      <c r="I245" s="203" t="b">
        <v>1</v>
      </c>
      <c r="J245" s="262"/>
      <c r="K245" s="203" t="s">
        <v>2862</v>
      </c>
      <c r="M245" s="3"/>
      <c r="N245" s="3"/>
      <c r="O245" s="3"/>
      <c r="P245" s="3"/>
      <c r="Q245" s="3"/>
      <c r="R245" s="3"/>
      <c r="S245" s="3"/>
      <c r="T245" s="3"/>
      <c r="U245" s="3"/>
      <c r="V245" s="3"/>
      <c r="W245" s="3"/>
      <c r="X245" s="3"/>
      <c r="Y245" s="3"/>
      <c r="Z245" s="3"/>
    </row>
    <row r="246">
      <c r="A246" s="124" t="s">
        <v>3560</v>
      </c>
      <c r="B246" s="422">
        <v>45420.0</v>
      </c>
      <c r="C246" s="124" t="s">
        <v>625</v>
      </c>
      <c r="D246" s="124" t="s">
        <v>3561</v>
      </c>
      <c r="E246" s="422">
        <v>45446.0</v>
      </c>
      <c r="F246" s="425" t="b">
        <v>0</v>
      </c>
      <c r="G246" s="425" t="b">
        <v>0</v>
      </c>
      <c r="H246" s="425" t="b">
        <v>0</v>
      </c>
      <c r="I246" s="425" t="b">
        <v>0</v>
      </c>
      <c r="J246" s="425"/>
      <c r="K246" s="424" t="s">
        <v>3562</v>
      </c>
      <c r="M246" s="3"/>
      <c r="N246" s="3"/>
      <c r="O246" s="3"/>
      <c r="P246" s="3"/>
      <c r="Q246" s="3"/>
      <c r="R246" s="3"/>
      <c r="S246" s="3"/>
      <c r="T246" s="3"/>
      <c r="U246" s="3"/>
      <c r="V246" s="3"/>
      <c r="W246" s="3"/>
      <c r="X246" s="3"/>
      <c r="Y246" s="3"/>
      <c r="Z246" s="3"/>
    </row>
    <row r="247">
      <c r="A247" s="203" t="s">
        <v>3563</v>
      </c>
      <c r="B247" s="202">
        <v>45420.0</v>
      </c>
      <c r="C247" s="203" t="s">
        <v>736</v>
      </c>
      <c r="D247" s="203" t="s">
        <v>1065</v>
      </c>
      <c r="E247" s="202">
        <v>45427.0</v>
      </c>
      <c r="F247" s="203" t="b">
        <v>1</v>
      </c>
      <c r="G247" s="203" t="b">
        <v>1</v>
      </c>
      <c r="H247" s="203" t="b">
        <v>1</v>
      </c>
      <c r="I247" s="203" t="b">
        <v>1</v>
      </c>
      <c r="J247" s="203" t="s">
        <v>1065</v>
      </c>
      <c r="K247" s="203" t="s">
        <v>3132</v>
      </c>
      <c r="M247" s="3"/>
      <c r="N247" s="3"/>
      <c r="O247" s="3"/>
      <c r="P247" s="3"/>
      <c r="S247" s="3"/>
      <c r="T247" s="3"/>
      <c r="U247" s="3"/>
      <c r="V247" s="3"/>
      <c r="W247" s="3"/>
      <c r="X247" s="3"/>
      <c r="Y247" s="3"/>
      <c r="Z247" s="3"/>
    </row>
    <row r="248">
      <c r="A248" s="203" t="s">
        <v>3564</v>
      </c>
      <c r="B248" s="202">
        <v>45420.0</v>
      </c>
      <c r="C248" s="203" t="s">
        <v>736</v>
      </c>
      <c r="D248" s="203" t="s">
        <v>1065</v>
      </c>
      <c r="E248" s="202">
        <v>45425.0</v>
      </c>
      <c r="F248" s="203" t="b">
        <v>1</v>
      </c>
      <c r="G248" s="203" t="b">
        <v>1</v>
      </c>
      <c r="H248" s="203" t="b">
        <v>1</v>
      </c>
      <c r="I248" s="203" t="b">
        <v>1</v>
      </c>
      <c r="J248" s="203" t="s">
        <v>1065</v>
      </c>
      <c r="K248" s="203" t="s">
        <v>2862</v>
      </c>
      <c r="M248" s="3"/>
      <c r="N248" s="3"/>
      <c r="O248" s="3"/>
      <c r="P248" s="3"/>
      <c r="Q248" s="3"/>
      <c r="R248" s="3"/>
      <c r="S248" s="3"/>
      <c r="T248" s="3"/>
      <c r="U248" s="3"/>
      <c r="V248" s="3"/>
      <c r="W248" s="3"/>
      <c r="X248" s="3"/>
      <c r="Y248" s="3"/>
      <c r="Z248" s="3"/>
    </row>
    <row r="249">
      <c r="A249" s="124" t="s">
        <v>3565</v>
      </c>
      <c r="B249" s="451">
        <v>45420.0</v>
      </c>
      <c r="C249" s="124" t="s">
        <v>736</v>
      </c>
      <c r="D249" s="124" t="s">
        <v>3566</v>
      </c>
      <c r="E249" s="451">
        <v>45428.0</v>
      </c>
      <c r="F249" s="425" t="b">
        <v>0</v>
      </c>
      <c r="G249" s="425" t="b">
        <v>0</v>
      </c>
      <c r="H249" s="425" t="b">
        <v>0</v>
      </c>
      <c r="I249" s="425" t="b">
        <v>0</v>
      </c>
      <c r="J249" s="425"/>
      <c r="K249" s="203" t="s">
        <v>2862</v>
      </c>
      <c r="M249" s="3"/>
      <c r="N249" s="3"/>
      <c r="O249" s="3"/>
      <c r="P249" s="3"/>
      <c r="Q249" s="3"/>
      <c r="R249" s="3"/>
      <c r="S249" s="3"/>
      <c r="T249" s="3"/>
      <c r="U249" s="3"/>
      <c r="V249" s="3"/>
      <c r="W249" s="3"/>
      <c r="X249" s="3"/>
      <c r="Y249" s="3"/>
      <c r="Z249" s="3"/>
    </row>
    <row r="250">
      <c r="A250" s="124" t="s">
        <v>3567</v>
      </c>
      <c r="B250" s="451">
        <v>45426.0</v>
      </c>
      <c r="C250" s="124" t="s">
        <v>736</v>
      </c>
      <c r="D250" s="425"/>
      <c r="E250" s="451">
        <v>45433.0</v>
      </c>
      <c r="F250" s="425" t="b">
        <v>0</v>
      </c>
      <c r="G250" s="124" t="b">
        <v>1</v>
      </c>
      <c r="H250" s="425" t="b">
        <v>0</v>
      </c>
      <c r="I250" s="425" t="b">
        <v>0</v>
      </c>
      <c r="J250" s="425"/>
      <c r="K250" s="203" t="s">
        <v>2862</v>
      </c>
      <c r="M250" s="3"/>
      <c r="N250" s="3"/>
      <c r="O250" s="3"/>
      <c r="P250" s="3"/>
      <c r="Q250" s="3"/>
      <c r="R250" s="3"/>
      <c r="S250" s="3"/>
      <c r="T250" s="3"/>
      <c r="U250" s="3"/>
      <c r="V250" s="3"/>
      <c r="W250" s="3"/>
      <c r="X250" s="3"/>
      <c r="Y250" s="3"/>
      <c r="Z250" s="3"/>
    </row>
    <row r="251">
      <c r="A251" s="203" t="s">
        <v>3568</v>
      </c>
      <c r="B251" s="202">
        <v>45427.0</v>
      </c>
      <c r="C251" s="203" t="s">
        <v>625</v>
      </c>
      <c r="D251" s="203" t="s">
        <v>1065</v>
      </c>
      <c r="E251" s="202">
        <v>45449.0</v>
      </c>
      <c r="F251" s="203" t="b">
        <v>1</v>
      </c>
      <c r="G251" s="203" t="b">
        <v>1</v>
      </c>
      <c r="H251" s="203" t="b">
        <v>1</v>
      </c>
      <c r="I251" s="203" t="b">
        <v>1</v>
      </c>
      <c r="J251" s="262"/>
      <c r="K251" s="203" t="s">
        <v>2862</v>
      </c>
      <c r="M251" s="3"/>
      <c r="N251" s="3"/>
      <c r="O251" s="3"/>
      <c r="P251" s="3"/>
      <c r="Q251" s="3"/>
      <c r="R251" s="3"/>
      <c r="S251" s="3"/>
      <c r="T251" s="3"/>
      <c r="U251" s="3"/>
      <c r="V251" s="3"/>
      <c r="W251" s="3"/>
      <c r="X251" s="3"/>
      <c r="Y251" s="3"/>
      <c r="Z251" s="3"/>
    </row>
    <row r="252">
      <c r="A252" s="124" t="s">
        <v>3569</v>
      </c>
      <c r="B252" s="451">
        <v>45428.0</v>
      </c>
      <c r="C252" s="124" t="s">
        <v>625</v>
      </c>
      <c r="D252" s="425"/>
      <c r="E252" s="124" t="s">
        <v>3570</v>
      </c>
      <c r="F252" s="425" t="b">
        <v>0</v>
      </c>
      <c r="G252" s="425" t="b">
        <v>0</v>
      </c>
      <c r="H252" s="425" t="b">
        <v>0</v>
      </c>
      <c r="I252" s="124" t="b">
        <v>0</v>
      </c>
      <c r="J252" s="124" t="s">
        <v>1232</v>
      </c>
      <c r="K252" s="425"/>
      <c r="M252" s="3"/>
      <c r="N252" s="3"/>
      <c r="O252" s="3"/>
      <c r="P252" s="3"/>
      <c r="Q252" s="3"/>
      <c r="R252" s="3"/>
      <c r="S252" s="3"/>
      <c r="T252" s="3"/>
      <c r="U252" s="3"/>
      <c r="V252" s="3"/>
      <c r="W252" s="3"/>
      <c r="X252" s="3"/>
      <c r="Y252" s="3"/>
      <c r="Z252" s="3"/>
    </row>
    <row r="253">
      <c r="A253" s="203" t="s">
        <v>3571</v>
      </c>
      <c r="B253" s="202">
        <v>45428.0</v>
      </c>
      <c r="C253" s="203" t="s">
        <v>625</v>
      </c>
      <c r="D253" s="203" t="s">
        <v>2858</v>
      </c>
      <c r="E253" s="202">
        <v>45453.0</v>
      </c>
      <c r="F253" s="203" t="b">
        <v>1</v>
      </c>
      <c r="G253" s="203" t="b">
        <v>1</v>
      </c>
      <c r="H253" s="203" t="b">
        <v>1</v>
      </c>
      <c r="I253" s="203" t="b">
        <v>1</v>
      </c>
      <c r="J253" s="203" t="s">
        <v>1065</v>
      </c>
      <c r="K253" s="203" t="s">
        <v>2862</v>
      </c>
      <c r="M253" s="3"/>
      <c r="N253" s="3"/>
      <c r="O253" s="3"/>
      <c r="P253" s="3"/>
      <c r="Q253" s="3"/>
      <c r="R253" s="3"/>
      <c r="S253" s="3"/>
      <c r="T253" s="3"/>
      <c r="U253" s="3"/>
      <c r="V253" s="3"/>
      <c r="W253" s="3"/>
      <c r="X253" s="3"/>
      <c r="Y253" s="3"/>
      <c r="Z253" s="3"/>
    </row>
    <row r="254">
      <c r="A254" s="203" t="s">
        <v>3572</v>
      </c>
      <c r="B254" s="214">
        <v>45432.0</v>
      </c>
      <c r="C254" s="203" t="s">
        <v>625</v>
      </c>
      <c r="D254" s="203" t="s">
        <v>1065</v>
      </c>
      <c r="E254" s="214">
        <v>45443.0</v>
      </c>
      <c r="F254" s="203" t="b">
        <v>1</v>
      </c>
      <c r="G254" s="203" t="b">
        <v>1</v>
      </c>
      <c r="H254" s="203" t="b">
        <v>1</v>
      </c>
      <c r="I254" s="203" t="b">
        <v>1</v>
      </c>
      <c r="J254" s="203" t="s">
        <v>1065</v>
      </c>
      <c r="K254" s="124" t="s">
        <v>3573</v>
      </c>
      <c r="M254" s="3"/>
      <c r="N254" s="3"/>
      <c r="O254" s="3"/>
      <c r="P254" s="3"/>
      <c r="Q254" s="3"/>
      <c r="R254" s="3"/>
      <c r="S254" s="3"/>
      <c r="T254" s="3"/>
      <c r="U254" s="3"/>
      <c r="V254" s="3"/>
      <c r="W254" s="3"/>
      <c r="X254" s="3"/>
      <c r="Y254" s="3"/>
      <c r="Z254" s="3"/>
    </row>
    <row r="255">
      <c r="A255" s="124" t="s">
        <v>3574</v>
      </c>
      <c r="B255" s="422">
        <v>45432.0</v>
      </c>
      <c r="C255" s="124" t="s">
        <v>1370</v>
      </c>
      <c r="D255" s="425"/>
      <c r="E255" s="422">
        <v>45443.0</v>
      </c>
      <c r="F255" s="425" t="b">
        <v>0</v>
      </c>
      <c r="G255" s="425" t="b">
        <v>0</v>
      </c>
      <c r="H255" s="425" t="b">
        <v>0</v>
      </c>
      <c r="I255" s="124" t="b">
        <v>0</v>
      </c>
      <c r="J255" s="425"/>
      <c r="K255" s="203" t="s">
        <v>2862</v>
      </c>
      <c r="M255" s="3"/>
      <c r="N255" s="3"/>
      <c r="O255" s="3"/>
      <c r="P255" s="3"/>
      <c r="Q255" s="3"/>
      <c r="R255" s="3"/>
      <c r="S255" s="3"/>
      <c r="T255" s="3"/>
      <c r="U255" s="3"/>
      <c r="V255" s="3"/>
      <c r="W255" s="3"/>
      <c r="X255" s="3"/>
      <c r="Y255" s="3"/>
      <c r="Z255" s="3"/>
    </row>
    <row r="256">
      <c r="A256" s="203" t="s">
        <v>3575</v>
      </c>
      <c r="B256" s="214">
        <v>45432.0</v>
      </c>
      <c r="C256" s="203" t="s">
        <v>736</v>
      </c>
      <c r="D256" s="203" t="s">
        <v>1065</v>
      </c>
      <c r="E256" s="214">
        <v>45433.0</v>
      </c>
      <c r="F256" s="203" t="b">
        <v>1</v>
      </c>
      <c r="G256" s="203" t="b">
        <v>1</v>
      </c>
      <c r="H256" s="203" t="b">
        <v>1</v>
      </c>
      <c r="I256" s="203" t="b">
        <v>1</v>
      </c>
      <c r="J256" s="203" t="s">
        <v>1065</v>
      </c>
      <c r="K256" s="124" t="s">
        <v>3576</v>
      </c>
      <c r="M256" s="3"/>
      <c r="N256" s="3"/>
      <c r="O256" s="3"/>
      <c r="P256" s="3"/>
      <c r="Q256" s="3"/>
      <c r="R256" s="3"/>
      <c r="S256" s="3"/>
      <c r="T256" s="3"/>
      <c r="U256" s="3"/>
      <c r="V256" s="3"/>
      <c r="W256" s="3"/>
      <c r="X256" s="3"/>
      <c r="Y256" s="3"/>
      <c r="Z256" s="3"/>
    </row>
    <row r="257">
      <c r="A257" s="124" t="s">
        <v>3577</v>
      </c>
      <c r="B257" s="451">
        <v>45434.0</v>
      </c>
      <c r="C257" s="124" t="s">
        <v>625</v>
      </c>
      <c r="D257" s="425"/>
      <c r="E257" s="124" t="s">
        <v>3578</v>
      </c>
      <c r="F257" s="425" t="b">
        <v>0</v>
      </c>
      <c r="G257" s="425" t="b">
        <v>0</v>
      </c>
      <c r="H257" s="425" t="b">
        <v>0</v>
      </c>
      <c r="I257" s="124" t="b">
        <v>0</v>
      </c>
      <c r="J257" s="425"/>
      <c r="K257" s="124" t="s">
        <v>3579</v>
      </c>
      <c r="M257" s="3"/>
      <c r="N257" s="3"/>
      <c r="O257" s="3"/>
      <c r="P257" s="3"/>
      <c r="Q257" s="3"/>
      <c r="R257" s="3"/>
      <c r="S257" s="3"/>
      <c r="T257" s="3"/>
      <c r="U257" s="3"/>
      <c r="V257" s="3"/>
      <c r="W257" s="3"/>
      <c r="X257" s="3"/>
      <c r="Y257" s="3"/>
      <c r="Z257" s="3"/>
    </row>
    <row r="258">
      <c r="A258" s="124" t="s">
        <v>3580</v>
      </c>
      <c r="B258" s="451">
        <v>45443.0</v>
      </c>
      <c r="C258" s="124" t="s">
        <v>736</v>
      </c>
      <c r="D258" s="124" t="s">
        <v>1065</v>
      </c>
      <c r="E258" s="422">
        <v>45454.0</v>
      </c>
      <c r="F258" s="124" t="b">
        <v>1</v>
      </c>
      <c r="G258" s="124" t="b">
        <v>1</v>
      </c>
      <c r="H258" s="124" t="b">
        <v>1</v>
      </c>
      <c r="I258" s="124" t="b">
        <v>1</v>
      </c>
      <c r="J258" s="124" t="s">
        <v>1065</v>
      </c>
      <c r="K258" s="424" t="s">
        <v>3581</v>
      </c>
      <c r="M258" s="3"/>
      <c r="N258" s="3"/>
      <c r="O258" s="3"/>
      <c r="P258" s="3"/>
      <c r="Q258" s="3"/>
      <c r="R258" s="3"/>
      <c r="S258" s="3"/>
      <c r="T258" s="3"/>
      <c r="U258" s="3"/>
      <c r="V258" s="3"/>
      <c r="W258" s="3"/>
      <c r="X258" s="3"/>
      <c r="Y258" s="3"/>
      <c r="Z258" s="3"/>
    </row>
    <row r="259">
      <c r="A259" s="124" t="s">
        <v>3582</v>
      </c>
      <c r="B259" s="451">
        <v>45443.0</v>
      </c>
      <c r="C259" s="124" t="s">
        <v>736</v>
      </c>
      <c r="D259" s="425"/>
      <c r="E259" s="422">
        <v>45453.0</v>
      </c>
      <c r="F259" s="425" t="b">
        <v>0</v>
      </c>
      <c r="G259" s="425" t="b">
        <v>0</v>
      </c>
      <c r="H259" s="425" t="b">
        <v>0</v>
      </c>
      <c r="I259" s="124" t="b">
        <v>0</v>
      </c>
      <c r="J259" s="425"/>
      <c r="K259" s="203" t="s">
        <v>2862</v>
      </c>
      <c r="M259" s="3"/>
      <c r="N259" s="3"/>
      <c r="O259" s="3"/>
      <c r="P259" s="3"/>
      <c r="S259" s="3"/>
      <c r="T259" s="3"/>
      <c r="U259" s="3"/>
      <c r="V259" s="3"/>
      <c r="W259" s="3"/>
      <c r="X259" s="3"/>
      <c r="Y259" s="3"/>
      <c r="Z259" s="3"/>
    </row>
    <row r="260">
      <c r="A260" s="124" t="s">
        <v>3583</v>
      </c>
      <c r="B260" s="451">
        <v>45443.0</v>
      </c>
      <c r="C260" s="124" t="s">
        <v>736</v>
      </c>
      <c r="D260" s="425"/>
      <c r="E260" s="422">
        <v>45456.0</v>
      </c>
      <c r="F260" s="425" t="b">
        <v>0</v>
      </c>
      <c r="G260" s="425" t="b">
        <v>0</v>
      </c>
      <c r="H260" s="425" t="b">
        <v>0</v>
      </c>
      <c r="I260" s="124" t="b">
        <v>0</v>
      </c>
      <c r="J260" s="425"/>
      <c r="K260" s="203" t="s">
        <v>2862</v>
      </c>
      <c r="M260" s="3"/>
      <c r="N260" s="3"/>
      <c r="O260" s="3"/>
      <c r="P260" s="3"/>
      <c r="Q260" s="3"/>
      <c r="R260" s="3"/>
      <c r="S260" s="3"/>
      <c r="T260" s="3"/>
      <c r="U260" s="3"/>
      <c r="V260" s="3"/>
      <c r="W260" s="3"/>
      <c r="X260" s="3"/>
      <c r="Y260" s="3"/>
      <c r="Z260" s="3"/>
    </row>
    <row r="261">
      <c r="A261" s="203" t="s">
        <v>3584</v>
      </c>
      <c r="B261" s="202">
        <v>45446.0</v>
      </c>
      <c r="C261" s="203" t="s">
        <v>736</v>
      </c>
      <c r="D261" s="203" t="s">
        <v>1065</v>
      </c>
      <c r="E261" s="214">
        <v>45453.0</v>
      </c>
      <c r="F261" s="203" t="b">
        <v>1</v>
      </c>
      <c r="G261" s="203" t="b">
        <v>1</v>
      </c>
      <c r="H261" s="203" t="b">
        <v>1</v>
      </c>
      <c r="I261" s="203" t="b">
        <v>1</v>
      </c>
      <c r="J261" s="203" t="s">
        <v>1065</v>
      </c>
      <c r="K261" s="203" t="s">
        <v>2862</v>
      </c>
      <c r="M261" s="3"/>
      <c r="N261" s="3"/>
      <c r="O261" s="3"/>
      <c r="P261" s="3"/>
      <c r="Q261" s="3"/>
      <c r="R261" s="3"/>
      <c r="S261" s="3"/>
      <c r="T261" s="3"/>
      <c r="U261" s="3"/>
      <c r="V261" s="3"/>
      <c r="W261" s="3"/>
      <c r="X261" s="3"/>
      <c r="Y261" s="3"/>
      <c r="Z261" s="3"/>
    </row>
    <row r="262">
      <c r="A262" s="203" t="s">
        <v>3585</v>
      </c>
      <c r="B262" s="202">
        <v>45446.0</v>
      </c>
      <c r="C262" s="203" t="s">
        <v>736</v>
      </c>
      <c r="D262" s="203" t="s">
        <v>1065</v>
      </c>
      <c r="E262" s="214">
        <v>45447.0</v>
      </c>
      <c r="F262" s="203" t="b">
        <v>1</v>
      </c>
      <c r="G262" s="203" t="b">
        <v>1</v>
      </c>
      <c r="H262" s="203" t="b">
        <v>1</v>
      </c>
      <c r="I262" s="203" t="b">
        <v>1</v>
      </c>
      <c r="J262" s="593" t="s">
        <v>1065</v>
      </c>
      <c r="K262" s="203" t="s">
        <v>2862</v>
      </c>
      <c r="M262" s="3"/>
      <c r="N262" s="3"/>
      <c r="O262" s="3"/>
      <c r="P262" s="3"/>
      <c r="Q262" s="3"/>
      <c r="R262" s="3"/>
      <c r="S262" s="3"/>
      <c r="T262" s="3"/>
      <c r="U262" s="3"/>
      <c r="V262" s="3"/>
      <c r="W262" s="3"/>
      <c r="X262" s="3"/>
      <c r="Y262" s="3"/>
      <c r="Z262" s="3"/>
    </row>
    <row r="263">
      <c r="A263" s="124" t="s">
        <v>3586</v>
      </c>
      <c r="B263" s="451">
        <v>45446.0</v>
      </c>
      <c r="C263" s="124" t="s">
        <v>625</v>
      </c>
      <c r="D263" s="124" t="s">
        <v>3166</v>
      </c>
      <c r="E263" s="451">
        <v>45461.0</v>
      </c>
      <c r="F263" s="124" t="b">
        <v>0</v>
      </c>
      <c r="G263" s="425" t="b">
        <v>0</v>
      </c>
      <c r="H263" s="425" t="b">
        <v>0</v>
      </c>
      <c r="I263" s="124" t="b">
        <v>0</v>
      </c>
      <c r="J263" s="425"/>
      <c r="K263" s="442" t="s">
        <v>1637</v>
      </c>
      <c r="M263" s="3"/>
      <c r="N263" s="3"/>
      <c r="O263" s="3"/>
      <c r="P263" s="3"/>
      <c r="Q263" s="3"/>
      <c r="R263" s="3"/>
      <c r="S263" s="3"/>
      <c r="T263" s="3"/>
      <c r="U263" s="3"/>
      <c r="V263" s="3"/>
      <c r="W263" s="3"/>
      <c r="X263" s="3"/>
      <c r="Y263" s="3"/>
      <c r="Z263" s="3"/>
    </row>
    <row r="264">
      <c r="A264" s="203" t="s">
        <v>3587</v>
      </c>
      <c r="B264" s="202">
        <v>45448.0</v>
      </c>
      <c r="C264" s="203" t="s">
        <v>736</v>
      </c>
      <c r="D264" s="203" t="s">
        <v>1065</v>
      </c>
      <c r="E264" s="202">
        <v>45475.0</v>
      </c>
      <c r="F264" s="203" t="b">
        <v>1</v>
      </c>
      <c r="G264" s="203" t="b">
        <v>1</v>
      </c>
      <c r="H264" s="203" t="b">
        <v>1</v>
      </c>
      <c r="I264" s="203" t="b">
        <v>1</v>
      </c>
      <c r="J264" s="203" t="s">
        <v>1065</v>
      </c>
      <c r="K264" s="203" t="s">
        <v>2862</v>
      </c>
      <c r="M264" s="3"/>
      <c r="N264" s="3"/>
      <c r="O264" s="3"/>
      <c r="P264" s="3"/>
      <c r="Q264" s="3"/>
      <c r="R264" s="3"/>
      <c r="S264" s="3"/>
      <c r="T264" s="3"/>
      <c r="U264" s="3"/>
      <c r="V264" s="3"/>
      <c r="W264" s="3"/>
      <c r="X264" s="3"/>
      <c r="Y264" s="3"/>
      <c r="Z264" s="3"/>
    </row>
    <row r="265">
      <c r="A265" s="124" t="s">
        <v>3588</v>
      </c>
      <c r="B265" s="451">
        <v>45448.0</v>
      </c>
      <c r="C265" s="124" t="s">
        <v>736</v>
      </c>
      <c r="D265" s="124" t="s">
        <v>3589</v>
      </c>
      <c r="E265" s="451">
        <v>45474.0</v>
      </c>
      <c r="F265" s="425" t="b">
        <v>0</v>
      </c>
      <c r="G265" s="425" t="b">
        <v>0</v>
      </c>
      <c r="H265" s="425" t="b">
        <v>0</v>
      </c>
      <c r="I265" s="124" t="b">
        <v>0</v>
      </c>
      <c r="J265" s="425"/>
      <c r="K265" s="124" t="s">
        <v>3579</v>
      </c>
      <c r="M265" s="3"/>
      <c r="N265" s="3"/>
      <c r="O265" s="3"/>
      <c r="P265" s="3"/>
      <c r="Q265" s="3"/>
      <c r="R265" s="3"/>
      <c r="S265" s="3"/>
      <c r="T265" s="3"/>
      <c r="U265" s="3"/>
      <c r="V265" s="3"/>
      <c r="W265" s="3"/>
      <c r="X265" s="3"/>
      <c r="Y265" s="3"/>
      <c r="Z265" s="3"/>
    </row>
    <row r="266">
      <c r="A266" s="124" t="s">
        <v>3590</v>
      </c>
      <c r="B266" s="451">
        <v>45448.0</v>
      </c>
      <c r="C266" s="124" t="s">
        <v>736</v>
      </c>
      <c r="D266" s="425"/>
      <c r="E266" s="451">
        <v>45456.0</v>
      </c>
      <c r="F266" s="425" t="b">
        <v>0</v>
      </c>
      <c r="G266" s="425" t="b">
        <v>0</v>
      </c>
      <c r="H266" s="425" t="b">
        <v>0</v>
      </c>
      <c r="I266" s="124" t="b">
        <v>0</v>
      </c>
      <c r="J266" s="425"/>
      <c r="K266" s="424" t="s">
        <v>3591</v>
      </c>
      <c r="M266" s="3"/>
      <c r="N266" s="3"/>
      <c r="O266" s="3"/>
      <c r="P266" s="3"/>
      <c r="Q266" s="3"/>
      <c r="R266" s="3"/>
      <c r="S266" s="3"/>
      <c r="T266" s="3"/>
      <c r="U266" s="3"/>
      <c r="V266" s="3"/>
      <c r="W266" s="3"/>
      <c r="X266" s="3"/>
      <c r="Y266" s="3"/>
      <c r="Z266" s="3"/>
    </row>
    <row r="267">
      <c r="A267" s="203" t="s">
        <v>3592</v>
      </c>
      <c r="B267" s="202">
        <v>45455.0</v>
      </c>
      <c r="C267" s="203" t="s">
        <v>736</v>
      </c>
      <c r="D267" s="203" t="s">
        <v>1065</v>
      </c>
      <c r="E267" s="202">
        <v>45463.0</v>
      </c>
      <c r="F267" s="203" t="b">
        <v>1</v>
      </c>
      <c r="G267" s="203" t="b">
        <v>1</v>
      </c>
      <c r="H267" s="203" t="b">
        <v>1</v>
      </c>
      <c r="I267" s="203" t="b">
        <v>1</v>
      </c>
      <c r="J267" s="203" t="s">
        <v>1065</v>
      </c>
      <c r="K267" s="203" t="s">
        <v>2862</v>
      </c>
      <c r="M267" s="3"/>
      <c r="N267" s="3"/>
      <c r="O267" s="3"/>
      <c r="P267" s="3"/>
      <c r="Q267" s="3"/>
      <c r="R267" s="3"/>
      <c r="S267" s="3"/>
      <c r="T267" s="3"/>
      <c r="U267" s="3"/>
      <c r="V267" s="3"/>
      <c r="W267" s="3"/>
      <c r="X267" s="3"/>
      <c r="Y267" s="3"/>
      <c r="Z267" s="3"/>
    </row>
    <row r="268">
      <c r="A268" s="203" t="s">
        <v>3593</v>
      </c>
      <c r="B268" s="202">
        <v>45455.0</v>
      </c>
      <c r="C268" s="203" t="s">
        <v>736</v>
      </c>
      <c r="D268" s="203" t="s">
        <v>1065</v>
      </c>
      <c r="E268" s="202">
        <v>45462.0</v>
      </c>
      <c r="F268" s="203" t="b">
        <v>1</v>
      </c>
      <c r="G268" s="203" t="b">
        <v>1</v>
      </c>
      <c r="H268" s="203" t="b">
        <v>1</v>
      </c>
      <c r="I268" s="203" t="b">
        <v>1</v>
      </c>
      <c r="J268" s="203" t="s">
        <v>1065</v>
      </c>
      <c r="K268" s="124" t="s">
        <v>3579</v>
      </c>
      <c r="O268" s="3"/>
      <c r="P268" s="3"/>
      <c r="Q268" s="3"/>
      <c r="R268" s="3"/>
      <c r="S268" s="3"/>
      <c r="T268" s="3"/>
      <c r="U268" s="3"/>
      <c r="V268" s="3"/>
      <c r="W268" s="3"/>
      <c r="X268" s="3"/>
      <c r="Y268" s="3"/>
      <c r="Z268" s="3"/>
    </row>
    <row r="269">
      <c r="A269" s="124" t="s">
        <v>3594</v>
      </c>
      <c r="B269" s="451">
        <v>45455.0</v>
      </c>
      <c r="C269" s="124" t="s">
        <v>625</v>
      </c>
      <c r="D269" s="124" t="s">
        <v>3561</v>
      </c>
      <c r="E269" s="451">
        <v>45460.0</v>
      </c>
      <c r="F269" s="425" t="b">
        <v>0</v>
      </c>
      <c r="G269" s="425" t="b">
        <v>0</v>
      </c>
      <c r="H269" s="425" t="b">
        <v>0</v>
      </c>
      <c r="I269" s="124" t="b">
        <v>0</v>
      </c>
      <c r="J269" s="425"/>
      <c r="K269" s="424" t="s">
        <v>3595</v>
      </c>
      <c r="M269" s="3"/>
      <c r="N269" s="3"/>
      <c r="O269" s="3"/>
      <c r="P269" s="3"/>
      <c r="Q269" s="3"/>
      <c r="R269" s="3"/>
      <c r="S269" s="3"/>
      <c r="T269" s="3"/>
      <c r="U269" s="3"/>
      <c r="V269" s="3"/>
      <c r="W269" s="3"/>
      <c r="X269" s="3"/>
      <c r="Y269" s="3"/>
      <c r="Z269" s="3"/>
    </row>
    <row r="270">
      <c r="A270" s="203" t="s">
        <v>3596</v>
      </c>
      <c r="B270" s="202">
        <v>45455.0</v>
      </c>
      <c r="C270" s="203" t="s">
        <v>736</v>
      </c>
      <c r="D270" s="203" t="s">
        <v>1065</v>
      </c>
      <c r="E270" s="202">
        <v>45463.0</v>
      </c>
      <c r="F270" s="203" t="b">
        <v>1</v>
      </c>
      <c r="G270" s="203" t="b">
        <v>1</v>
      </c>
      <c r="H270" s="203" t="b">
        <v>1</v>
      </c>
      <c r="I270" s="203" t="b">
        <v>1</v>
      </c>
      <c r="J270" s="203" t="s">
        <v>1065</v>
      </c>
      <c r="K270" s="203" t="s">
        <v>2862</v>
      </c>
      <c r="M270" s="3"/>
      <c r="N270" s="3"/>
      <c r="O270" s="3"/>
      <c r="P270" s="3"/>
      <c r="Q270" s="3"/>
      <c r="R270" s="3"/>
      <c r="S270" s="3"/>
      <c r="T270" s="3"/>
      <c r="U270" s="3"/>
      <c r="V270" s="3"/>
      <c r="W270" s="3"/>
      <c r="X270" s="3"/>
      <c r="Y270" s="3"/>
      <c r="Z270" s="3"/>
    </row>
    <row r="271">
      <c r="A271" s="124" t="s">
        <v>3597</v>
      </c>
      <c r="B271" s="451">
        <v>45455.0</v>
      </c>
      <c r="C271" s="124" t="s">
        <v>736</v>
      </c>
      <c r="D271" s="124" t="s">
        <v>3598</v>
      </c>
      <c r="E271" s="451">
        <v>45471.0</v>
      </c>
      <c r="F271" s="425" t="b">
        <v>0</v>
      </c>
      <c r="G271" s="425" t="b">
        <v>0</v>
      </c>
      <c r="H271" s="124" t="b">
        <v>0</v>
      </c>
      <c r="I271" s="124" t="b">
        <v>0</v>
      </c>
      <c r="J271" s="425"/>
      <c r="K271" s="203" t="s">
        <v>2862</v>
      </c>
      <c r="M271" s="3"/>
      <c r="N271" s="3"/>
      <c r="O271" s="3"/>
      <c r="P271" s="3"/>
      <c r="Q271" s="3"/>
      <c r="R271" s="3"/>
      <c r="S271" s="3"/>
      <c r="T271" s="3"/>
      <c r="U271" s="3"/>
      <c r="V271" s="3"/>
      <c r="W271" s="3"/>
      <c r="X271" s="3"/>
      <c r="Y271" s="3"/>
      <c r="Z271" s="3"/>
    </row>
    <row r="272">
      <c r="A272" s="203" t="s">
        <v>3599</v>
      </c>
      <c r="B272" s="214">
        <v>45456.0</v>
      </c>
      <c r="C272" s="203" t="s">
        <v>649</v>
      </c>
      <c r="D272" s="203" t="s">
        <v>1065</v>
      </c>
      <c r="E272" s="214">
        <v>45461.0</v>
      </c>
      <c r="F272" s="203" t="b">
        <v>1</v>
      </c>
      <c r="G272" s="203" t="b">
        <v>1</v>
      </c>
      <c r="H272" s="203" t="b">
        <v>1</v>
      </c>
      <c r="I272" s="203" t="b">
        <v>1</v>
      </c>
      <c r="J272" s="203" t="s">
        <v>1065</v>
      </c>
      <c r="K272" s="203" t="s">
        <v>2862</v>
      </c>
      <c r="M272" s="3"/>
      <c r="N272" s="3"/>
      <c r="O272" s="3"/>
      <c r="P272" s="3"/>
      <c r="Q272" s="3"/>
      <c r="R272" s="3"/>
      <c r="S272" s="3"/>
      <c r="T272" s="3"/>
      <c r="U272" s="3"/>
      <c r="V272" s="3"/>
      <c r="W272" s="3"/>
      <c r="X272" s="3"/>
      <c r="Y272" s="3"/>
      <c r="Z272" s="3"/>
    </row>
    <row r="273">
      <c r="A273" s="124" t="s">
        <v>3600</v>
      </c>
      <c r="B273" s="422">
        <v>45456.0</v>
      </c>
      <c r="C273" s="124" t="s">
        <v>1370</v>
      </c>
      <c r="D273" s="425"/>
      <c r="E273" s="422">
        <v>45461.0</v>
      </c>
      <c r="F273" s="425" t="b">
        <v>0</v>
      </c>
      <c r="G273" s="425" t="b">
        <v>0</v>
      </c>
      <c r="H273" s="425" t="b">
        <v>0</v>
      </c>
      <c r="I273" s="124" t="b">
        <v>1</v>
      </c>
      <c r="J273" s="425"/>
      <c r="K273" s="203" t="s">
        <v>2862</v>
      </c>
      <c r="M273" s="3"/>
      <c r="N273" s="3"/>
      <c r="O273" s="3"/>
      <c r="P273" s="3"/>
      <c r="Q273" s="3"/>
      <c r="R273" s="3"/>
      <c r="S273" s="3"/>
      <c r="T273" s="3"/>
      <c r="U273" s="3"/>
      <c r="V273" s="3"/>
      <c r="W273" s="3"/>
      <c r="X273" s="3"/>
      <c r="Y273" s="3"/>
      <c r="Z273" s="3"/>
    </row>
    <row r="274">
      <c r="A274" s="124" t="s">
        <v>3601</v>
      </c>
      <c r="B274" s="451">
        <v>45456.0</v>
      </c>
      <c r="C274" s="124" t="s">
        <v>625</v>
      </c>
      <c r="D274" s="124" t="s">
        <v>3602</v>
      </c>
      <c r="E274" s="451">
        <v>45462.0</v>
      </c>
      <c r="F274" s="124" t="b">
        <v>1</v>
      </c>
      <c r="G274" s="124" t="b">
        <v>1</v>
      </c>
      <c r="H274" s="124" t="b">
        <v>1</v>
      </c>
      <c r="I274" s="124" t="b">
        <v>1</v>
      </c>
      <c r="J274" s="124" t="s">
        <v>1065</v>
      </c>
      <c r="K274" s="124" t="s">
        <v>3234</v>
      </c>
      <c r="M274" s="3"/>
      <c r="N274" s="3"/>
      <c r="O274" s="3"/>
      <c r="P274" s="3"/>
      <c r="Q274" s="3"/>
      <c r="R274" s="3"/>
      <c r="S274" s="3"/>
      <c r="T274" s="3"/>
      <c r="U274" s="3"/>
      <c r="V274" s="3"/>
      <c r="W274" s="3"/>
      <c r="X274" s="3"/>
      <c r="Y274" s="3"/>
      <c r="Z274" s="3"/>
    </row>
    <row r="275">
      <c r="A275" s="124" t="s">
        <v>3603</v>
      </c>
      <c r="B275" s="451">
        <v>45456.0</v>
      </c>
      <c r="C275" s="124" t="s">
        <v>736</v>
      </c>
      <c r="D275" s="124" t="s">
        <v>3604</v>
      </c>
      <c r="E275" s="451">
        <v>45485.0</v>
      </c>
      <c r="F275" s="425" t="b">
        <v>0</v>
      </c>
      <c r="G275" s="425" t="b">
        <v>0</v>
      </c>
      <c r="H275" s="425" t="b">
        <v>0</v>
      </c>
      <c r="I275" s="124" t="b">
        <v>0</v>
      </c>
      <c r="J275" s="425"/>
      <c r="K275" s="124" t="s">
        <v>2862</v>
      </c>
      <c r="M275" s="3"/>
      <c r="N275" s="3"/>
      <c r="O275" s="3"/>
      <c r="P275" s="3"/>
      <c r="Q275" s="3"/>
      <c r="R275" s="3"/>
      <c r="S275" s="3"/>
      <c r="T275" s="3"/>
      <c r="U275" s="3"/>
      <c r="V275" s="3"/>
      <c r="W275" s="3"/>
      <c r="X275" s="3"/>
      <c r="Y275" s="3"/>
      <c r="Z275" s="3"/>
    </row>
    <row r="276">
      <c r="A276" s="203" t="s">
        <v>3605</v>
      </c>
      <c r="B276" s="214">
        <v>45456.0</v>
      </c>
      <c r="C276" s="203" t="s">
        <v>625</v>
      </c>
      <c r="D276" s="203" t="s">
        <v>1065</v>
      </c>
      <c r="E276" s="202">
        <v>45461.0</v>
      </c>
      <c r="F276" s="203" t="b">
        <v>1</v>
      </c>
      <c r="G276" s="203" t="b">
        <v>1</v>
      </c>
      <c r="H276" s="203" t="b">
        <v>1</v>
      </c>
      <c r="I276" s="203" t="b">
        <v>1</v>
      </c>
      <c r="J276" s="203" t="s">
        <v>1065</v>
      </c>
      <c r="K276" s="124" t="s">
        <v>2862</v>
      </c>
      <c r="M276" s="3"/>
      <c r="N276" s="3"/>
      <c r="O276" s="3"/>
      <c r="P276" s="3"/>
      <c r="Q276" s="3"/>
      <c r="R276" s="3"/>
      <c r="S276" s="3"/>
      <c r="T276" s="3"/>
      <c r="U276" s="3"/>
      <c r="V276" s="3"/>
      <c r="W276" s="3"/>
      <c r="X276" s="3"/>
      <c r="Y276" s="3"/>
      <c r="Z276" s="3"/>
    </row>
    <row r="277">
      <c r="A277" s="124" t="s">
        <v>3606</v>
      </c>
      <c r="B277" s="451">
        <v>45456.0</v>
      </c>
      <c r="C277" s="124" t="s">
        <v>736</v>
      </c>
      <c r="D277" s="425"/>
      <c r="E277" s="451">
        <v>45468.0</v>
      </c>
      <c r="F277" s="425" t="b">
        <v>0</v>
      </c>
      <c r="G277" s="425" t="b">
        <v>0</v>
      </c>
      <c r="H277" s="425" t="b">
        <v>0</v>
      </c>
      <c r="I277" s="124" t="b">
        <v>0</v>
      </c>
      <c r="J277" s="425"/>
      <c r="K277" s="203" t="s">
        <v>2862</v>
      </c>
      <c r="M277" s="3"/>
      <c r="N277" s="3"/>
      <c r="O277" s="3"/>
      <c r="P277" s="3"/>
      <c r="Q277" s="3"/>
      <c r="R277" s="3"/>
      <c r="S277" s="3"/>
      <c r="T277" s="3"/>
      <c r="U277" s="3"/>
      <c r="V277" s="3"/>
      <c r="W277" s="3"/>
      <c r="X277" s="3"/>
      <c r="Y277" s="3"/>
      <c r="Z277" s="3"/>
    </row>
    <row r="278">
      <c r="A278" s="203" t="s">
        <v>3607</v>
      </c>
      <c r="B278" s="202">
        <v>45457.0</v>
      </c>
      <c r="C278" s="203" t="s">
        <v>736</v>
      </c>
      <c r="D278" s="203" t="s">
        <v>1065</v>
      </c>
      <c r="E278" s="202">
        <v>45461.0</v>
      </c>
      <c r="F278" s="203" t="b">
        <v>1</v>
      </c>
      <c r="G278" s="203" t="b">
        <v>1</v>
      </c>
      <c r="H278" s="203" t="b">
        <v>1</v>
      </c>
      <c r="I278" s="203" t="b">
        <v>1</v>
      </c>
      <c r="J278" s="203" t="s">
        <v>1065</v>
      </c>
      <c r="K278" s="203" t="s">
        <v>2862</v>
      </c>
      <c r="M278" s="3"/>
      <c r="N278" s="3"/>
      <c r="O278" s="3"/>
      <c r="P278" s="3"/>
      <c r="Q278" s="3"/>
      <c r="R278" s="3"/>
      <c r="S278" s="3"/>
      <c r="T278" s="3"/>
      <c r="U278" s="3"/>
      <c r="V278" s="3"/>
      <c r="W278" s="3"/>
      <c r="X278" s="3"/>
      <c r="Y278" s="3"/>
      <c r="Z278" s="3"/>
    </row>
    <row r="279">
      <c r="A279" s="135" t="s">
        <v>3608</v>
      </c>
      <c r="B279" s="422">
        <v>45460.0</v>
      </c>
      <c r="C279" s="124" t="s">
        <v>1370</v>
      </c>
      <c r="D279" s="318"/>
      <c r="E279" s="422">
        <v>45495.0</v>
      </c>
      <c r="F279" s="318" t="b">
        <v>0</v>
      </c>
      <c r="G279" s="135" t="b">
        <v>0</v>
      </c>
      <c r="H279" s="318" t="b">
        <v>0</v>
      </c>
      <c r="I279" s="318" t="b">
        <v>0</v>
      </c>
      <c r="J279" s="318"/>
      <c r="K279" s="203" t="s">
        <v>2865</v>
      </c>
      <c r="M279" s="3"/>
      <c r="N279" s="3"/>
      <c r="O279" s="3"/>
      <c r="P279" s="3"/>
      <c r="Q279" s="3"/>
      <c r="R279" s="3"/>
      <c r="S279" s="3"/>
      <c r="T279" s="3"/>
      <c r="U279" s="3"/>
      <c r="V279" s="3"/>
      <c r="W279" s="3"/>
      <c r="X279" s="3"/>
      <c r="Y279" s="3"/>
      <c r="Z279" s="3"/>
    </row>
    <row r="280">
      <c r="A280" s="203" t="s">
        <v>3609</v>
      </c>
      <c r="B280" s="214">
        <v>45463.0</v>
      </c>
      <c r="C280" s="203" t="s">
        <v>625</v>
      </c>
      <c r="D280" s="203" t="s">
        <v>1065</v>
      </c>
      <c r="E280" s="202">
        <v>45496.0</v>
      </c>
      <c r="F280" s="203" t="b">
        <v>1</v>
      </c>
      <c r="G280" s="203" t="b">
        <v>1</v>
      </c>
      <c r="H280" s="203" t="b">
        <v>1</v>
      </c>
      <c r="I280" s="203" t="b">
        <v>1</v>
      </c>
      <c r="J280" s="203" t="s">
        <v>1065</v>
      </c>
      <c r="K280" s="203" t="s">
        <v>2862</v>
      </c>
      <c r="M280" s="3"/>
      <c r="N280" s="3"/>
      <c r="O280" s="3"/>
      <c r="P280" s="3"/>
      <c r="Q280" s="3"/>
      <c r="R280" s="3"/>
      <c r="S280" s="3"/>
      <c r="T280" s="3"/>
      <c r="U280" s="3"/>
      <c r="V280" s="3"/>
      <c r="W280" s="3"/>
      <c r="X280" s="3"/>
      <c r="Y280" s="3"/>
      <c r="Z280" s="3"/>
    </row>
    <row r="281">
      <c r="A281" s="203" t="s">
        <v>3610</v>
      </c>
      <c r="B281" s="202">
        <v>45470.0</v>
      </c>
      <c r="C281" s="203" t="s">
        <v>736</v>
      </c>
      <c r="D281" s="203" t="s">
        <v>1065</v>
      </c>
      <c r="E281" s="202">
        <v>45488.0</v>
      </c>
      <c r="F281" s="203" t="b">
        <v>1</v>
      </c>
      <c r="G281" s="203" t="b">
        <v>1</v>
      </c>
      <c r="H281" s="203" t="b">
        <v>1</v>
      </c>
      <c r="I281" s="203" t="b">
        <v>1</v>
      </c>
      <c r="J281" s="203" t="s">
        <v>1065</v>
      </c>
      <c r="K281" s="203" t="s">
        <v>3132</v>
      </c>
      <c r="M281" s="3"/>
      <c r="N281" s="53"/>
      <c r="O281" s="132" t="s">
        <v>3611</v>
      </c>
      <c r="P281" s="3"/>
      <c r="S281" s="3"/>
      <c r="T281" s="3"/>
      <c r="U281" s="3"/>
      <c r="V281" s="3"/>
      <c r="W281" s="3"/>
      <c r="X281" s="3"/>
      <c r="Y281" s="3"/>
      <c r="Z281" s="3"/>
    </row>
    <row r="282">
      <c r="A282" s="124" t="s">
        <v>3612</v>
      </c>
      <c r="B282" s="451">
        <v>45470.0</v>
      </c>
      <c r="C282" s="124" t="s">
        <v>625</v>
      </c>
      <c r="D282" s="124" t="s">
        <v>3166</v>
      </c>
      <c r="E282" s="422">
        <v>45475.0</v>
      </c>
      <c r="F282" s="425" t="b">
        <v>0</v>
      </c>
      <c r="G282" s="425" t="b">
        <v>0</v>
      </c>
      <c r="H282" s="425" t="b">
        <v>0</v>
      </c>
      <c r="I282" s="124" t="b">
        <v>0</v>
      </c>
      <c r="J282" s="425"/>
      <c r="K282" s="203" t="s">
        <v>2862</v>
      </c>
      <c r="M282" s="3"/>
      <c r="N282" s="3"/>
      <c r="O282" s="3"/>
      <c r="P282" s="3"/>
      <c r="Q282" s="3"/>
      <c r="R282" s="3"/>
      <c r="S282" s="3"/>
      <c r="T282" s="3"/>
      <c r="U282" s="3"/>
      <c r="V282" s="3"/>
      <c r="W282" s="3"/>
      <c r="X282" s="3"/>
      <c r="Y282" s="3"/>
      <c r="Z282" s="3"/>
    </row>
    <row r="283">
      <c r="A283" s="124" t="s">
        <v>3613</v>
      </c>
      <c r="B283" s="451">
        <v>45471.0</v>
      </c>
      <c r="C283" s="124" t="s">
        <v>625</v>
      </c>
      <c r="D283" s="124" t="s">
        <v>1065</v>
      </c>
      <c r="E283" s="451">
        <v>45481.0</v>
      </c>
      <c r="F283" s="124" t="b">
        <v>1</v>
      </c>
      <c r="G283" s="124" t="b">
        <v>1</v>
      </c>
      <c r="H283" s="124" t="b">
        <v>1</v>
      </c>
      <c r="I283" s="124" t="b">
        <v>1</v>
      </c>
      <c r="J283" s="124" t="s">
        <v>1065</v>
      </c>
      <c r="K283" s="203" t="s">
        <v>2862</v>
      </c>
      <c r="M283" s="3"/>
      <c r="N283" s="3"/>
      <c r="O283" s="3"/>
      <c r="P283" s="3"/>
      <c r="Q283" s="3"/>
      <c r="R283" s="3"/>
      <c r="S283" s="3"/>
      <c r="T283" s="3"/>
      <c r="U283" s="3"/>
      <c r="V283" s="3"/>
      <c r="W283" s="3"/>
      <c r="X283" s="3"/>
      <c r="Y283" s="3"/>
      <c r="Z283" s="3"/>
    </row>
    <row r="284">
      <c r="A284" s="203" t="s">
        <v>3614</v>
      </c>
      <c r="B284" s="202">
        <v>45471.0</v>
      </c>
      <c r="C284" s="203" t="s">
        <v>736</v>
      </c>
      <c r="D284" s="203" t="s">
        <v>1065</v>
      </c>
      <c r="E284" s="202">
        <v>45475.0</v>
      </c>
      <c r="F284" s="203" t="b">
        <v>1</v>
      </c>
      <c r="G284" s="203" t="b">
        <v>1</v>
      </c>
      <c r="H284" s="203" t="b">
        <v>1</v>
      </c>
      <c r="I284" s="203" t="b">
        <v>1</v>
      </c>
      <c r="J284" s="203" t="s">
        <v>2858</v>
      </c>
      <c r="K284" s="203" t="s">
        <v>3556</v>
      </c>
      <c r="M284" s="3"/>
      <c r="N284" s="3"/>
      <c r="O284" s="3"/>
      <c r="P284" s="3"/>
      <c r="Q284" s="3"/>
      <c r="R284" s="3"/>
      <c r="S284" s="3"/>
      <c r="T284" s="3"/>
      <c r="U284" s="3"/>
      <c r="V284" s="3"/>
      <c r="W284" s="3"/>
      <c r="X284" s="3"/>
      <c r="Y284" s="3"/>
      <c r="Z284" s="3"/>
    </row>
    <row r="285">
      <c r="A285" s="124" t="s">
        <v>3615</v>
      </c>
      <c r="B285" s="451">
        <v>45474.0</v>
      </c>
      <c r="C285" s="124" t="s">
        <v>625</v>
      </c>
      <c r="D285" s="124" t="s">
        <v>3604</v>
      </c>
      <c r="E285" s="451">
        <v>45475.0</v>
      </c>
      <c r="F285" s="425" t="b">
        <v>0</v>
      </c>
      <c r="G285" s="425" t="b">
        <v>0</v>
      </c>
      <c r="H285" s="425" t="b">
        <v>0</v>
      </c>
      <c r="I285" s="124" t="b">
        <v>0</v>
      </c>
      <c r="J285" s="425"/>
      <c r="K285" s="203" t="s">
        <v>2862</v>
      </c>
      <c r="M285" s="3"/>
      <c r="N285" s="3"/>
      <c r="O285" s="3"/>
      <c r="P285" s="3"/>
      <c r="Q285" s="3"/>
      <c r="R285" s="3"/>
      <c r="S285" s="3"/>
      <c r="T285" s="3"/>
      <c r="U285" s="3"/>
      <c r="V285" s="3"/>
      <c r="W285" s="3"/>
      <c r="X285" s="3"/>
      <c r="Y285" s="3"/>
      <c r="Z285" s="3"/>
    </row>
    <row r="286">
      <c r="A286" s="203" t="s">
        <v>3616</v>
      </c>
      <c r="B286" s="202">
        <v>45482.0</v>
      </c>
      <c r="C286" s="203" t="s">
        <v>625</v>
      </c>
      <c r="D286" s="203" t="s">
        <v>1065</v>
      </c>
      <c r="E286" s="202">
        <v>45551.0</v>
      </c>
      <c r="F286" s="203" t="b">
        <v>1</v>
      </c>
      <c r="G286" s="203" t="b">
        <v>1</v>
      </c>
      <c r="H286" s="203" t="b">
        <v>1</v>
      </c>
      <c r="I286" s="203" t="b">
        <v>1</v>
      </c>
      <c r="J286" s="203" t="s">
        <v>1065</v>
      </c>
      <c r="K286" s="203" t="s">
        <v>2862</v>
      </c>
      <c r="M286" s="3"/>
      <c r="N286" s="3"/>
      <c r="O286" s="3"/>
      <c r="P286" s="3"/>
      <c r="Q286" s="3"/>
      <c r="R286" s="3"/>
      <c r="S286" s="3"/>
      <c r="T286" s="3"/>
      <c r="U286" s="3"/>
      <c r="V286" s="3"/>
      <c r="W286" s="3"/>
      <c r="X286" s="3"/>
      <c r="Y286" s="3"/>
      <c r="Z286" s="3"/>
    </row>
    <row r="287">
      <c r="A287" s="124" t="s">
        <v>3617</v>
      </c>
      <c r="B287" s="451">
        <v>45482.0</v>
      </c>
      <c r="C287" s="124" t="s">
        <v>625</v>
      </c>
      <c r="D287" s="124" t="s">
        <v>1065</v>
      </c>
      <c r="E287" s="451">
        <v>45490.0</v>
      </c>
      <c r="F287" s="124" t="b">
        <v>1</v>
      </c>
      <c r="G287" s="124" t="b">
        <v>1</v>
      </c>
      <c r="H287" s="124" t="b">
        <v>1</v>
      </c>
      <c r="I287" s="124" t="b">
        <v>1</v>
      </c>
      <c r="J287" s="124" t="s">
        <v>1232</v>
      </c>
      <c r="K287" s="203" t="s">
        <v>2862</v>
      </c>
      <c r="M287" s="3"/>
      <c r="N287" s="3"/>
      <c r="O287" s="3"/>
      <c r="P287" s="3"/>
      <c r="Q287" s="3"/>
      <c r="R287" s="3"/>
      <c r="S287" s="3"/>
      <c r="T287" s="3"/>
      <c r="U287" s="3"/>
      <c r="V287" s="3"/>
      <c r="W287" s="3"/>
      <c r="X287" s="3"/>
      <c r="Y287" s="3"/>
      <c r="Z287" s="3"/>
    </row>
    <row r="288">
      <c r="A288" s="203" t="s">
        <v>3618</v>
      </c>
      <c r="B288" s="202">
        <v>45483.0</v>
      </c>
      <c r="C288" s="203" t="s">
        <v>625</v>
      </c>
      <c r="D288" s="203" t="s">
        <v>1065</v>
      </c>
      <c r="E288" s="202">
        <v>45491.0</v>
      </c>
      <c r="F288" s="203" t="b">
        <v>1</v>
      </c>
      <c r="G288" s="203" t="b">
        <v>1</v>
      </c>
      <c r="H288" s="203" t="b">
        <v>1</v>
      </c>
      <c r="I288" s="203" t="b">
        <v>1</v>
      </c>
      <c r="J288" s="262"/>
      <c r="K288" s="124" t="s">
        <v>3619</v>
      </c>
      <c r="M288" s="3"/>
      <c r="N288" s="3"/>
      <c r="O288" s="3"/>
      <c r="P288" s="3"/>
      <c r="Q288" s="3"/>
      <c r="R288" s="3"/>
      <c r="S288" s="3"/>
      <c r="T288" s="3"/>
      <c r="U288" s="3"/>
      <c r="V288" s="3"/>
      <c r="W288" s="3"/>
      <c r="X288" s="3"/>
      <c r="Y288" s="3"/>
      <c r="Z288" s="3"/>
    </row>
    <row r="289">
      <c r="A289" s="203" t="s">
        <v>3621</v>
      </c>
      <c r="B289" s="202">
        <v>45489.0</v>
      </c>
      <c r="C289" s="203" t="s">
        <v>736</v>
      </c>
      <c r="D289" s="203" t="s">
        <v>1065</v>
      </c>
      <c r="E289" s="202">
        <v>45502.0</v>
      </c>
      <c r="F289" s="203" t="b">
        <v>1</v>
      </c>
      <c r="G289" s="203" t="b">
        <v>1</v>
      </c>
      <c r="H289" s="203" t="b">
        <v>1</v>
      </c>
      <c r="I289" s="203" t="b">
        <v>1</v>
      </c>
      <c r="J289" s="203" t="s">
        <v>1065</v>
      </c>
      <c r="K289" s="203" t="s">
        <v>2862</v>
      </c>
      <c r="M289" s="3"/>
      <c r="N289" s="3"/>
      <c r="O289" s="3"/>
      <c r="P289" s="3"/>
      <c r="Q289" s="3"/>
      <c r="R289" s="3"/>
      <c r="S289" s="3"/>
      <c r="T289" s="3"/>
      <c r="U289" s="3"/>
      <c r="V289" s="3"/>
      <c r="W289" s="3"/>
      <c r="X289" s="3"/>
      <c r="Y289" s="3"/>
      <c r="Z289" s="3"/>
    </row>
    <row r="290">
      <c r="A290" s="203" t="s">
        <v>3622</v>
      </c>
      <c r="B290" s="202">
        <v>45490.0</v>
      </c>
      <c r="C290" s="203" t="s">
        <v>736</v>
      </c>
      <c r="D290" s="203" t="s">
        <v>1065</v>
      </c>
      <c r="E290" s="202">
        <v>45492.0</v>
      </c>
      <c r="F290" s="203" t="b">
        <v>1</v>
      </c>
      <c r="G290" s="203" t="b">
        <v>1</v>
      </c>
      <c r="H290" s="203" t="b">
        <v>1</v>
      </c>
      <c r="I290" s="203" t="b">
        <v>1</v>
      </c>
      <c r="J290" s="203" t="s">
        <v>1065</v>
      </c>
      <c r="K290" s="124" t="s">
        <v>3623</v>
      </c>
      <c r="M290" s="3"/>
      <c r="N290" s="3"/>
      <c r="O290" s="3"/>
      <c r="P290" s="3"/>
      <c r="Q290" s="3"/>
      <c r="R290" s="3"/>
      <c r="S290" s="3"/>
      <c r="T290" s="3"/>
      <c r="U290" s="3"/>
      <c r="V290" s="3"/>
      <c r="W290" s="3"/>
      <c r="X290" s="3"/>
      <c r="Y290" s="3"/>
      <c r="Z290" s="3"/>
    </row>
    <row r="291">
      <c r="A291" s="458" t="s">
        <v>3624</v>
      </c>
      <c r="B291" s="446">
        <v>45490.0</v>
      </c>
      <c r="C291" s="437" t="s">
        <v>736</v>
      </c>
      <c r="D291" s="378"/>
      <c r="E291" s="460">
        <v>45511.0</v>
      </c>
      <c r="F291" s="437" t="b">
        <v>0</v>
      </c>
      <c r="G291" s="437" t="b">
        <v>0</v>
      </c>
      <c r="H291" s="437" t="b">
        <v>0</v>
      </c>
      <c r="I291" s="624" t="b">
        <v>0</v>
      </c>
      <c r="J291" s="378"/>
      <c r="K291" s="203" t="s">
        <v>3132</v>
      </c>
      <c r="O291" s="3"/>
      <c r="P291" s="3"/>
      <c r="Q291" s="3"/>
      <c r="R291" s="3"/>
      <c r="S291" s="3"/>
      <c r="T291" s="3"/>
      <c r="U291" s="3"/>
      <c r="V291" s="3"/>
      <c r="W291" s="3"/>
      <c r="X291" s="3"/>
      <c r="Y291" s="3"/>
      <c r="Z291" s="3"/>
    </row>
    <row r="292">
      <c r="A292" s="458" t="s">
        <v>3625</v>
      </c>
      <c r="B292" s="459">
        <v>45490.0</v>
      </c>
      <c r="C292" s="458" t="s">
        <v>625</v>
      </c>
      <c r="D292" s="378"/>
      <c r="E292" s="460">
        <v>45497.0</v>
      </c>
      <c r="F292" s="437" t="b">
        <v>0</v>
      </c>
      <c r="G292" s="437" t="b">
        <v>0</v>
      </c>
      <c r="H292" s="437" t="b">
        <v>0</v>
      </c>
      <c r="I292" s="624" t="b">
        <v>0</v>
      </c>
      <c r="J292" s="378"/>
      <c r="K292" s="203" t="s">
        <v>2862</v>
      </c>
      <c r="M292" s="3"/>
      <c r="N292" s="3"/>
      <c r="O292" s="3"/>
      <c r="P292" s="3"/>
      <c r="Q292" s="3"/>
      <c r="R292" s="3"/>
      <c r="S292" s="3"/>
      <c r="T292" s="3"/>
      <c r="U292" s="3"/>
      <c r="V292" s="3"/>
      <c r="W292" s="3"/>
      <c r="X292" s="3"/>
      <c r="Y292" s="3"/>
      <c r="Z292" s="3"/>
    </row>
    <row r="293">
      <c r="A293" s="124" t="s">
        <v>3626</v>
      </c>
      <c r="B293" s="451">
        <v>45497.0</v>
      </c>
      <c r="C293" s="124" t="s">
        <v>736</v>
      </c>
      <c r="D293" s="425"/>
      <c r="E293" s="422">
        <v>45506.0</v>
      </c>
      <c r="F293" s="425" t="b">
        <v>0</v>
      </c>
      <c r="G293" s="425" t="b">
        <v>0</v>
      </c>
      <c r="H293" s="425" t="b">
        <v>0</v>
      </c>
      <c r="I293" s="124" t="b">
        <v>0</v>
      </c>
      <c r="J293" s="425"/>
      <c r="K293" s="203" t="s">
        <v>2862</v>
      </c>
      <c r="M293" s="3"/>
      <c r="N293" s="3"/>
      <c r="O293" s="3"/>
      <c r="P293" s="3"/>
      <c r="Q293" s="3"/>
      <c r="R293" s="3"/>
      <c r="S293" s="3"/>
      <c r="T293" s="3"/>
      <c r="U293" s="3"/>
      <c r="V293" s="3"/>
      <c r="W293" s="3"/>
      <c r="X293" s="3"/>
      <c r="Y293" s="3"/>
      <c r="Z293" s="3"/>
    </row>
    <row r="294">
      <c r="A294" s="458" t="s">
        <v>3627</v>
      </c>
      <c r="B294" s="459">
        <v>45498.0</v>
      </c>
      <c r="C294" s="437" t="s">
        <v>736</v>
      </c>
      <c r="D294" s="378"/>
      <c r="E294" s="422">
        <v>45506.0</v>
      </c>
      <c r="F294" s="437" t="b">
        <v>0</v>
      </c>
      <c r="G294" s="437" t="b">
        <v>0</v>
      </c>
      <c r="H294" s="437" t="b">
        <v>0</v>
      </c>
      <c r="I294" s="624" t="b">
        <v>0</v>
      </c>
      <c r="J294" s="363" t="s">
        <v>1232</v>
      </c>
      <c r="K294" s="425"/>
      <c r="M294" s="3"/>
      <c r="N294" s="3"/>
      <c r="O294" s="3"/>
      <c r="P294" s="3"/>
      <c r="Q294" s="3"/>
      <c r="R294" s="3"/>
      <c r="S294" s="3"/>
      <c r="T294" s="3"/>
      <c r="U294" s="3"/>
      <c r="V294" s="3"/>
      <c r="W294" s="3"/>
      <c r="X294" s="3"/>
      <c r="Y294" s="3"/>
      <c r="Z294" s="3"/>
    </row>
    <row r="295">
      <c r="A295" s="180" t="s">
        <v>3628</v>
      </c>
      <c r="B295" s="168">
        <v>45499.0</v>
      </c>
      <c r="C295" s="164" t="s">
        <v>736</v>
      </c>
      <c r="D295" s="180" t="s">
        <v>1065</v>
      </c>
      <c r="E295" s="168">
        <v>45504.0</v>
      </c>
      <c r="F295" s="180" t="b">
        <v>1</v>
      </c>
      <c r="G295" s="180" t="b">
        <v>1</v>
      </c>
      <c r="H295" s="164" t="b">
        <v>0</v>
      </c>
      <c r="I295" s="180" t="b">
        <v>1</v>
      </c>
      <c r="J295" s="180" t="s">
        <v>1065</v>
      </c>
      <c r="K295" s="124" t="s">
        <v>3629</v>
      </c>
      <c r="M295" s="3"/>
      <c r="N295" s="3"/>
      <c r="O295" s="3"/>
      <c r="P295" s="3"/>
      <c r="Q295" s="3"/>
      <c r="R295" s="3"/>
      <c r="S295" s="3"/>
      <c r="T295" s="3"/>
      <c r="U295" s="3"/>
      <c r="V295" s="3"/>
      <c r="W295" s="3"/>
      <c r="X295" s="3"/>
      <c r="Y295" s="3"/>
      <c r="Z295" s="3"/>
    </row>
    <row r="296">
      <c r="A296" s="203" t="s">
        <v>3630</v>
      </c>
      <c r="B296" s="250">
        <v>45502.0</v>
      </c>
      <c r="C296" s="203" t="s">
        <v>625</v>
      </c>
      <c r="D296" s="203" t="s">
        <v>1065</v>
      </c>
      <c r="E296" s="214">
        <v>45509.0</v>
      </c>
      <c r="F296" s="203" t="b">
        <v>1</v>
      </c>
      <c r="G296" s="203" t="b">
        <v>1</v>
      </c>
      <c r="H296" s="203" t="b">
        <v>1</v>
      </c>
      <c r="I296" s="203" t="b">
        <v>1</v>
      </c>
      <c r="J296" s="203" t="s">
        <v>1065</v>
      </c>
      <c r="K296" s="203" t="s">
        <v>3631</v>
      </c>
      <c r="M296" s="3"/>
      <c r="N296" s="604"/>
      <c r="O296" s="132" t="s">
        <v>2952</v>
      </c>
      <c r="P296" s="3"/>
      <c r="S296" s="3"/>
      <c r="T296" s="3"/>
      <c r="U296" s="3"/>
      <c r="V296" s="3"/>
      <c r="W296" s="3"/>
      <c r="X296" s="3"/>
      <c r="Y296" s="3"/>
      <c r="Z296" s="3"/>
    </row>
    <row r="297">
      <c r="A297" s="203" t="s">
        <v>3632</v>
      </c>
      <c r="B297" s="214">
        <v>45513.0</v>
      </c>
      <c r="C297" s="203" t="s">
        <v>736</v>
      </c>
      <c r="D297" s="203" t="s">
        <v>1065</v>
      </c>
      <c r="E297" s="214">
        <v>45519.0</v>
      </c>
      <c r="F297" s="203" t="b">
        <v>1</v>
      </c>
      <c r="G297" s="203" t="b">
        <v>1</v>
      </c>
      <c r="H297" s="203" t="b">
        <v>1</v>
      </c>
      <c r="I297" s="203" t="b">
        <v>1</v>
      </c>
      <c r="J297" s="203" t="s">
        <v>1065</v>
      </c>
      <c r="K297" s="203" t="s">
        <v>2862</v>
      </c>
      <c r="M297" s="3"/>
      <c r="N297" s="3"/>
      <c r="O297" s="3"/>
      <c r="P297" s="3"/>
      <c r="Q297" s="3"/>
      <c r="R297" s="3"/>
      <c r="S297" s="3"/>
      <c r="T297" s="3"/>
      <c r="U297" s="3"/>
      <c r="V297" s="3"/>
      <c r="W297" s="3"/>
      <c r="X297" s="3"/>
      <c r="Y297" s="3"/>
      <c r="Z297" s="3"/>
    </row>
    <row r="298">
      <c r="A298" s="203" t="s">
        <v>3633</v>
      </c>
      <c r="B298" s="214">
        <v>45518.0</v>
      </c>
      <c r="C298" s="203" t="s">
        <v>736</v>
      </c>
      <c r="D298" s="203" t="s">
        <v>1065</v>
      </c>
      <c r="E298" s="214">
        <v>45523.0</v>
      </c>
      <c r="F298" s="203" t="b">
        <v>1</v>
      </c>
      <c r="G298" s="203" t="b">
        <v>1</v>
      </c>
      <c r="H298" s="203" t="b">
        <v>1</v>
      </c>
      <c r="I298" s="203" t="b">
        <v>1</v>
      </c>
      <c r="J298" s="203" t="s">
        <v>1065</v>
      </c>
      <c r="K298" s="203" t="s">
        <v>2862</v>
      </c>
      <c r="M298" s="3"/>
      <c r="N298" s="3"/>
      <c r="O298" s="3"/>
      <c r="P298" s="3"/>
      <c r="Q298" s="3"/>
      <c r="R298" s="3"/>
      <c r="S298" s="3"/>
      <c r="T298" s="3"/>
      <c r="U298" s="3"/>
      <c r="V298" s="3"/>
      <c r="W298" s="3"/>
      <c r="X298" s="3"/>
      <c r="Y298" s="3"/>
      <c r="Z298" s="3"/>
    </row>
    <row r="299">
      <c r="A299" s="203" t="s">
        <v>3634</v>
      </c>
      <c r="B299" s="214">
        <v>45519.0</v>
      </c>
      <c r="C299" s="203" t="s">
        <v>736</v>
      </c>
      <c r="D299" s="203" t="s">
        <v>1065</v>
      </c>
      <c r="E299" s="214">
        <v>45538.0</v>
      </c>
      <c r="F299" s="203" t="b">
        <v>1</v>
      </c>
      <c r="G299" s="203" t="b">
        <v>1</v>
      </c>
      <c r="H299" s="203" t="b">
        <v>1</v>
      </c>
      <c r="I299" s="203" t="b">
        <v>1</v>
      </c>
      <c r="J299" s="203" t="s">
        <v>1065</v>
      </c>
      <c r="K299" s="425"/>
      <c r="M299" s="3"/>
      <c r="N299" s="3"/>
      <c r="O299" s="3"/>
      <c r="P299" s="3"/>
      <c r="Q299" s="3"/>
      <c r="R299" s="3"/>
      <c r="S299" s="3"/>
      <c r="T299" s="3"/>
      <c r="U299" s="3"/>
      <c r="V299" s="3"/>
      <c r="W299" s="3"/>
      <c r="X299" s="3"/>
      <c r="Y299" s="3"/>
      <c r="Z299" s="3"/>
    </row>
    <row r="300">
      <c r="A300" s="203" t="s">
        <v>3635</v>
      </c>
      <c r="B300" s="214">
        <v>45519.0</v>
      </c>
      <c r="C300" s="203" t="s">
        <v>625</v>
      </c>
      <c r="D300" s="203" t="s">
        <v>1065</v>
      </c>
      <c r="E300" s="214">
        <v>45526.0</v>
      </c>
      <c r="F300" s="203" t="b">
        <v>1</v>
      </c>
      <c r="G300" s="203" t="b">
        <v>1</v>
      </c>
      <c r="H300" s="203" t="b">
        <v>1</v>
      </c>
      <c r="I300" s="203" t="b">
        <v>1</v>
      </c>
      <c r="J300" s="203" t="s">
        <v>1065</v>
      </c>
      <c r="K300" s="203" t="s">
        <v>2862</v>
      </c>
      <c r="L300" s="16" t="s">
        <v>24</v>
      </c>
      <c r="M300" s="3"/>
      <c r="N300" s="3"/>
      <c r="O300" s="3"/>
      <c r="P300" s="3"/>
      <c r="Q300" s="3"/>
      <c r="R300" s="3"/>
      <c r="S300" s="3"/>
      <c r="T300" s="3"/>
      <c r="U300" s="3"/>
      <c r="V300" s="3"/>
      <c r="W300" s="3"/>
      <c r="X300" s="3"/>
      <c r="Y300" s="3"/>
      <c r="Z300" s="3"/>
    </row>
    <row r="301">
      <c r="A301" s="124" t="s">
        <v>3636</v>
      </c>
      <c r="B301" s="422">
        <v>45525.0</v>
      </c>
      <c r="C301" s="124" t="s">
        <v>736</v>
      </c>
      <c r="D301" s="425"/>
      <c r="E301" s="422">
        <v>45545.0</v>
      </c>
      <c r="F301" s="425" t="b">
        <v>0</v>
      </c>
      <c r="G301" s="425" t="b">
        <v>0</v>
      </c>
      <c r="H301" s="425" t="b">
        <v>0</v>
      </c>
      <c r="I301" s="124" t="b">
        <v>0</v>
      </c>
      <c r="J301" s="425"/>
      <c r="K301" s="203" t="s">
        <v>2862</v>
      </c>
      <c r="M301" s="3"/>
      <c r="N301" s="3"/>
      <c r="O301" s="3"/>
      <c r="P301" s="3"/>
      <c r="Q301" s="3"/>
      <c r="R301" s="3"/>
      <c r="S301" s="3"/>
      <c r="T301" s="3"/>
      <c r="U301" s="3"/>
      <c r="V301" s="3"/>
      <c r="W301" s="3"/>
      <c r="X301" s="3"/>
      <c r="Y301" s="3"/>
      <c r="Z301" s="3"/>
    </row>
    <row r="302">
      <c r="A302" s="203" t="s">
        <v>3637</v>
      </c>
      <c r="B302" s="214">
        <v>45526.0</v>
      </c>
      <c r="C302" s="203" t="s">
        <v>1370</v>
      </c>
      <c r="D302" s="262"/>
      <c r="E302" s="214">
        <v>45530.0</v>
      </c>
      <c r="F302" s="203" t="b">
        <v>1</v>
      </c>
      <c r="G302" s="203" t="b">
        <v>1</v>
      </c>
      <c r="H302" s="203" t="b">
        <v>1</v>
      </c>
      <c r="I302" s="203" t="b">
        <v>1</v>
      </c>
      <c r="J302" s="203" t="s">
        <v>1065</v>
      </c>
      <c r="K302" s="124" t="s">
        <v>3638</v>
      </c>
      <c r="M302" s="3"/>
      <c r="N302" s="3"/>
      <c r="O302" s="3"/>
      <c r="P302" s="3"/>
      <c r="Q302" s="3"/>
      <c r="R302" s="3"/>
      <c r="S302" s="3"/>
      <c r="T302" s="3"/>
      <c r="U302" s="3"/>
      <c r="V302" s="3"/>
      <c r="W302" s="3"/>
      <c r="X302" s="3"/>
      <c r="Y302" s="3"/>
      <c r="Z302" s="3"/>
    </row>
    <row r="303">
      <c r="A303" s="203" t="s">
        <v>3639</v>
      </c>
      <c r="B303" s="214">
        <v>45526.0</v>
      </c>
      <c r="C303" s="203" t="s">
        <v>40</v>
      </c>
      <c r="D303" s="262"/>
      <c r="E303" s="214">
        <v>45531.0</v>
      </c>
      <c r="F303" s="203" t="b">
        <v>1</v>
      </c>
      <c r="G303" s="203" t="b">
        <v>1</v>
      </c>
      <c r="H303" s="203" t="b">
        <v>1</v>
      </c>
      <c r="I303" s="203" t="b">
        <v>1</v>
      </c>
      <c r="J303" s="203" t="s">
        <v>1065</v>
      </c>
      <c r="K303" s="203" t="s">
        <v>2862</v>
      </c>
      <c r="M303" s="3"/>
      <c r="N303" s="3"/>
      <c r="O303" s="3"/>
      <c r="P303" s="3"/>
      <c r="Q303" s="3"/>
      <c r="R303" s="3"/>
      <c r="S303" s="3"/>
      <c r="T303" s="3"/>
      <c r="U303" s="3"/>
      <c r="V303" s="3"/>
      <c r="W303" s="3"/>
      <c r="X303" s="3"/>
      <c r="Y303" s="3"/>
      <c r="Z303" s="3"/>
    </row>
    <row r="304">
      <c r="A304" s="124" t="s">
        <v>3640</v>
      </c>
      <c r="B304" s="422">
        <v>45526.0</v>
      </c>
      <c r="C304" s="124" t="s">
        <v>1370</v>
      </c>
      <c r="D304" s="425"/>
      <c r="E304" s="422">
        <v>45532.0</v>
      </c>
      <c r="F304" s="425" t="b">
        <v>0</v>
      </c>
      <c r="G304" s="425" t="b">
        <v>0</v>
      </c>
      <c r="H304" s="425" t="b">
        <v>0</v>
      </c>
      <c r="I304" s="124" t="b">
        <v>0</v>
      </c>
      <c r="J304" s="425"/>
      <c r="K304" s="124" t="s">
        <v>3641</v>
      </c>
      <c r="M304" s="3"/>
      <c r="N304" s="3"/>
      <c r="O304" s="3"/>
      <c r="P304" s="3"/>
      <c r="Q304" s="3"/>
      <c r="R304" s="3"/>
      <c r="S304" s="3"/>
      <c r="T304" s="3"/>
      <c r="U304" s="3"/>
      <c r="V304" s="3"/>
      <c r="W304" s="3"/>
      <c r="X304" s="3"/>
      <c r="Y304" s="3"/>
      <c r="Z304" s="3"/>
    </row>
    <row r="305">
      <c r="A305" s="124" t="s">
        <v>3642</v>
      </c>
      <c r="B305" s="422">
        <v>45527.0</v>
      </c>
      <c r="C305" s="124" t="s">
        <v>736</v>
      </c>
      <c r="D305" s="425"/>
      <c r="E305" s="422">
        <v>45558.0</v>
      </c>
      <c r="F305" s="425" t="b">
        <v>0</v>
      </c>
      <c r="G305" s="425" t="b">
        <v>0</v>
      </c>
      <c r="H305" s="425" t="b">
        <v>0</v>
      </c>
      <c r="I305" s="124" t="b">
        <v>0</v>
      </c>
      <c r="J305" s="425"/>
      <c r="K305" s="124" t="s">
        <v>3643</v>
      </c>
      <c r="M305" s="3"/>
      <c r="N305" s="262"/>
      <c r="O305" s="132" t="s">
        <v>3644</v>
      </c>
      <c r="P305" s="3"/>
      <c r="S305" s="3"/>
      <c r="T305" s="3"/>
      <c r="U305" s="3"/>
      <c r="V305" s="3"/>
      <c r="W305" s="3"/>
      <c r="X305" s="3"/>
      <c r="Y305" s="3"/>
      <c r="Z305" s="3"/>
    </row>
    <row r="306">
      <c r="A306" s="203" t="s">
        <v>3645</v>
      </c>
      <c r="B306" s="214">
        <v>45530.0</v>
      </c>
      <c r="C306" s="203" t="s">
        <v>736</v>
      </c>
      <c r="D306" s="203" t="s">
        <v>1065</v>
      </c>
      <c r="E306" s="202">
        <v>45534.0</v>
      </c>
      <c r="F306" s="203" t="b">
        <v>1</v>
      </c>
      <c r="G306" s="203" t="b">
        <v>1</v>
      </c>
      <c r="H306" s="203" t="b">
        <v>1</v>
      </c>
      <c r="I306" s="203" t="b">
        <v>1</v>
      </c>
      <c r="J306" s="203" t="s">
        <v>1065</v>
      </c>
      <c r="K306" s="203" t="s">
        <v>2862</v>
      </c>
      <c r="M306" s="3"/>
      <c r="N306" s="3"/>
      <c r="O306" s="3"/>
      <c r="P306" s="3"/>
      <c r="Q306" s="3"/>
      <c r="R306" s="3"/>
      <c r="S306" s="3"/>
      <c r="T306" s="3"/>
      <c r="U306" s="3"/>
      <c r="V306" s="3"/>
      <c r="W306" s="3"/>
      <c r="X306" s="3"/>
      <c r="Y306" s="3"/>
      <c r="Z306" s="3"/>
    </row>
    <row r="307">
      <c r="A307" s="203" t="s">
        <v>3646</v>
      </c>
      <c r="B307" s="214">
        <v>45530.0</v>
      </c>
      <c r="C307" s="203" t="s">
        <v>736</v>
      </c>
      <c r="D307" s="203" t="s">
        <v>1065</v>
      </c>
      <c r="E307" s="214">
        <v>45541.0</v>
      </c>
      <c r="F307" s="203" t="b">
        <v>1</v>
      </c>
      <c r="G307" s="203" t="b">
        <v>1</v>
      </c>
      <c r="H307" s="203" t="b">
        <v>1</v>
      </c>
      <c r="I307" s="203" t="b">
        <v>1</v>
      </c>
      <c r="J307" s="203" t="s">
        <v>1065</v>
      </c>
      <c r="K307" s="203" t="s">
        <v>2862</v>
      </c>
      <c r="M307" s="3"/>
      <c r="N307" s="3"/>
      <c r="O307" s="3"/>
      <c r="P307" s="3"/>
      <c r="Q307" s="3"/>
      <c r="R307" s="3"/>
      <c r="S307" s="3"/>
      <c r="T307" s="3"/>
      <c r="U307" s="3"/>
      <c r="V307" s="3"/>
      <c r="W307" s="3"/>
      <c r="X307" s="3"/>
      <c r="Y307" s="3"/>
      <c r="Z307" s="3"/>
    </row>
    <row r="308">
      <c r="A308" s="203" t="s">
        <v>3647</v>
      </c>
      <c r="B308" s="214">
        <v>45530.0</v>
      </c>
      <c r="C308" s="203" t="s">
        <v>736</v>
      </c>
      <c r="D308" s="203" t="s">
        <v>1065</v>
      </c>
      <c r="E308" s="214">
        <v>45532.0</v>
      </c>
      <c r="F308" s="203" t="b">
        <v>1</v>
      </c>
      <c r="G308" s="203" t="b">
        <v>1</v>
      </c>
      <c r="H308" s="203" t="b">
        <v>1</v>
      </c>
      <c r="I308" s="203" t="b">
        <v>1</v>
      </c>
      <c r="J308" s="203" t="s">
        <v>1065</v>
      </c>
      <c r="K308" s="203" t="s">
        <v>2862</v>
      </c>
      <c r="M308" s="3"/>
      <c r="N308" s="3"/>
      <c r="O308" s="3"/>
      <c r="P308" s="3"/>
      <c r="Q308" s="3"/>
      <c r="R308" s="3"/>
      <c r="S308" s="3"/>
      <c r="T308" s="3"/>
      <c r="U308" s="3"/>
      <c r="V308" s="3"/>
      <c r="W308" s="3"/>
      <c r="X308" s="3"/>
      <c r="Y308" s="3"/>
      <c r="Z308" s="3"/>
    </row>
    <row r="309">
      <c r="A309" s="124" t="s">
        <v>3648</v>
      </c>
      <c r="B309" s="422">
        <v>45531.0</v>
      </c>
      <c r="C309" s="124" t="s">
        <v>625</v>
      </c>
      <c r="D309" s="124" t="s">
        <v>1232</v>
      </c>
      <c r="E309" s="422">
        <v>45534.0</v>
      </c>
      <c r="F309" s="425" t="b">
        <v>0</v>
      </c>
      <c r="G309" s="425" t="b">
        <v>0</v>
      </c>
      <c r="H309" s="425" t="b">
        <v>0</v>
      </c>
      <c r="I309" s="124" t="b">
        <v>0</v>
      </c>
      <c r="J309" s="124" t="s">
        <v>1232</v>
      </c>
      <c r="K309" s="124" t="s">
        <v>3649</v>
      </c>
      <c r="M309" s="3"/>
      <c r="N309" s="3"/>
      <c r="O309" s="3"/>
      <c r="P309" s="3"/>
      <c r="Q309" s="3"/>
      <c r="R309" s="3"/>
      <c r="S309" s="3"/>
      <c r="T309" s="3"/>
      <c r="U309" s="3"/>
      <c r="V309" s="3"/>
      <c r="W309" s="3"/>
      <c r="X309" s="3"/>
      <c r="Y309" s="3"/>
      <c r="Z309" s="3"/>
    </row>
    <row r="310">
      <c r="A310" s="203" t="s">
        <v>3650</v>
      </c>
      <c r="B310" s="202">
        <v>45539.0</v>
      </c>
      <c r="C310" s="203" t="s">
        <v>625</v>
      </c>
      <c r="D310" s="203" t="s">
        <v>1065</v>
      </c>
      <c r="E310" s="202">
        <v>45547.0</v>
      </c>
      <c r="F310" s="203" t="b">
        <v>1</v>
      </c>
      <c r="G310" s="203" t="b">
        <v>1</v>
      </c>
      <c r="H310" s="203" t="b">
        <v>1</v>
      </c>
      <c r="I310" s="203" t="b">
        <v>1</v>
      </c>
      <c r="J310" s="203" t="s">
        <v>1065</v>
      </c>
      <c r="K310" s="203" t="s">
        <v>2862</v>
      </c>
      <c r="M310" s="3"/>
      <c r="N310" s="3"/>
      <c r="O310" s="3"/>
      <c r="P310" s="3"/>
      <c r="Q310" s="3"/>
      <c r="R310" s="3"/>
      <c r="S310" s="3"/>
      <c r="T310" s="3"/>
      <c r="U310" s="3"/>
      <c r="V310" s="3"/>
      <c r="W310" s="3"/>
      <c r="X310" s="3"/>
      <c r="Y310" s="3"/>
      <c r="Z310" s="3"/>
    </row>
    <row r="311">
      <c r="A311" s="203" t="s">
        <v>3651</v>
      </c>
      <c r="B311" s="202">
        <v>45539.0</v>
      </c>
      <c r="C311" s="203" t="s">
        <v>625</v>
      </c>
      <c r="D311" s="203" t="s">
        <v>1065</v>
      </c>
      <c r="E311" s="202">
        <v>45545.0</v>
      </c>
      <c r="F311" s="203" t="b">
        <v>1</v>
      </c>
      <c r="G311" s="203" t="b">
        <v>1</v>
      </c>
      <c r="H311" s="203" t="b">
        <v>1</v>
      </c>
      <c r="I311" s="203" t="b">
        <v>1</v>
      </c>
      <c r="J311" s="203" t="s">
        <v>1065</v>
      </c>
      <c r="K311" s="203" t="s">
        <v>2862</v>
      </c>
      <c r="M311" s="3"/>
      <c r="N311" s="3"/>
      <c r="O311" s="3"/>
      <c r="P311" s="3"/>
      <c r="Q311" s="3"/>
      <c r="R311" s="3"/>
      <c r="S311" s="3"/>
      <c r="T311" s="3"/>
      <c r="U311" s="3"/>
      <c r="V311" s="3"/>
      <c r="W311" s="3"/>
      <c r="X311" s="3"/>
      <c r="Y311" s="3"/>
      <c r="Z311" s="3"/>
    </row>
    <row r="312">
      <c r="A312" s="203" t="s">
        <v>3652</v>
      </c>
      <c r="B312" s="202">
        <v>45546.0</v>
      </c>
      <c r="C312" s="203" t="s">
        <v>625</v>
      </c>
      <c r="D312" s="203" t="s">
        <v>1065</v>
      </c>
      <c r="E312" s="202">
        <v>45565.0</v>
      </c>
      <c r="F312" s="203" t="b">
        <v>1</v>
      </c>
      <c r="G312" s="203" t="b">
        <v>1</v>
      </c>
      <c r="H312" s="203" t="b">
        <v>1</v>
      </c>
      <c r="I312" s="203" t="b">
        <v>1</v>
      </c>
      <c r="J312" s="203" t="s">
        <v>1065</v>
      </c>
      <c r="K312" s="262"/>
      <c r="M312" s="3"/>
      <c r="N312" s="3"/>
      <c r="O312" s="3"/>
      <c r="P312" s="3"/>
      <c r="Q312" s="3"/>
      <c r="R312" s="3"/>
      <c r="S312" s="3"/>
      <c r="T312" s="3"/>
      <c r="U312" s="3"/>
      <c r="V312" s="3"/>
      <c r="W312" s="3"/>
      <c r="X312" s="3"/>
      <c r="Y312" s="3"/>
      <c r="Z312" s="3"/>
    </row>
    <row r="313">
      <c r="A313" s="203" t="s">
        <v>3653</v>
      </c>
      <c r="B313" s="214">
        <v>45546.0</v>
      </c>
      <c r="C313" s="203" t="s">
        <v>736</v>
      </c>
      <c r="D313" s="203" t="s">
        <v>1065</v>
      </c>
      <c r="E313" s="214">
        <v>45548.0</v>
      </c>
      <c r="F313" s="203" t="b">
        <v>1</v>
      </c>
      <c r="G313" s="203" t="b">
        <v>1</v>
      </c>
      <c r="H313" s="203" t="b">
        <v>1</v>
      </c>
      <c r="I313" s="203" t="b">
        <v>1</v>
      </c>
      <c r="J313" s="203" t="s">
        <v>1065</v>
      </c>
      <c r="K313" s="203" t="s">
        <v>2862</v>
      </c>
      <c r="M313" s="3"/>
      <c r="N313" s="3"/>
      <c r="O313" s="3"/>
      <c r="P313" s="3"/>
      <c r="Q313" s="3"/>
      <c r="R313" s="3"/>
      <c r="S313" s="3"/>
      <c r="T313" s="3"/>
      <c r="U313" s="3"/>
      <c r="V313" s="3"/>
      <c r="W313" s="3"/>
      <c r="X313" s="3"/>
      <c r="Y313" s="3"/>
      <c r="Z313" s="3"/>
    </row>
    <row r="314">
      <c r="A314" s="203" t="s">
        <v>3654</v>
      </c>
      <c r="B314" s="202">
        <v>45546.0</v>
      </c>
      <c r="C314" s="203" t="s">
        <v>625</v>
      </c>
      <c r="D314" s="203" t="s">
        <v>1065</v>
      </c>
      <c r="E314" s="202">
        <v>45547.0</v>
      </c>
      <c r="F314" s="203" t="b">
        <v>1</v>
      </c>
      <c r="G314" s="203" t="b">
        <v>1</v>
      </c>
      <c r="H314" s="203" t="b">
        <v>1</v>
      </c>
      <c r="I314" s="203" t="b">
        <v>1</v>
      </c>
      <c r="J314" s="203" t="s">
        <v>1065</v>
      </c>
      <c r="K314" s="203" t="s">
        <v>3556</v>
      </c>
      <c r="M314" s="3"/>
      <c r="N314" s="3"/>
      <c r="O314" s="3"/>
      <c r="P314" s="3"/>
      <c r="Q314" s="3"/>
      <c r="R314" s="3"/>
      <c r="S314" s="3"/>
      <c r="T314" s="3"/>
      <c r="U314" s="3"/>
      <c r="V314" s="3"/>
      <c r="W314" s="3"/>
      <c r="X314" s="3"/>
      <c r="Y314" s="3"/>
      <c r="Z314" s="3"/>
    </row>
    <row r="315">
      <c r="A315" s="203" t="s">
        <v>3655</v>
      </c>
      <c r="B315" s="214">
        <v>45551.0</v>
      </c>
      <c r="C315" s="203" t="s">
        <v>736</v>
      </c>
      <c r="D315" s="203" t="s">
        <v>1065</v>
      </c>
      <c r="E315" s="214">
        <v>45552.0</v>
      </c>
      <c r="F315" s="203" t="b">
        <v>1</v>
      </c>
      <c r="G315" s="203" t="b">
        <v>1</v>
      </c>
      <c r="H315" s="203" t="b">
        <v>1</v>
      </c>
      <c r="I315" s="203" t="b">
        <v>1</v>
      </c>
      <c r="J315" s="203" t="s">
        <v>1065</v>
      </c>
      <c r="K315" s="203" t="s">
        <v>2862</v>
      </c>
      <c r="M315" s="3"/>
      <c r="N315" s="3"/>
      <c r="O315" s="3"/>
      <c r="P315" s="3"/>
      <c r="Q315" s="3"/>
      <c r="R315" s="3"/>
      <c r="S315" s="3"/>
      <c r="T315" s="3"/>
      <c r="U315" s="3"/>
      <c r="V315" s="3"/>
      <c r="W315" s="3"/>
      <c r="X315" s="3"/>
      <c r="Y315" s="3"/>
      <c r="Z315" s="3"/>
    </row>
    <row r="316">
      <c r="A316" s="124" t="s">
        <v>3656</v>
      </c>
      <c r="B316" s="451">
        <v>45551.0</v>
      </c>
      <c r="C316" s="124" t="s">
        <v>625</v>
      </c>
      <c r="D316" s="124" t="s">
        <v>3499</v>
      </c>
      <c r="E316" s="124" t="s">
        <v>749</v>
      </c>
      <c r="F316" s="425" t="b">
        <v>0</v>
      </c>
      <c r="G316" s="425" t="b">
        <v>0</v>
      </c>
      <c r="H316" s="425" t="b">
        <v>0</v>
      </c>
      <c r="I316" s="124" t="b">
        <v>0</v>
      </c>
      <c r="J316" s="425"/>
      <c r="K316" s="124" t="s">
        <v>3657</v>
      </c>
      <c r="O316" s="3"/>
      <c r="P316" s="3"/>
      <c r="Q316" s="3"/>
      <c r="R316" s="3"/>
      <c r="S316" s="3"/>
      <c r="T316" s="3"/>
      <c r="U316" s="3"/>
      <c r="V316" s="3"/>
      <c r="W316" s="3"/>
      <c r="X316" s="3"/>
      <c r="Y316" s="3"/>
      <c r="Z316" s="3"/>
    </row>
    <row r="317">
      <c r="A317" s="124" t="s">
        <v>3658</v>
      </c>
      <c r="B317" s="422">
        <v>45551.0</v>
      </c>
      <c r="C317" s="124" t="s">
        <v>736</v>
      </c>
      <c r="D317" s="124" t="s">
        <v>3232</v>
      </c>
      <c r="E317" s="422">
        <v>45558.0</v>
      </c>
      <c r="F317" s="425" t="b">
        <v>0</v>
      </c>
      <c r="G317" s="425" t="b">
        <v>0</v>
      </c>
      <c r="H317" s="425" t="b">
        <v>0</v>
      </c>
      <c r="I317" s="124" t="b">
        <v>0</v>
      </c>
      <c r="J317" s="425"/>
      <c r="K317" s="203" t="s">
        <v>2862</v>
      </c>
      <c r="M317" s="3"/>
      <c r="N317" s="3"/>
      <c r="O317" s="3"/>
      <c r="P317" s="3"/>
      <c r="Q317" s="3"/>
      <c r="R317" s="3"/>
      <c r="S317" s="3"/>
      <c r="T317" s="3"/>
      <c r="U317" s="3"/>
      <c r="V317" s="3"/>
      <c r="W317" s="3"/>
      <c r="X317" s="3"/>
      <c r="Y317" s="3"/>
      <c r="Z317" s="3"/>
    </row>
    <row r="318">
      <c r="A318" s="124" t="s">
        <v>3659</v>
      </c>
      <c r="B318" s="422">
        <v>45553.0</v>
      </c>
      <c r="C318" s="124" t="s">
        <v>736</v>
      </c>
      <c r="D318" s="124" t="s">
        <v>3660</v>
      </c>
      <c r="E318" s="422">
        <v>45559.0</v>
      </c>
      <c r="F318" s="425" t="b">
        <v>0</v>
      </c>
      <c r="G318" s="425" t="b">
        <v>0</v>
      </c>
      <c r="H318" s="425" t="b">
        <v>0</v>
      </c>
      <c r="I318" s="124" t="b">
        <v>0</v>
      </c>
      <c r="J318" s="425"/>
      <c r="K318" s="203" t="s">
        <v>3661</v>
      </c>
      <c r="M318" s="3"/>
      <c r="N318" s="3"/>
      <c r="O318" s="3"/>
      <c r="P318" s="3"/>
      <c r="Q318" s="3"/>
      <c r="R318" s="3"/>
      <c r="S318" s="3"/>
      <c r="T318" s="3"/>
      <c r="U318" s="3"/>
      <c r="V318" s="3"/>
      <c r="W318" s="3"/>
      <c r="X318" s="3"/>
      <c r="Y318" s="3"/>
      <c r="Z318" s="3"/>
    </row>
    <row r="319">
      <c r="A319" s="200" t="s">
        <v>3662</v>
      </c>
      <c r="B319" s="214">
        <v>45558.0</v>
      </c>
      <c r="C319" s="203" t="s">
        <v>736</v>
      </c>
      <c r="D319" s="203" t="s">
        <v>1065</v>
      </c>
      <c r="E319" s="214">
        <v>45575.0</v>
      </c>
      <c r="F319" s="203" t="b">
        <v>1</v>
      </c>
      <c r="G319" s="203" t="b">
        <v>1</v>
      </c>
      <c r="H319" s="203" t="b">
        <v>1</v>
      </c>
      <c r="I319" s="203" t="b">
        <v>1</v>
      </c>
      <c r="J319" s="203" t="s">
        <v>1065</v>
      </c>
      <c r="K319" s="424" t="s">
        <v>3663</v>
      </c>
      <c r="M319" s="3"/>
      <c r="N319" s="3"/>
      <c r="O319" s="3"/>
      <c r="P319" s="3"/>
      <c r="Q319" s="3"/>
      <c r="R319" s="3"/>
      <c r="S319" s="3"/>
      <c r="T319" s="3"/>
      <c r="U319" s="3"/>
      <c r="V319" s="3"/>
      <c r="W319" s="3"/>
      <c r="X319" s="3"/>
      <c r="Y319" s="3"/>
      <c r="Z319" s="3"/>
    </row>
    <row r="320">
      <c r="A320" s="124" t="s">
        <v>3664</v>
      </c>
      <c r="B320" s="422">
        <v>45562.0</v>
      </c>
      <c r="C320" s="124" t="s">
        <v>625</v>
      </c>
      <c r="D320" s="124" t="s">
        <v>3665</v>
      </c>
      <c r="E320" s="124" t="s">
        <v>749</v>
      </c>
      <c r="F320" s="425" t="b">
        <v>0</v>
      </c>
      <c r="G320" s="425" t="b">
        <v>0</v>
      </c>
      <c r="H320" s="425" t="b">
        <v>0</v>
      </c>
      <c r="I320" s="124" t="b">
        <v>0</v>
      </c>
      <c r="J320" s="425"/>
      <c r="K320" s="203" t="s">
        <v>3631</v>
      </c>
      <c r="M320" s="3"/>
      <c r="N320" s="3"/>
      <c r="O320" s="3"/>
      <c r="P320" s="3"/>
      <c r="S320" s="3"/>
      <c r="T320" s="3"/>
      <c r="U320" s="3"/>
      <c r="V320" s="3"/>
      <c r="W320" s="3"/>
      <c r="X320" s="3"/>
      <c r="Y320" s="3"/>
      <c r="Z320" s="3"/>
    </row>
    <row r="321">
      <c r="A321" s="203" t="s">
        <v>3666</v>
      </c>
      <c r="B321" s="202">
        <v>45565.0</v>
      </c>
      <c r="C321" s="203" t="s">
        <v>625</v>
      </c>
      <c r="D321" s="203" t="s">
        <v>1065</v>
      </c>
      <c r="E321" s="202">
        <v>45574.0</v>
      </c>
      <c r="F321" s="203" t="b">
        <v>1</v>
      </c>
      <c r="G321" s="203" t="b">
        <v>1</v>
      </c>
      <c r="H321" s="203" t="b">
        <v>1</v>
      </c>
      <c r="I321" s="203" t="b">
        <v>1</v>
      </c>
      <c r="J321" s="262"/>
      <c r="K321" s="203" t="s">
        <v>3556</v>
      </c>
      <c r="M321" s="3"/>
      <c r="N321" s="3"/>
      <c r="O321" s="3"/>
      <c r="P321" s="3"/>
      <c r="Q321" s="3"/>
      <c r="R321" s="3"/>
      <c r="S321" s="3"/>
      <c r="T321" s="3"/>
      <c r="U321" s="3"/>
      <c r="V321" s="3"/>
      <c r="W321" s="3"/>
      <c r="X321" s="3"/>
      <c r="Y321" s="3"/>
      <c r="Z321" s="3"/>
    </row>
    <row r="322">
      <c r="A322" s="445" t="s">
        <v>3667</v>
      </c>
      <c r="B322" s="422">
        <v>45568.0</v>
      </c>
      <c r="C322" s="124" t="s">
        <v>736</v>
      </c>
      <c r="D322" s="124" t="s">
        <v>3499</v>
      </c>
      <c r="E322" s="422">
        <v>45574.0</v>
      </c>
      <c r="F322" s="425" t="b">
        <v>0</v>
      </c>
      <c r="G322" s="425" t="b">
        <v>0</v>
      </c>
      <c r="H322" s="425" t="b">
        <v>0</v>
      </c>
      <c r="I322" s="124" t="b">
        <v>0</v>
      </c>
      <c r="J322" s="425"/>
      <c r="K322" s="424" t="s">
        <v>3668</v>
      </c>
      <c r="M322" s="3"/>
      <c r="N322" s="3"/>
      <c r="O322" s="3"/>
      <c r="P322" s="3"/>
      <c r="Q322" s="3"/>
      <c r="R322" s="3"/>
      <c r="S322" s="3"/>
      <c r="T322" s="3"/>
      <c r="U322" s="3"/>
      <c r="V322" s="3"/>
      <c r="W322" s="3"/>
      <c r="X322" s="3"/>
      <c r="Y322" s="3"/>
      <c r="Z322" s="3"/>
    </row>
    <row r="323">
      <c r="A323" s="124" t="s">
        <v>3669</v>
      </c>
      <c r="B323" s="422">
        <v>45573.0</v>
      </c>
      <c r="C323" s="124" t="s">
        <v>625</v>
      </c>
      <c r="D323" s="425"/>
      <c r="E323" s="124" t="s">
        <v>3670</v>
      </c>
      <c r="F323" s="425" t="b">
        <v>0</v>
      </c>
      <c r="G323" s="425" t="b">
        <v>0</v>
      </c>
      <c r="H323" s="425" t="b">
        <v>0</v>
      </c>
      <c r="I323" s="124" t="b">
        <v>0</v>
      </c>
      <c r="J323" s="425"/>
      <c r="K323" s="203" t="s">
        <v>2862</v>
      </c>
      <c r="M323" s="3"/>
      <c r="N323" s="3"/>
      <c r="O323" s="3"/>
      <c r="P323" s="3"/>
      <c r="Q323" s="3"/>
      <c r="R323" s="3"/>
      <c r="S323" s="3"/>
      <c r="T323" s="3"/>
      <c r="U323" s="3"/>
      <c r="V323" s="3"/>
      <c r="W323" s="3"/>
      <c r="X323" s="3"/>
      <c r="Y323" s="3"/>
      <c r="Z323" s="3"/>
    </row>
    <row r="324">
      <c r="A324" s="64" t="s">
        <v>3671</v>
      </c>
      <c r="B324" s="170">
        <v>45573.0</v>
      </c>
      <c r="C324" s="164" t="s">
        <v>736</v>
      </c>
      <c r="D324" s="180" t="s">
        <v>1065</v>
      </c>
      <c r="E324" s="170">
        <v>45590.0</v>
      </c>
      <c r="F324" s="180" t="b">
        <v>1</v>
      </c>
      <c r="G324" s="180" t="b">
        <v>1</v>
      </c>
      <c r="H324" s="180" t="b">
        <v>1</v>
      </c>
      <c r="I324" s="180" t="b">
        <v>1</v>
      </c>
      <c r="J324" s="180" t="s">
        <v>1065</v>
      </c>
      <c r="K324" s="203" t="s">
        <v>2862</v>
      </c>
      <c r="M324" s="3"/>
      <c r="N324" s="3"/>
      <c r="O324" s="3"/>
      <c r="P324" s="3"/>
      <c r="Q324" s="3"/>
      <c r="R324" s="3"/>
      <c r="S324" s="3"/>
      <c r="T324" s="3"/>
      <c r="U324" s="3"/>
      <c r="V324" s="3"/>
      <c r="W324" s="3"/>
      <c r="X324" s="3"/>
      <c r="Y324" s="3"/>
      <c r="Z324" s="3"/>
    </row>
    <row r="325">
      <c r="A325" s="203" t="s">
        <v>3672</v>
      </c>
      <c r="B325" s="202">
        <v>45582.0</v>
      </c>
      <c r="C325" s="203" t="s">
        <v>625</v>
      </c>
      <c r="D325" s="203" t="s">
        <v>1065</v>
      </c>
      <c r="E325" s="202">
        <v>45583.0</v>
      </c>
      <c r="F325" s="203" t="b">
        <v>1</v>
      </c>
      <c r="G325" s="203" t="b">
        <v>1</v>
      </c>
      <c r="H325" s="203" t="b">
        <v>1</v>
      </c>
      <c r="I325" s="203" t="b">
        <v>1</v>
      </c>
      <c r="J325" s="262"/>
      <c r="K325" s="203" t="s">
        <v>3673</v>
      </c>
      <c r="M325" s="3"/>
      <c r="N325" s="3"/>
      <c r="O325" s="3"/>
      <c r="P325" s="3"/>
      <c r="Q325" s="3"/>
      <c r="R325" s="3"/>
      <c r="S325" s="3"/>
      <c r="T325" s="3"/>
      <c r="U325" s="3"/>
      <c r="V325" s="3"/>
      <c r="W325" s="3"/>
      <c r="X325" s="3"/>
      <c r="Y325" s="3"/>
      <c r="Z325" s="3"/>
    </row>
    <row r="326">
      <c r="A326" s="203" t="s">
        <v>3674</v>
      </c>
      <c r="B326" s="202">
        <v>45586.0</v>
      </c>
      <c r="C326" s="203" t="s">
        <v>625</v>
      </c>
      <c r="D326" s="203" t="s">
        <v>1065</v>
      </c>
      <c r="E326" s="202">
        <v>45609.0</v>
      </c>
      <c r="F326" s="203" t="b">
        <v>1</v>
      </c>
      <c r="G326" s="203" t="b">
        <v>1</v>
      </c>
      <c r="H326" s="203" t="b">
        <v>1</v>
      </c>
      <c r="I326" s="203" t="b">
        <v>1</v>
      </c>
      <c r="J326" s="262"/>
      <c r="K326" s="124" t="s">
        <v>3641</v>
      </c>
      <c r="M326" s="3"/>
      <c r="N326" s="3"/>
      <c r="O326" s="3"/>
      <c r="P326" s="3"/>
      <c r="Q326" s="3"/>
      <c r="R326" s="3"/>
      <c r="S326" s="3"/>
      <c r="T326" s="3"/>
      <c r="U326" s="3"/>
      <c r="V326" s="3"/>
      <c r="W326" s="3"/>
      <c r="X326" s="3"/>
      <c r="Y326" s="3"/>
      <c r="Z326" s="3"/>
    </row>
    <row r="327">
      <c r="A327" s="124" t="s">
        <v>3675</v>
      </c>
      <c r="B327" s="451">
        <v>45586.0</v>
      </c>
      <c r="C327" s="124" t="s">
        <v>625</v>
      </c>
      <c r="D327" s="124" t="s">
        <v>3676</v>
      </c>
      <c r="E327" s="451">
        <v>45593.0</v>
      </c>
      <c r="F327" s="425" t="b">
        <v>0</v>
      </c>
      <c r="G327" s="425" t="b">
        <v>0</v>
      </c>
      <c r="H327" s="425" t="b">
        <v>0</v>
      </c>
      <c r="I327" s="124" t="b">
        <v>0</v>
      </c>
      <c r="J327" s="425"/>
      <c r="K327" s="203" t="s">
        <v>2862</v>
      </c>
      <c r="M327" s="3"/>
      <c r="N327" s="3"/>
      <c r="O327" s="3"/>
      <c r="P327" s="3"/>
      <c r="Q327" s="3"/>
      <c r="R327" s="3"/>
      <c r="S327" s="3"/>
      <c r="T327" s="3"/>
      <c r="U327" s="3"/>
      <c r="V327" s="3"/>
      <c r="W327" s="3"/>
      <c r="X327" s="3"/>
      <c r="Y327" s="3"/>
      <c r="Z327" s="3"/>
    </row>
    <row r="328">
      <c r="A328" s="203" t="s">
        <v>3677</v>
      </c>
      <c r="B328" s="202">
        <v>45586.0</v>
      </c>
      <c r="C328" s="203" t="s">
        <v>625</v>
      </c>
      <c r="D328" s="203" t="s">
        <v>1065</v>
      </c>
      <c r="E328" s="202">
        <v>45600.0</v>
      </c>
      <c r="F328" s="203" t="b">
        <v>1</v>
      </c>
      <c r="G328" s="203" t="b">
        <v>1</v>
      </c>
      <c r="H328" s="203" t="b">
        <v>1</v>
      </c>
      <c r="I328" s="203" t="b">
        <v>1</v>
      </c>
      <c r="J328" s="262"/>
      <c r="K328" s="124" t="s">
        <v>3678</v>
      </c>
      <c r="L328" s="318"/>
      <c r="M328" s="3"/>
      <c r="N328" s="3"/>
      <c r="O328" s="3"/>
      <c r="P328" s="3"/>
      <c r="Q328" s="3"/>
      <c r="R328" s="3"/>
      <c r="S328" s="3"/>
      <c r="T328" s="3"/>
      <c r="U328" s="3"/>
      <c r="V328" s="3"/>
      <c r="W328" s="3"/>
      <c r="X328" s="3"/>
      <c r="Y328" s="3"/>
      <c r="Z328" s="3"/>
    </row>
    <row r="329">
      <c r="A329" s="124" t="s">
        <v>3679</v>
      </c>
      <c r="B329" s="451">
        <v>45586.0</v>
      </c>
      <c r="C329" s="124" t="s">
        <v>625</v>
      </c>
      <c r="D329" s="124" t="s">
        <v>3680</v>
      </c>
      <c r="E329" s="124" t="s">
        <v>3578</v>
      </c>
      <c r="F329" s="425" t="b">
        <v>0</v>
      </c>
      <c r="G329" s="425" t="b">
        <v>0</v>
      </c>
      <c r="H329" s="425" t="b">
        <v>0</v>
      </c>
      <c r="I329" s="124" t="b">
        <v>0</v>
      </c>
      <c r="J329" s="425"/>
      <c r="K329" s="203" t="s">
        <v>2862</v>
      </c>
      <c r="M329" s="3"/>
      <c r="N329" s="3"/>
      <c r="O329" s="3"/>
      <c r="P329" s="3"/>
      <c r="Q329" s="3"/>
      <c r="R329" s="3"/>
      <c r="S329" s="3"/>
      <c r="T329" s="3"/>
      <c r="U329" s="3"/>
      <c r="V329" s="3"/>
      <c r="W329" s="3"/>
      <c r="X329" s="3"/>
      <c r="Y329" s="3"/>
      <c r="Z329" s="3"/>
    </row>
    <row r="330">
      <c r="A330" s="124" t="s">
        <v>3681</v>
      </c>
      <c r="B330" s="451">
        <v>45588.0</v>
      </c>
      <c r="C330" s="124" t="s">
        <v>625</v>
      </c>
      <c r="D330" s="124" t="s">
        <v>3682</v>
      </c>
      <c r="E330" s="124" t="s">
        <v>749</v>
      </c>
      <c r="F330" s="425" t="b">
        <v>0</v>
      </c>
      <c r="G330" s="425" t="b">
        <v>0</v>
      </c>
      <c r="H330" s="425" t="b">
        <v>0</v>
      </c>
      <c r="I330" s="124" t="b">
        <v>0</v>
      </c>
      <c r="J330" s="425"/>
      <c r="K330" s="203" t="s">
        <v>2862</v>
      </c>
      <c r="M330" s="3"/>
      <c r="N330" s="3"/>
      <c r="O330" s="3"/>
      <c r="P330" s="3"/>
      <c r="Q330" s="3"/>
      <c r="R330" s="3"/>
      <c r="S330" s="3"/>
      <c r="T330" s="3"/>
      <c r="U330" s="3"/>
      <c r="V330" s="3"/>
      <c r="W330" s="3"/>
      <c r="X330" s="3"/>
      <c r="Y330" s="3"/>
      <c r="Z330" s="3"/>
    </row>
    <row r="331">
      <c r="A331" s="203" t="s">
        <v>3683</v>
      </c>
      <c r="B331" s="202">
        <v>45590.0</v>
      </c>
      <c r="C331" s="203" t="s">
        <v>736</v>
      </c>
      <c r="D331" s="203" t="s">
        <v>1065</v>
      </c>
      <c r="E331" s="202">
        <v>45602.0</v>
      </c>
      <c r="F331" s="203" t="b">
        <v>1</v>
      </c>
      <c r="G331" s="203" t="b">
        <v>1</v>
      </c>
      <c r="H331" s="203" t="b">
        <v>1</v>
      </c>
      <c r="I331" s="203" t="b">
        <v>1</v>
      </c>
      <c r="J331" s="203" t="s">
        <v>1065</v>
      </c>
      <c r="K331" s="203" t="s">
        <v>2862</v>
      </c>
      <c r="M331" s="3"/>
      <c r="N331" s="3"/>
      <c r="O331" s="3"/>
      <c r="P331" s="3"/>
      <c r="Q331" s="3"/>
      <c r="R331" s="3"/>
      <c r="S331" s="3"/>
      <c r="T331" s="3"/>
      <c r="U331" s="3"/>
      <c r="V331" s="3"/>
      <c r="W331" s="3"/>
      <c r="X331" s="3"/>
      <c r="Y331" s="3"/>
      <c r="Z331" s="3"/>
    </row>
    <row r="332">
      <c r="A332" s="124" t="s">
        <v>3684</v>
      </c>
      <c r="B332" s="451">
        <v>45590.0</v>
      </c>
      <c r="C332" s="124" t="s">
        <v>625</v>
      </c>
      <c r="D332" s="124" t="s">
        <v>3676</v>
      </c>
      <c r="E332" s="422">
        <v>45600.0</v>
      </c>
      <c r="F332" s="425" t="b">
        <v>0</v>
      </c>
      <c r="G332" s="425" t="b">
        <v>0</v>
      </c>
      <c r="H332" s="425" t="b">
        <v>0</v>
      </c>
      <c r="I332" s="124" t="b">
        <v>0</v>
      </c>
      <c r="J332" s="425"/>
      <c r="K332" s="124" t="s">
        <v>3685</v>
      </c>
      <c r="L332" s="318"/>
      <c r="M332" s="425"/>
      <c r="N332" s="425"/>
      <c r="O332" s="3"/>
      <c r="P332" s="3"/>
      <c r="Q332" s="3"/>
      <c r="R332" s="3"/>
      <c r="S332" s="3"/>
      <c r="T332" s="3"/>
      <c r="U332" s="3"/>
      <c r="V332" s="3"/>
      <c r="W332" s="3"/>
      <c r="X332" s="3"/>
      <c r="Y332" s="3"/>
      <c r="Z332" s="3"/>
    </row>
    <row r="333">
      <c r="A333" s="124" t="s">
        <v>3686</v>
      </c>
      <c r="B333" s="451">
        <v>45590.0</v>
      </c>
      <c r="C333" s="124" t="s">
        <v>625</v>
      </c>
      <c r="D333" s="124"/>
      <c r="E333" s="124" t="s">
        <v>3676</v>
      </c>
      <c r="F333" s="425" t="b">
        <v>0</v>
      </c>
      <c r="G333" s="425" t="b">
        <v>0</v>
      </c>
      <c r="H333" s="425" t="b">
        <v>0</v>
      </c>
      <c r="I333" s="124" t="b">
        <v>0</v>
      </c>
      <c r="J333" s="425"/>
      <c r="K333" s="203" t="s">
        <v>2862</v>
      </c>
      <c r="M333" s="3"/>
      <c r="N333" s="3"/>
      <c r="O333" s="3"/>
      <c r="P333" s="3"/>
      <c r="Q333" s="3"/>
      <c r="R333" s="3"/>
      <c r="S333" s="3"/>
      <c r="T333" s="3"/>
      <c r="U333" s="3"/>
      <c r="V333" s="3"/>
      <c r="W333" s="3"/>
      <c r="X333" s="3"/>
      <c r="Y333" s="3"/>
      <c r="Z333" s="3"/>
    </row>
    <row r="334">
      <c r="A334" s="203" t="s">
        <v>3687</v>
      </c>
      <c r="B334" s="202">
        <v>45590.0</v>
      </c>
      <c r="C334" s="203" t="s">
        <v>736</v>
      </c>
      <c r="D334" s="203" t="s">
        <v>1065</v>
      </c>
      <c r="E334" s="202">
        <v>45595.0</v>
      </c>
      <c r="F334" s="203" t="b">
        <v>1</v>
      </c>
      <c r="G334" s="203" t="b">
        <v>1</v>
      </c>
      <c r="H334" s="203" t="b">
        <v>1</v>
      </c>
      <c r="I334" s="203" t="b">
        <v>1</v>
      </c>
      <c r="J334" s="180" t="s">
        <v>1065</v>
      </c>
      <c r="K334" s="203" t="s">
        <v>2865</v>
      </c>
      <c r="M334" s="3"/>
      <c r="N334" s="3"/>
      <c r="O334" s="3"/>
      <c r="P334" s="3"/>
      <c r="Q334" s="3"/>
      <c r="R334" s="3"/>
      <c r="S334" s="3"/>
      <c r="T334" s="3"/>
      <c r="U334" s="3"/>
      <c r="V334" s="3"/>
      <c r="W334" s="3"/>
      <c r="X334" s="3"/>
      <c r="Y334" s="3"/>
      <c r="Z334" s="3"/>
    </row>
    <row r="335">
      <c r="A335" s="124" t="s">
        <v>3688</v>
      </c>
      <c r="B335" s="451">
        <v>45590.0</v>
      </c>
      <c r="C335" s="124" t="s">
        <v>736</v>
      </c>
      <c r="D335" s="124" t="s">
        <v>1065</v>
      </c>
      <c r="E335" s="451">
        <v>45594.0</v>
      </c>
      <c r="F335" s="124" t="b">
        <v>1</v>
      </c>
      <c r="G335" s="124" t="b">
        <v>1</v>
      </c>
      <c r="H335" s="124" t="b">
        <v>1</v>
      </c>
      <c r="I335" s="124" t="b">
        <v>1</v>
      </c>
      <c r="J335" s="458" t="s">
        <v>1065</v>
      </c>
      <c r="K335" s="203" t="s">
        <v>2862</v>
      </c>
      <c r="M335" s="3"/>
      <c r="N335" s="3"/>
      <c r="O335" s="3"/>
      <c r="P335" s="3"/>
      <c r="Q335" s="3"/>
      <c r="R335" s="3"/>
      <c r="S335" s="3"/>
      <c r="T335" s="3"/>
      <c r="U335" s="3"/>
      <c r="V335" s="3"/>
      <c r="W335" s="3"/>
      <c r="X335" s="3"/>
      <c r="Y335" s="3"/>
      <c r="Z335" s="3"/>
    </row>
    <row r="336">
      <c r="A336" s="124" t="s">
        <v>3689</v>
      </c>
      <c r="B336" s="451">
        <v>45593.0</v>
      </c>
      <c r="C336" s="124" t="s">
        <v>625</v>
      </c>
      <c r="D336" s="124" t="s">
        <v>3561</v>
      </c>
      <c r="E336" s="451">
        <v>45600.0</v>
      </c>
      <c r="F336" s="425" t="b">
        <v>0</v>
      </c>
      <c r="G336" s="425" t="b">
        <v>0</v>
      </c>
      <c r="H336" s="425" t="b">
        <v>0</v>
      </c>
      <c r="I336" s="124" t="b">
        <v>0</v>
      </c>
      <c r="J336" s="425"/>
      <c r="K336" s="203" t="s">
        <v>3690</v>
      </c>
      <c r="M336" s="3"/>
      <c r="N336" s="3"/>
      <c r="O336" s="3"/>
      <c r="P336" s="3"/>
      <c r="Q336" s="3"/>
      <c r="R336" s="3"/>
      <c r="S336" s="3"/>
      <c r="T336" s="3"/>
      <c r="U336" s="3"/>
      <c r="V336" s="3"/>
      <c r="W336" s="3"/>
      <c r="X336" s="3"/>
      <c r="Y336" s="3"/>
      <c r="Z336" s="3"/>
    </row>
    <row r="337">
      <c r="A337" s="203" t="s">
        <v>3691</v>
      </c>
      <c r="B337" s="202">
        <v>45594.0</v>
      </c>
      <c r="C337" s="203" t="s">
        <v>736</v>
      </c>
      <c r="D337" s="203" t="s">
        <v>1065</v>
      </c>
      <c r="E337" s="202">
        <v>45597.0</v>
      </c>
      <c r="F337" s="203" t="b">
        <v>1</v>
      </c>
      <c r="G337" s="203" t="b">
        <v>1</v>
      </c>
      <c r="H337" s="203" t="b">
        <v>1</v>
      </c>
      <c r="I337" s="203" t="b">
        <v>1</v>
      </c>
      <c r="J337" s="203" t="s">
        <v>1065</v>
      </c>
      <c r="K337" s="203" t="s">
        <v>3556</v>
      </c>
      <c r="M337" s="3"/>
      <c r="N337" s="3"/>
      <c r="O337" s="3"/>
      <c r="P337" s="3"/>
      <c r="Q337" s="3"/>
      <c r="R337" s="3"/>
      <c r="S337" s="3"/>
      <c r="T337" s="3"/>
      <c r="U337" s="3"/>
      <c r="V337" s="3"/>
      <c r="W337" s="3"/>
      <c r="X337" s="3"/>
      <c r="Y337" s="3"/>
      <c r="Z337" s="3"/>
    </row>
    <row r="338">
      <c r="A338" s="124" t="s">
        <v>3692</v>
      </c>
      <c r="B338" s="451">
        <v>45594.0</v>
      </c>
      <c r="C338" s="124" t="s">
        <v>625</v>
      </c>
      <c r="D338" s="124" t="s">
        <v>3676</v>
      </c>
      <c r="E338" s="451">
        <v>45614.0</v>
      </c>
      <c r="F338" s="425" t="b">
        <v>0</v>
      </c>
      <c r="G338" s="425" t="b">
        <v>0</v>
      </c>
      <c r="H338" s="425" t="b">
        <v>0</v>
      </c>
      <c r="I338" s="124" t="b">
        <v>0</v>
      </c>
      <c r="J338" s="425"/>
      <c r="K338" s="124" t="s">
        <v>3693</v>
      </c>
      <c r="M338" s="3"/>
      <c r="N338" s="3"/>
      <c r="O338" s="3"/>
      <c r="P338" s="3"/>
      <c r="Q338" s="3"/>
      <c r="R338" s="3"/>
      <c r="S338" s="3"/>
      <c r="T338" s="3"/>
      <c r="U338" s="3"/>
      <c r="V338" s="3"/>
      <c r="W338" s="3"/>
      <c r="X338" s="3"/>
      <c r="Y338" s="3"/>
      <c r="Z338" s="3"/>
    </row>
    <row r="339">
      <c r="A339" s="203" t="s">
        <v>3694</v>
      </c>
      <c r="B339" s="202">
        <v>45594.0</v>
      </c>
      <c r="C339" s="203" t="s">
        <v>736</v>
      </c>
      <c r="D339" s="203" t="s">
        <v>1065</v>
      </c>
      <c r="E339" s="202">
        <v>45601.0</v>
      </c>
      <c r="F339" s="203" t="b">
        <v>1</v>
      </c>
      <c r="G339" s="203" t="b">
        <v>1</v>
      </c>
      <c r="H339" s="203" t="b">
        <v>1</v>
      </c>
      <c r="I339" s="203" t="b">
        <v>1</v>
      </c>
      <c r="J339" s="203" t="s">
        <v>1065</v>
      </c>
      <c r="K339" s="124" t="s">
        <v>3695</v>
      </c>
      <c r="M339" s="3"/>
      <c r="N339" s="3"/>
      <c r="O339" s="3"/>
      <c r="P339" s="3"/>
      <c r="Q339" s="3"/>
      <c r="R339" s="3"/>
      <c r="S339" s="3"/>
      <c r="T339" s="3"/>
      <c r="U339" s="3"/>
      <c r="V339" s="3"/>
      <c r="W339" s="3"/>
      <c r="X339" s="3"/>
      <c r="Y339" s="3"/>
      <c r="Z339" s="3"/>
    </row>
    <row r="340">
      <c r="A340" s="203" t="s">
        <v>3696</v>
      </c>
      <c r="B340" s="202">
        <v>45596.0</v>
      </c>
      <c r="C340" s="203" t="s">
        <v>649</v>
      </c>
      <c r="D340" s="203" t="s">
        <v>1065</v>
      </c>
      <c r="E340" s="214">
        <v>45597.0</v>
      </c>
      <c r="F340" s="203" t="b">
        <v>1</v>
      </c>
      <c r="G340" s="203" t="b">
        <v>1</v>
      </c>
      <c r="H340" s="203" t="b">
        <v>1</v>
      </c>
      <c r="I340" s="203" t="b">
        <v>1</v>
      </c>
      <c r="J340" s="203" t="s">
        <v>1065</v>
      </c>
      <c r="K340" s="203" t="s">
        <v>2865</v>
      </c>
      <c r="M340" s="3"/>
      <c r="N340" s="3"/>
      <c r="O340" s="3"/>
      <c r="P340" s="3"/>
      <c r="Q340" s="3"/>
      <c r="R340" s="3"/>
      <c r="S340" s="3"/>
      <c r="T340" s="3"/>
      <c r="U340" s="3"/>
      <c r="V340" s="3"/>
      <c r="W340" s="3"/>
      <c r="X340" s="3"/>
      <c r="Y340" s="3"/>
      <c r="Z340" s="3"/>
    </row>
    <row r="341">
      <c r="A341" s="124" t="s">
        <v>3697</v>
      </c>
      <c r="B341" s="451">
        <v>45600.0</v>
      </c>
      <c r="C341" s="124" t="s">
        <v>736</v>
      </c>
      <c r="D341" s="124" t="s">
        <v>3598</v>
      </c>
      <c r="E341" s="451">
        <v>45610.0</v>
      </c>
      <c r="F341" s="425" t="b">
        <v>0</v>
      </c>
      <c r="G341" s="425" t="b">
        <v>0</v>
      </c>
      <c r="H341" s="425" t="b">
        <v>0</v>
      </c>
      <c r="I341" s="124" t="b">
        <v>0</v>
      </c>
      <c r="J341" s="425"/>
      <c r="K341" s="203" t="s">
        <v>2862</v>
      </c>
      <c r="M341" s="3"/>
      <c r="N341" s="3"/>
      <c r="O341" s="3"/>
      <c r="P341" s="3"/>
      <c r="Q341" s="3"/>
      <c r="R341" s="3"/>
      <c r="S341" s="3"/>
      <c r="T341" s="3"/>
      <c r="U341" s="3"/>
      <c r="V341" s="3"/>
      <c r="W341" s="3"/>
      <c r="X341" s="3"/>
      <c r="Y341" s="3"/>
      <c r="Z341" s="3"/>
    </row>
    <row r="342">
      <c r="A342" s="203" t="s">
        <v>3698</v>
      </c>
      <c r="B342" s="202">
        <v>45602.0</v>
      </c>
      <c r="C342" s="203" t="s">
        <v>625</v>
      </c>
      <c r="D342" s="203" t="s">
        <v>1065</v>
      </c>
      <c r="E342" s="202">
        <v>45614.0</v>
      </c>
      <c r="F342" s="203" t="b">
        <v>1</v>
      </c>
      <c r="G342" s="203" t="b">
        <v>1</v>
      </c>
      <c r="H342" s="203" t="b">
        <v>1</v>
      </c>
      <c r="I342" s="203" t="b">
        <v>1</v>
      </c>
      <c r="J342" s="203" t="s">
        <v>1065</v>
      </c>
      <c r="K342" s="203" t="s">
        <v>2862</v>
      </c>
      <c r="M342" s="3"/>
      <c r="N342" s="3"/>
      <c r="O342" s="3"/>
      <c r="P342" s="3"/>
      <c r="Q342" s="3"/>
      <c r="R342" s="3"/>
      <c r="S342" s="3"/>
      <c r="T342" s="3"/>
      <c r="U342" s="3"/>
      <c r="V342" s="3"/>
      <c r="W342" s="3"/>
      <c r="X342" s="3"/>
      <c r="Y342" s="3"/>
      <c r="Z342" s="3"/>
    </row>
    <row r="343">
      <c r="A343" s="195" t="s">
        <v>3699</v>
      </c>
      <c r="B343" s="159">
        <v>45603.0</v>
      </c>
      <c r="C343" s="195" t="s">
        <v>1370</v>
      </c>
      <c r="D343" s="604"/>
      <c r="E343" s="159">
        <v>45616.0</v>
      </c>
      <c r="F343" s="604" t="b">
        <v>0</v>
      </c>
      <c r="G343" s="604" t="b">
        <v>0</v>
      </c>
      <c r="H343" s="604" t="b">
        <v>0</v>
      </c>
      <c r="I343" s="604" t="b">
        <v>0</v>
      </c>
      <c r="J343" s="604"/>
      <c r="K343" s="203" t="s">
        <v>2865</v>
      </c>
      <c r="M343" s="3"/>
      <c r="N343" s="3"/>
      <c r="O343" s="3"/>
      <c r="P343" s="3"/>
      <c r="Q343" s="3"/>
      <c r="R343" s="3"/>
      <c r="S343" s="3"/>
      <c r="T343" s="3"/>
      <c r="U343" s="3"/>
      <c r="V343" s="3"/>
      <c r="W343" s="3"/>
      <c r="X343" s="3"/>
      <c r="Y343" s="3"/>
      <c r="Z343" s="3"/>
    </row>
    <row r="344">
      <c r="A344" s="203" t="s">
        <v>3701</v>
      </c>
      <c r="B344" s="202">
        <v>45603.0</v>
      </c>
      <c r="C344" s="203" t="s">
        <v>736</v>
      </c>
      <c r="D344" s="203" t="s">
        <v>1065</v>
      </c>
      <c r="E344" s="202">
        <v>45609.0</v>
      </c>
      <c r="F344" s="203" t="b">
        <v>1</v>
      </c>
      <c r="G344" s="203" t="b">
        <v>1</v>
      </c>
      <c r="H344" s="203" t="b">
        <v>1</v>
      </c>
      <c r="I344" s="203" t="b">
        <v>1</v>
      </c>
      <c r="J344" s="203" t="s">
        <v>1065</v>
      </c>
      <c r="K344" s="124" t="s">
        <v>3702</v>
      </c>
      <c r="M344" s="3"/>
      <c r="N344" s="3"/>
      <c r="O344" s="3"/>
      <c r="P344" s="3"/>
      <c r="Q344" s="3"/>
      <c r="R344" s="3"/>
      <c r="S344" s="3"/>
      <c r="T344" s="3"/>
      <c r="U344" s="3"/>
      <c r="V344" s="3"/>
      <c r="W344" s="3"/>
      <c r="X344" s="3"/>
      <c r="Y344" s="3"/>
      <c r="Z344" s="3"/>
    </row>
    <row r="345">
      <c r="A345" s="195" t="s">
        <v>3703</v>
      </c>
      <c r="B345" s="162">
        <v>45603.0</v>
      </c>
      <c r="C345" s="195" t="s">
        <v>1370</v>
      </c>
      <c r="D345" s="604"/>
      <c r="E345" s="159">
        <v>45609.0</v>
      </c>
      <c r="F345" s="604" t="b">
        <v>0</v>
      </c>
      <c r="G345" s="604" t="b">
        <v>0</v>
      </c>
      <c r="H345" s="604" t="b">
        <v>0</v>
      </c>
      <c r="I345" s="604" t="b">
        <v>0</v>
      </c>
      <c r="J345" s="604"/>
      <c r="K345" s="124" t="s">
        <v>3641</v>
      </c>
      <c r="M345" s="3"/>
      <c r="N345" s="3"/>
      <c r="O345" s="3"/>
      <c r="P345" s="3"/>
      <c r="Q345" s="3"/>
      <c r="R345" s="3"/>
      <c r="S345" s="3"/>
      <c r="T345" s="3"/>
      <c r="U345" s="3"/>
      <c r="V345" s="3"/>
      <c r="W345" s="3"/>
      <c r="X345" s="3"/>
      <c r="Y345" s="3"/>
      <c r="Z345" s="3"/>
    </row>
    <row r="346">
      <c r="A346" s="203" t="s">
        <v>3704</v>
      </c>
      <c r="B346" s="202">
        <v>45603.0</v>
      </c>
      <c r="C346" s="203" t="s">
        <v>40</v>
      </c>
      <c r="D346" s="262"/>
      <c r="E346" s="202">
        <v>45608.0</v>
      </c>
      <c r="F346" s="203" t="b">
        <v>1</v>
      </c>
      <c r="G346" s="203" t="b">
        <v>1</v>
      </c>
      <c r="H346" s="203" t="b">
        <v>1</v>
      </c>
      <c r="I346" s="203" t="b">
        <v>1</v>
      </c>
      <c r="J346" s="203" t="s">
        <v>1065</v>
      </c>
      <c r="K346" s="203" t="s">
        <v>2862</v>
      </c>
      <c r="M346" s="3"/>
      <c r="N346" s="3"/>
      <c r="O346" s="3"/>
      <c r="P346" s="3"/>
      <c r="Q346" s="3"/>
      <c r="R346" s="3"/>
      <c r="S346" s="3"/>
      <c r="T346" s="3"/>
      <c r="U346" s="3"/>
      <c r="V346" s="3"/>
      <c r="W346" s="3"/>
      <c r="X346" s="3"/>
      <c r="Y346" s="3"/>
      <c r="Z346" s="3"/>
    </row>
    <row r="347">
      <c r="A347" s="124" t="s">
        <v>3705</v>
      </c>
      <c r="B347" s="451">
        <v>45609.0</v>
      </c>
      <c r="C347" s="124" t="s">
        <v>3706</v>
      </c>
      <c r="D347" s="124" t="s">
        <v>3676</v>
      </c>
      <c r="E347" s="451">
        <v>45618.0</v>
      </c>
      <c r="F347" s="425" t="b">
        <v>0</v>
      </c>
      <c r="G347" s="425" t="b">
        <v>0</v>
      </c>
      <c r="H347" s="425" t="b">
        <v>0</v>
      </c>
      <c r="I347" s="425" t="b">
        <v>0</v>
      </c>
      <c r="J347" s="425"/>
      <c r="K347" s="124" t="s">
        <v>3707</v>
      </c>
      <c r="M347" s="3"/>
      <c r="N347" s="3"/>
      <c r="O347" s="3"/>
      <c r="P347" s="3"/>
      <c r="Q347" s="3"/>
      <c r="R347" s="3"/>
      <c r="S347" s="3"/>
      <c r="T347" s="3"/>
      <c r="U347" s="3"/>
      <c r="V347" s="3"/>
      <c r="W347" s="3"/>
      <c r="X347" s="3"/>
      <c r="Y347" s="3"/>
      <c r="Z347" s="3"/>
    </row>
    <row r="348">
      <c r="A348" s="203" t="s">
        <v>3708</v>
      </c>
      <c r="B348" s="202">
        <v>45609.0</v>
      </c>
      <c r="C348" s="203" t="s">
        <v>625</v>
      </c>
      <c r="D348" s="262"/>
      <c r="E348" s="202">
        <v>45615.0</v>
      </c>
      <c r="F348" s="203" t="b">
        <v>1</v>
      </c>
      <c r="G348" s="203" t="b">
        <v>1</v>
      </c>
      <c r="H348" s="203" t="b">
        <v>1</v>
      </c>
      <c r="I348" s="203" t="b">
        <v>1</v>
      </c>
      <c r="J348" s="262"/>
      <c r="K348" s="124" t="s">
        <v>3709</v>
      </c>
      <c r="M348" s="3"/>
      <c r="N348" s="3"/>
      <c r="O348" s="3"/>
      <c r="P348" s="3"/>
      <c r="Q348" s="3"/>
      <c r="R348" s="3"/>
      <c r="S348" s="3"/>
      <c r="T348" s="3"/>
      <c r="U348" s="3"/>
      <c r="V348" s="3"/>
      <c r="W348" s="3"/>
      <c r="X348" s="3"/>
      <c r="Y348" s="3"/>
      <c r="Z348" s="3"/>
    </row>
    <row r="349">
      <c r="A349" s="203" t="s">
        <v>3710</v>
      </c>
      <c r="B349" s="202">
        <v>45610.0</v>
      </c>
      <c r="C349" s="203" t="s">
        <v>625</v>
      </c>
      <c r="D349" s="262"/>
      <c r="E349" s="202">
        <v>45621.0</v>
      </c>
      <c r="F349" s="203" t="b">
        <v>1</v>
      </c>
      <c r="G349" s="203" t="b">
        <v>1</v>
      </c>
      <c r="H349" s="203" t="b">
        <v>1</v>
      </c>
      <c r="I349" s="203" t="b">
        <v>1</v>
      </c>
      <c r="J349" s="262"/>
      <c r="K349" s="203" t="s">
        <v>2865</v>
      </c>
      <c r="M349" s="3"/>
      <c r="N349" s="3"/>
      <c r="O349" s="3"/>
      <c r="P349" s="3"/>
      <c r="Q349" s="3"/>
      <c r="R349" s="3"/>
      <c r="S349" s="3"/>
      <c r="T349" s="3"/>
      <c r="U349" s="3"/>
      <c r="V349" s="3"/>
      <c r="W349" s="3"/>
      <c r="X349" s="3"/>
      <c r="Y349" s="3"/>
      <c r="Z349" s="3"/>
    </row>
    <row r="350">
      <c r="A350" s="124" t="s">
        <v>3711</v>
      </c>
      <c r="B350" s="451">
        <v>45611.0</v>
      </c>
      <c r="C350" s="124" t="s">
        <v>736</v>
      </c>
      <c r="D350" s="124" t="s">
        <v>3712</v>
      </c>
      <c r="E350" s="451">
        <v>45615.0</v>
      </c>
      <c r="F350" s="425" t="b">
        <v>0</v>
      </c>
      <c r="G350" s="425" t="b">
        <v>0</v>
      </c>
      <c r="H350" s="425" t="b">
        <v>0</v>
      </c>
      <c r="I350" s="124" t="b">
        <v>0</v>
      </c>
      <c r="J350" s="425"/>
      <c r="K350" s="203" t="s">
        <v>2862</v>
      </c>
      <c r="M350" s="3"/>
      <c r="N350" s="3"/>
      <c r="O350" s="3"/>
      <c r="P350" s="3"/>
      <c r="Q350" s="3"/>
      <c r="R350" s="3"/>
      <c r="S350" s="3"/>
      <c r="T350" s="3"/>
      <c r="U350" s="3"/>
      <c r="V350" s="3"/>
      <c r="W350" s="3"/>
      <c r="X350" s="3"/>
      <c r="Y350" s="3"/>
      <c r="Z350" s="3"/>
    </row>
    <row r="351">
      <c r="A351" s="203" t="s">
        <v>3713</v>
      </c>
      <c r="B351" s="202">
        <v>45614.0</v>
      </c>
      <c r="C351" s="203" t="s">
        <v>625</v>
      </c>
      <c r="D351" s="262"/>
      <c r="E351" s="202">
        <v>45622.0</v>
      </c>
      <c r="F351" s="203" t="b">
        <v>1</v>
      </c>
      <c r="G351" s="203" t="b">
        <v>1</v>
      </c>
      <c r="H351" s="203" t="b">
        <v>1</v>
      </c>
      <c r="I351" s="203" t="b">
        <v>1</v>
      </c>
      <c r="J351" s="262"/>
      <c r="K351" s="203" t="s">
        <v>2862</v>
      </c>
      <c r="M351" s="3"/>
      <c r="N351" s="3"/>
      <c r="O351" s="3"/>
      <c r="P351" s="3"/>
      <c r="Q351" s="3"/>
      <c r="R351" s="3"/>
      <c r="S351" s="3"/>
      <c r="T351" s="3"/>
      <c r="U351" s="3"/>
      <c r="V351" s="3"/>
      <c r="W351" s="3"/>
      <c r="X351" s="3"/>
      <c r="Y351" s="3"/>
      <c r="Z351" s="3"/>
    </row>
    <row r="352">
      <c r="A352" s="203" t="s">
        <v>3714</v>
      </c>
      <c r="B352" s="202">
        <v>45614.0</v>
      </c>
      <c r="C352" s="203" t="s">
        <v>625</v>
      </c>
      <c r="D352" s="203" t="s">
        <v>1065</v>
      </c>
      <c r="E352" s="214">
        <v>45630.0</v>
      </c>
      <c r="F352" s="203" t="b">
        <v>1</v>
      </c>
      <c r="G352" s="203" t="b">
        <v>1</v>
      </c>
      <c r="H352" s="203" t="b">
        <v>1</v>
      </c>
      <c r="I352" s="203" t="b">
        <v>1</v>
      </c>
      <c r="J352" s="262"/>
      <c r="K352" s="203" t="s">
        <v>2862</v>
      </c>
      <c r="M352" s="3"/>
      <c r="N352" s="3"/>
      <c r="O352" s="3"/>
      <c r="P352" s="3"/>
      <c r="Q352" s="3"/>
      <c r="R352" s="3"/>
      <c r="S352" s="3"/>
      <c r="T352" s="3"/>
      <c r="U352" s="3"/>
      <c r="V352" s="3"/>
      <c r="W352" s="3"/>
      <c r="X352" s="3"/>
      <c r="Y352" s="3"/>
      <c r="Z352" s="3"/>
    </row>
    <row r="353">
      <c r="A353" s="124" t="s">
        <v>3715</v>
      </c>
      <c r="B353" s="451">
        <v>45614.0</v>
      </c>
      <c r="C353" s="124" t="s">
        <v>625</v>
      </c>
      <c r="D353" s="124" t="s">
        <v>3716</v>
      </c>
      <c r="E353" s="451">
        <v>45644.0</v>
      </c>
      <c r="F353" s="425" t="b">
        <v>0</v>
      </c>
      <c r="G353" s="425" t="b">
        <v>0</v>
      </c>
      <c r="H353" s="425" t="b">
        <v>0</v>
      </c>
      <c r="I353" s="425" t="b">
        <v>0</v>
      </c>
      <c r="J353" s="425"/>
      <c r="K353" s="203" t="s">
        <v>2862</v>
      </c>
      <c r="M353" s="3"/>
      <c r="N353" s="3"/>
      <c r="O353" s="3"/>
      <c r="P353" s="3"/>
      <c r="Q353" s="3"/>
      <c r="R353" s="3"/>
      <c r="S353" s="3"/>
      <c r="T353" s="3"/>
      <c r="U353" s="3"/>
      <c r="V353" s="3"/>
      <c r="W353" s="3"/>
      <c r="X353" s="3"/>
      <c r="Y353" s="3"/>
      <c r="Z353" s="3"/>
    </row>
    <row r="354">
      <c r="A354" s="203" t="s">
        <v>3717</v>
      </c>
      <c r="B354" s="202">
        <v>45616.0</v>
      </c>
      <c r="C354" s="203" t="s">
        <v>736</v>
      </c>
      <c r="D354" s="203" t="s">
        <v>1065</v>
      </c>
      <c r="E354" s="202">
        <v>45628.0</v>
      </c>
      <c r="F354" s="203" t="b">
        <v>1</v>
      </c>
      <c r="G354" s="203" t="b">
        <v>1</v>
      </c>
      <c r="H354" s="203" t="b">
        <v>1</v>
      </c>
      <c r="I354" s="203" t="b">
        <v>1</v>
      </c>
      <c r="J354" s="203" t="s">
        <v>1065</v>
      </c>
      <c r="K354" s="203" t="s">
        <v>2862</v>
      </c>
      <c r="M354" s="3"/>
      <c r="N354" s="3"/>
      <c r="O354" s="3"/>
      <c r="P354" s="3"/>
      <c r="Q354" s="3"/>
      <c r="R354" s="3"/>
      <c r="S354" s="3"/>
      <c r="T354" s="3"/>
      <c r="U354" s="3"/>
      <c r="V354" s="3"/>
      <c r="W354" s="3"/>
      <c r="X354" s="3"/>
      <c r="Y354" s="3"/>
      <c r="Z354" s="3"/>
    </row>
    <row r="355">
      <c r="A355" s="203" t="s">
        <v>3718</v>
      </c>
      <c r="B355" s="202">
        <v>45617.0</v>
      </c>
      <c r="C355" s="203" t="s">
        <v>736</v>
      </c>
      <c r="D355" s="203" t="s">
        <v>1065</v>
      </c>
      <c r="E355" s="202">
        <v>45629.0</v>
      </c>
      <c r="F355" s="203" t="b">
        <v>1</v>
      </c>
      <c r="G355" s="203" t="b">
        <v>1</v>
      </c>
      <c r="H355" s="203" t="b">
        <v>1</v>
      </c>
      <c r="I355" s="203" t="b">
        <v>1</v>
      </c>
      <c r="J355" s="203" t="s">
        <v>1065</v>
      </c>
      <c r="K355" s="262"/>
      <c r="M355" s="3"/>
      <c r="N355" s="3"/>
      <c r="O355" s="3"/>
      <c r="P355" s="3"/>
      <c r="Q355" s="3"/>
      <c r="R355" s="3"/>
      <c r="S355" s="3"/>
      <c r="T355" s="3"/>
      <c r="U355" s="3"/>
      <c r="V355" s="3"/>
      <c r="W355" s="3"/>
      <c r="X355" s="3"/>
      <c r="Y355" s="3"/>
      <c r="Z355" s="3"/>
    </row>
    <row r="356">
      <c r="A356" s="203" t="s">
        <v>3719</v>
      </c>
      <c r="B356" s="202">
        <v>45622.0</v>
      </c>
      <c r="C356" s="203" t="s">
        <v>625</v>
      </c>
      <c r="D356" s="262"/>
      <c r="E356" s="202">
        <v>45628.0</v>
      </c>
      <c r="F356" s="203" t="b">
        <v>1</v>
      </c>
      <c r="G356" s="203" t="b">
        <v>1</v>
      </c>
      <c r="H356" s="203" t="b">
        <v>1</v>
      </c>
      <c r="I356" s="203" t="b">
        <v>1</v>
      </c>
      <c r="J356" s="262"/>
      <c r="K356" s="124" t="s">
        <v>3720</v>
      </c>
      <c r="M356" s="3"/>
      <c r="N356" s="3"/>
      <c r="O356" s="3"/>
      <c r="P356" s="3"/>
      <c r="Q356" s="3"/>
      <c r="R356" s="3"/>
      <c r="S356" s="3"/>
      <c r="T356" s="3"/>
      <c r="U356" s="3"/>
      <c r="V356" s="3"/>
      <c r="W356" s="3"/>
      <c r="X356" s="3"/>
      <c r="Y356" s="3"/>
      <c r="Z356" s="3"/>
    </row>
    <row r="357">
      <c r="A357" s="124" t="s">
        <v>3721</v>
      </c>
      <c r="B357" s="451">
        <v>45628.0</v>
      </c>
      <c r="C357" s="124" t="s">
        <v>625</v>
      </c>
      <c r="D357" s="124" t="s">
        <v>3676</v>
      </c>
      <c r="E357" s="451">
        <v>45631.0</v>
      </c>
      <c r="F357" s="425" t="b">
        <v>0</v>
      </c>
      <c r="G357" s="425" t="b">
        <v>0</v>
      </c>
      <c r="H357" s="425" t="b">
        <v>0</v>
      </c>
      <c r="I357" s="425" t="b">
        <v>0</v>
      </c>
      <c r="J357" s="425"/>
      <c r="K357" s="203" t="s">
        <v>2862</v>
      </c>
      <c r="M357" s="3"/>
      <c r="N357" s="3"/>
      <c r="O357" s="3"/>
      <c r="P357" s="3"/>
      <c r="Q357" s="3"/>
      <c r="R357" s="3"/>
      <c r="S357" s="3"/>
      <c r="T357" s="3"/>
      <c r="U357" s="3"/>
      <c r="V357" s="3"/>
      <c r="W357" s="3"/>
      <c r="X357" s="3"/>
      <c r="Y357" s="3"/>
      <c r="Z357" s="3"/>
    </row>
    <row r="358">
      <c r="A358" s="203" t="s">
        <v>3722</v>
      </c>
      <c r="B358" s="202">
        <v>45628.0</v>
      </c>
      <c r="C358" s="203" t="s">
        <v>736</v>
      </c>
      <c r="D358" s="203" t="s">
        <v>1065</v>
      </c>
      <c r="E358" s="202">
        <v>45632.0</v>
      </c>
      <c r="F358" s="203" t="b">
        <v>1</v>
      </c>
      <c r="G358" s="203" t="b">
        <v>1</v>
      </c>
      <c r="H358" s="203" t="b">
        <v>1</v>
      </c>
      <c r="I358" s="203" t="b">
        <v>1</v>
      </c>
      <c r="J358" s="203" t="s">
        <v>1065</v>
      </c>
      <c r="K358" s="203" t="s">
        <v>2862</v>
      </c>
      <c r="M358" s="3"/>
      <c r="N358" s="3"/>
      <c r="O358" s="3"/>
      <c r="P358" s="3"/>
      <c r="Q358" s="3"/>
      <c r="R358" s="3"/>
      <c r="S358" s="3"/>
      <c r="T358" s="3"/>
      <c r="U358" s="3"/>
      <c r="V358" s="3"/>
      <c r="W358" s="3"/>
      <c r="X358" s="3"/>
      <c r="Y358" s="3"/>
      <c r="Z358" s="3"/>
    </row>
    <row r="359">
      <c r="A359" s="203" t="s">
        <v>3723</v>
      </c>
      <c r="B359" s="202">
        <v>45628.0</v>
      </c>
      <c r="C359" s="203" t="s">
        <v>625</v>
      </c>
      <c r="D359" s="203" t="s">
        <v>1065</v>
      </c>
      <c r="E359" s="202">
        <v>45645.0</v>
      </c>
      <c r="F359" s="203" t="b">
        <v>1</v>
      </c>
      <c r="G359" s="203" t="b">
        <v>1</v>
      </c>
      <c r="H359" s="203" t="b">
        <v>1</v>
      </c>
      <c r="I359" s="203" t="b">
        <v>1</v>
      </c>
      <c r="J359" s="203" t="s">
        <v>1232</v>
      </c>
      <c r="K359" s="124" t="s">
        <v>3724</v>
      </c>
      <c r="M359" s="3"/>
      <c r="N359" s="3"/>
      <c r="O359" s="3"/>
      <c r="P359" s="3"/>
      <c r="Q359" s="3"/>
      <c r="R359" s="3"/>
      <c r="S359" s="3"/>
      <c r="T359" s="3"/>
      <c r="U359" s="3"/>
      <c r="V359" s="3"/>
      <c r="W359" s="3"/>
      <c r="X359" s="3"/>
      <c r="Y359" s="3"/>
      <c r="Z359" s="3"/>
    </row>
    <row r="360">
      <c r="A360" s="203" t="s">
        <v>3725</v>
      </c>
      <c r="B360" s="202">
        <v>45628.0</v>
      </c>
      <c r="C360" s="203" t="s">
        <v>625</v>
      </c>
      <c r="D360" s="203" t="s">
        <v>1065</v>
      </c>
      <c r="E360" s="202">
        <v>45642.0</v>
      </c>
      <c r="F360" s="203" t="b">
        <v>1</v>
      </c>
      <c r="G360" s="203" t="b">
        <v>1</v>
      </c>
      <c r="H360" s="203" t="b">
        <v>1</v>
      </c>
      <c r="I360" s="203" t="b">
        <v>1</v>
      </c>
      <c r="J360" s="262"/>
      <c r="K360" s="124" t="s">
        <v>3726</v>
      </c>
      <c r="M360" s="3"/>
      <c r="N360" s="3"/>
      <c r="O360" s="3"/>
      <c r="P360" s="3"/>
      <c r="Q360" s="3"/>
      <c r="R360" s="3"/>
      <c r="S360" s="3"/>
      <c r="T360" s="3"/>
      <c r="U360" s="3"/>
      <c r="V360" s="3"/>
      <c r="W360" s="3"/>
      <c r="X360" s="3"/>
      <c r="Y360" s="3"/>
      <c r="Z360" s="3"/>
    </row>
    <row r="361">
      <c r="A361" s="124" t="s">
        <v>3727</v>
      </c>
      <c r="B361" s="451">
        <v>45636.0</v>
      </c>
      <c r="C361" s="124" t="s">
        <v>625</v>
      </c>
      <c r="D361" s="124" t="s">
        <v>3728</v>
      </c>
      <c r="E361" s="451">
        <v>45642.0</v>
      </c>
      <c r="F361" s="425" t="b">
        <v>0</v>
      </c>
      <c r="G361" s="425" t="b">
        <v>0</v>
      </c>
      <c r="H361" s="425" t="b">
        <v>0</v>
      </c>
      <c r="I361" s="425" t="b">
        <v>0</v>
      </c>
      <c r="J361" s="425"/>
      <c r="K361" s="124" t="s">
        <v>3641</v>
      </c>
      <c r="M361" s="3"/>
      <c r="N361" s="3"/>
      <c r="O361" s="3"/>
      <c r="P361" s="3"/>
      <c r="Q361" s="3"/>
      <c r="R361" s="3"/>
      <c r="S361" s="3"/>
      <c r="T361" s="3"/>
      <c r="U361" s="3"/>
      <c r="V361" s="3"/>
      <c r="W361" s="3"/>
      <c r="X361" s="3"/>
      <c r="Y361" s="3"/>
      <c r="Z361" s="3"/>
    </row>
    <row r="362">
      <c r="A362" s="573" t="s">
        <v>3729</v>
      </c>
      <c r="B362" s="451">
        <v>45639.0</v>
      </c>
      <c r="C362" s="124" t="s">
        <v>736</v>
      </c>
      <c r="D362" s="124" t="s">
        <v>3598</v>
      </c>
      <c r="E362" s="451">
        <v>45665.0</v>
      </c>
      <c r="F362" s="425" t="b">
        <v>0</v>
      </c>
      <c r="G362" s="425" t="b">
        <v>0</v>
      </c>
      <c r="H362" s="425" t="b">
        <v>0</v>
      </c>
      <c r="I362" s="425" t="b">
        <v>0</v>
      </c>
      <c r="J362" s="425"/>
      <c r="K362" s="203" t="s">
        <v>2865</v>
      </c>
      <c r="M362" s="3"/>
      <c r="N362" s="3"/>
      <c r="O362" s="3"/>
      <c r="P362" s="3"/>
      <c r="Q362" s="3"/>
      <c r="R362" s="3"/>
      <c r="S362" s="3"/>
      <c r="T362" s="3"/>
      <c r="U362" s="3"/>
      <c r="V362" s="3"/>
      <c r="W362" s="3"/>
      <c r="X362" s="3"/>
      <c r="Y362" s="3"/>
      <c r="Z362" s="3"/>
    </row>
    <row r="363">
      <c r="A363" s="203" t="s">
        <v>3730</v>
      </c>
      <c r="B363" s="202">
        <v>45643.0</v>
      </c>
      <c r="C363" s="203" t="s">
        <v>736</v>
      </c>
      <c r="D363" s="203" t="s">
        <v>1065</v>
      </c>
      <c r="E363" s="202">
        <v>45644.0</v>
      </c>
      <c r="F363" s="203" t="b">
        <v>1</v>
      </c>
      <c r="G363" s="203" t="b">
        <v>1</v>
      </c>
      <c r="H363" s="203" t="b">
        <v>1</v>
      </c>
      <c r="I363" s="203" t="b">
        <v>1</v>
      </c>
      <c r="J363" s="203" t="s">
        <v>1232</v>
      </c>
      <c r="K363" s="124" t="s">
        <v>3731</v>
      </c>
      <c r="M363" s="3"/>
      <c r="N363" s="3"/>
      <c r="O363" s="3"/>
      <c r="P363" s="3"/>
      <c r="Q363" s="3"/>
      <c r="R363" s="3"/>
      <c r="S363" s="3"/>
      <c r="T363" s="3"/>
      <c r="U363" s="3"/>
      <c r="V363" s="3"/>
      <c r="W363" s="3"/>
      <c r="X363" s="3"/>
      <c r="Y363" s="3"/>
      <c r="Z363" s="3"/>
    </row>
    <row r="364">
      <c r="A364" s="124" t="s">
        <v>3732</v>
      </c>
      <c r="B364" s="451">
        <v>45646.0</v>
      </c>
      <c r="C364" s="124" t="s">
        <v>736</v>
      </c>
      <c r="D364" s="124" t="s">
        <v>3123</v>
      </c>
      <c r="E364" s="451">
        <v>45670.0</v>
      </c>
      <c r="F364" s="425" t="b">
        <v>0</v>
      </c>
      <c r="G364" s="425" t="b">
        <v>0</v>
      </c>
      <c r="H364" s="425" t="b">
        <v>0</v>
      </c>
      <c r="I364" s="425" t="b">
        <v>0</v>
      </c>
      <c r="J364" s="425"/>
      <c r="K364" s="203" t="s">
        <v>2862</v>
      </c>
      <c r="M364" s="3"/>
      <c r="N364" s="3"/>
      <c r="O364" s="3"/>
      <c r="P364" s="3"/>
      <c r="Q364" s="3"/>
      <c r="R364" s="3"/>
      <c r="S364" s="3"/>
      <c r="T364" s="3"/>
      <c r="U364" s="3"/>
      <c r="V364" s="3"/>
      <c r="W364" s="3"/>
      <c r="X364" s="3"/>
      <c r="Y364" s="3"/>
      <c r="Z364" s="3"/>
    </row>
    <row r="365">
      <c r="A365" s="203" t="s">
        <v>3733</v>
      </c>
      <c r="B365" s="202">
        <v>45646.0</v>
      </c>
      <c r="C365" s="203" t="s">
        <v>625</v>
      </c>
      <c r="D365" s="262"/>
      <c r="E365" s="202">
        <v>45664.0</v>
      </c>
      <c r="F365" s="203" t="b">
        <v>1</v>
      </c>
      <c r="G365" s="203" t="b">
        <v>1</v>
      </c>
      <c r="H365" s="203" t="b">
        <v>1</v>
      </c>
      <c r="I365" s="203" t="b">
        <v>1</v>
      </c>
      <c r="J365" s="364" t="s">
        <v>1232</v>
      </c>
      <c r="K365" s="203" t="s">
        <v>2862</v>
      </c>
      <c r="M365" s="3"/>
      <c r="N365" s="3"/>
      <c r="O365" s="3"/>
      <c r="P365" s="3"/>
      <c r="Q365" s="3"/>
      <c r="R365" s="3"/>
      <c r="S365" s="3"/>
      <c r="T365" s="3"/>
      <c r="U365" s="3"/>
      <c r="V365" s="3"/>
      <c r="W365" s="3"/>
      <c r="X365" s="3"/>
      <c r="Y365" s="3"/>
      <c r="Z365" s="3"/>
    </row>
    <row r="366">
      <c r="A366" s="203" t="s">
        <v>3734</v>
      </c>
      <c r="B366" s="202">
        <v>45670.0</v>
      </c>
      <c r="C366" s="203" t="s">
        <v>625</v>
      </c>
      <c r="D366" s="262"/>
      <c r="E366" s="202">
        <v>45680.0</v>
      </c>
      <c r="F366" s="203" t="b">
        <v>1</v>
      </c>
      <c r="G366" s="203" t="b">
        <v>1</v>
      </c>
      <c r="H366" s="203" t="b">
        <v>1</v>
      </c>
      <c r="I366" s="203" t="b">
        <v>1</v>
      </c>
      <c r="J366" s="262"/>
      <c r="K366" s="424" t="s">
        <v>3735</v>
      </c>
      <c r="M366" s="3"/>
      <c r="N366" s="3"/>
      <c r="O366" s="3"/>
      <c r="P366" s="3"/>
      <c r="Q366" s="3"/>
      <c r="R366" s="3"/>
      <c r="S366" s="3"/>
      <c r="T366" s="3"/>
      <c r="U366" s="3"/>
      <c r="V366" s="3"/>
      <c r="W366" s="3"/>
      <c r="X366" s="3"/>
      <c r="Y366" s="3"/>
      <c r="Z366" s="3"/>
    </row>
    <row r="367">
      <c r="A367" s="203" t="s">
        <v>3736</v>
      </c>
      <c r="B367" s="244">
        <v>45670.0</v>
      </c>
      <c r="C367" s="203" t="s">
        <v>625</v>
      </c>
      <c r="D367" s="262"/>
      <c r="E367" s="202">
        <v>45671.0</v>
      </c>
      <c r="F367" s="203" t="b">
        <v>1</v>
      </c>
      <c r="G367" s="203" t="b">
        <v>1</v>
      </c>
      <c r="H367" s="203" t="b">
        <v>1</v>
      </c>
      <c r="I367" s="203" t="b">
        <v>1</v>
      </c>
      <c r="J367" s="262"/>
      <c r="K367" s="203" t="s">
        <v>2862</v>
      </c>
      <c r="M367" s="3"/>
      <c r="N367" s="3"/>
      <c r="O367" s="3"/>
      <c r="P367" s="3"/>
      <c r="Q367" s="3"/>
      <c r="R367" s="3"/>
      <c r="S367" s="3"/>
      <c r="T367" s="3"/>
      <c r="U367" s="3"/>
      <c r="V367" s="3"/>
      <c r="W367" s="3"/>
      <c r="X367" s="3"/>
      <c r="Y367" s="3"/>
      <c r="Z367" s="3"/>
    </row>
    <row r="368">
      <c r="A368" s="633" t="s">
        <v>3737</v>
      </c>
      <c r="B368" s="159">
        <v>45673.0</v>
      </c>
      <c r="C368" s="195" t="s">
        <v>736</v>
      </c>
      <c r="D368" s="604"/>
      <c r="E368" s="159">
        <v>45680.0</v>
      </c>
      <c r="F368" s="604" t="b">
        <v>0</v>
      </c>
      <c r="G368" s="604" t="b">
        <v>0</v>
      </c>
      <c r="H368" s="604" t="b">
        <v>0</v>
      </c>
      <c r="I368" s="604" t="b">
        <v>0</v>
      </c>
      <c r="J368" s="604"/>
      <c r="K368" s="203" t="s">
        <v>2862</v>
      </c>
      <c r="M368" s="3"/>
      <c r="N368" s="3"/>
      <c r="O368" s="3"/>
      <c r="P368" s="3"/>
      <c r="Q368" s="3"/>
      <c r="R368" s="3"/>
      <c r="S368" s="3"/>
      <c r="T368" s="3"/>
      <c r="U368" s="3"/>
      <c r="V368" s="3"/>
      <c r="W368" s="3"/>
      <c r="X368" s="3"/>
      <c r="Y368" s="3"/>
      <c r="Z368" s="3"/>
    </row>
    <row r="369">
      <c r="A369" s="203" t="s">
        <v>3738</v>
      </c>
      <c r="B369" s="202">
        <v>45673.0</v>
      </c>
      <c r="C369" s="203" t="s">
        <v>736</v>
      </c>
      <c r="D369" s="262"/>
      <c r="E369" s="202">
        <v>45679.0</v>
      </c>
      <c r="F369" s="262" t="b">
        <v>0</v>
      </c>
      <c r="G369" s="262" t="b">
        <v>0</v>
      </c>
      <c r="H369" s="262" t="b">
        <v>0</v>
      </c>
      <c r="I369" s="262" t="b">
        <v>0</v>
      </c>
      <c r="J369" s="262"/>
      <c r="K369" s="203" t="s">
        <v>2862</v>
      </c>
      <c r="M369" s="3"/>
      <c r="N369" s="3"/>
      <c r="O369" s="3"/>
      <c r="P369" s="3"/>
      <c r="Q369" s="3"/>
      <c r="R369" s="3"/>
      <c r="S369" s="3"/>
      <c r="T369" s="3"/>
      <c r="U369" s="3"/>
      <c r="V369" s="3"/>
      <c r="W369" s="3"/>
      <c r="X369" s="3"/>
      <c r="Y369" s="3"/>
      <c r="Z369" s="3"/>
    </row>
    <row r="370">
      <c r="A370" s="200" t="s">
        <v>3739</v>
      </c>
      <c r="B370" s="202">
        <v>45680.0</v>
      </c>
      <c r="C370" s="203" t="s">
        <v>28</v>
      </c>
      <c r="D370" s="203" t="s">
        <v>1065</v>
      </c>
      <c r="E370" s="202">
        <v>45707.0</v>
      </c>
      <c r="F370" s="262" t="b">
        <v>0</v>
      </c>
      <c r="G370" s="262" t="b">
        <v>0</v>
      </c>
      <c r="H370" s="262" t="b">
        <v>0</v>
      </c>
      <c r="I370" s="262" t="b">
        <v>0</v>
      </c>
      <c r="J370" s="262"/>
      <c r="K370" s="124" t="s">
        <v>3740</v>
      </c>
      <c r="M370" s="3"/>
      <c r="N370" s="3"/>
      <c r="O370" s="3"/>
      <c r="P370" s="3"/>
      <c r="Q370" s="3"/>
      <c r="R370" s="3"/>
      <c r="S370" s="3"/>
      <c r="T370" s="3"/>
      <c r="U370" s="3"/>
      <c r="V370" s="3"/>
      <c r="W370" s="3"/>
      <c r="X370" s="3"/>
      <c r="Y370" s="3"/>
      <c r="Z370" s="3"/>
    </row>
    <row r="371">
      <c r="A371" s="124" t="s">
        <v>3741</v>
      </c>
      <c r="B371" s="451">
        <v>45713.0</v>
      </c>
      <c r="C371" s="124" t="s">
        <v>625</v>
      </c>
      <c r="D371" s="124" t="s">
        <v>3561</v>
      </c>
      <c r="E371" s="507">
        <v>45722.0</v>
      </c>
      <c r="F371" s="425" t="b">
        <v>0</v>
      </c>
      <c r="G371" s="425" t="b">
        <v>0</v>
      </c>
      <c r="H371" s="425" t="b">
        <v>0</v>
      </c>
      <c r="I371" s="425" t="b">
        <v>0</v>
      </c>
      <c r="J371" s="425"/>
      <c r="K371" s="124" t="s">
        <v>3742</v>
      </c>
      <c r="M371" s="3"/>
      <c r="N371" s="3"/>
      <c r="O371" s="3"/>
      <c r="P371" s="3"/>
      <c r="Q371" s="3"/>
      <c r="R371" s="3"/>
      <c r="S371" s="3"/>
      <c r="T371" s="3"/>
      <c r="U371" s="3"/>
      <c r="V371" s="3"/>
      <c r="W371" s="3"/>
      <c r="X371" s="3"/>
      <c r="Y371" s="3"/>
      <c r="Z371" s="3"/>
    </row>
    <row r="372">
      <c r="A372" s="124" t="s">
        <v>3743</v>
      </c>
      <c r="B372" s="634" t="s">
        <v>3744</v>
      </c>
      <c r="C372" s="124" t="s">
        <v>40</v>
      </c>
      <c r="D372" s="425"/>
      <c r="E372" s="422">
        <v>45022.0</v>
      </c>
      <c r="F372" s="425" t="b">
        <v>0</v>
      </c>
      <c r="G372" s="425" t="b">
        <v>0</v>
      </c>
      <c r="H372" s="425" t="b">
        <v>0</v>
      </c>
      <c r="I372" s="425" t="b">
        <v>0</v>
      </c>
      <c r="J372" s="425"/>
      <c r="K372" s="445" t="s">
        <v>3745</v>
      </c>
      <c r="M372" s="3"/>
      <c r="N372" s="3"/>
      <c r="O372" s="3"/>
      <c r="P372" s="3"/>
      <c r="Q372" s="3"/>
      <c r="R372" s="3"/>
      <c r="S372" s="3"/>
      <c r="T372" s="3"/>
      <c r="U372" s="3"/>
      <c r="V372" s="3"/>
      <c r="W372" s="3"/>
      <c r="X372" s="3"/>
      <c r="Y372" s="3"/>
      <c r="Z372" s="3"/>
    </row>
    <row r="373">
      <c r="A373" s="203" t="s">
        <v>3746</v>
      </c>
      <c r="B373" s="635" t="s">
        <v>3747</v>
      </c>
      <c r="C373" s="203" t="s">
        <v>28</v>
      </c>
      <c r="D373" s="203" t="s">
        <v>24</v>
      </c>
      <c r="E373" s="635" t="s">
        <v>3748</v>
      </c>
      <c r="F373" s="203" t="b">
        <v>1</v>
      </c>
      <c r="G373" s="203" t="b">
        <v>1</v>
      </c>
      <c r="H373" s="124" t="b">
        <v>0</v>
      </c>
      <c r="I373" s="124" t="b">
        <v>0</v>
      </c>
      <c r="J373" s="203" t="s">
        <v>1065</v>
      </c>
      <c r="K373" s="124" t="s">
        <v>3092</v>
      </c>
      <c r="M373" s="3"/>
      <c r="N373" s="3"/>
      <c r="O373" s="3"/>
      <c r="P373" s="3"/>
      <c r="Q373" s="3"/>
      <c r="R373" s="3"/>
      <c r="S373" s="3"/>
      <c r="T373" s="3"/>
      <c r="U373" s="3"/>
      <c r="V373" s="3"/>
      <c r="W373" s="3"/>
      <c r="X373" s="3"/>
      <c r="Y373" s="3"/>
      <c r="Z373" s="3"/>
    </row>
    <row r="374">
      <c r="A374" s="3"/>
      <c r="B374" s="3"/>
      <c r="C374" s="3"/>
      <c r="D374" s="3"/>
      <c r="E374" s="3"/>
      <c r="F374" s="636" t="b">
        <v>0</v>
      </c>
      <c r="G374" s="636" t="b">
        <v>0</v>
      </c>
      <c r="H374" s="636" t="b">
        <v>0</v>
      </c>
      <c r="I374" s="636" t="b">
        <v>0</v>
      </c>
      <c r="J374" s="3"/>
      <c r="K374" s="3"/>
      <c r="M374" s="3"/>
      <c r="N374" s="3"/>
      <c r="O374" s="3"/>
      <c r="P374" s="3"/>
      <c r="Q374" s="3"/>
      <c r="R374" s="3"/>
      <c r="S374" s="3"/>
      <c r="T374" s="3"/>
      <c r="U374" s="3"/>
      <c r="V374" s="3"/>
      <c r="W374" s="3"/>
      <c r="X374" s="3"/>
      <c r="Y374" s="3"/>
      <c r="Z374" s="3"/>
    </row>
    <row r="375">
      <c r="A375" s="3"/>
      <c r="B375" s="3"/>
      <c r="C375" s="3"/>
      <c r="D375" s="3"/>
      <c r="E375" s="3"/>
      <c r="F375" s="636" t="b">
        <v>0</v>
      </c>
      <c r="G375" s="636" t="b">
        <v>0</v>
      </c>
      <c r="H375" s="636" t="b">
        <v>0</v>
      </c>
      <c r="I375" s="636" t="b">
        <v>0</v>
      </c>
      <c r="J375" s="3"/>
      <c r="K375" s="3"/>
      <c r="M375" s="3"/>
      <c r="N375" s="3"/>
      <c r="O375" s="3"/>
      <c r="P375" s="3"/>
      <c r="Q375" s="3"/>
      <c r="R375" s="3"/>
      <c r="S375" s="3"/>
      <c r="T375" s="3"/>
      <c r="U375" s="3"/>
      <c r="V375" s="3"/>
      <c r="W375" s="3"/>
      <c r="X375" s="3"/>
      <c r="Y375" s="3"/>
      <c r="Z375" s="3"/>
    </row>
    <row r="376">
      <c r="A376" s="3"/>
      <c r="B376" s="3"/>
      <c r="C376" s="3"/>
      <c r="D376" s="3"/>
      <c r="E376" s="3"/>
      <c r="F376" s="636" t="b">
        <v>0</v>
      </c>
      <c r="G376" s="636" t="b">
        <v>0</v>
      </c>
      <c r="H376" s="636" t="b">
        <v>0</v>
      </c>
      <c r="I376" s="636" t="b">
        <v>0</v>
      </c>
      <c r="J376" s="3"/>
      <c r="K376" s="3"/>
      <c r="M376" s="3"/>
      <c r="N376" s="3"/>
      <c r="O376" s="3"/>
      <c r="P376" s="3"/>
      <c r="Q376" s="3"/>
      <c r="R376" s="3"/>
      <c r="S376" s="3"/>
      <c r="T376" s="3"/>
      <c r="U376" s="3"/>
      <c r="V376" s="3"/>
      <c r="W376" s="3"/>
      <c r="X376" s="3"/>
      <c r="Y376" s="3"/>
      <c r="Z376" s="3"/>
    </row>
    <row r="377">
      <c r="A377" s="3"/>
      <c r="B377" s="3"/>
      <c r="C377" s="3"/>
      <c r="D377" s="3"/>
      <c r="E377" s="3"/>
      <c r="F377" s="636" t="b">
        <v>0</v>
      </c>
      <c r="G377" s="636" t="b">
        <v>0</v>
      </c>
      <c r="H377" s="636" t="b">
        <v>0</v>
      </c>
      <c r="I377" s="636" t="b">
        <v>0</v>
      </c>
      <c r="J377" s="3"/>
      <c r="K377" s="3"/>
      <c r="M377" s="3"/>
      <c r="N377" s="3"/>
      <c r="O377" s="3"/>
      <c r="P377" s="3"/>
      <c r="Q377" s="3"/>
      <c r="R377" s="3"/>
      <c r="S377" s="3"/>
      <c r="T377" s="3"/>
      <c r="U377" s="3"/>
      <c r="V377" s="3"/>
      <c r="W377" s="3"/>
      <c r="X377" s="3"/>
      <c r="Y377" s="3"/>
      <c r="Z377" s="3"/>
    </row>
    <row r="378">
      <c r="A378" s="3"/>
      <c r="B378" s="3"/>
      <c r="C378" s="3"/>
      <c r="D378" s="3"/>
      <c r="E378" s="3"/>
      <c r="F378" s="636" t="b">
        <v>0</v>
      </c>
      <c r="G378" s="636" t="b">
        <v>0</v>
      </c>
      <c r="H378" s="636" t="b">
        <v>0</v>
      </c>
      <c r="I378" s="636" t="b">
        <v>0</v>
      </c>
      <c r="J378" s="3"/>
      <c r="K378" s="3"/>
      <c r="M378" s="3"/>
      <c r="N378" s="3"/>
      <c r="O378" s="3"/>
      <c r="P378" s="3"/>
      <c r="Q378" s="3"/>
      <c r="R378" s="3"/>
      <c r="S378" s="3"/>
      <c r="T378" s="3"/>
      <c r="U378" s="3"/>
      <c r="V378" s="3"/>
      <c r="W378" s="3"/>
      <c r="X378" s="3"/>
      <c r="Y378" s="3"/>
      <c r="Z378" s="3"/>
    </row>
    <row r="379">
      <c r="A379" s="3"/>
      <c r="B379" s="3"/>
      <c r="C379" s="3"/>
      <c r="D379" s="3"/>
      <c r="E379" s="3"/>
      <c r="F379" s="636" t="b">
        <v>0</v>
      </c>
      <c r="G379" s="636" t="b">
        <v>0</v>
      </c>
      <c r="H379" s="636" t="b">
        <v>0</v>
      </c>
      <c r="I379" s="636" t="b">
        <v>0</v>
      </c>
      <c r="J379" s="3"/>
      <c r="K379" s="3"/>
      <c r="M379" s="3"/>
      <c r="N379" s="3"/>
      <c r="O379" s="3"/>
      <c r="P379" s="3"/>
      <c r="Q379" s="3"/>
      <c r="R379" s="3"/>
      <c r="S379" s="3"/>
      <c r="T379" s="3"/>
      <c r="U379" s="3"/>
      <c r="V379" s="3"/>
      <c r="W379" s="3"/>
      <c r="X379" s="3"/>
      <c r="Y379" s="3"/>
      <c r="Z379" s="3"/>
    </row>
    <row r="380">
      <c r="A380" s="3"/>
      <c r="B380" s="3"/>
      <c r="C380" s="3"/>
      <c r="D380" s="3"/>
      <c r="E380" s="3"/>
      <c r="F380" s="636" t="b">
        <v>0</v>
      </c>
      <c r="G380" s="636" t="b">
        <v>0</v>
      </c>
      <c r="H380" s="636" t="b">
        <v>0</v>
      </c>
      <c r="I380" s="636" t="b">
        <v>0</v>
      </c>
      <c r="J380" s="3"/>
      <c r="K380" s="3"/>
      <c r="M380" s="3"/>
      <c r="N380" s="3"/>
      <c r="O380" s="3"/>
      <c r="P380" s="3"/>
      <c r="Q380" s="3"/>
      <c r="R380" s="3"/>
      <c r="S380" s="3"/>
      <c r="T380" s="3"/>
      <c r="U380" s="3"/>
      <c r="V380" s="3"/>
      <c r="W380" s="3"/>
      <c r="X380" s="3"/>
      <c r="Y380" s="3"/>
      <c r="Z380" s="3"/>
    </row>
    <row r="381">
      <c r="A381" s="3"/>
      <c r="B381" s="3"/>
      <c r="C381" s="3"/>
      <c r="D381" s="3"/>
      <c r="E381" s="3"/>
      <c r="F381" s="636" t="b">
        <v>0</v>
      </c>
      <c r="G381" s="636" t="b">
        <v>0</v>
      </c>
      <c r="H381" s="636" t="b">
        <v>0</v>
      </c>
      <c r="I381" s="636" t="b">
        <v>0</v>
      </c>
      <c r="J381" s="3"/>
      <c r="K381" s="3"/>
      <c r="M381" s="3"/>
      <c r="N381" s="3"/>
      <c r="O381" s="3"/>
      <c r="P381" s="3"/>
      <c r="Q381" s="3"/>
      <c r="R381" s="3"/>
      <c r="S381" s="3"/>
      <c r="T381" s="3"/>
      <c r="U381" s="3"/>
      <c r="V381" s="3"/>
      <c r="W381" s="3"/>
      <c r="X381" s="3"/>
      <c r="Y381" s="3"/>
      <c r="Z381" s="3"/>
    </row>
    <row r="382">
      <c r="A382" s="3"/>
      <c r="B382" s="3"/>
      <c r="C382" s="3"/>
      <c r="D382" s="3"/>
      <c r="E382" s="3"/>
      <c r="F382" s="636" t="b">
        <v>0</v>
      </c>
      <c r="G382" s="636" t="b">
        <v>0</v>
      </c>
      <c r="H382" s="636" t="b">
        <v>0</v>
      </c>
      <c r="I382" s="636" t="b">
        <v>0</v>
      </c>
      <c r="J382" s="3"/>
      <c r="K382" s="3"/>
      <c r="M382" s="3"/>
      <c r="N382" s="3"/>
      <c r="O382" s="3"/>
      <c r="P382" s="3"/>
      <c r="Q382" s="3"/>
      <c r="R382" s="3"/>
      <c r="S382" s="3"/>
      <c r="T382" s="3"/>
      <c r="U382" s="3"/>
      <c r="V382" s="3"/>
      <c r="W382" s="3"/>
      <c r="X382" s="3"/>
      <c r="Y382" s="3"/>
      <c r="Z382" s="3"/>
    </row>
    <row r="383">
      <c r="A383" s="3"/>
      <c r="B383" s="3"/>
      <c r="C383" s="3"/>
      <c r="D383" s="3"/>
      <c r="E383" s="3"/>
      <c r="F383" s="636" t="b">
        <v>0</v>
      </c>
      <c r="G383" s="636" t="b">
        <v>0</v>
      </c>
      <c r="H383" s="636" t="b">
        <v>0</v>
      </c>
      <c r="I383" s="636" t="b">
        <v>0</v>
      </c>
      <c r="J383" s="3"/>
      <c r="K383" s="3"/>
      <c r="M383" s="3"/>
      <c r="N383" s="3"/>
      <c r="O383" s="3"/>
      <c r="P383" s="3"/>
      <c r="Q383" s="3"/>
      <c r="R383" s="3"/>
      <c r="S383" s="3"/>
      <c r="T383" s="3"/>
      <c r="U383" s="3"/>
      <c r="V383" s="3"/>
      <c r="W383" s="3"/>
      <c r="X383" s="3"/>
      <c r="Y383" s="3"/>
      <c r="Z383" s="3"/>
    </row>
    <row r="384">
      <c r="A384" s="3"/>
      <c r="B384" s="3"/>
      <c r="C384" s="3"/>
      <c r="D384" s="3"/>
      <c r="E384" s="3"/>
      <c r="F384" s="636" t="b">
        <v>0</v>
      </c>
      <c r="G384" s="636" t="b">
        <v>0</v>
      </c>
      <c r="H384" s="636" t="b">
        <v>0</v>
      </c>
      <c r="I384" s="636" t="b">
        <v>0</v>
      </c>
      <c r="J384" s="3"/>
      <c r="K384" s="3"/>
      <c r="M384" s="3"/>
      <c r="N384" s="3"/>
      <c r="O384" s="3"/>
      <c r="P384" s="3"/>
      <c r="Q384" s="3"/>
      <c r="R384" s="3"/>
      <c r="S384" s="3"/>
      <c r="T384" s="3"/>
      <c r="U384" s="3"/>
      <c r="V384" s="3"/>
      <c r="W384" s="3"/>
      <c r="X384" s="3"/>
      <c r="Y384" s="3"/>
      <c r="Z384" s="3"/>
    </row>
    <row r="385">
      <c r="A385" s="3"/>
      <c r="B385" s="3"/>
      <c r="C385" s="3"/>
      <c r="D385" s="3"/>
      <c r="E385" s="3"/>
      <c r="F385" s="636" t="b">
        <v>0</v>
      </c>
      <c r="G385" s="636" t="b">
        <v>0</v>
      </c>
      <c r="H385" s="636" t="b">
        <v>0</v>
      </c>
      <c r="I385" s="636" t="b">
        <v>0</v>
      </c>
      <c r="J385" s="3"/>
      <c r="K385" s="3"/>
      <c r="M385" s="3"/>
      <c r="N385" s="3"/>
      <c r="O385" s="3"/>
      <c r="P385" s="3"/>
      <c r="Q385" s="3"/>
      <c r="R385" s="3"/>
      <c r="S385" s="3"/>
      <c r="T385" s="3"/>
      <c r="U385" s="3"/>
      <c r="V385" s="3"/>
      <c r="W385" s="3"/>
      <c r="X385" s="3"/>
      <c r="Y385" s="3"/>
      <c r="Z385" s="3"/>
    </row>
    <row r="386">
      <c r="A386" s="3"/>
      <c r="B386" s="3"/>
      <c r="C386" s="3"/>
      <c r="D386" s="3"/>
      <c r="E386" s="3"/>
      <c r="F386" s="636" t="b">
        <v>0</v>
      </c>
      <c r="G386" s="636" t="b">
        <v>0</v>
      </c>
      <c r="H386" s="636" t="b">
        <v>0</v>
      </c>
      <c r="I386" s="636" t="b">
        <v>0</v>
      </c>
      <c r="J386" s="3"/>
      <c r="K386" s="3"/>
      <c r="M386" s="3"/>
      <c r="N386" s="3"/>
      <c r="O386" s="3"/>
      <c r="P386" s="3"/>
      <c r="Q386" s="3"/>
      <c r="R386" s="3"/>
      <c r="S386" s="3"/>
      <c r="T386" s="3"/>
      <c r="U386" s="3"/>
      <c r="V386" s="3"/>
      <c r="W386" s="3"/>
      <c r="X386" s="3"/>
      <c r="Y386" s="3"/>
      <c r="Z386" s="3"/>
    </row>
    <row r="387">
      <c r="A387" s="3"/>
      <c r="B387" s="3"/>
      <c r="C387" s="3"/>
      <c r="D387" s="3"/>
      <c r="E387" s="3"/>
      <c r="F387" s="636" t="b">
        <v>0</v>
      </c>
      <c r="G387" s="636" t="b">
        <v>0</v>
      </c>
      <c r="H387" s="636" t="b">
        <v>0</v>
      </c>
      <c r="I387" s="636" t="b">
        <v>0</v>
      </c>
      <c r="J387" s="3"/>
      <c r="K387" s="3"/>
      <c r="M387" s="3"/>
      <c r="N387" s="3"/>
      <c r="O387" s="3"/>
      <c r="P387" s="3"/>
      <c r="Q387" s="3"/>
      <c r="R387" s="3"/>
      <c r="S387" s="3"/>
      <c r="T387" s="3"/>
      <c r="U387" s="3"/>
      <c r="V387" s="3"/>
      <c r="W387" s="3"/>
      <c r="X387" s="3"/>
      <c r="Y387" s="3"/>
      <c r="Z387" s="3"/>
    </row>
    <row r="388">
      <c r="A388" s="3"/>
      <c r="B388" s="3"/>
      <c r="C388" s="3"/>
      <c r="D388" s="3"/>
      <c r="E388" s="3"/>
      <c r="F388" s="636" t="b">
        <v>0</v>
      </c>
      <c r="G388" s="636" t="b">
        <v>0</v>
      </c>
      <c r="H388" s="636" t="b">
        <v>0</v>
      </c>
      <c r="I388" s="636" t="b">
        <v>0</v>
      </c>
      <c r="J388" s="3"/>
      <c r="K388" s="3"/>
      <c r="M388" s="3"/>
      <c r="N388" s="3"/>
      <c r="O388" s="3"/>
      <c r="P388" s="3"/>
      <c r="Q388" s="3"/>
      <c r="R388" s="3"/>
      <c r="S388" s="3"/>
      <c r="T388" s="3"/>
      <c r="U388" s="3"/>
      <c r="V388" s="3"/>
      <c r="W388" s="3"/>
      <c r="X388" s="3"/>
      <c r="Y388" s="3"/>
      <c r="Z388" s="3"/>
    </row>
    <row r="389">
      <c r="A389" s="3"/>
      <c r="B389" s="3"/>
      <c r="C389" s="3"/>
      <c r="D389" s="3"/>
      <c r="E389" s="3"/>
      <c r="F389" s="636" t="b">
        <v>0</v>
      </c>
      <c r="G389" s="636" t="b">
        <v>0</v>
      </c>
      <c r="H389" s="636" t="b">
        <v>0</v>
      </c>
      <c r="I389" s="636" t="b">
        <v>0</v>
      </c>
      <c r="J389" s="3"/>
      <c r="K389" s="3"/>
      <c r="M389" s="3"/>
      <c r="N389" s="3"/>
      <c r="O389" s="3"/>
      <c r="P389" s="3"/>
      <c r="Q389" s="3"/>
      <c r="R389" s="3"/>
      <c r="S389" s="3"/>
      <c r="T389" s="3"/>
      <c r="U389" s="3"/>
      <c r="V389" s="3"/>
      <c r="W389" s="3"/>
      <c r="X389" s="3"/>
      <c r="Y389" s="3"/>
      <c r="Z389" s="3"/>
    </row>
    <row r="390">
      <c r="A390" s="3"/>
      <c r="B390" s="3"/>
      <c r="C390" s="3"/>
      <c r="D390" s="3"/>
      <c r="E390" s="3"/>
      <c r="F390" s="636" t="b">
        <v>0</v>
      </c>
      <c r="G390" s="636" t="b">
        <v>0</v>
      </c>
      <c r="H390" s="636" t="b">
        <v>0</v>
      </c>
      <c r="I390" s="636" t="b">
        <v>0</v>
      </c>
      <c r="J390" s="3"/>
      <c r="K390" s="3"/>
      <c r="M390" s="3"/>
      <c r="N390" s="3"/>
      <c r="O390" s="3"/>
      <c r="P390" s="3"/>
      <c r="Q390" s="3"/>
      <c r="R390" s="3"/>
      <c r="S390" s="3"/>
      <c r="T390" s="3"/>
      <c r="U390" s="3"/>
      <c r="V390" s="3"/>
      <c r="W390" s="3"/>
      <c r="X390" s="3"/>
      <c r="Y390" s="3"/>
      <c r="Z390" s="3"/>
    </row>
    <row r="391">
      <c r="A391" s="3"/>
      <c r="B391" s="3"/>
      <c r="C391" s="3"/>
      <c r="D391" s="3"/>
      <c r="E391" s="3"/>
      <c r="F391" s="636" t="b">
        <v>0</v>
      </c>
      <c r="G391" s="636" t="b">
        <v>0</v>
      </c>
      <c r="H391" s="636" t="b">
        <v>0</v>
      </c>
      <c r="I391" s="636" t="b">
        <v>0</v>
      </c>
      <c r="J391" s="3"/>
      <c r="K391" s="3"/>
      <c r="M391" s="3"/>
      <c r="N391" s="3"/>
      <c r="O391" s="3"/>
      <c r="P391" s="3"/>
      <c r="Q391" s="3"/>
      <c r="R391" s="3"/>
      <c r="S391" s="3"/>
      <c r="T391" s="3"/>
      <c r="U391" s="3"/>
      <c r="V391" s="3"/>
      <c r="W391" s="3"/>
      <c r="X391" s="3"/>
      <c r="Y391" s="3"/>
      <c r="Z391" s="3"/>
    </row>
    <row r="392">
      <c r="A392" s="3"/>
      <c r="B392" s="3"/>
      <c r="C392" s="3"/>
      <c r="D392" s="3"/>
      <c r="E392" s="3"/>
      <c r="F392" s="636" t="b">
        <v>0</v>
      </c>
      <c r="G392" s="636" t="b">
        <v>0</v>
      </c>
      <c r="H392" s="636" t="b">
        <v>0</v>
      </c>
      <c r="I392" s="636" t="b">
        <v>0</v>
      </c>
      <c r="J392" s="3"/>
      <c r="K392" s="3"/>
      <c r="M392" s="3"/>
      <c r="N392" s="3"/>
      <c r="O392" s="3"/>
      <c r="P392" s="3"/>
      <c r="Q392" s="3"/>
      <c r="R392" s="3"/>
      <c r="S392" s="3"/>
      <c r="T392" s="3"/>
      <c r="U392" s="3"/>
      <c r="V392" s="3"/>
      <c r="W392" s="3"/>
      <c r="X392" s="3"/>
      <c r="Y392" s="3"/>
      <c r="Z392" s="3"/>
    </row>
    <row r="393">
      <c r="A393" s="3"/>
      <c r="B393" s="3"/>
      <c r="C393" s="3"/>
      <c r="D393" s="3"/>
      <c r="E393" s="3"/>
      <c r="F393" s="636" t="b">
        <v>0</v>
      </c>
      <c r="G393" s="636" t="b">
        <v>0</v>
      </c>
      <c r="H393" s="636" t="b">
        <v>0</v>
      </c>
      <c r="I393" s="636" t="b">
        <v>0</v>
      </c>
      <c r="J393" s="3"/>
      <c r="K393" s="3"/>
      <c r="M393" s="3"/>
      <c r="N393" s="3"/>
      <c r="O393" s="3"/>
      <c r="P393" s="3"/>
      <c r="Q393" s="3"/>
      <c r="R393" s="3"/>
      <c r="S393" s="3"/>
      <c r="T393" s="3"/>
      <c r="U393" s="3"/>
      <c r="V393" s="3"/>
      <c r="W393" s="3"/>
      <c r="X393" s="3"/>
      <c r="Y393" s="3"/>
      <c r="Z393" s="3"/>
    </row>
    <row r="394">
      <c r="A394" s="3"/>
      <c r="B394" s="3"/>
      <c r="C394" s="3"/>
      <c r="D394" s="3"/>
      <c r="E394" s="3"/>
      <c r="F394" s="636" t="b">
        <v>0</v>
      </c>
      <c r="G394" s="636" t="b">
        <v>0</v>
      </c>
      <c r="H394" s="636" t="b">
        <v>0</v>
      </c>
      <c r="I394" s="636" t="b">
        <v>0</v>
      </c>
      <c r="J394" s="3"/>
      <c r="K394" s="3"/>
      <c r="M394" s="3"/>
      <c r="N394" s="3"/>
      <c r="O394" s="3"/>
      <c r="P394" s="3"/>
      <c r="Q394" s="3"/>
      <c r="R394" s="3"/>
      <c r="S394" s="3"/>
      <c r="T394" s="3"/>
      <c r="U394" s="3"/>
      <c r="V394" s="3"/>
      <c r="W394" s="3"/>
      <c r="X394" s="3"/>
      <c r="Y394" s="3"/>
      <c r="Z394" s="3"/>
    </row>
    <row r="395">
      <c r="A395" s="3"/>
      <c r="B395" s="3"/>
      <c r="C395" s="3"/>
      <c r="D395" s="3"/>
      <c r="E395" s="3"/>
      <c r="F395" s="636" t="b">
        <v>0</v>
      </c>
      <c r="G395" s="636" t="b">
        <v>0</v>
      </c>
      <c r="H395" s="636" t="b">
        <v>0</v>
      </c>
      <c r="I395" s="636" t="b">
        <v>0</v>
      </c>
      <c r="J395" s="3"/>
      <c r="K395" s="3"/>
      <c r="M395" s="3"/>
      <c r="N395" s="3"/>
      <c r="O395" s="3"/>
      <c r="P395" s="3"/>
      <c r="Q395" s="3"/>
      <c r="R395" s="3"/>
      <c r="S395" s="3"/>
      <c r="T395" s="3"/>
      <c r="U395" s="3"/>
      <c r="V395" s="3"/>
      <c r="W395" s="3"/>
      <c r="X395" s="3"/>
      <c r="Y395" s="3"/>
      <c r="Z395" s="3"/>
    </row>
    <row r="396">
      <c r="A396" s="3"/>
      <c r="B396" s="3"/>
      <c r="C396" s="3"/>
      <c r="D396" s="3"/>
      <c r="E396" s="3"/>
      <c r="F396" s="636" t="b">
        <v>0</v>
      </c>
      <c r="G396" s="636" t="b">
        <v>0</v>
      </c>
      <c r="H396" s="636" t="b">
        <v>0</v>
      </c>
      <c r="I396" s="636" t="b">
        <v>0</v>
      </c>
      <c r="J396" s="3"/>
      <c r="K396" s="3"/>
      <c r="M396" s="3"/>
      <c r="N396" s="3"/>
      <c r="O396" s="3"/>
      <c r="P396" s="3"/>
      <c r="Q396" s="3"/>
      <c r="R396" s="3"/>
      <c r="S396" s="3"/>
      <c r="T396" s="3"/>
      <c r="U396" s="3"/>
      <c r="V396" s="3"/>
      <c r="W396" s="3"/>
      <c r="X396" s="3"/>
      <c r="Y396" s="3"/>
      <c r="Z396" s="3"/>
    </row>
    <row r="397">
      <c r="A397" s="3"/>
      <c r="B397" s="3"/>
      <c r="C397" s="3"/>
      <c r="D397" s="3"/>
      <c r="E397" s="3"/>
      <c r="F397" s="636" t="b">
        <v>0</v>
      </c>
      <c r="G397" s="636" t="b">
        <v>0</v>
      </c>
      <c r="H397" s="636" t="b">
        <v>0</v>
      </c>
      <c r="I397" s="636" t="b">
        <v>0</v>
      </c>
      <c r="J397" s="3"/>
      <c r="K397" s="3"/>
      <c r="M397" s="3"/>
      <c r="N397" s="3"/>
      <c r="O397" s="3"/>
      <c r="P397" s="3"/>
      <c r="Q397" s="3"/>
      <c r="R397" s="3"/>
      <c r="S397" s="3"/>
      <c r="T397" s="3"/>
      <c r="U397" s="3"/>
      <c r="V397" s="3"/>
      <c r="W397" s="3"/>
      <c r="X397" s="3"/>
      <c r="Y397" s="3"/>
      <c r="Z397" s="3"/>
    </row>
    <row r="398">
      <c r="A398" s="3"/>
      <c r="B398" s="3"/>
      <c r="C398" s="3"/>
      <c r="D398" s="3"/>
      <c r="E398" s="3"/>
      <c r="F398" s="636" t="b">
        <v>0</v>
      </c>
      <c r="G398" s="636" t="b">
        <v>0</v>
      </c>
      <c r="H398" s="636" t="b">
        <v>0</v>
      </c>
      <c r="I398" s="636" t="b">
        <v>0</v>
      </c>
      <c r="J398" s="3"/>
      <c r="K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M992" s="3"/>
      <c r="N992" s="3"/>
      <c r="O992" s="3"/>
      <c r="P992" s="3"/>
      <c r="Q992" s="3"/>
      <c r="R992" s="3"/>
      <c r="S992" s="3"/>
      <c r="T992" s="3"/>
      <c r="U992" s="3"/>
      <c r="V992" s="3"/>
      <c r="W992" s="3"/>
      <c r="X992" s="3"/>
      <c r="Y992" s="3"/>
      <c r="Z992" s="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2"/>
  <cols>
    <col customWidth="1" min="5" max="9" width="13.88"/>
    <col customWidth="1" min="10" max="10" width="16.75"/>
    <col customWidth="1" min="11" max="11" width="17.38"/>
    <col customWidth="1" min="12" max="12" width="30.5"/>
    <col customWidth="1" min="14" max="14" width="14.0"/>
    <col customWidth="1" min="15" max="15" width="13.5"/>
    <col customWidth="1" min="20" max="20" width="78.5"/>
    <col customWidth="1" min="21" max="21" width="20.0"/>
    <col customWidth="1" min="22" max="22" width="19.0"/>
    <col customWidth="1" min="23" max="23" width="18.75"/>
  </cols>
  <sheetData>
    <row r="1">
      <c r="A1" s="18" t="s">
        <v>0</v>
      </c>
      <c r="B1" s="18" t="s">
        <v>3370</v>
      </c>
      <c r="C1" s="18" t="s">
        <v>3371</v>
      </c>
      <c r="D1" s="261" t="s">
        <v>3372</v>
      </c>
      <c r="E1" s="261" t="s">
        <v>3375</v>
      </c>
      <c r="F1" s="261" t="s">
        <v>3377</v>
      </c>
      <c r="G1" s="18" t="s">
        <v>3378</v>
      </c>
      <c r="H1" s="18" t="s">
        <v>3381</v>
      </c>
      <c r="I1" s="18" t="s">
        <v>3382</v>
      </c>
      <c r="J1" s="18" t="s">
        <v>3383</v>
      </c>
      <c r="K1" s="18" t="s">
        <v>3385</v>
      </c>
      <c r="L1" s="18" t="s">
        <v>3386</v>
      </c>
      <c r="N1" s="607" t="s">
        <v>3388</v>
      </c>
      <c r="O1" s="607" t="s">
        <v>3393</v>
      </c>
      <c r="P1" s="607" t="s">
        <v>3394</v>
      </c>
      <c r="Q1" s="607" t="s">
        <v>3397</v>
      </c>
    </row>
    <row r="2">
      <c r="A2" s="318" t="str">
        <f>'Sample Drop Off'!A3</f>
        <v>DBS-0131</v>
      </c>
      <c r="B2" s="318"/>
      <c r="C2" s="135">
        <v>9.4</v>
      </c>
      <c r="D2" s="135"/>
      <c r="E2" s="318" t="b">
        <v>0</v>
      </c>
      <c r="F2" s="318" t="b">
        <v>0</v>
      </c>
      <c r="G2" s="318" t="b">
        <v>0</v>
      </c>
      <c r="H2" s="318" t="b">
        <v>0</v>
      </c>
      <c r="N2" s="223">
        <f>COUNTIF(D2:D1000,TRUE())</f>
        <v>73</v>
      </c>
      <c r="O2" s="223">
        <f t="shared" ref="O2:Q2" si="1">COUNTIF(F2:F1000,TRUE())</f>
        <v>115</v>
      </c>
      <c r="P2" s="223">
        <f t="shared" si="1"/>
        <v>7</v>
      </c>
      <c r="Q2" s="223">
        <f t="shared" si="1"/>
        <v>31</v>
      </c>
    </row>
    <row r="3">
      <c r="A3" s="223" t="str">
        <f>'Sample Drop Off'!A4</f>
        <v>DBS-0183</v>
      </c>
      <c r="B3" s="16">
        <v>1.54</v>
      </c>
      <c r="C3" s="16">
        <v>10.5</v>
      </c>
      <c r="D3" s="16" t="b">
        <v>1</v>
      </c>
      <c r="E3" s="223" t="b">
        <v>0</v>
      </c>
      <c r="F3" s="223" t="b">
        <v>0</v>
      </c>
      <c r="G3" s="223" t="b">
        <v>0</v>
      </c>
      <c r="H3" s="16" t="b">
        <v>1</v>
      </c>
      <c r="I3" s="609">
        <v>45719.0</v>
      </c>
      <c r="J3" s="412">
        <v>45833.0</v>
      </c>
    </row>
    <row r="4">
      <c r="A4" s="223" t="str">
        <f>'Sample Drop Off'!A5</f>
        <v>DBS-0007</v>
      </c>
      <c r="B4" s="16">
        <v>4.43</v>
      </c>
      <c r="C4" s="16">
        <v>6.7</v>
      </c>
      <c r="D4" s="16" t="b">
        <v>1</v>
      </c>
      <c r="E4" s="223" t="b">
        <v>0</v>
      </c>
      <c r="F4" s="223" t="b">
        <v>0</v>
      </c>
      <c r="G4" s="16" t="b">
        <v>1</v>
      </c>
      <c r="H4" s="223" t="b">
        <v>0</v>
      </c>
      <c r="I4" s="609">
        <v>45719.0</v>
      </c>
      <c r="J4" s="412">
        <v>45833.0</v>
      </c>
      <c r="T4" s="203" t="s">
        <v>3442</v>
      </c>
    </row>
    <row r="5">
      <c r="A5" s="223" t="str">
        <f>'Sample Drop Off'!A6</f>
        <v>DBS-0053</v>
      </c>
      <c r="B5" s="16">
        <v>1.59</v>
      </c>
      <c r="C5" s="16">
        <v>8.3</v>
      </c>
      <c r="D5" s="16" t="b">
        <v>1</v>
      </c>
      <c r="E5" s="223" t="b">
        <v>0</v>
      </c>
      <c r="F5" s="223" t="b">
        <v>0</v>
      </c>
      <c r="G5" s="223" t="b">
        <v>0</v>
      </c>
      <c r="H5" s="16" t="b">
        <v>1</v>
      </c>
      <c r="I5" s="609">
        <v>45720.0</v>
      </c>
      <c r="J5" s="412">
        <v>45833.0</v>
      </c>
      <c r="T5" s="610" t="s">
        <v>3448</v>
      </c>
    </row>
    <row r="6">
      <c r="A6" s="223" t="str">
        <f>'Sample Drop Off'!A7</f>
        <v>DBS-0044</v>
      </c>
      <c r="B6" s="16">
        <v>1.77</v>
      </c>
      <c r="C6" s="16">
        <v>8.1</v>
      </c>
      <c r="D6" s="16" t="b">
        <v>1</v>
      </c>
      <c r="E6" s="223" t="b">
        <v>0</v>
      </c>
      <c r="F6" s="223" t="b">
        <v>0</v>
      </c>
      <c r="G6" s="223" t="b">
        <v>0</v>
      </c>
      <c r="H6" s="16" t="b">
        <v>1</v>
      </c>
      <c r="I6" s="609">
        <v>45691.0</v>
      </c>
      <c r="J6" s="412">
        <v>45833.0</v>
      </c>
      <c r="T6" s="611" t="s">
        <v>3455</v>
      </c>
    </row>
    <row r="7">
      <c r="A7" s="318" t="str">
        <f>'Sample Drop Off'!A8</f>
        <v>DBS-0212</v>
      </c>
      <c r="B7" s="318"/>
      <c r="C7" s="135">
        <v>8.1</v>
      </c>
      <c r="D7" s="135" t="b">
        <v>0</v>
      </c>
      <c r="E7" s="318" t="b">
        <v>0</v>
      </c>
      <c r="F7" s="135" t="b">
        <v>0</v>
      </c>
      <c r="G7" s="318" t="b">
        <v>0</v>
      </c>
      <c r="H7" s="318" t="b">
        <v>0</v>
      </c>
      <c r="T7" s="610" t="s">
        <v>3465</v>
      </c>
    </row>
    <row r="8">
      <c r="A8" s="223" t="str">
        <f>'Sample Drop Off'!A9</f>
        <v>DBS-0063</v>
      </c>
      <c r="B8" s="16">
        <v>3.84</v>
      </c>
      <c r="C8" s="16">
        <v>6.7</v>
      </c>
      <c r="D8" s="16" t="b">
        <v>1</v>
      </c>
      <c r="E8" s="223" t="b">
        <v>0</v>
      </c>
      <c r="F8" s="223" t="b">
        <v>0</v>
      </c>
      <c r="G8" s="16" t="b">
        <v>1</v>
      </c>
      <c r="H8" s="16" t="b">
        <v>0</v>
      </c>
      <c r="I8" s="609">
        <v>45719.0</v>
      </c>
      <c r="J8" s="412">
        <v>45833.0</v>
      </c>
      <c r="T8" s="611" t="s">
        <v>3476</v>
      </c>
    </row>
    <row r="9">
      <c r="A9" s="318" t="str">
        <f>'Sample Drop Off'!A10</f>
        <v>DBS-0128</v>
      </c>
      <c r="B9" s="318"/>
      <c r="C9" s="135">
        <v>11.4</v>
      </c>
      <c r="D9" s="135" t="b">
        <v>0</v>
      </c>
      <c r="E9" s="318" t="b">
        <v>0</v>
      </c>
      <c r="F9" s="318" t="b">
        <v>0</v>
      </c>
      <c r="G9" s="318" t="b">
        <v>0</v>
      </c>
      <c r="H9" s="318" t="b">
        <v>0</v>
      </c>
      <c r="T9" s="132"/>
      <c r="U9" s="132"/>
      <c r="V9" s="132"/>
      <c r="W9" s="132"/>
    </row>
    <row r="10">
      <c r="A10" s="223" t="str">
        <f>'Sample Drop Off'!A11</f>
        <v>DBS-0169</v>
      </c>
      <c r="B10" s="16">
        <v>1.19</v>
      </c>
      <c r="C10" s="16">
        <v>6.1</v>
      </c>
      <c r="D10" s="16" t="b">
        <v>0</v>
      </c>
      <c r="E10" s="16" t="b">
        <v>1</v>
      </c>
      <c r="F10" s="223" t="b">
        <v>0</v>
      </c>
      <c r="G10" s="223" t="b">
        <v>0</v>
      </c>
      <c r="H10" s="16" t="b">
        <v>1</v>
      </c>
      <c r="I10" s="609">
        <v>45691.0</v>
      </c>
      <c r="J10" s="412">
        <v>45833.0</v>
      </c>
      <c r="T10" s="615" t="s">
        <v>3485</v>
      </c>
    </row>
    <row r="11">
      <c r="A11" s="223" t="str">
        <f>'Sample Drop Off'!A12</f>
        <v>DBS-0073</v>
      </c>
      <c r="B11" s="16">
        <v>0.88</v>
      </c>
      <c r="C11" s="16">
        <v>6.2</v>
      </c>
      <c r="D11" s="16" t="b">
        <v>0</v>
      </c>
      <c r="E11" s="16" t="b">
        <v>1</v>
      </c>
      <c r="F11" s="223" t="b">
        <v>0</v>
      </c>
      <c r="G11" s="223" t="b">
        <v>0</v>
      </c>
      <c r="H11" s="16" t="b">
        <v>1</v>
      </c>
      <c r="I11" s="609">
        <v>45719.0</v>
      </c>
      <c r="J11" s="412">
        <v>45833.0</v>
      </c>
      <c r="T11" s="616" t="s">
        <v>3496</v>
      </c>
    </row>
    <row r="12">
      <c r="A12" s="223" t="str">
        <f>'Sample Drop Off'!A13</f>
        <v>DBS-0221</v>
      </c>
      <c r="B12" s="16">
        <v>2.75</v>
      </c>
      <c r="C12" s="16">
        <v>5.8</v>
      </c>
      <c r="D12" s="16" t="b">
        <v>0</v>
      </c>
      <c r="E12" s="16" t="b">
        <v>0</v>
      </c>
      <c r="F12" s="16" t="b">
        <v>1</v>
      </c>
      <c r="G12" s="16" t="b">
        <v>1</v>
      </c>
      <c r="H12" s="223" t="b">
        <v>0</v>
      </c>
      <c r="I12" s="609">
        <v>45691.0</v>
      </c>
      <c r="J12" s="412">
        <v>45833.0</v>
      </c>
      <c r="T12" s="616" t="s">
        <v>3502</v>
      </c>
    </row>
    <row r="13">
      <c r="A13" s="223" t="str">
        <f>'Sample Drop Off'!A14</f>
        <v>DBS-0219</v>
      </c>
      <c r="B13" s="16">
        <v>1.72</v>
      </c>
      <c r="C13" s="16">
        <v>9.6</v>
      </c>
      <c r="D13" s="16" t="b">
        <v>1</v>
      </c>
      <c r="E13" s="223" t="b">
        <v>0</v>
      </c>
      <c r="F13" s="223" t="b">
        <v>0</v>
      </c>
      <c r="G13" s="223" t="b">
        <v>0</v>
      </c>
      <c r="H13" s="16" t="b">
        <v>1</v>
      </c>
      <c r="I13" s="609">
        <v>45719.0</v>
      </c>
      <c r="J13" s="412">
        <v>45833.0</v>
      </c>
      <c r="T13" s="619" t="s">
        <v>3507</v>
      </c>
    </row>
    <row r="14">
      <c r="A14" s="223" t="str">
        <f>'Sample Drop Off'!A15</f>
        <v>DBS-0154</v>
      </c>
      <c r="B14" s="16">
        <v>1.1</v>
      </c>
      <c r="C14" s="16">
        <v>6.8</v>
      </c>
      <c r="D14" s="16" t="b">
        <v>1</v>
      </c>
      <c r="E14" s="223" t="b">
        <v>0</v>
      </c>
      <c r="F14" s="223" t="b">
        <v>0</v>
      </c>
      <c r="G14" s="223" t="b">
        <v>0</v>
      </c>
      <c r="H14" s="16" t="b">
        <v>1</v>
      </c>
      <c r="I14" s="609">
        <v>45719.0</v>
      </c>
      <c r="J14" s="412">
        <v>45833.0</v>
      </c>
    </row>
    <row r="15">
      <c r="A15" s="318" t="str">
        <f>'Sample Drop Off'!A16</f>
        <v>DBS-0061</v>
      </c>
      <c r="B15" s="318"/>
      <c r="C15" s="135">
        <v>8.8</v>
      </c>
      <c r="D15" s="135" t="b">
        <v>1</v>
      </c>
      <c r="E15" s="318" t="b">
        <v>0</v>
      </c>
      <c r="F15" s="318" t="b">
        <v>0</v>
      </c>
      <c r="G15" s="318" t="b">
        <v>0</v>
      </c>
      <c r="H15" s="318" t="b">
        <v>0</v>
      </c>
    </row>
    <row r="16">
      <c r="A16" s="223" t="str">
        <f>'Sample Drop Off'!A17</f>
        <v>DBS-0180</v>
      </c>
      <c r="B16" s="16">
        <v>3.2</v>
      </c>
      <c r="C16" s="16">
        <v>6.3</v>
      </c>
      <c r="D16" s="16" t="b">
        <v>0</v>
      </c>
      <c r="E16" s="16" t="b">
        <v>1</v>
      </c>
      <c r="F16" s="223" t="b">
        <v>0</v>
      </c>
      <c r="G16" s="16" t="b">
        <v>1</v>
      </c>
      <c r="H16" s="223" t="b">
        <v>0</v>
      </c>
      <c r="I16" s="609">
        <v>45719.0</v>
      </c>
      <c r="J16" s="412">
        <v>45833.0</v>
      </c>
      <c r="T16" s="18"/>
    </row>
    <row r="17">
      <c r="A17" s="223" t="str">
        <f>'Sample Drop Off'!A18</f>
        <v>DBS-0299</v>
      </c>
      <c r="B17" s="16">
        <v>1.97</v>
      </c>
      <c r="C17" s="16">
        <v>8.6</v>
      </c>
      <c r="D17" s="16" t="b">
        <v>1</v>
      </c>
      <c r="E17" s="223" t="b">
        <v>0</v>
      </c>
      <c r="F17" s="223" t="b">
        <v>0</v>
      </c>
      <c r="G17" s="223" t="b">
        <v>0</v>
      </c>
      <c r="H17" s="16" t="b">
        <v>1</v>
      </c>
      <c r="I17" s="609">
        <v>45719.0</v>
      </c>
      <c r="J17" s="412">
        <v>45833.0</v>
      </c>
      <c r="T17" s="132"/>
    </row>
    <row r="18">
      <c r="A18" s="223" t="str">
        <f>'Sample Drop Off'!A19</f>
        <v>DBS-0268</v>
      </c>
      <c r="B18" s="16">
        <v>1.54</v>
      </c>
      <c r="C18" s="16">
        <v>12.4</v>
      </c>
      <c r="D18" s="16" t="b">
        <v>1</v>
      </c>
      <c r="E18" s="223" t="b">
        <v>0</v>
      </c>
      <c r="F18" s="223" t="b">
        <v>0</v>
      </c>
      <c r="G18" s="223" t="b">
        <v>0</v>
      </c>
      <c r="H18" s="16" t="b">
        <v>1</v>
      </c>
      <c r="I18" s="609">
        <v>45751.0</v>
      </c>
      <c r="J18" s="412">
        <v>45833.0</v>
      </c>
      <c r="T18" s="132"/>
    </row>
    <row r="19">
      <c r="A19" s="223" t="str">
        <f>'Sample Drop Off'!A20</f>
        <v>DBS-0008</v>
      </c>
      <c r="B19" s="16">
        <v>2.05</v>
      </c>
      <c r="C19" s="16">
        <v>7.2</v>
      </c>
      <c r="D19" s="16" t="b">
        <v>1</v>
      </c>
      <c r="E19" s="223" t="b">
        <v>0</v>
      </c>
      <c r="F19" s="223" t="b">
        <v>0</v>
      </c>
      <c r="G19" s="223" t="b">
        <v>0</v>
      </c>
      <c r="H19" s="16" t="b">
        <v>1</v>
      </c>
      <c r="I19" s="609">
        <v>45719.0</v>
      </c>
      <c r="J19" s="412">
        <v>45833.0</v>
      </c>
    </row>
    <row r="20">
      <c r="A20" s="223" t="str">
        <f>'Sample Drop Off'!A21</f>
        <v>DBS-0054</v>
      </c>
      <c r="B20" s="16">
        <v>1.67</v>
      </c>
      <c r="C20" s="16">
        <v>6.4</v>
      </c>
      <c r="D20" s="223" t="b">
        <v>0</v>
      </c>
      <c r="E20" s="16" t="b">
        <v>1</v>
      </c>
      <c r="F20" s="223" t="b">
        <v>0</v>
      </c>
      <c r="G20" s="223" t="b">
        <v>0</v>
      </c>
      <c r="H20" s="16" t="b">
        <v>1</v>
      </c>
      <c r="I20" s="609">
        <v>45719.0</v>
      </c>
      <c r="J20" s="412">
        <v>45833.0</v>
      </c>
    </row>
    <row r="21">
      <c r="A21" s="223" t="str">
        <f>'Sample Drop Off'!A22</f>
        <v>DBS-0322</v>
      </c>
      <c r="B21" s="16">
        <v>2.85</v>
      </c>
      <c r="C21" s="16">
        <v>6.4</v>
      </c>
      <c r="D21" s="223" t="b">
        <v>0</v>
      </c>
      <c r="E21" s="16" t="b">
        <v>1</v>
      </c>
      <c r="F21" s="223" t="b">
        <v>0</v>
      </c>
      <c r="G21" s="16" t="b">
        <v>1</v>
      </c>
      <c r="H21" s="223" t="b">
        <v>0</v>
      </c>
      <c r="I21" s="609">
        <v>45720.0</v>
      </c>
      <c r="J21" s="412">
        <v>45833.0</v>
      </c>
      <c r="T21" s="620"/>
    </row>
    <row r="22">
      <c r="A22" s="318" t="str">
        <f>'Sample Drop Off'!A23</f>
        <v>DBS-0294</v>
      </c>
      <c r="B22" s="318"/>
      <c r="C22" s="135">
        <v>6.3</v>
      </c>
      <c r="D22" s="318" t="b">
        <v>0</v>
      </c>
      <c r="E22" s="135" t="b">
        <v>1</v>
      </c>
      <c r="F22" s="318" t="b">
        <v>0</v>
      </c>
      <c r="G22" s="318" t="b">
        <v>0</v>
      </c>
      <c r="H22" s="318" t="b">
        <v>0</v>
      </c>
      <c r="T22" s="621"/>
    </row>
    <row r="23">
      <c r="A23" s="223" t="str">
        <f>'Sample Drop Off'!A24</f>
        <v>DBS-0108</v>
      </c>
      <c r="B23" s="16">
        <v>1.75</v>
      </c>
      <c r="C23" s="16">
        <v>5.7</v>
      </c>
      <c r="D23" s="223" t="b">
        <v>0</v>
      </c>
      <c r="E23" s="223" t="b">
        <v>0</v>
      </c>
      <c r="F23" s="16" t="b">
        <v>1</v>
      </c>
      <c r="G23" s="223" t="b">
        <v>0</v>
      </c>
      <c r="H23" s="16" t="b">
        <v>1</v>
      </c>
      <c r="I23" s="609">
        <v>45719.0</v>
      </c>
      <c r="J23" s="412">
        <v>45833.0</v>
      </c>
    </row>
    <row r="24">
      <c r="A24" s="318" t="str">
        <f>'Sample Drop Off'!A25</f>
        <v>DBS-0010</v>
      </c>
      <c r="B24" s="318"/>
      <c r="C24" s="135">
        <v>12.7</v>
      </c>
      <c r="D24" s="135" t="b">
        <v>0</v>
      </c>
      <c r="E24" s="318" t="b">
        <v>0</v>
      </c>
      <c r="F24" s="318" t="b">
        <v>0</v>
      </c>
      <c r="G24" s="318" t="b">
        <v>0</v>
      </c>
      <c r="H24" s="318" t="b">
        <v>0</v>
      </c>
    </row>
    <row r="25">
      <c r="A25" s="223" t="str">
        <f>'Sample Drop Off'!A26</f>
        <v>DBS-0013</v>
      </c>
      <c r="B25" s="16">
        <v>2.55</v>
      </c>
      <c r="C25" s="16">
        <v>9.2</v>
      </c>
      <c r="D25" s="16" t="b">
        <v>1</v>
      </c>
      <c r="E25" s="223" t="b">
        <v>0</v>
      </c>
      <c r="F25" s="223" t="b">
        <v>0</v>
      </c>
      <c r="G25" s="16" t="b">
        <v>1</v>
      </c>
      <c r="H25" s="223" t="b">
        <v>0</v>
      </c>
      <c r="I25" s="609">
        <v>45719.0</v>
      </c>
      <c r="J25" s="412">
        <v>45833.0</v>
      </c>
    </row>
    <row r="26">
      <c r="A26" s="223" t="str">
        <f>'Sample Drop Off'!A27</f>
        <v>DBS-0382</v>
      </c>
      <c r="B26" s="16">
        <v>2.39</v>
      </c>
      <c r="C26" s="16">
        <v>5.6</v>
      </c>
      <c r="D26" s="223" t="b">
        <v>0</v>
      </c>
      <c r="E26" s="223" t="b">
        <v>0</v>
      </c>
      <c r="F26" s="16" t="b">
        <v>1</v>
      </c>
      <c r="G26" s="223" t="b">
        <v>0</v>
      </c>
      <c r="H26" s="16" t="b">
        <v>1</v>
      </c>
      <c r="I26" s="609">
        <v>45719.0</v>
      </c>
      <c r="J26" s="412">
        <v>45833.0</v>
      </c>
    </row>
    <row r="27">
      <c r="A27" s="223" t="str">
        <f>'Sample Drop Off'!A28</f>
        <v>DBS-0028</v>
      </c>
      <c r="B27" s="16">
        <v>2.44</v>
      </c>
      <c r="C27" s="16">
        <v>9.1</v>
      </c>
      <c r="D27" s="16" t="b">
        <v>1</v>
      </c>
      <c r="E27" s="223" t="b">
        <v>0</v>
      </c>
      <c r="F27" s="223" t="b">
        <v>0</v>
      </c>
      <c r="G27" s="223" t="b">
        <v>0</v>
      </c>
      <c r="H27" s="16" t="b">
        <v>1</v>
      </c>
      <c r="I27" s="609">
        <v>45719.0</v>
      </c>
      <c r="J27" s="412">
        <v>45833.0</v>
      </c>
    </row>
    <row r="28">
      <c r="A28" s="223" t="str">
        <f>'Sample Drop Off'!A29</f>
        <v>DBS-0139</v>
      </c>
      <c r="B28" s="16">
        <v>1.27</v>
      </c>
      <c r="C28" s="16">
        <v>5.5</v>
      </c>
      <c r="D28" s="223" t="b">
        <v>0</v>
      </c>
      <c r="E28" s="223" t="b">
        <v>0</v>
      </c>
      <c r="F28" s="16" t="b">
        <v>1</v>
      </c>
      <c r="G28" s="16" t="b">
        <v>0</v>
      </c>
      <c r="H28" s="16" t="b">
        <v>1</v>
      </c>
      <c r="I28" s="609">
        <v>45719.0</v>
      </c>
      <c r="J28" s="412">
        <v>45833.0</v>
      </c>
    </row>
    <row r="29">
      <c r="A29" s="223" t="str">
        <f>'Sample Drop Off'!A30</f>
        <v>DBS-0404</v>
      </c>
      <c r="B29" s="16">
        <v>1.54</v>
      </c>
      <c r="C29" s="16">
        <v>5.5</v>
      </c>
      <c r="D29" s="223" t="b">
        <v>0</v>
      </c>
      <c r="E29" s="223" t="b">
        <v>0</v>
      </c>
      <c r="F29" s="16" t="b">
        <v>1</v>
      </c>
      <c r="G29" s="223" t="b">
        <v>0</v>
      </c>
      <c r="H29" s="16" t="b">
        <v>1</v>
      </c>
      <c r="I29" s="609">
        <v>45719.0</v>
      </c>
      <c r="J29" s="412">
        <v>45833.0</v>
      </c>
    </row>
    <row r="30">
      <c r="A30" s="223" t="str">
        <f>'Sample Drop Off'!A31</f>
        <v>DBS-0360</v>
      </c>
      <c r="C30" s="16">
        <v>5.5</v>
      </c>
      <c r="D30" s="223" t="b">
        <v>0</v>
      </c>
      <c r="E30" s="223" t="b">
        <v>0</v>
      </c>
      <c r="F30" s="16" t="b">
        <v>1</v>
      </c>
      <c r="G30" s="223" t="b">
        <v>0</v>
      </c>
      <c r="H30" s="223" t="b">
        <v>0</v>
      </c>
      <c r="I30" s="609">
        <v>45719.0</v>
      </c>
      <c r="J30" s="412">
        <v>45833.0</v>
      </c>
    </row>
    <row r="31">
      <c r="A31" s="223" t="str">
        <f>'Sample Drop Off'!A32</f>
        <v>DBS-0235</v>
      </c>
      <c r="B31" s="16">
        <v>0.6</v>
      </c>
      <c r="C31" s="16">
        <v>6.4</v>
      </c>
      <c r="D31" s="16" t="b">
        <v>0</v>
      </c>
      <c r="E31" s="16" t="b">
        <v>1</v>
      </c>
      <c r="F31" s="223" t="b">
        <v>0</v>
      </c>
      <c r="G31" s="223" t="b">
        <v>0</v>
      </c>
      <c r="H31" s="16" t="b">
        <v>1</v>
      </c>
      <c r="I31" s="609">
        <v>45719.0</v>
      </c>
      <c r="J31" s="412">
        <v>45833.0</v>
      </c>
    </row>
    <row r="32">
      <c r="A32" s="223" t="str">
        <f>'Sample Drop Off'!A33</f>
        <v>DBS-0379</v>
      </c>
      <c r="B32" s="16">
        <v>1.87</v>
      </c>
      <c r="C32" s="16">
        <v>5.9</v>
      </c>
      <c r="D32" s="223" t="b">
        <v>0</v>
      </c>
      <c r="E32" s="223" t="b">
        <v>0</v>
      </c>
      <c r="F32" s="16" t="b">
        <v>1</v>
      </c>
      <c r="G32" s="223" t="b">
        <v>0</v>
      </c>
      <c r="H32" s="16" t="b">
        <v>1</v>
      </c>
      <c r="I32" s="609">
        <v>45719.0</v>
      </c>
      <c r="J32" s="412">
        <v>45833.0</v>
      </c>
    </row>
    <row r="33">
      <c r="A33" s="223" t="str">
        <f>'Sample Drop Off'!A34</f>
        <v>DBS-0414</v>
      </c>
      <c r="B33" s="16">
        <v>1.37</v>
      </c>
      <c r="C33" s="16">
        <v>5.8</v>
      </c>
      <c r="D33" s="223" t="b">
        <v>0</v>
      </c>
      <c r="E33" s="223" t="b">
        <v>0</v>
      </c>
      <c r="F33" s="16" t="b">
        <v>1</v>
      </c>
      <c r="G33" s="223" t="b">
        <v>0</v>
      </c>
      <c r="H33" s="16" t="b">
        <v>1</v>
      </c>
      <c r="I33" s="609">
        <v>45719.0</v>
      </c>
      <c r="J33" s="412">
        <v>45833.0</v>
      </c>
    </row>
    <row r="34">
      <c r="A34" s="223" t="str">
        <f>'Sample Drop Off'!A35</f>
        <v>DBS-0419</v>
      </c>
      <c r="B34" s="16">
        <v>2.03</v>
      </c>
      <c r="C34" s="16">
        <v>5.7</v>
      </c>
      <c r="D34" s="223" t="b">
        <v>0</v>
      </c>
      <c r="E34" s="223" t="b">
        <v>0</v>
      </c>
      <c r="F34" s="16" t="b">
        <v>1</v>
      </c>
      <c r="G34" s="223" t="b">
        <v>0</v>
      </c>
      <c r="H34" s="16" t="b">
        <v>1</v>
      </c>
      <c r="I34" s="609">
        <v>45719.0</v>
      </c>
      <c r="J34" s="412">
        <v>45833.0</v>
      </c>
    </row>
    <row r="35">
      <c r="A35" s="318" t="str">
        <f>'Sample Drop Off'!A36</f>
        <v>DBS-0345</v>
      </c>
      <c r="B35" s="318"/>
      <c r="C35" s="318"/>
      <c r="D35" s="135" t="b">
        <v>0</v>
      </c>
      <c r="E35" s="318" t="b">
        <v>0</v>
      </c>
      <c r="F35" s="318" t="b">
        <v>0</v>
      </c>
      <c r="G35" s="318" t="b">
        <v>0</v>
      </c>
      <c r="H35" s="318" t="b">
        <v>0</v>
      </c>
    </row>
    <row r="36">
      <c r="A36" s="16" t="s">
        <v>51</v>
      </c>
      <c r="B36" s="16">
        <v>1.57</v>
      </c>
      <c r="C36" s="16">
        <v>10.0</v>
      </c>
      <c r="D36" s="16" t="b">
        <v>1</v>
      </c>
      <c r="E36" s="223" t="b">
        <v>0</v>
      </c>
      <c r="F36" s="223" t="b">
        <v>0</v>
      </c>
      <c r="G36" s="223" t="b">
        <v>0</v>
      </c>
      <c r="H36" s="16" t="b">
        <v>1</v>
      </c>
      <c r="I36" s="609">
        <v>45719.0</v>
      </c>
      <c r="J36" s="412">
        <v>45833.0</v>
      </c>
    </row>
    <row r="37">
      <c r="A37" s="16" t="s">
        <v>70</v>
      </c>
      <c r="C37" s="16">
        <v>8.5</v>
      </c>
      <c r="D37" s="16" t="b">
        <v>1</v>
      </c>
      <c r="E37" s="223" t="b">
        <v>0</v>
      </c>
      <c r="F37" s="223" t="b">
        <v>0</v>
      </c>
      <c r="G37" s="223" t="b">
        <v>0</v>
      </c>
      <c r="H37" s="223" t="b">
        <v>0</v>
      </c>
      <c r="I37" s="609">
        <v>45720.0</v>
      </c>
      <c r="J37" s="412">
        <v>45833.0</v>
      </c>
    </row>
    <row r="38">
      <c r="A38" s="16" t="s">
        <v>78</v>
      </c>
      <c r="B38" s="16">
        <v>1.92</v>
      </c>
      <c r="C38" s="16">
        <v>6.4</v>
      </c>
      <c r="D38" s="223" t="b">
        <v>0</v>
      </c>
      <c r="E38" s="16" t="b">
        <v>1</v>
      </c>
      <c r="F38" s="223" t="b">
        <v>0</v>
      </c>
      <c r="G38" s="223" t="b">
        <v>0</v>
      </c>
      <c r="H38" s="16" t="b">
        <v>1</v>
      </c>
      <c r="I38" s="609">
        <v>45719.0</v>
      </c>
      <c r="J38" s="412">
        <v>45833.0</v>
      </c>
    </row>
    <row r="39">
      <c r="A39" s="16" t="s">
        <v>93</v>
      </c>
      <c r="B39" s="16">
        <v>1.73</v>
      </c>
      <c r="C39" s="16">
        <v>5.8</v>
      </c>
      <c r="D39" s="223" t="b">
        <v>0</v>
      </c>
      <c r="E39" s="16" t="b">
        <v>0</v>
      </c>
      <c r="F39" s="16" t="b">
        <v>1</v>
      </c>
      <c r="G39" s="223" t="b">
        <v>0</v>
      </c>
      <c r="H39" s="16" t="b">
        <v>1</v>
      </c>
      <c r="I39" s="609">
        <v>45720.0</v>
      </c>
      <c r="J39" s="412">
        <v>45833.0</v>
      </c>
    </row>
    <row r="40">
      <c r="A40" s="16" t="s">
        <v>85</v>
      </c>
      <c r="B40" s="16">
        <v>1.62</v>
      </c>
      <c r="C40" s="16">
        <v>6.4</v>
      </c>
      <c r="D40" s="223" t="b">
        <v>0</v>
      </c>
      <c r="E40" s="16" t="b">
        <v>1</v>
      </c>
      <c r="F40" s="223" t="b">
        <v>0</v>
      </c>
      <c r="G40" s="223" t="b">
        <v>0</v>
      </c>
      <c r="H40" s="16" t="b">
        <v>1</v>
      </c>
      <c r="I40" s="609">
        <v>45719.0</v>
      </c>
      <c r="J40" s="412">
        <v>45833.0</v>
      </c>
    </row>
    <row r="41">
      <c r="A41" s="16" t="s">
        <v>32</v>
      </c>
      <c r="B41" s="16">
        <v>0.79</v>
      </c>
      <c r="C41" s="16">
        <v>12.3</v>
      </c>
      <c r="D41" s="16" t="b">
        <v>1</v>
      </c>
      <c r="E41" s="16" t="b">
        <v>0</v>
      </c>
      <c r="F41" s="223" t="b">
        <v>0</v>
      </c>
      <c r="G41" s="223" t="b">
        <v>0</v>
      </c>
      <c r="H41" s="16" t="b">
        <v>1</v>
      </c>
      <c r="I41" s="609">
        <v>45719.0</v>
      </c>
      <c r="J41" s="412">
        <v>45833.0</v>
      </c>
    </row>
    <row r="42">
      <c r="A42" s="16" t="s">
        <v>73</v>
      </c>
      <c r="B42" s="16">
        <v>1.13</v>
      </c>
      <c r="C42" s="16">
        <v>6.4</v>
      </c>
      <c r="D42" s="16" t="b">
        <v>0</v>
      </c>
      <c r="E42" s="16" t="b">
        <v>1</v>
      </c>
      <c r="F42" s="223" t="b">
        <v>0</v>
      </c>
      <c r="G42" s="223" t="b">
        <v>0</v>
      </c>
      <c r="H42" s="16" t="b">
        <v>1</v>
      </c>
      <c r="I42" s="609">
        <v>45720.0</v>
      </c>
      <c r="J42" s="412">
        <v>45833.0</v>
      </c>
    </row>
    <row r="43">
      <c r="A43" s="16" t="s">
        <v>74</v>
      </c>
      <c r="B43" s="16">
        <v>1.59</v>
      </c>
      <c r="C43" s="16">
        <v>6.1</v>
      </c>
      <c r="D43" s="223" t="b">
        <v>0</v>
      </c>
      <c r="E43" s="16" t="b">
        <v>1</v>
      </c>
      <c r="F43" s="223" t="b">
        <v>0</v>
      </c>
      <c r="G43" s="223" t="b">
        <v>0</v>
      </c>
      <c r="H43" s="16" t="b">
        <v>1</v>
      </c>
      <c r="I43" s="609">
        <v>45720.0</v>
      </c>
      <c r="J43" s="412">
        <v>45833.0</v>
      </c>
    </row>
    <row r="44">
      <c r="A44" s="16" t="s">
        <v>120</v>
      </c>
      <c r="B44" s="16">
        <v>1.33</v>
      </c>
      <c r="C44" s="16">
        <v>5.7</v>
      </c>
      <c r="D44" s="223" t="b">
        <v>0</v>
      </c>
      <c r="E44" s="16" t="b">
        <v>0</v>
      </c>
      <c r="F44" s="16" t="b">
        <v>1</v>
      </c>
      <c r="G44" s="223" t="b">
        <v>0</v>
      </c>
      <c r="H44" s="16" t="b">
        <v>1</v>
      </c>
      <c r="I44" s="609">
        <v>45719.0</v>
      </c>
      <c r="J44" s="412">
        <v>45833.0</v>
      </c>
    </row>
    <row r="45">
      <c r="A45" s="16" t="s">
        <v>1526</v>
      </c>
      <c r="B45" s="16">
        <v>1.99</v>
      </c>
      <c r="C45" s="16">
        <v>6.6</v>
      </c>
      <c r="D45" s="16" t="b">
        <v>1</v>
      </c>
      <c r="E45" s="16" t="b">
        <v>0</v>
      </c>
      <c r="F45" s="223" t="b">
        <v>0</v>
      </c>
      <c r="G45" s="223" t="b">
        <v>0</v>
      </c>
      <c r="H45" s="16" t="b">
        <v>1</v>
      </c>
      <c r="J45" s="412">
        <v>45833.0</v>
      </c>
      <c r="R45" s="16"/>
    </row>
    <row r="46">
      <c r="A46" s="16" t="s">
        <v>126</v>
      </c>
      <c r="B46" s="16">
        <v>2.31</v>
      </c>
      <c r="C46" s="16">
        <v>14.2</v>
      </c>
      <c r="D46" s="16" t="b">
        <v>1</v>
      </c>
      <c r="E46" s="16" t="b">
        <v>0</v>
      </c>
      <c r="F46" s="223" t="b">
        <v>0</v>
      </c>
      <c r="G46" s="223" t="b">
        <v>0</v>
      </c>
      <c r="H46" s="16" t="b">
        <v>1</v>
      </c>
      <c r="I46" s="609">
        <v>45719.0</v>
      </c>
      <c r="J46" s="412">
        <v>45833.0</v>
      </c>
    </row>
    <row r="47">
      <c r="A47" s="16" t="s">
        <v>89</v>
      </c>
      <c r="B47" s="16">
        <v>4.56</v>
      </c>
      <c r="C47" s="16">
        <v>8.5</v>
      </c>
      <c r="D47" s="16" t="b">
        <v>1</v>
      </c>
      <c r="E47" s="223" t="b">
        <v>0</v>
      </c>
      <c r="F47" s="223" t="b">
        <v>0</v>
      </c>
      <c r="G47" s="16" t="b">
        <v>1</v>
      </c>
      <c r="H47" s="223" t="b">
        <v>0</v>
      </c>
      <c r="I47" s="609">
        <v>45719.0</v>
      </c>
      <c r="J47" s="412">
        <v>45833.0</v>
      </c>
    </row>
    <row r="48">
      <c r="A48" s="16" t="s">
        <v>90</v>
      </c>
      <c r="B48" s="16">
        <v>1.0</v>
      </c>
      <c r="C48" s="16">
        <v>6.7</v>
      </c>
      <c r="D48" s="16" t="b">
        <v>1</v>
      </c>
      <c r="E48" s="223" t="b">
        <v>0</v>
      </c>
      <c r="F48" s="223" t="b">
        <v>0</v>
      </c>
      <c r="G48" s="223" t="b">
        <v>0</v>
      </c>
      <c r="H48" s="16" t="b">
        <v>1</v>
      </c>
      <c r="I48" s="609">
        <v>45719.0</v>
      </c>
      <c r="J48" s="412">
        <v>45833.0</v>
      </c>
    </row>
    <row r="49">
      <c r="A49" s="16" t="s">
        <v>81</v>
      </c>
      <c r="C49" s="16">
        <v>5.9</v>
      </c>
      <c r="D49" s="223" t="b">
        <v>0</v>
      </c>
      <c r="E49" s="223" t="b">
        <v>0</v>
      </c>
      <c r="F49" s="16" t="b">
        <v>1</v>
      </c>
      <c r="G49" s="223" t="b">
        <v>0</v>
      </c>
      <c r="H49" s="223" t="b">
        <v>0</v>
      </c>
      <c r="I49" s="609">
        <v>45719.0</v>
      </c>
      <c r="J49" s="412">
        <v>45833.0</v>
      </c>
    </row>
    <row r="50">
      <c r="A50" s="16" t="s">
        <v>87</v>
      </c>
      <c r="C50" s="16">
        <v>12.7</v>
      </c>
      <c r="D50" s="16" t="b">
        <v>1</v>
      </c>
      <c r="E50" s="223" t="b">
        <v>0</v>
      </c>
      <c r="F50" s="223" t="b">
        <v>0</v>
      </c>
      <c r="G50" s="223" t="b">
        <v>0</v>
      </c>
      <c r="H50" s="223" t="b">
        <v>0</v>
      </c>
      <c r="I50" s="609">
        <v>45719.0</v>
      </c>
      <c r="J50" s="412">
        <v>45833.0</v>
      </c>
    </row>
    <row r="51">
      <c r="A51" s="135" t="s">
        <v>1634</v>
      </c>
      <c r="B51" s="318"/>
      <c r="C51" s="135">
        <v>4.9</v>
      </c>
      <c r="D51" s="135" t="b">
        <v>0</v>
      </c>
      <c r="E51" s="318" t="b">
        <v>0</v>
      </c>
      <c r="F51" s="135" t="b">
        <v>1</v>
      </c>
      <c r="G51" s="318" t="b">
        <v>0</v>
      </c>
      <c r="H51" s="318" t="b">
        <v>0</v>
      </c>
    </row>
    <row r="52">
      <c r="A52" s="16" t="s">
        <v>1645</v>
      </c>
      <c r="C52" s="16">
        <v>5.7</v>
      </c>
      <c r="D52" s="16" t="b">
        <v>0</v>
      </c>
      <c r="E52" s="223" t="b">
        <v>0</v>
      </c>
      <c r="F52" s="16" t="b">
        <v>1</v>
      </c>
      <c r="G52" s="223" t="b">
        <v>0</v>
      </c>
      <c r="H52" s="223" t="b">
        <v>0</v>
      </c>
    </row>
    <row r="53">
      <c r="A53" s="16" t="s">
        <v>193</v>
      </c>
      <c r="C53" s="16">
        <v>5.5</v>
      </c>
      <c r="D53" s="16" t="b">
        <v>0</v>
      </c>
      <c r="E53" s="223" t="b">
        <v>0</v>
      </c>
      <c r="F53" s="16" t="b">
        <v>1</v>
      </c>
      <c r="G53" s="223" t="b">
        <v>0</v>
      </c>
      <c r="H53" s="223" t="b">
        <v>0</v>
      </c>
      <c r="I53" s="609">
        <v>45720.0</v>
      </c>
      <c r="J53" s="412">
        <v>45833.0</v>
      </c>
    </row>
    <row r="54">
      <c r="A54" s="135" t="s">
        <v>1623</v>
      </c>
      <c r="B54" s="318"/>
      <c r="C54" s="135">
        <v>6.5</v>
      </c>
      <c r="D54" s="135" t="b">
        <v>1</v>
      </c>
      <c r="E54" s="318" t="b">
        <v>0</v>
      </c>
      <c r="F54" s="318" t="b">
        <v>0</v>
      </c>
      <c r="G54" s="318" t="b">
        <v>0</v>
      </c>
      <c r="H54" s="318" t="b">
        <v>0</v>
      </c>
    </row>
    <row r="55">
      <c r="A55" s="16" t="s">
        <v>86</v>
      </c>
      <c r="C55" s="16">
        <v>6.2</v>
      </c>
      <c r="D55" s="16" t="b">
        <v>0</v>
      </c>
      <c r="E55" s="16" t="b">
        <v>1</v>
      </c>
      <c r="F55" s="223" t="b">
        <v>0</v>
      </c>
      <c r="G55" s="223" t="b">
        <v>0</v>
      </c>
      <c r="H55" s="223" t="b">
        <v>0</v>
      </c>
      <c r="I55" s="609">
        <v>45719.0</v>
      </c>
      <c r="J55" s="412">
        <v>45833.0</v>
      </c>
    </row>
    <row r="56">
      <c r="A56" s="16" t="s">
        <v>1657</v>
      </c>
      <c r="C56" s="16">
        <v>12.2</v>
      </c>
      <c r="D56" s="16" t="b">
        <v>1</v>
      </c>
      <c r="E56" s="223" t="b">
        <v>0</v>
      </c>
      <c r="F56" s="223" t="b">
        <v>0</v>
      </c>
      <c r="G56" s="223" t="b">
        <v>0</v>
      </c>
      <c r="H56" s="223" t="b">
        <v>0</v>
      </c>
    </row>
    <row r="57">
      <c r="A57" s="16" t="s">
        <v>84</v>
      </c>
      <c r="C57" s="16">
        <v>6.9</v>
      </c>
      <c r="D57" s="16" t="b">
        <v>1</v>
      </c>
      <c r="E57" s="223" t="b">
        <v>0</v>
      </c>
      <c r="F57" s="223" t="b">
        <v>0</v>
      </c>
      <c r="G57" s="223" t="b">
        <v>0</v>
      </c>
      <c r="H57" s="223" t="b">
        <v>0</v>
      </c>
      <c r="I57" s="609">
        <v>45720.0</v>
      </c>
      <c r="J57" s="412">
        <v>45833.0</v>
      </c>
    </row>
    <row r="58">
      <c r="A58" s="16" t="s">
        <v>147</v>
      </c>
      <c r="C58" s="16">
        <v>5.9</v>
      </c>
      <c r="D58" s="16" t="b">
        <v>0</v>
      </c>
      <c r="E58" s="223" t="b">
        <v>0</v>
      </c>
      <c r="F58" s="16" t="b">
        <v>1</v>
      </c>
      <c r="G58" s="223" t="b">
        <v>0</v>
      </c>
      <c r="H58" s="223" t="b">
        <v>0</v>
      </c>
      <c r="I58" s="609">
        <v>45719.0</v>
      </c>
      <c r="J58" s="412">
        <v>45833.0</v>
      </c>
    </row>
    <row r="59">
      <c r="A59" s="16" t="s">
        <v>116</v>
      </c>
      <c r="C59" s="16">
        <v>5.8</v>
      </c>
      <c r="D59" s="16" t="b">
        <v>0</v>
      </c>
      <c r="E59" s="223" t="b">
        <v>0</v>
      </c>
      <c r="F59" s="16" t="b">
        <v>1</v>
      </c>
      <c r="G59" s="223" t="b">
        <v>0</v>
      </c>
      <c r="H59" s="223" t="b">
        <v>0</v>
      </c>
      <c r="I59" s="609">
        <v>45719.0</v>
      </c>
      <c r="J59" s="412">
        <v>45833.0</v>
      </c>
    </row>
    <row r="60">
      <c r="A60" s="16" t="s">
        <v>127</v>
      </c>
      <c r="C60" s="16">
        <v>5.8</v>
      </c>
      <c r="D60" s="16" t="b">
        <v>0</v>
      </c>
      <c r="E60" s="223" t="b">
        <v>0</v>
      </c>
      <c r="F60" s="16" t="b">
        <v>1</v>
      </c>
      <c r="G60" s="223" t="b">
        <v>0</v>
      </c>
      <c r="H60" s="223" t="b">
        <v>0</v>
      </c>
      <c r="I60" s="609">
        <v>45719.0</v>
      </c>
      <c r="J60" s="412">
        <v>45833.0</v>
      </c>
    </row>
    <row r="61">
      <c r="A61" s="47" t="s">
        <v>122</v>
      </c>
      <c r="C61" s="16">
        <v>10.8</v>
      </c>
      <c r="D61" s="16" t="b">
        <v>1</v>
      </c>
      <c r="E61" s="223" t="b">
        <v>0</v>
      </c>
      <c r="F61" s="16" t="b">
        <v>0</v>
      </c>
      <c r="G61" s="223" t="b">
        <v>0</v>
      </c>
      <c r="H61" s="223" t="b">
        <v>0</v>
      </c>
      <c r="I61" s="609">
        <v>45719.0</v>
      </c>
      <c r="J61" s="412">
        <v>45833.0</v>
      </c>
    </row>
    <row r="62">
      <c r="A62" s="47" t="s">
        <v>148</v>
      </c>
      <c r="C62" s="16">
        <v>5.8</v>
      </c>
      <c r="D62" s="16" t="b">
        <v>0</v>
      </c>
      <c r="E62" s="223" t="b">
        <v>0</v>
      </c>
      <c r="F62" s="16" t="b">
        <v>1</v>
      </c>
      <c r="G62" s="223" t="b">
        <v>0</v>
      </c>
      <c r="H62" s="223" t="b">
        <v>0</v>
      </c>
      <c r="I62" s="609">
        <v>45719.0</v>
      </c>
      <c r="J62" s="412">
        <v>45833.0</v>
      </c>
    </row>
    <row r="63">
      <c r="A63" s="16" t="s">
        <v>96</v>
      </c>
      <c r="C63" s="16">
        <v>5.6</v>
      </c>
      <c r="D63" s="16" t="b">
        <v>0</v>
      </c>
      <c r="E63" s="223" t="b">
        <v>0</v>
      </c>
      <c r="F63" s="16" t="b">
        <v>1</v>
      </c>
      <c r="G63" s="223" t="b">
        <v>0</v>
      </c>
      <c r="H63" s="223" t="b">
        <v>0</v>
      </c>
      <c r="I63" s="609">
        <v>45719.0</v>
      </c>
      <c r="J63" s="412">
        <v>45833.0</v>
      </c>
    </row>
    <row r="64">
      <c r="A64" s="16" t="s">
        <v>152</v>
      </c>
      <c r="C64" s="16">
        <v>6.5</v>
      </c>
      <c r="D64" s="16" t="b">
        <v>1</v>
      </c>
      <c r="E64" s="223" t="b">
        <v>0</v>
      </c>
      <c r="F64" s="16" t="b">
        <v>0</v>
      </c>
      <c r="G64" s="223" t="b">
        <v>0</v>
      </c>
      <c r="H64" s="223" t="b">
        <v>0</v>
      </c>
      <c r="I64" s="609">
        <v>45719.0</v>
      </c>
      <c r="J64" s="412">
        <v>45833.0</v>
      </c>
    </row>
    <row r="65">
      <c r="A65" s="16" t="s">
        <v>135</v>
      </c>
      <c r="C65" s="16">
        <v>5.4</v>
      </c>
      <c r="D65" s="16" t="b">
        <v>0</v>
      </c>
      <c r="E65" s="223" t="b">
        <v>0</v>
      </c>
      <c r="F65" s="16" t="b">
        <v>1</v>
      </c>
      <c r="G65" s="223" t="b">
        <v>0</v>
      </c>
      <c r="H65" s="223" t="b">
        <v>0</v>
      </c>
      <c r="I65" s="609">
        <v>45719.0</v>
      </c>
      <c r="J65" s="412">
        <v>45833.0</v>
      </c>
    </row>
    <row r="66">
      <c r="A66" s="16" t="s">
        <v>1685</v>
      </c>
      <c r="C66" s="16">
        <v>4.9</v>
      </c>
      <c r="D66" s="16" t="b">
        <v>0</v>
      </c>
      <c r="E66" s="223" t="b">
        <v>0</v>
      </c>
      <c r="F66" s="16" t="b">
        <v>1</v>
      </c>
      <c r="G66" s="223" t="b">
        <v>0</v>
      </c>
      <c r="H66" s="223" t="b">
        <v>0</v>
      </c>
    </row>
    <row r="67">
      <c r="A67" s="16" t="s">
        <v>125</v>
      </c>
      <c r="C67" s="16">
        <v>5.3</v>
      </c>
      <c r="D67" s="16" t="b">
        <v>0</v>
      </c>
      <c r="E67" s="223" t="b">
        <v>0</v>
      </c>
      <c r="F67" s="16" t="b">
        <v>1</v>
      </c>
      <c r="G67" s="223" t="b">
        <v>0</v>
      </c>
      <c r="H67" s="223" t="b">
        <v>0</v>
      </c>
      <c r="I67" s="609">
        <v>45719.0</v>
      </c>
      <c r="J67" s="412">
        <v>45833.0</v>
      </c>
    </row>
    <row r="68">
      <c r="A68" s="16" t="s">
        <v>114</v>
      </c>
      <c r="C68" s="622">
        <v>6.0</v>
      </c>
      <c r="D68" s="16" t="b">
        <v>0</v>
      </c>
      <c r="E68" s="16" t="b">
        <v>1</v>
      </c>
      <c r="F68" s="16" t="b">
        <v>0</v>
      </c>
      <c r="G68" s="223" t="b">
        <v>0</v>
      </c>
      <c r="H68" s="223" t="b">
        <v>0</v>
      </c>
      <c r="I68" s="609">
        <v>45719.0</v>
      </c>
      <c r="J68" s="412">
        <v>45833.0</v>
      </c>
    </row>
    <row r="69">
      <c r="A69" s="16" t="s">
        <v>1649</v>
      </c>
      <c r="C69" s="16">
        <v>5.3</v>
      </c>
      <c r="D69" s="16" t="b">
        <v>0</v>
      </c>
      <c r="E69" s="223" t="b">
        <v>0</v>
      </c>
      <c r="F69" s="16" t="b">
        <v>1</v>
      </c>
      <c r="G69" s="223" t="b">
        <v>0</v>
      </c>
      <c r="H69" s="223" t="b">
        <v>0</v>
      </c>
    </row>
    <row r="70">
      <c r="A70" s="16" t="s">
        <v>153</v>
      </c>
      <c r="C70" s="16">
        <v>6.1</v>
      </c>
      <c r="D70" s="16" t="b">
        <v>0</v>
      </c>
      <c r="E70" s="16" t="b">
        <v>1</v>
      </c>
      <c r="F70" s="16" t="b">
        <v>0</v>
      </c>
      <c r="G70" s="223" t="b">
        <v>0</v>
      </c>
      <c r="H70" s="223" t="b">
        <v>0</v>
      </c>
      <c r="I70" s="609">
        <v>45719.0</v>
      </c>
      <c r="J70" s="412">
        <v>45833.0</v>
      </c>
    </row>
    <row r="71">
      <c r="A71" s="16" t="s">
        <v>164</v>
      </c>
      <c r="C71" s="16">
        <v>5.7</v>
      </c>
      <c r="D71" s="16" t="b">
        <v>0</v>
      </c>
      <c r="E71" s="223" t="b">
        <v>0</v>
      </c>
      <c r="F71" s="16" t="b">
        <v>1</v>
      </c>
      <c r="G71" s="223" t="b">
        <v>0</v>
      </c>
      <c r="H71" s="223" t="b">
        <v>0</v>
      </c>
      <c r="I71" s="609">
        <v>45719.0</v>
      </c>
      <c r="J71" s="412">
        <v>45833.0</v>
      </c>
    </row>
    <row r="72">
      <c r="A72" s="16" t="s">
        <v>141</v>
      </c>
      <c r="C72" s="16">
        <v>6.1</v>
      </c>
      <c r="D72" s="16" t="b">
        <v>0</v>
      </c>
      <c r="E72" s="16" t="b">
        <v>1</v>
      </c>
      <c r="F72" s="16" t="b">
        <v>0</v>
      </c>
      <c r="G72" s="223" t="b">
        <v>0</v>
      </c>
      <c r="H72" s="223" t="b">
        <v>0</v>
      </c>
      <c r="I72" s="609">
        <v>45719.0</v>
      </c>
      <c r="J72" s="412">
        <v>45833.0</v>
      </c>
    </row>
    <row r="73">
      <c r="A73" s="16" t="s">
        <v>1673</v>
      </c>
      <c r="C73" s="16">
        <v>6.2</v>
      </c>
      <c r="D73" s="16" t="b">
        <v>0</v>
      </c>
      <c r="E73" s="16" t="b">
        <v>1</v>
      </c>
      <c r="F73" s="16" t="b">
        <v>0</v>
      </c>
      <c r="G73" s="223" t="b">
        <v>0</v>
      </c>
      <c r="H73" s="223" t="b">
        <v>0</v>
      </c>
    </row>
    <row r="74">
      <c r="A74" s="16" t="s">
        <v>162</v>
      </c>
      <c r="C74" s="16">
        <v>6.1</v>
      </c>
      <c r="D74" s="16" t="b">
        <v>0</v>
      </c>
      <c r="E74" s="16" t="b">
        <v>1</v>
      </c>
      <c r="F74" s="16" t="b">
        <v>0</v>
      </c>
      <c r="G74" s="223" t="b">
        <v>0</v>
      </c>
      <c r="H74" s="223" t="b">
        <v>0</v>
      </c>
      <c r="I74" s="609">
        <v>45720.0</v>
      </c>
      <c r="J74" s="412">
        <v>45833.0</v>
      </c>
    </row>
    <row r="75">
      <c r="A75" s="16" t="s">
        <v>117</v>
      </c>
      <c r="C75" s="16">
        <v>5.7</v>
      </c>
      <c r="D75" s="16" t="b">
        <v>0</v>
      </c>
      <c r="E75" s="223" t="b">
        <v>0</v>
      </c>
      <c r="F75" s="16" t="b">
        <v>1</v>
      </c>
      <c r="G75" s="223" t="b">
        <v>0</v>
      </c>
      <c r="H75" s="223" t="b">
        <v>0</v>
      </c>
      <c r="I75" s="609">
        <v>45719.0</v>
      </c>
      <c r="J75" s="412">
        <v>45833.0</v>
      </c>
    </row>
    <row r="76">
      <c r="A76" s="16" t="s">
        <v>133</v>
      </c>
      <c r="C76" s="16">
        <v>6.2</v>
      </c>
      <c r="D76" s="16" t="b">
        <v>0</v>
      </c>
      <c r="E76" s="16" t="b">
        <v>1</v>
      </c>
      <c r="F76" s="16" t="b">
        <v>0</v>
      </c>
      <c r="G76" s="223" t="b">
        <v>0</v>
      </c>
      <c r="H76" s="223" t="b">
        <v>0</v>
      </c>
      <c r="I76" s="609">
        <v>45720.0</v>
      </c>
      <c r="J76" s="412">
        <v>45833.0</v>
      </c>
    </row>
    <row r="77">
      <c r="A77" s="16" t="s">
        <v>145</v>
      </c>
      <c r="C77" s="16">
        <v>6.0</v>
      </c>
      <c r="D77" s="16" t="b">
        <v>0</v>
      </c>
      <c r="E77" s="16" t="b">
        <v>1</v>
      </c>
      <c r="F77" s="16" t="b">
        <v>0</v>
      </c>
      <c r="G77" s="223" t="b">
        <v>0</v>
      </c>
      <c r="H77" s="223" t="b">
        <v>0</v>
      </c>
      <c r="I77" s="609">
        <v>45691.0</v>
      </c>
      <c r="J77" s="412">
        <v>45833.0</v>
      </c>
    </row>
    <row r="78">
      <c r="A78" s="16" t="s">
        <v>154</v>
      </c>
      <c r="C78" s="16">
        <v>8.2</v>
      </c>
      <c r="D78" s="16" t="b">
        <v>1</v>
      </c>
      <c r="E78" s="16" t="b">
        <v>0</v>
      </c>
      <c r="F78" s="16" t="b">
        <v>0</v>
      </c>
      <c r="G78" s="223" t="b">
        <v>0</v>
      </c>
      <c r="H78" s="223" t="b">
        <v>0</v>
      </c>
      <c r="I78" s="609">
        <v>45719.0</v>
      </c>
      <c r="J78" s="412">
        <v>45833.0</v>
      </c>
    </row>
    <row r="79">
      <c r="A79" s="16" t="s">
        <v>1666</v>
      </c>
      <c r="C79" s="16">
        <v>4.9</v>
      </c>
      <c r="D79" s="16" t="b">
        <v>0</v>
      </c>
      <c r="E79" s="223" t="b">
        <v>0</v>
      </c>
      <c r="F79" s="16" t="b">
        <v>1</v>
      </c>
      <c r="G79" s="223" t="b">
        <v>0</v>
      </c>
      <c r="H79" s="223" t="b">
        <v>0</v>
      </c>
    </row>
    <row r="80">
      <c r="A80" s="16" t="s">
        <v>192</v>
      </c>
      <c r="C80" s="16">
        <v>5.7</v>
      </c>
      <c r="D80" s="16" t="b">
        <v>0</v>
      </c>
      <c r="E80" s="223" t="b">
        <v>0</v>
      </c>
      <c r="F80" s="16" t="b">
        <v>1</v>
      </c>
      <c r="G80" s="223" t="b">
        <v>0</v>
      </c>
      <c r="H80" s="223" t="b">
        <v>0</v>
      </c>
      <c r="I80" s="609">
        <v>45719.0</v>
      </c>
      <c r="J80" s="412">
        <v>45833.0</v>
      </c>
    </row>
    <row r="81">
      <c r="A81" s="16" t="s">
        <v>196</v>
      </c>
      <c r="C81" s="16">
        <v>5.8</v>
      </c>
      <c r="D81" s="16" t="b">
        <v>0</v>
      </c>
      <c r="E81" s="223" t="b">
        <v>0</v>
      </c>
      <c r="F81" s="16" t="b">
        <v>1</v>
      </c>
      <c r="G81" s="223" t="b">
        <v>0</v>
      </c>
      <c r="H81" s="223" t="b">
        <v>0</v>
      </c>
      <c r="I81" s="609">
        <v>45719.0</v>
      </c>
      <c r="J81" s="412">
        <v>45833.0</v>
      </c>
    </row>
    <row r="82">
      <c r="A82" s="16" t="s">
        <v>216</v>
      </c>
      <c r="C82" s="16">
        <v>5.6</v>
      </c>
      <c r="D82" s="16" t="b">
        <v>0</v>
      </c>
      <c r="E82" s="223" t="b">
        <v>0</v>
      </c>
      <c r="F82" s="16" t="b">
        <v>1</v>
      </c>
      <c r="G82" s="223" t="b">
        <v>0</v>
      </c>
      <c r="H82" s="223" t="b">
        <v>0</v>
      </c>
      <c r="I82" s="609">
        <v>45719.0</v>
      </c>
      <c r="J82" s="412">
        <v>45833.0</v>
      </c>
    </row>
    <row r="83">
      <c r="A83" s="16" t="s">
        <v>178</v>
      </c>
      <c r="C83" s="16">
        <v>9.6</v>
      </c>
      <c r="D83" s="16" t="b">
        <v>1</v>
      </c>
      <c r="E83" s="223" t="b">
        <v>0</v>
      </c>
      <c r="F83" s="16" t="b">
        <v>0</v>
      </c>
      <c r="G83" s="223" t="b">
        <v>0</v>
      </c>
      <c r="H83" s="223" t="b">
        <v>0</v>
      </c>
      <c r="I83" s="609">
        <v>45719.0</v>
      </c>
      <c r="J83" s="412">
        <v>45833.0</v>
      </c>
    </row>
    <row r="84">
      <c r="A84" s="16" t="s">
        <v>151</v>
      </c>
      <c r="C84" s="16">
        <v>5.5</v>
      </c>
      <c r="D84" s="16" t="b">
        <v>0</v>
      </c>
      <c r="E84" s="223" t="b">
        <v>0</v>
      </c>
      <c r="F84" s="16" t="b">
        <v>1</v>
      </c>
      <c r="G84" s="223" t="b">
        <v>0</v>
      </c>
      <c r="H84" s="223" t="b">
        <v>0</v>
      </c>
      <c r="I84" s="609">
        <v>45719.0</v>
      </c>
      <c r="J84" s="412">
        <v>45833.0</v>
      </c>
    </row>
    <row r="85">
      <c r="A85" s="16" t="s">
        <v>180</v>
      </c>
      <c r="C85" s="16">
        <v>9.0</v>
      </c>
      <c r="D85" s="16" t="b">
        <v>1</v>
      </c>
      <c r="E85" s="223" t="b">
        <v>0</v>
      </c>
      <c r="F85" s="16" t="b">
        <v>0</v>
      </c>
      <c r="G85" s="223" t="b">
        <v>0</v>
      </c>
      <c r="H85" s="223" t="b">
        <v>0</v>
      </c>
      <c r="I85" s="609">
        <v>45719.0</v>
      </c>
      <c r="J85" s="623" t="s">
        <v>3620</v>
      </c>
    </row>
    <row r="86">
      <c r="A86" s="16" t="s">
        <v>157</v>
      </c>
      <c r="C86" s="16">
        <v>5.5</v>
      </c>
      <c r="D86" s="16" t="b">
        <v>0</v>
      </c>
      <c r="E86" s="223" t="b">
        <v>0</v>
      </c>
      <c r="F86" s="16" t="b">
        <v>1</v>
      </c>
      <c r="G86" s="223" t="b">
        <v>0</v>
      </c>
      <c r="H86" s="223" t="b">
        <v>0</v>
      </c>
      <c r="I86" s="609">
        <v>45720.0</v>
      </c>
      <c r="J86" s="412">
        <v>45833.0</v>
      </c>
    </row>
    <row r="87">
      <c r="A87" s="16" t="s">
        <v>169</v>
      </c>
      <c r="C87" s="16">
        <v>5.5</v>
      </c>
      <c r="D87" s="16" t="b">
        <v>0</v>
      </c>
      <c r="E87" s="223" t="b">
        <v>0</v>
      </c>
      <c r="F87" s="16" t="b">
        <v>1</v>
      </c>
      <c r="G87" s="223" t="b">
        <v>0</v>
      </c>
      <c r="H87" s="223" t="b">
        <v>0</v>
      </c>
      <c r="I87" s="609">
        <v>45719.0</v>
      </c>
      <c r="J87" s="623" t="s">
        <v>3620</v>
      </c>
    </row>
    <row r="88">
      <c r="A88" s="16" t="s">
        <v>183</v>
      </c>
      <c r="C88" s="16">
        <v>5.4</v>
      </c>
      <c r="D88" s="16" t="b">
        <v>0</v>
      </c>
      <c r="E88" s="223" t="b">
        <v>0</v>
      </c>
      <c r="F88" s="16" t="b">
        <v>1</v>
      </c>
      <c r="G88" s="223" t="b">
        <v>0</v>
      </c>
      <c r="H88" s="223" t="b">
        <v>0</v>
      </c>
      <c r="I88" s="609">
        <v>45720.0</v>
      </c>
      <c r="J88" s="412">
        <v>45833.0</v>
      </c>
    </row>
    <row r="89">
      <c r="A89" s="16" t="s">
        <v>211</v>
      </c>
      <c r="C89" s="16">
        <v>5.4</v>
      </c>
      <c r="D89" s="16" t="b">
        <v>0</v>
      </c>
      <c r="E89" s="223" t="b">
        <v>0</v>
      </c>
      <c r="F89" s="16" t="b">
        <v>1</v>
      </c>
      <c r="G89" s="223" t="b">
        <v>0</v>
      </c>
      <c r="H89" s="223" t="b">
        <v>0</v>
      </c>
      <c r="I89" s="609">
        <v>45720.0</v>
      </c>
      <c r="J89" s="412">
        <v>45833.0</v>
      </c>
    </row>
    <row r="90">
      <c r="A90" s="16" t="s">
        <v>128</v>
      </c>
      <c r="C90" s="16">
        <v>5.9</v>
      </c>
      <c r="D90" s="16" t="b">
        <v>0</v>
      </c>
      <c r="E90" s="223" t="b">
        <v>0</v>
      </c>
      <c r="F90" s="16" t="b">
        <v>1</v>
      </c>
      <c r="G90" s="223" t="b">
        <v>0</v>
      </c>
      <c r="H90" s="223" t="b">
        <v>0</v>
      </c>
      <c r="I90" s="609">
        <v>45719.0</v>
      </c>
      <c r="J90" s="623" t="s">
        <v>3620</v>
      </c>
    </row>
    <row r="91">
      <c r="A91" s="16" t="s">
        <v>215</v>
      </c>
      <c r="C91" s="16">
        <v>5.9</v>
      </c>
      <c r="D91" s="16" t="b">
        <v>0</v>
      </c>
      <c r="E91" s="223" t="b">
        <v>0</v>
      </c>
      <c r="F91" s="16" t="b">
        <v>1</v>
      </c>
      <c r="G91" s="223" t="b">
        <v>0</v>
      </c>
      <c r="H91" s="223" t="b">
        <v>0</v>
      </c>
      <c r="I91" s="609">
        <v>45719.0</v>
      </c>
      <c r="J91" s="412">
        <v>45833.0</v>
      </c>
    </row>
    <row r="92">
      <c r="A92" s="16" t="s">
        <v>1719</v>
      </c>
      <c r="C92" s="16">
        <v>6.1</v>
      </c>
      <c r="D92" s="16" t="b">
        <v>0</v>
      </c>
      <c r="E92" s="16" t="b">
        <v>1</v>
      </c>
      <c r="F92" s="16" t="b">
        <v>0</v>
      </c>
      <c r="G92" s="223" t="b">
        <v>0</v>
      </c>
      <c r="H92" s="223" t="b">
        <v>0</v>
      </c>
    </row>
    <row r="93">
      <c r="A93" s="16" t="s">
        <v>176</v>
      </c>
      <c r="C93" s="16">
        <v>5.8</v>
      </c>
      <c r="D93" s="16" t="b">
        <v>0</v>
      </c>
      <c r="E93" s="223" t="b">
        <v>0</v>
      </c>
      <c r="F93" s="16" t="b">
        <v>1</v>
      </c>
      <c r="G93" s="223" t="b">
        <v>0</v>
      </c>
      <c r="H93" s="223" t="b">
        <v>0</v>
      </c>
      <c r="I93" s="609">
        <v>45720.0</v>
      </c>
      <c r="J93" s="623" t="s">
        <v>3620</v>
      </c>
    </row>
    <row r="94">
      <c r="A94" s="16" t="s">
        <v>138</v>
      </c>
      <c r="C94" s="16">
        <v>5.4</v>
      </c>
      <c r="D94" s="16" t="b">
        <v>0</v>
      </c>
      <c r="E94" s="223" t="b">
        <v>0</v>
      </c>
      <c r="F94" s="16" t="b">
        <v>1</v>
      </c>
      <c r="G94" s="223" t="b">
        <v>0</v>
      </c>
      <c r="H94" s="223" t="b">
        <v>0</v>
      </c>
      <c r="I94" s="609">
        <v>45719.0</v>
      </c>
      <c r="J94" s="623" t="s">
        <v>3620</v>
      </c>
    </row>
    <row r="95">
      <c r="A95" s="16" t="s">
        <v>1681</v>
      </c>
      <c r="C95" s="16">
        <v>5.0</v>
      </c>
      <c r="D95" s="16" t="b">
        <v>0</v>
      </c>
      <c r="E95" s="223" t="b">
        <v>0</v>
      </c>
      <c r="F95" s="16" t="b">
        <v>1</v>
      </c>
      <c r="G95" s="223" t="b">
        <v>0</v>
      </c>
      <c r="H95" s="223" t="b">
        <v>0</v>
      </c>
    </row>
    <row r="96">
      <c r="A96" s="16" t="s">
        <v>184</v>
      </c>
      <c r="C96" s="16">
        <v>6.2</v>
      </c>
      <c r="D96" s="16" t="b">
        <v>0</v>
      </c>
      <c r="E96" s="16" t="b">
        <v>1</v>
      </c>
      <c r="F96" s="16" t="b">
        <v>0</v>
      </c>
      <c r="G96" s="223" t="b">
        <v>0</v>
      </c>
      <c r="H96" s="223" t="b">
        <v>0</v>
      </c>
      <c r="I96" s="609">
        <v>45719.0</v>
      </c>
      <c r="J96" s="623" t="s">
        <v>3620</v>
      </c>
      <c r="K96" s="625"/>
      <c r="L96" s="626"/>
    </row>
    <row r="97">
      <c r="A97" s="16" t="s">
        <v>195</v>
      </c>
      <c r="C97" s="16">
        <v>6.5</v>
      </c>
      <c r="D97" s="16" t="b">
        <v>1</v>
      </c>
      <c r="E97" s="223" t="b">
        <v>0</v>
      </c>
      <c r="F97" s="16" t="b">
        <v>0</v>
      </c>
      <c r="G97" s="223" t="b">
        <v>0</v>
      </c>
      <c r="H97" s="223" t="b">
        <v>0</v>
      </c>
      <c r="I97" s="609">
        <v>45720.0</v>
      </c>
      <c r="J97" s="623" t="s">
        <v>3620</v>
      </c>
      <c r="K97" s="625"/>
      <c r="L97" s="626"/>
    </row>
    <row r="98">
      <c r="A98" s="16" t="s">
        <v>228</v>
      </c>
      <c r="C98" s="16">
        <v>5.9</v>
      </c>
      <c r="D98" s="16" t="b">
        <v>0</v>
      </c>
      <c r="E98" s="223" t="b">
        <v>0</v>
      </c>
      <c r="F98" s="16" t="b">
        <v>1</v>
      </c>
      <c r="G98" s="223" t="b">
        <v>0</v>
      </c>
      <c r="H98" s="223" t="b">
        <v>0</v>
      </c>
      <c r="I98" s="609">
        <v>45719.0</v>
      </c>
      <c r="J98" s="623" t="s">
        <v>3620</v>
      </c>
      <c r="K98" s="625"/>
      <c r="L98" s="626"/>
    </row>
    <row r="99">
      <c r="A99" s="16" t="s">
        <v>188</v>
      </c>
      <c r="C99" s="16">
        <v>5.9</v>
      </c>
      <c r="D99" s="16" t="b">
        <v>0</v>
      </c>
      <c r="E99" s="16" t="b">
        <v>0</v>
      </c>
      <c r="F99" s="16" t="b">
        <v>1</v>
      </c>
      <c r="G99" s="223" t="b">
        <v>0</v>
      </c>
      <c r="H99" s="223" t="b">
        <v>0</v>
      </c>
      <c r="I99" s="609">
        <v>45719.0</v>
      </c>
      <c r="J99" s="623" t="s">
        <v>3620</v>
      </c>
      <c r="K99" s="625"/>
      <c r="L99" s="626"/>
    </row>
    <row r="100">
      <c r="A100" s="16" t="s">
        <v>190</v>
      </c>
      <c r="C100" s="16">
        <v>6.4</v>
      </c>
      <c r="D100" s="16" t="b">
        <v>0</v>
      </c>
      <c r="E100" s="16" t="b">
        <v>1</v>
      </c>
      <c r="F100" s="16" t="b">
        <v>0</v>
      </c>
      <c r="G100" s="223" t="b">
        <v>0</v>
      </c>
      <c r="H100" s="223" t="b">
        <v>0</v>
      </c>
      <c r="I100" s="609">
        <v>45719.0</v>
      </c>
      <c r="J100" s="623" t="s">
        <v>3620</v>
      </c>
      <c r="K100" s="625"/>
      <c r="L100" s="626"/>
    </row>
    <row r="101">
      <c r="A101" s="16" t="s">
        <v>279</v>
      </c>
      <c r="C101" s="16">
        <v>5.9</v>
      </c>
      <c r="D101" s="16" t="b">
        <v>0</v>
      </c>
      <c r="E101" s="223" t="b">
        <v>0</v>
      </c>
      <c r="F101" s="16" t="b">
        <v>1</v>
      </c>
      <c r="G101" s="223" t="b">
        <v>0</v>
      </c>
      <c r="H101" s="223" t="b">
        <v>0</v>
      </c>
      <c r="I101" s="609">
        <v>45719.0</v>
      </c>
      <c r="J101" s="623" t="s">
        <v>3620</v>
      </c>
      <c r="K101" s="625"/>
      <c r="L101" s="626"/>
    </row>
    <row r="102">
      <c r="A102" s="16" t="s">
        <v>1761</v>
      </c>
      <c r="C102" s="16">
        <v>6.0</v>
      </c>
      <c r="D102" s="16" t="b">
        <v>0</v>
      </c>
      <c r="E102" s="16" t="b">
        <v>1</v>
      </c>
      <c r="F102" s="16" t="b">
        <v>0</v>
      </c>
      <c r="G102" s="223" t="b">
        <v>0</v>
      </c>
      <c r="H102" s="223" t="b">
        <v>0</v>
      </c>
      <c r="K102" s="625"/>
      <c r="L102" s="626"/>
    </row>
    <row r="103">
      <c r="A103" s="16" t="s">
        <v>1699</v>
      </c>
      <c r="C103" s="16">
        <v>5.7</v>
      </c>
      <c r="D103" s="16" t="b">
        <v>0</v>
      </c>
      <c r="E103" s="223" t="b">
        <v>0</v>
      </c>
      <c r="F103" s="16" t="b">
        <v>1</v>
      </c>
      <c r="G103" s="223" t="b">
        <v>0</v>
      </c>
      <c r="H103" s="223" t="b">
        <v>0</v>
      </c>
      <c r="K103" s="625"/>
      <c r="L103" s="626"/>
    </row>
    <row r="104">
      <c r="A104" s="627" t="s">
        <v>2204</v>
      </c>
      <c r="C104" s="16">
        <v>5.1</v>
      </c>
      <c r="D104" s="16" t="b">
        <v>0</v>
      </c>
      <c r="E104" s="223" t="b">
        <v>0</v>
      </c>
      <c r="F104" s="16" t="b">
        <v>1</v>
      </c>
      <c r="G104" s="223" t="b">
        <v>0</v>
      </c>
      <c r="H104" s="223" t="b">
        <v>0</v>
      </c>
      <c r="K104" s="625"/>
      <c r="L104" s="626"/>
    </row>
    <row r="105">
      <c r="A105" s="14" t="s">
        <v>229</v>
      </c>
      <c r="C105" s="16">
        <v>5.7</v>
      </c>
      <c r="D105" s="16" t="b">
        <v>0</v>
      </c>
      <c r="E105" s="223" t="b">
        <v>0</v>
      </c>
      <c r="F105" s="16" t="b">
        <v>1</v>
      </c>
      <c r="G105" s="223" t="b">
        <v>0</v>
      </c>
      <c r="H105" s="223" t="b">
        <v>0</v>
      </c>
      <c r="K105" s="625"/>
      <c r="L105" s="626"/>
    </row>
    <row r="106">
      <c r="A106" s="14" t="s">
        <v>227</v>
      </c>
      <c r="C106" s="16">
        <v>5.7</v>
      </c>
      <c r="D106" s="16" t="b">
        <v>0</v>
      </c>
      <c r="E106" s="223" t="b">
        <v>0</v>
      </c>
      <c r="F106" s="16" t="b">
        <v>1</v>
      </c>
      <c r="G106" s="223" t="b">
        <v>0</v>
      </c>
      <c r="H106" s="223" t="b">
        <v>0</v>
      </c>
      <c r="K106" s="625"/>
      <c r="L106" s="626"/>
    </row>
    <row r="107">
      <c r="A107" s="16" t="s">
        <v>168</v>
      </c>
      <c r="C107" s="16">
        <v>6.4</v>
      </c>
      <c r="D107" s="16" t="b">
        <v>0</v>
      </c>
      <c r="E107" s="16" t="b">
        <v>1</v>
      </c>
      <c r="F107" s="16" t="b">
        <v>0</v>
      </c>
      <c r="G107" s="223" t="b">
        <v>0</v>
      </c>
      <c r="H107" s="223" t="b">
        <v>0</v>
      </c>
      <c r="I107" s="609">
        <v>45719.0</v>
      </c>
      <c r="J107" s="623" t="s">
        <v>3620</v>
      </c>
      <c r="K107" s="625"/>
      <c r="L107" s="626"/>
    </row>
    <row r="108">
      <c r="A108" s="16" t="s">
        <v>314</v>
      </c>
      <c r="C108" s="16">
        <v>5.0</v>
      </c>
      <c r="D108" s="16" t="b">
        <v>0</v>
      </c>
      <c r="E108" s="223" t="b">
        <v>0</v>
      </c>
      <c r="F108" s="16" t="b">
        <v>1</v>
      </c>
      <c r="G108" s="223" t="b">
        <v>0</v>
      </c>
      <c r="H108" s="223" t="b">
        <v>0</v>
      </c>
      <c r="K108" s="625"/>
      <c r="L108" s="626"/>
    </row>
    <row r="109">
      <c r="A109" s="16" t="s">
        <v>1712</v>
      </c>
      <c r="C109" s="16">
        <v>5.6</v>
      </c>
      <c r="D109" s="16" t="b">
        <v>0</v>
      </c>
      <c r="E109" s="223" t="b">
        <v>0</v>
      </c>
      <c r="F109" s="16" t="b">
        <v>1</v>
      </c>
      <c r="G109" s="223" t="b">
        <v>0</v>
      </c>
      <c r="H109" s="223" t="b">
        <v>0</v>
      </c>
      <c r="K109" s="625"/>
      <c r="L109" s="626"/>
    </row>
    <row r="110">
      <c r="A110" s="16" t="s">
        <v>243</v>
      </c>
      <c r="C110" s="16">
        <v>5.6</v>
      </c>
      <c r="D110" s="16" t="b">
        <v>0</v>
      </c>
      <c r="E110" s="223" t="b">
        <v>0</v>
      </c>
      <c r="F110" s="16" t="b">
        <v>1</v>
      </c>
      <c r="G110" s="223" t="b">
        <v>0</v>
      </c>
      <c r="H110" s="223" t="b">
        <v>0</v>
      </c>
      <c r="I110" s="609">
        <v>45719.0</v>
      </c>
      <c r="J110" s="623" t="s">
        <v>3620</v>
      </c>
      <c r="K110" s="625"/>
      <c r="L110" s="626"/>
    </row>
    <row r="111">
      <c r="A111" s="16" t="s">
        <v>254</v>
      </c>
      <c r="C111" s="16">
        <v>5.7</v>
      </c>
      <c r="D111" s="16" t="b">
        <v>0</v>
      </c>
      <c r="E111" s="223" t="b">
        <v>0</v>
      </c>
      <c r="F111" s="16" t="b">
        <v>1</v>
      </c>
      <c r="G111" s="223" t="b">
        <v>0</v>
      </c>
      <c r="H111" s="223" t="b">
        <v>0</v>
      </c>
      <c r="I111" s="609">
        <v>45719.0</v>
      </c>
      <c r="J111" s="623" t="s">
        <v>3620</v>
      </c>
      <c r="K111" s="625"/>
      <c r="L111" s="626"/>
    </row>
    <row r="112">
      <c r="A112" s="16" t="s">
        <v>278</v>
      </c>
      <c r="C112" s="16">
        <v>5.6</v>
      </c>
      <c r="D112" s="16" t="b">
        <v>0</v>
      </c>
      <c r="E112" s="223" t="b">
        <v>0</v>
      </c>
      <c r="F112" s="16" t="b">
        <v>1</v>
      </c>
      <c r="G112" s="223" t="b">
        <v>0</v>
      </c>
      <c r="H112" s="223" t="b">
        <v>0</v>
      </c>
      <c r="I112" s="609">
        <v>45720.0</v>
      </c>
      <c r="J112" s="623" t="s">
        <v>3620</v>
      </c>
      <c r="K112" s="625"/>
      <c r="L112" s="626"/>
    </row>
    <row r="113">
      <c r="A113" s="16" t="s">
        <v>236</v>
      </c>
      <c r="C113" s="16">
        <v>5.1</v>
      </c>
      <c r="D113" s="16" t="b">
        <v>0</v>
      </c>
      <c r="E113" s="223" t="b">
        <v>0</v>
      </c>
      <c r="F113" s="16" t="b">
        <v>1</v>
      </c>
      <c r="G113" s="223" t="b">
        <v>0</v>
      </c>
      <c r="H113" s="223" t="b">
        <v>0</v>
      </c>
      <c r="I113" s="609">
        <v>45720.0</v>
      </c>
      <c r="J113" s="623" t="s">
        <v>3620</v>
      </c>
      <c r="K113" s="625"/>
      <c r="L113" s="626"/>
    </row>
    <row r="114">
      <c r="A114" s="16" t="s">
        <v>274</v>
      </c>
      <c r="C114" s="16">
        <v>5.8</v>
      </c>
      <c r="D114" s="16" t="b">
        <v>0</v>
      </c>
      <c r="E114" s="223" t="b">
        <v>0</v>
      </c>
      <c r="F114" s="16" t="b">
        <v>1</v>
      </c>
      <c r="G114" s="223" t="b">
        <v>0</v>
      </c>
      <c r="H114" s="223" t="b">
        <v>0</v>
      </c>
      <c r="I114" s="609">
        <v>45720.0</v>
      </c>
      <c r="J114" s="623" t="s">
        <v>3620</v>
      </c>
      <c r="K114" s="625"/>
      <c r="L114" s="626"/>
    </row>
    <row r="115">
      <c r="A115" s="16" t="s">
        <v>186</v>
      </c>
      <c r="C115" s="16">
        <v>5.5</v>
      </c>
      <c r="D115" s="16" t="b">
        <v>0</v>
      </c>
      <c r="E115" s="223" t="b">
        <v>0</v>
      </c>
      <c r="F115" s="16" t="b">
        <v>1</v>
      </c>
      <c r="G115" s="223" t="b">
        <v>0</v>
      </c>
      <c r="H115" s="223" t="b">
        <v>0</v>
      </c>
      <c r="I115" s="609">
        <v>45719.0</v>
      </c>
      <c r="J115" s="623" t="s">
        <v>3620</v>
      </c>
      <c r="K115" s="625"/>
      <c r="L115" s="626"/>
    </row>
    <row r="116">
      <c r="A116" s="16" t="s">
        <v>231</v>
      </c>
      <c r="C116" s="16">
        <v>10.1</v>
      </c>
      <c r="D116" s="16" t="b">
        <v>1</v>
      </c>
      <c r="E116" s="223" t="b">
        <v>0</v>
      </c>
      <c r="F116" s="16" t="b">
        <v>0</v>
      </c>
      <c r="G116" s="223" t="b">
        <v>0</v>
      </c>
      <c r="H116" s="223" t="b">
        <v>0</v>
      </c>
      <c r="I116" s="609">
        <v>45719.0</v>
      </c>
      <c r="J116" s="623" t="s">
        <v>3620</v>
      </c>
      <c r="K116" s="623"/>
    </row>
    <row r="117">
      <c r="A117" s="47" t="s">
        <v>2269</v>
      </c>
      <c r="C117" s="16">
        <v>5.7</v>
      </c>
      <c r="D117" s="16" t="b">
        <v>0</v>
      </c>
      <c r="E117" s="223" t="b">
        <v>0</v>
      </c>
      <c r="F117" s="16" t="b">
        <v>1</v>
      </c>
      <c r="G117" s="223" t="b">
        <v>0</v>
      </c>
      <c r="H117" s="223" t="b">
        <v>0</v>
      </c>
    </row>
    <row r="118">
      <c r="A118" s="47" t="s">
        <v>272</v>
      </c>
      <c r="C118" s="16">
        <v>6.2</v>
      </c>
      <c r="D118" s="16" t="b">
        <v>0</v>
      </c>
      <c r="E118" s="16" t="b">
        <v>1</v>
      </c>
      <c r="F118" s="16" t="b">
        <v>0</v>
      </c>
      <c r="G118" s="223" t="b">
        <v>0</v>
      </c>
      <c r="H118" s="223" t="b">
        <v>0</v>
      </c>
      <c r="I118" s="609">
        <v>45719.0</v>
      </c>
      <c r="J118" s="623" t="s">
        <v>3620</v>
      </c>
    </row>
    <row r="119">
      <c r="A119" s="47" t="s">
        <v>263</v>
      </c>
      <c r="C119" s="16">
        <v>5.5</v>
      </c>
      <c r="D119" s="16" t="b">
        <v>0</v>
      </c>
      <c r="E119" s="223" t="b">
        <v>0</v>
      </c>
      <c r="F119" s="16" t="b">
        <v>1</v>
      </c>
      <c r="G119" s="223" t="b">
        <v>0</v>
      </c>
      <c r="H119" s="223" t="b">
        <v>0</v>
      </c>
      <c r="I119" s="609">
        <v>45719.0</v>
      </c>
      <c r="J119" s="623" t="s">
        <v>3620</v>
      </c>
    </row>
    <row r="120">
      <c r="A120" s="16" t="s">
        <v>259</v>
      </c>
      <c r="C120" s="16">
        <v>5.6</v>
      </c>
      <c r="D120" s="16" t="b">
        <v>0</v>
      </c>
      <c r="E120" s="223" t="b">
        <v>0</v>
      </c>
      <c r="F120" s="16" t="b">
        <v>1</v>
      </c>
      <c r="G120" s="223" t="b">
        <v>0</v>
      </c>
      <c r="H120" s="223" t="b">
        <v>0</v>
      </c>
      <c r="I120" s="609">
        <v>45720.0</v>
      </c>
      <c r="J120" s="623" t="s">
        <v>3620</v>
      </c>
    </row>
    <row r="121">
      <c r="A121" s="16" t="s">
        <v>207</v>
      </c>
      <c r="C121" s="16">
        <v>5.8</v>
      </c>
      <c r="D121" s="16" t="b">
        <v>0</v>
      </c>
      <c r="E121" s="223" t="b">
        <v>0</v>
      </c>
      <c r="F121" s="16" t="b">
        <v>1</v>
      </c>
      <c r="G121" s="223" t="b">
        <v>0</v>
      </c>
      <c r="H121" s="223" t="b">
        <v>0</v>
      </c>
      <c r="I121" s="609">
        <v>45720.0</v>
      </c>
      <c r="J121" s="623" t="s">
        <v>3620</v>
      </c>
    </row>
    <row r="122">
      <c r="A122" s="16" t="s">
        <v>209</v>
      </c>
      <c r="C122" s="16">
        <v>5.9</v>
      </c>
      <c r="D122" s="16" t="b">
        <v>0</v>
      </c>
      <c r="E122" s="223" t="b">
        <v>0</v>
      </c>
      <c r="F122" s="16" t="b">
        <v>1</v>
      </c>
      <c r="G122" s="223" t="b">
        <v>0</v>
      </c>
      <c r="H122" s="223" t="b">
        <v>0</v>
      </c>
      <c r="I122" s="609">
        <v>45719.0</v>
      </c>
      <c r="J122" s="623" t="s">
        <v>3620</v>
      </c>
    </row>
    <row r="123">
      <c r="A123" s="47" t="s">
        <v>255</v>
      </c>
      <c r="C123" s="16">
        <v>6.2</v>
      </c>
      <c r="D123" s="16" t="b">
        <v>0</v>
      </c>
      <c r="E123" s="16" t="b">
        <v>1</v>
      </c>
      <c r="F123" s="16" t="b">
        <v>0</v>
      </c>
      <c r="G123" s="223" t="b">
        <v>0</v>
      </c>
      <c r="H123" s="223" t="b">
        <v>0</v>
      </c>
      <c r="I123" s="609">
        <v>45719.0</v>
      </c>
      <c r="J123" s="623" t="s">
        <v>3620</v>
      </c>
    </row>
    <row r="124">
      <c r="A124" s="47" t="s">
        <v>283</v>
      </c>
      <c r="C124" s="16">
        <v>6.1</v>
      </c>
      <c r="D124" s="16" t="b">
        <v>0</v>
      </c>
      <c r="E124" s="16" t="b">
        <v>1</v>
      </c>
      <c r="F124" s="16" t="b">
        <v>0</v>
      </c>
      <c r="G124" s="223" t="b">
        <v>0</v>
      </c>
      <c r="H124" s="223" t="b">
        <v>0</v>
      </c>
      <c r="I124" s="609">
        <v>45719.0</v>
      </c>
      <c r="J124" s="623" t="s">
        <v>3620</v>
      </c>
    </row>
    <row r="125">
      <c r="A125" s="47" t="s">
        <v>277</v>
      </c>
      <c r="C125" s="16">
        <v>4.4</v>
      </c>
      <c r="D125" s="16" t="b">
        <v>0</v>
      </c>
      <c r="E125" s="223" t="b">
        <v>0</v>
      </c>
      <c r="F125" s="16" t="b">
        <v>1</v>
      </c>
      <c r="G125" s="223" t="b">
        <v>0</v>
      </c>
      <c r="H125" s="223" t="b">
        <v>0</v>
      </c>
      <c r="I125" s="609">
        <v>45719.0</v>
      </c>
      <c r="J125" s="623" t="s">
        <v>3620</v>
      </c>
    </row>
    <row r="126">
      <c r="A126" s="445" t="s">
        <v>347</v>
      </c>
      <c r="B126" s="318"/>
      <c r="C126" s="135">
        <v>5.5</v>
      </c>
      <c r="D126" s="135" t="b">
        <v>0</v>
      </c>
      <c r="E126" s="318" t="b">
        <v>0</v>
      </c>
      <c r="F126" s="135" t="b">
        <v>1</v>
      </c>
      <c r="G126" s="318" t="b">
        <v>0</v>
      </c>
      <c r="H126" s="318" t="b">
        <v>0</v>
      </c>
      <c r="I126" s="402">
        <v>45719.0</v>
      </c>
      <c r="J126" s="628" t="s">
        <v>3620</v>
      </c>
      <c r="K126" s="318"/>
      <c r="L126" s="318"/>
      <c r="M126" s="318"/>
      <c r="N126" s="318"/>
      <c r="O126" s="318"/>
      <c r="P126" s="318"/>
      <c r="Q126" s="318"/>
      <c r="R126" s="318"/>
      <c r="S126" s="318"/>
      <c r="T126" s="318"/>
      <c r="U126" s="318"/>
      <c r="V126" s="318"/>
      <c r="W126" s="318"/>
      <c r="X126" s="318"/>
      <c r="Y126" s="318"/>
      <c r="Z126" s="318"/>
      <c r="AA126" s="318"/>
      <c r="AB126" s="318"/>
      <c r="AC126" s="318"/>
      <c r="AD126" s="318"/>
      <c r="AE126" s="318"/>
    </row>
    <row r="127">
      <c r="A127" s="16" t="s">
        <v>217</v>
      </c>
      <c r="C127" s="16">
        <v>5.9</v>
      </c>
      <c r="D127" s="16" t="b">
        <v>0</v>
      </c>
      <c r="E127" s="223" t="b">
        <v>0</v>
      </c>
      <c r="F127" s="16" t="b">
        <v>1</v>
      </c>
      <c r="G127" s="223" t="b">
        <v>0</v>
      </c>
      <c r="H127" s="223" t="b">
        <v>0</v>
      </c>
      <c r="I127" s="609">
        <v>45719.0</v>
      </c>
      <c r="J127" s="623" t="s">
        <v>3620</v>
      </c>
      <c r="K127" s="625"/>
      <c r="L127" s="626"/>
    </row>
    <row r="128">
      <c r="A128" s="16" t="s">
        <v>1773</v>
      </c>
      <c r="C128" s="16">
        <v>5.4</v>
      </c>
      <c r="D128" s="16" t="b">
        <v>0</v>
      </c>
      <c r="E128" s="223" t="b">
        <v>0</v>
      </c>
      <c r="F128" s="16" t="b">
        <v>1</v>
      </c>
      <c r="G128" s="223" t="b">
        <v>0</v>
      </c>
      <c r="H128" s="223" t="b">
        <v>0</v>
      </c>
      <c r="K128" s="625"/>
      <c r="L128" s="626"/>
    </row>
    <row r="129">
      <c r="A129" s="16" t="s">
        <v>353</v>
      </c>
      <c r="C129" s="16">
        <v>5.3</v>
      </c>
      <c r="D129" s="16" t="b">
        <v>0</v>
      </c>
      <c r="E129" s="223" t="b">
        <v>0</v>
      </c>
      <c r="F129" s="16" t="b">
        <v>1</v>
      </c>
      <c r="G129" s="223" t="b">
        <v>0</v>
      </c>
      <c r="H129" s="223" t="b">
        <v>0</v>
      </c>
      <c r="I129" s="609">
        <v>45751.0</v>
      </c>
      <c r="J129" s="623" t="s">
        <v>3620</v>
      </c>
      <c r="K129" s="625"/>
      <c r="L129" s="626"/>
    </row>
    <row r="130">
      <c r="A130" s="16" t="s">
        <v>262</v>
      </c>
      <c r="C130" s="16">
        <v>5.2</v>
      </c>
      <c r="D130" s="16" t="b">
        <v>0</v>
      </c>
      <c r="E130" s="223" t="b">
        <v>0</v>
      </c>
      <c r="F130" s="16" t="b">
        <v>1</v>
      </c>
      <c r="G130" s="223" t="b">
        <v>0</v>
      </c>
      <c r="H130" s="223" t="b">
        <v>0</v>
      </c>
      <c r="I130" s="609">
        <v>45719.0</v>
      </c>
      <c r="J130" s="623" t="s">
        <v>3620</v>
      </c>
      <c r="K130" s="625"/>
      <c r="L130" s="626"/>
    </row>
    <row r="131">
      <c r="A131" s="135" t="s">
        <v>2316</v>
      </c>
      <c r="B131" s="318"/>
      <c r="C131" s="135">
        <v>5.7</v>
      </c>
      <c r="D131" s="135" t="b">
        <v>0</v>
      </c>
      <c r="E131" s="318" t="b">
        <v>0</v>
      </c>
      <c r="F131" s="135" t="b">
        <v>1</v>
      </c>
      <c r="G131" s="318" t="b">
        <v>0</v>
      </c>
      <c r="H131" s="318" t="b">
        <v>0</v>
      </c>
      <c r="I131" s="318"/>
      <c r="J131" s="318"/>
      <c r="K131" s="629"/>
      <c r="L131" s="630"/>
      <c r="M131" s="318"/>
      <c r="N131" s="318"/>
      <c r="O131" s="318"/>
      <c r="P131" s="318"/>
      <c r="Q131" s="318"/>
      <c r="R131" s="318"/>
      <c r="S131" s="318"/>
      <c r="T131" s="318"/>
      <c r="U131" s="318"/>
      <c r="V131" s="318"/>
      <c r="W131" s="318"/>
      <c r="X131" s="318"/>
      <c r="Y131" s="318"/>
      <c r="Z131" s="318"/>
      <c r="AA131" s="318"/>
      <c r="AB131" s="318"/>
      <c r="AC131" s="318"/>
      <c r="AD131" s="318"/>
      <c r="AE131" s="318"/>
    </row>
    <row r="132">
      <c r="A132" s="16" t="s">
        <v>287</v>
      </c>
      <c r="C132" s="16">
        <v>15.6</v>
      </c>
      <c r="D132" s="16" t="b">
        <v>1</v>
      </c>
      <c r="E132" s="223" t="b">
        <v>0</v>
      </c>
      <c r="F132" s="16" t="b">
        <v>0</v>
      </c>
      <c r="G132" s="223" t="b">
        <v>0</v>
      </c>
      <c r="H132" s="223" t="b">
        <v>0</v>
      </c>
      <c r="I132" s="609">
        <v>45719.0</v>
      </c>
      <c r="J132" s="623" t="s">
        <v>3620</v>
      </c>
      <c r="K132" s="625"/>
      <c r="L132" s="626"/>
    </row>
    <row r="133">
      <c r="A133" s="631" t="s">
        <v>311</v>
      </c>
      <c r="C133" s="16">
        <v>6.0</v>
      </c>
      <c r="D133" s="16" t="b">
        <v>0</v>
      </c>
      <c r="E133" s="16" t="b">
        <v>1</v>
      </c>
      <c r="F133" s="16" t="b">
        <v>0</v>
      </c>
      <c r="G133" s="223" t="b">
        <v>0</v>
      </c>
      <c r="H133" s="223" t="b">
        <v>0</v>
      </c>
      <c r="I133" s="609">
        <v>45720.0</v>
      </c>
      <c r="J133" s="623" t="s">
        <v>3620</v>
      </c>
      <c r="K133" s="625"/>
      <c r="L133" s="626"/>
    </row>
    <row r="134">
      <c r="A134" s="16" t="s">
        <v>256</v>
      </c>
      <c r="C134" s="16">
        <v>5.7</v>
      </c>
      <c r="D134" s="16" t="b">
        <v>0</v>
      </c>
      <c r="E134" s="223" t="b">
        <v>0</v>
      </c>
      <c r="F134" s="16" t="b">
        <v>1</v>
      </c>
      <c r="G134" s="223" t="b">
        <v>0</v>
      </c>
      <c r="H134" s="223" t="b">
        <v>0</v>
      </c>
      <c r="I134" s="609">
        <v>45719.0</v>
      </c>
      <c r="J134" s="623" t="s">
        <v>3620</v>
      </c>
      <c r="K134" s="625"/>
      <c r="L134" s="626"/>
    </row>
    <row r="135">
      <c r="A135" s="16" t="s">
        <v>260</v>
      </c>
      <c r="C135" s="16">
        <v>6.6</v>
      </c>
      <c r="D135" s="16" t="b">
        <v>1</v>
      </c>
      <c r="E135" s="223" t="b">
        <v>0</v>
      </c>
      <c r="F135" s="16" t="b">
        <v>0</v>
      </c>
      <c r="G135" s="223" t="b">
        <v>0</v>
      </c>
      <c r="H135" s="223" t="b">
        <v>0</v>
      </c>
      <c r="I135" s="609">
        <v>45719.0</v>
      </c>
      <c r="J135" s="623" t="s">
        <v>3620</v>
      </c>
      <c r="K135" s="625"/>
      <c r="L135" s="626"/>
    </row>
    <row r="136">
      <c r="A136" s="16" t="s">
        <v>307</v>
      </c>
      <c r="C136" s="16">
        <v>5.9</v>
      </c>
      <c r="D136" s="16" t="b">
        <v>0</v>
      </c>
      <c r="E136" s="223" t="b">
        <v>0</v>
      </c>
      <c r="F136" s="16" t="b">
        <v>1</v>
      </c>
      <c r="G136" s="223" t="b">
        <v>0</v>
      </c>
      <c r="H136" s="223" t="b">
        <v>0</v>
      </c>
      <c r="I136" s="609">
        <v>45719.0</v>
      </c>
      <c r="J136" s="623" t="s">
        <v>3620</v>
      </c>
      <c r="K136" s="625"/>
      <c r="L136" s="626"/>
    </row>
    <row r="137">
      <c r="A137" s="16" t="s">
        <v>244</v>
      </c>
      <c r="C137" s="16">
        <v>5.9</v>
      </c>
      <c r="D137" s="16" t="b">
        <v>0</v>
      </c>
      <c r="E137" s="223" t="b">
        <v>0</v>
      </c>
      <c r="F137" s="16" t="b">
        <v>1</v>
      </c>
      <c r="G137" s="223" t="b">
        <v>0</v>
      </c>
      <c r="H137" s="223" t="b">
        <v>0</v>
      </c>
      <c r="I137" s="609">
        <v>45719.0</v>
      </c>
      <c r="J137" s="623" t="s">
        <v>3620</v>
      </c>
      <c r="K137" s="625"/>
      <c r="L137" s="626"/>
    </row>
    <row r="138">
      <c r="A138" s="16" t="s">
        <v>336</v>
      </c>
      <c r="C138" s="16">
        <v>5.7</v>
      </c>
      <c r="D138" s="16" t="b">
        <v>0</v>
      </c>
      <c r="E138" s="223" t="b">
        <v>0</v>
      </c>
      <c r="F138" s="16" t="b">
        <v>1</v>
      </c>
      <c r="G138" s="223" t="b">
        <v>0</v>
      </c>
      <c r="H138" s="223" t="b">
        <v>0</v>
      </c>
      <c r="I138" s="609">
        <v>45719.0</v>
      </c>
      <c r="J138" s="623" t="s">
        <v>3620</v>
      </c>
      <c r="K138" s="625"/>
      <c r="L138" s="626"/>
    </row>
    <row r="139">
      <c r="A139" s="16" t="s">
        <v>319</v>
      </c>
      <c r="C139" s="16">
        <v>6.0</v>
      </c>
      <c r="D139" s="16" t="b">
        <v>0</v>
      </c>
      <c r="E139" s="16" t="b">
        <v>1</v>
      </c>
      <c r="F139" s="16" t="b">
        <v>0</v>
      </c>
      <c r="G139" s="223" t="b">
        <v>0</v>
      </c>
      <c r="H139" s="223" t="b">
        <v>0</v>
      </c>
      <c r="I139" s="609">
        <v>45719.0</v>
      </c>
      <c r="J139" s="623" t="s">
        <v>3620</v>
      </c>
      <c r="K139" s="625"/>
      <c r="L139" s="626"/>
    </row>
    <row r="140">
      <c r="A140" s="16" t="s">
        <v>304</v>
      </c>
      <c r="C140" s="16">
        <v>6.0</v>
      </c>
      <c r="D140" s="16" t="b">
        <v>0</v>
      </c>
      <c r="E140" s="16" t="b">
        <v>1</v>
      </c>
      <c r="F140" s="16" t="b">
        <v>0</v>
      </c>
      <c r="G140" s="223" t="b">
        <v>0</v>
      </c>
      <c r="H140" s="223" t="b">
        <v>0</v>
      </c>
      <c r="I140" s="609">
        <v>45720.0</v>
      </c>
      <c r="J140" s="623" t="s">
        <v>3620</v>
      </c>
      <c r="K140" s="625"/>
      <c r="L140" s="626"/>
    </row>
    <row r="141">
      <c r="A141" s="16" t="s">
        <v>286</v>
      </c>
      <c r="C141" s="16">
        <v>6.2</v>
      </c>
      <c r="D141" s="16" t="b">
        <v>0</v>
      </c>
      <c r="E141" s="16" t="b">
        <v>1</v>
      </c>
      <c r="F141" s="16" t="b">
        <v>1</v>
      </c>
      <c r="G141" s="223" t="b">
        <v>0</v>
      </c>
      <c r="H141" s="223" t="b">
        <v>0</v>
      </c>
      <c r="I141" s="609">
        <v>45719.0</v>
      </c>
      <c r="J141" s="623" t="s">
        <v>3620</v>
      </c>
      <c r="K141" s="625"/>
      <c r="L141" s="626"/>
    </row>
    <row r="142">
      <c r="A142" s="632" t="s">
        <v>597</v>
      </c>
      <c r="B142" s="318"/>
      <c r="C142" s="135">
        <v>5.9</v>
      </c>
      <c r="D142" s="135" t="b">
        <v>0</v>
      </c>
      <c r="E142" s="318" t="b">
        <v>0</v>
      </c>
      <c r="F142" s="135" t="b">
        <v>1</v>
      </c>
      <c r="G142" s="318" t="b">
        <v>0</v>
      </c>
      <c r="H142" s="318" t="b">
        <v>0</v>
      </c>
      <c r="I142" s="402">
        <v>45720.0</v>
      </c>
      <c r="J142" s="628" t="s">
        <v>3620</v>
      </c>
      <c r="K142" s="629"/>
      <c r="L142" s="630"/>
      <c r="M142" s="318"/>
      <c r="N142" s="318"/>
      <c r="O142" s="318"/>
      <c r="P142" s="318"/>
      <c r="Q142" s="318"/>
      <c r="R142" s="318"/>
      <c r="S142" s="318"/>
      <c r="T142" s="318"/>
      <c r="U142" s="318"/>
      <c r="V142" s="318"/>
      <c r="W142" s="318"/>
      <c r="X142" s="318"/>
      <c r="Y142" s="318"/>
      <c r="Z142" s="318"/>
      <c r="AA142" s="318"/>
      <c r="AB142" s="318"/>
      <c r="AC142" s="318"/>
      <c r="AD142" s="318"/>
      <c r="AE142" s="318"/>
    </row>
    <row r="143">
      <c r="A143" s="47" t="s">
        <v>296</v>
      </c>
      <c r="C143" s="16">
        <v>6.0</v>
      </c>
      <c r="D143" s="16" t="b">
        <v>0</v>
      </c>
      <c r="E143" s="16" t="b">
        <v>1</v>
      </c>
      <c r="F143" s="16" t="b">
        <v>0</v>
      </c>
      <c r="G143" s="223" t="b">
        <v>0</v>
      </c>
      <c r="H143" s="223" t="b">
        <v>0</v>
      </c>
      <c r="I143" s="609">
        <v>45719.0</v>
      </c>
      <c r="J143" s="623" t="s">
        <v>3620</v>
      </c>
      <c r="K143" s="625"/>
      <c r="L143" s="626"/>
    </row>
    <row r="144">
      <c r="A144" s="16" t="s">
        <v>2363</v>
      </c>
      <c r="C144" s="16">
        <v>5.3</v>
      </c>
      <c r="D144" s="16" t="b">
        <v>0</v>
      </c>
      <c r="E144" s="223" t="b">
        <v>0</v>
      </c>
      <c r="F144" s="16" t="b">
        <v>1</v>
      </c>
      <c r="G144" s="223" t="b">
        <v>0</v>
      </c>
      <c r="H144" s="223" t="b">
        <v>0</v>
      </c>
      <c r="K144" s="625"/>
      <c r="L144" s="626"/>
    </row>
    <row r="145">
      <c r="A145" s="16" t="s">
        <v>315</v>
      </c>
      <c r="C145" s="16">
        <v>5.7</v>
      </c>
      <c r="D145" s="16" t="b">
        <v>0</v>
      </c>
      <c r="E145" s="223" t="b">
        <v>0</v>
      </c>
      <c r="F145" s="16" t="b">
        <v>1</v>
      </c>
      <c r="G145" s="223" t="b">
        <v>0</v>
      </c>
      <c r="H145" s="223" t="b">
        <v>0</v>
      </c>
      <c r="I145" s="609">
        <v>45719.0</v>
      </c>
      <c r="J145" s="623" t="s">
        <v>3620</v>
      </c>
      <c r="K145" s="625"/>
      <c r="L145" s="626"/>
    </row>
    <row r="146">
      <c r="A146" s="16" t="s">
        <v>3700</v>
      </c>
      <c r="C146" s="16">
        <v>6.0</v>
      </c>
      <c r="D146" s="16" t="b">
        <v>0</v>
      </c>
      <c r="E146" s="16" t="b">
        <v>1</v>
      </c>
      <c r="F146" s="16" t="b">
        <v>0</v>
      </c>
      <c r="G146" s="223" t="b">
        <v>0</v>
      </c>
      <c r="H146" s="223" t="b">
        <v>0</v>
      </c>
      <c r="K146" s="625"/>
      <c r="L146" s="626"/>
    </row>
    <row r="147">
      <c r="A147" s="16" t="s">
        <v>368</v>
      </c>
      <c r="C147" s="16">
        <v>5.5</v>
      </c>
      <c r="D147" s="16" t="b">
        <v>0</v>
      </c>
      <c r="E147" s="223" t="b">
        <v>0</v>
      </c>
      <c r="F147" s="16" t="b">
        <v>1</v>
      </c>
      <c r="G147" s="223" t="b">
        <v>0</v>
      </c>
      <c r="H147" s="223" t="b">
        <v>0</v>
      </c>
      <c r="I147" s="609">
        <v>45751.0</v>
      </c>
      <c r="J147" s="623" t="s">
        <v>3620</v>
      </c>
      <c r="K147" s="625"/>
      <c r="L147" s="626"/>
    </row>
    <row r="148">
      <c r="A148" s="16" t="s">
        <v>394</v>
      </c>
      <c r="C148" s="16">
        <v>6.1</v>
      </c>
      <c r="D148" s="16" t="b">
        <v>0</v>
      </c>
      <c r="E148" s="16" t="b">
        <v>1</v>
      </c>
      <c r="F148" s="16" t="b">
        <v>0</v>
      </c>
      <c r="G148" s="223" t="b">
        <v>0</v>
      </c>
      <c r="H148" s="223" t="b">
        <v>0</v>
      </c>
      <c r="I148" s="609">
        <v>45720.0</v>
      </c>
      <c r="J148" s="623" t="s">
        <v>3620</v>
      </c>
      <c r="K148" s="625"/>
      <c r="L148" s="626"/>
    </row>
    <row r="149">
      <c r="A149" s="16" t="s">
        <v>1787</v>
      </c>
      <c r="C149" s="16">
        <v>7.2</v>
      </c>
      <c r="D149" s="16" t="b">
        <v>1</v>
      </c>
      <c r="E149" s="223" t="b">
        <v>0</v>
      </c>
      <c r="F149" s="16" t="b">
        <v>0</v>
      </c>
      <c r="G149" s="223" t="b">
        <v>0</v>
      </c>
      <c r="H149" s="223" t="b">
        <v>0</v>
      </c>
      <c r="K149" s="625"/>
      <c r="L149" s="626"/>
    </row>
    <row r="150">
      <c r="A150" s="16" t="s">
        <v>340</v>
      </c>
      <c r="C150" s="16">
        <v>6.3</v>
      </c>
      <c r="D150" s="16" t="b">
        <v>0</v>
      </c>
      <c r="E150" s="16" t="b">
        <v>1</v>
      </c>
      <c r="F150" s="16" t="b">
        <v>0</v>
      </c>
      <c r="G150" s="223" t="b">
        <v>0</v>
      </c>
      <c r="H150" s="223" t="b">
        <v>0</v>
      </c>
      <c r="I150" s="609">
        <v>45719.0</v>
      </c>
      <c r="J150" s="623" t="s">
        <v>3620</v>
      </c>
      <c r="K150" s="625"/>
      <c r="L150" s="626"/>
    </row>
    <row r="151">
      <c r="A151" s="16" t="s">
        <v>301</v>
      </c>
      <c r="C151" s="16">
        <v>5.6</v>
      </c>
      <c r="D151" s="16" t="b">
        <v>0</v>
      </c>
      <c r="E151" s="223" t="b">
        <v>0</v>
      </c>
      <c r="F151" s="16" t="b">
        <v>1</v>
      </c>
      <c r="G151" s="223" t="b">
        <v>0</v>
      </c>
      <c r="H151" s="223" t="b">
        <v>0</v>
      </c>
      <c r="I151" s="609">
        <v>45719.0</v>
      </c>
      <c r="J151" s="623" t="s">
        <v>3620</v>
      </c>
      <c r="K151" s="625"/>
      <c r="L151" s="626"/>
    </row>
    <row r="152">
      <c r="A152" s="16" t="s">
        <v>322</v>
      </c>
      <c r="C152" s="16">
        <v>6.1</v>
      </c>
      <c r="D152" s="16" t="b">
        <v>0</v>
      </c>
      <c r="E152" s="16" t="b">
        <v>1</v>
      </c>
      <c r="F152" s="16" t="b">
        <v>0</v>
      </c>
      <c r="G152" s="223" t="b">
        <v>0</v>
      </c>
      <c r="H152" s="223" t="b">
        <v>0</v>
      </c>
      <c r="I152" s="609">
        <v>45719.0</v>
      </c>
      <c r="J152" s="623" t="s">
        <v>3620</v>
      </c>
      <c r="K152" s="625"/>
      <c r="L152" s="626"/>
    </row>
    <row r="153">
      <c r="A153" s="135" t="s">
        <v>599</v>
      </c>
      <c r="B153" s="318"/>
      <c r="C153" s="135">
        <v>6.1</v>
      </c>
      <c r="D153" s="135" t="b">
        <v>0</v>
      </c>
      <c r="E153" s="135" t="b">
        <v>1</v>
      </c>
      <c r="F153" s="135" t="b">
        <v>0</v>
      </c>
      <c r="G153" s="318" t="b">
        <v>0</v>
      </c>
      <c r="H153" s="318" t="b">
        <v>0</v>
      </c>
      <c r="I153" s="402">
        <v>45719.0</v>
      </c>
      <c r="J153" s="628" t="s">
        <v>3620</v>
      </c>
      <c r="K153" s="629"/>
      <c r="L153" s="630"/>
      <c r="M153" s="318"/>
      <c r="N153" s="318"/>
      <c r="O153" s="318"/>
      <c r="P153" s="318"/>
      <c r="Q153" s="318"/>
      <c r="R153" s="318"/>
      <c r="S153" s="318"/>
      <c r="T153" s="318"/>
      <c r="U153" s="318"/>
      <c r="V153" s="318"/>
      <c r="W153" s="318"/>
      <c r="X153" s="318"/>
      <c r="Y153" s="318"/>
      <c r="Z153" s="318"/>
      <c r="AA153" s="318"/>
      <c r="AB153" s="318"/>
      <c r="AC153" s="318"/>
      <c r="AD153" s="318"/>
      <c r="AE153" s="318"/>
    </row>
    <row r="154">
      <c r="A154" s="631" t="s">
        <v>375</v>
      </c>
      <c r="C154" s="16">
        <v>11.5</v>
      </c>
      <c r="D154" s="16" t="b">
        <v>1</v>
      </c>
      <c r="E154" s="223" t="b">
        <v>0</v>
      </c>
      <c r="F154" s="16" t="b">
        <v>0</v>
      </c>
      <c r="G154" s="223" t="b">
        <v>0</v>
      </c>
      <c r="H154" s="223" t="b">
        <v>0</v>
      </c>
      <c r="I154" s="609">
        <v>45719.0</v>
      </c>
      <c r="J154" s="623" t="s">
        <v>3620</v>
      </c>
      <c r="K154" s="625"/>
      <c r="L154" s="626"/>
    </row>
    <row r="155">
      <c r="A155" s="16" t="s">
        <v>364</v>
      </c>
      <c r="C155" s="16">
        <v>5.8</v>
      </c>
      <c r="D155" s="16" t="b">
        <v>0</v>
      </c>
      <c r="E155" s="223" t="b">
        <v>0</v>
      </c>
      <c r="F155" s="16" t="b">
        <v>1</v>
      </c>
      <c r="G155" s="223" t="b">
        <v>0</v>
      </c>
      <c r="H155" s="223" t="b">
        <v>0</v>
      </c>
      <c r="I155" s="609">
        <v>45719.0</v>
      </c>
      <c r="J155" s="623" t="s">
        <v>3620</v>
      </c>
      <c r="K155" s="625"/>
      <c r="L155" s="626"/>
    </row>
    <row r="156">
      <c r="A156" s="47" t="s">
        <v>358</v>
      </c>
      <c r="C156" s="16">
        <v>5.5</v>
      </c>
      <c r="D156" s="16" t="b">
        <v>0</v>
      </c>
      <c r="E156" s="223" t="b">
        <v>0</v>
      </c>
      <c r="F156" s="16" t="b">
        <v>1</v>
      </c>
      <c r="G156" s="223" t="b">
        <v>0</v>
      </c>
      <c r="H156" s="223" t="b">
        <v>0</v>
      </c>
      <c r="I156" s="609">
        <v>45691.0</v>
      </c>
      <c r="J156" s="623" t="s">
        <v>3620</v>
      </c>
      <c r="K156" s="625"/>
      <c r="L156" s="626"/>
    </row>
    <row r="157">
      <c r="A157" s="16" t="s">
        <v>335</v>
      </c>
      <c r="C157" s="16">
        <v>13.3</v>
      </c>
      <c r="D157" s="16" t="b">
        <v>1</v>
      </c>
      <c r="E157" s="223" t="b">
        <v>0</v>
      </c>
      <c r="F157" s="16" t="b">
        <v>0</v>
      </c>
      <c r="G157" s="223" t="b">
        <v>0</v>
      </c>
      <c r="H157" s="223" t="b">
        <v>0</v>
      </c>
      <c r="I157" s="609">
        <v>45719.0</v>
      </c>
      <c r="J157" s="623" t="s">
        <v>3620</v>
      </c>
      <c r="K157" s="625"/>
      <c r="L157" s="626"/>
    </row>
    <row r="158">
      <c r="A158" s="16" t="s">
        <v>378</v>
      </c>
      <c r="C158" s="16">
        <v>5.7</v>
      </c>
      <c r="D158" s="16" t="b">
        <v>0</v>
      </c>
      <c r="E158" s="223" t="b">
        <v>0</v>
      </c>
      <c r="F158" s="16" t="b">
        <v>1</v>
      </c>
      <c r="G158" s="223" t="b">
        <v>0</v>
      </c>
      <c r="H158" s="223" t="b">
        <v>0</v>
      </c>
      <c r="I158" s="609">
        <v>45720.0</v>
      </c>
      <c r="J158" s="623" t="s">
        <v>3620</v>
      </c>
      <c r="K158" s="625"/>
      <c r="L158" s="626"/>
    </row>
    <row r="159">
      <c r="A159" s="16" t="s">
        <v>382</v>
      </c>
      <c r="C159" s="16">
        <v>5.6</v>
      </c>
      <c r="D159" s="16" t="b">
        <v>0</v>
      </c>
      <c r="E159" s="223" t="b">
        <v>0</v>
      </c>
      <c r="F159" s="16" t="b">
        <v>1</v>
      </c>
      <c r="G159" s="223" t="b">
        <v>0</v>
      </c>
      <c r="H159" s="223" t="b">
        <v>0</v>
      </c>
      <c r="I159" s="609">
        <v>45719.0</v>
      </c>
      <c r="J159" s="623" t="s">
        <v>3620</v>
      </c>
      <c r="K159" s="625"/>
      <c r="L159" s="626"/>
    </row>
    <row r="160">
      <c r="A160" s="16" t="s">
        <v>341</v>
      </c>
      <c r="C160" s="16">
        <v>11.1</v>
      </c>
      <c r="D160" s="16" t="b">
        <v>1</v>
      </c>
      <c r="E160" s="223" t="b">
        <v>0</v>
      </c>
      <c r="F160" s="16" t="b">
        <v>0</v>
      </c>
      <c r="G160" s="223" t="b">
        <v>0</v>
      </c>
      <c r="H160" s="223" t="b">
        <v>0</v>
      </c>
      <c r="I160" s="609">
        <v>45719.0</v>
      </c>
      <c r="J160" s="623" t="s">
        <v>3620</v>
      </c>
      <c r="K160" s="625"/>
      <c r="L160" s="626"/>
    </row>
    <row r="161">
      <c r="A161" s="16" t="s">
        <v>2419</v>
      </c>
      <c r="C161" s="16">
        <v>7.2</v>
      </c>
      <c r="D161" s="16" t="b">
        <v>1</v>
      </c>
      <c r="E161" s="223" t="b">
        <v>0</v>
      </c>
      <c r="F161" s="16" t="b">
        <v>0</v>
      </c>
      <c r="G161" s="223" t="b">
        <v>0</v>
      </c>
      <c r="H161" s="223" t="b">
        <v>0</v>
      </c>
      <c r="K161" s="625"/>
      <c r="L161" s="626"/>
    </row>
    <row r="162">
      <c r="A162" s="16" t="s">
        <v>2446</v>
      </c>
      <c r="D162" s="16" t="b">
        <v>0</v>
      </c>
      <c r="E162" s="223" t="b">
        <v>0</v>
      </c>
      <c r="F162" s="16" t="b">
        <v>0</v>
      </c>
      <c r="G162" s="223" t="b">
        <v>0</v>
      </c>
      <c r="H162" s="223" t="b">
        <v>0</v>
      </c>
      <c r="K162" s="625"/>
      <c r="L162" s="626"/>
    </row>
    <row r="163">
      <c r="A163" s="47" t="s">
        <v>415</v>
      </c>
      <c r="C163" s="16">
        <v>11.9</v>
      </c>
      <c r="D163" s="16" t="b">
        <v>1</v>
      </c>
      <c r="E163" s="223" t="b">
        <v>0</v>
      </c>
      <c r="F163" s="16" t="b">
        <v>0</v>
      </c>
      <c r="G163" s="223" t="b">
        <v>0</v>
      </c>
      <c r="H163" s="223" t="b">
        <v>0</v>
      </c>
      <c r="I163" s="609">
        <v>45720.0</v>
      </c>
      <c r="J163" s="623" t="s">
        <v>3620</v>
      </c>
      <c r="K163" s="625"/>
      <c r="L163" s="626"/>
    </row>
    <row r="164">
      <c r="A164" s="16" t="s">
        <v>2453</v>
      </c>
      <c r="C164" s="16">
        <v>11.8</v>
      </c>
      <c r="D164" s="16" t="b">
        <v>1</v>
      </c>
      <c r="E164" s="223" t="b">
        <v>0</v>
      </c>
      <c r="F164" s="16" t="b">
        <v>0</v>
      </c>
      <c r="G164" s="223" t="b">
        <v>0</v>
      </c>
      <c r="H164" s="223" t="b">
        <v>0</v>
      </c>
      <c r="K164" s="625"/>
      <c r="L164" s="626"/>
    </row>
    <row r="165">
      <c r="A165" s="16" t="s">
        <v>372</v>
      </c>
      <c r="C165" s="16">
        <v>6.2</v>
      </c>
      <c r="D165" s="16" t="b">
        <v>0</v>
      </c>
      <c r="E165" s="16" t="b">
        <v>1</v>
      </c>
      <c r="F165" s="16" t="b">
        <v>0</v>
      </c>
      <c r="G165" s="223" t="b">
        <v>0</v>
      </c>
      <c r="H165" s="223" t="b">
        <v>0</v>
      </c>
      <c r="I165" s="609">
        <v>45719.0</v>
      </c>
      <c r="J165" s="623" t="s">
        <v>3620</v>
      </c>
    </row>
    <row r="166">
      <c r="A166" s="631" t="s">
        <v>362</v>
      </c>
      <c r="C166" s="16">
        <v>9.2</v>
      </c>
      <c r="D166" s="16" t="b">
        <v>1</v>
      </c>
      <c r="E166" s="223" t="b">
        <v>0</v>
      </c>
      <c r="F166" s="16" t="b">
        <v>0</v>
      </c>
      <c r="G166" s="223" t="b">
        <v>0</v>
      </c>
      <c r="H166" s="223" t="b">
        <v>0</v>
      </c>
      <c r="I166" s="609">
        <v>45719.0</v>
      </c>
      <c r="J166" s="623" t="s">
        <v>3620</v>
      </c>
    </row>
    <row r="167">
      <c r="A167" s="16" t="s">
        <v>1752</v>
      </c>
      <c r="C167" s="16">
        <v>9.0</v>
      </c>
      <c r="D167" s="16" t="b">
        <v>1</v>
      </c>
      <c r="E167" s="223" t="b">
        <v>0</v>
      </c>
      <c r="F167" s="16" t="b">
        <v>0</v>
      </c>
      <c r="G167" s="223" t="b">
        <v>0</v>
      </c>
      <c r="H167" s="223" t="b">
        <v>0</v>
      </c>
    </row>
    <row r="168">
      <c r="A168" s="16" t="s">
        <v>391</v>
      </c>
      <c r="C168" s="16">
        <v>5.3</v>
      </c>
      <c r="D168" s="16" t="b">
        <v>0</v>
      </c>
      <c r="E168" s="223" t="b">
        <v>0</v>
      </c>
      <c r="F168" s="16" t="b">
        <v>1</v>
      </c>
      <c r="G168" s="223" t="b">
        <v>0</v>
      </c>
      <c r="H168" s="223" t="b">
        <v>0</v>
      </c>
      <c r="I168" s="609">
        <v>45719.0</v>
      </c>
      <c r="J168" s="623" t="s">
        <v>3620</v>
      </c>
    </row>
    <row r="169">
      <c r="A169" s="16" t="s">
        <v>337</v>
      </c>
      <c r="C169" s="16">
        <v>8.7</v>
      </c>
      <c r="D169" s="16" t="b">
        <v>1</v>
      </c>
      <c r="E169" s="223" t="b">
        <v>0</v>
      </c>
      <c r="F169" s="16" t="b">
        <v>0</v>
      </c>
      <c r="G169" s="223" t="b">
        <v>0</v>
      </c>
      <c r="H169" s="223" t="b">
        <v>0</v>
      </c>
      <c r="I169" s="609">
        <v>45691.0</v>
      </c>
      <c r="J169" s="623" t="s">
        <v>3620</v>
      </c>
    </row>
    <row r="170">
      <c r="A170" s="16" t="s">
        <v>2477</v>
      </c>
      <c r="C170" s="16">
        <v>7.7</v>
      </c>
      <c r="D170" s="16" t="b">
        <v>1</v>
      </c>
      <c r="E170" s="223" t="b">
        <v>0</v>
      </c>
      <c r="F170" s="16" t="b">
        <v>0</v>
      </c>
      <c r="G170" s="223" t="b">
        <v>0</v>
      </c>
      <c r="H170" s="223" t="b">
        <v>0</v>
      </c>
    </row>
    <row r="171">
      <c r="A171" s="16" t="s">
        <v>1726</v>
      </c>
      <c r="C171" s="16">
        <v>7.2</v>
      </c>
      <c r="D171" s="16" t="b">
        <v>1</v>
      </c>
      <c r="E171" s="223" t="b">
        <v>0</v>
      </c>
      <c r="F171" s="16" t="b">
        <v>0</v>
      </c>
      <c r="G171" s="223" t="b">
        <v>0</v>
      </c>
      <c r="H171" s="223" t="b">
        <v>0</v>
      </c>
    </row>
    <row r="172">
      <c r="A172" s="47" t="s">
        <v>345</v>
      </c>
      <c r="C172" s="16">
        <v>7.5</v>
      </c>
      <c r="D172" s="16" t="b">
        <v>1</v>
      </c>
      <c r="E172" s="223" t="b">
        <v>0</v>
      </c>
      <c r="F172" s="16" t="b">
        <v>0</v>
      </c>
      <c r="G172" s="223" t="b">
        <v>0</v>
      </c>
      <c r="H172" s="223" t="b">
        <v>0</v>
      </c>
      <c r="I172" s="609">
        <v>45719.0</v>
      </c>
      <c r="J172" s="623" t="s">
        <v>3620</v>
      </c>
    </row>
    <row r="173">
      <c r="A173" s="16" t="s">
        <v>327</v>
      </c>
      <c r="C173" s="16">
        <v>11.4</v>
      </c>
      <c r="D173" s="16" t="b">
        <v>1</v>
      </c>
      <c r="E173" s="223" t="b">
        <v>0</v>
      </c>
      <c r="F173" s="16" t="b">
        <v>0</v>
      </c>
      <c r="G173" s="223" t="b">
        <v>0</v>
      </c>
      <c r="H173" s="223" t="b">
        <v>0</v>
      </c>
      <c r="I173" s="609">
        <v>45719.0</v>
      </c>
      <c r="J173" s="623" t="s">
        <v>3620</v>
      </c>
    </row>
    <row r="174">
      <c r="A174" s="16" t="s">
        <v>484</v>
      </c>
      <c r="C174" s="16">
        <v>8.8</v>
      </c>
      <c r="D174" s="16" t="b">
        <v>1</v>
      </c>
      <c r="E174" s="223" t="b">
        <v>0</v>
      </c>
      <c r="F174" s="16" t="b">
        <v>0</v>
      </c>
      <c r="G174" s="223" t="b">
        <v>0</v>
      </c>
      <c r="H174" s="223" t="b">
        <v>0</v>
      </c>
      <c r="I174" s="609">
        <v>45719.0</v>
      </c>
      <c r="J174" s="623" t="s">
        <v>3620</v>
      </c>
    </row>
    <row r="175">
      <c r="A175" s="16" t="s">
        <v>380</v>
      </c>
      <c r="C175" s="622">
        <v>6.0</v>
      </c>
      <c r="D175" s="16" t="b">
        <v>0</v>
      </c>
      <c r="E175" s="16" t="b">
        <v>1</v>
      </c>
      <c r="F175" s="16" t="b">
        <v>0</v>
      </c>
      <c r="G175" s="223" t="b">
        <v>0</v>
      </c>
      <c r="H175" s="223" t="b">
        <v>0</v>
      </c>
      <c r="I175" s="609">
        <v>45751.0</v>
      </c>
      <c r="J175" s="623" t="s">
        <v>3620</v>
      </c>
    </row>
    <row r="176">
      <c r="A176" s="16" t="s">
        <v>385</v>
      </c>
      <c r="C176" s="16" t="s">
        <v>451</v>
      </c>
      <c r="D176" s="16" t="b">
        <v>0</v>
      </c>
      <c r="E176" s="223" t="b">
        <v>0</v>
      </c>
      <c r="F176" s="16" t="b">
        <v>0</v>
      </c>
      <c r="G176" s="223" t="b">
        <v>0</v>
      </c>
      <c r="H176" s="223" t="b">
        <v>0</v>
      </c>
      <c r="I176" s="609">
        <v>45719.0</v>
      </c>
      <c r="J176" s="623" t="s">
        <v>3620</v>
      </c>
    </row>
    <row r="177">
      <c r="A177" s="16" t="s">
        <v>437</v>
      </c>
      <c r="C177" s="16">
        <v>5.8</v>
      </c>
      <c r="D177" s="16" t="b">
        <v>0</v>
      </c>
      <c r="E177" s="223" t="b">
        <v>0</v>
      </c>
      <c r="F177" s="16" t="b">
        <v>1</v>
      </c>
      <c r="G177" s="223" t="b">
        <v>0</v>
      </c>
      <c r="H177" s="223" t="b">
        <v>0</v>
      </c>
      <c r="I177" s="609">
        <v>45691.0</v>
      </c>
      <c r="J177" s="623" t="s">
        <v>3620</v>
      </c>
    </row>
    <row r="178">
      <c r="A178" s="16" t="s">
        <v>520</v>
      </c>
      <c r="C178" s="16">
        <v>6.8</v>
      </c>
      <c r="D178" s="16" t="b">
        <v>1</v>
      </c>
      <c r="E178" s="223" t="b">
        <v>0</v>
      </c>
      <c r="F178" s="16" t="b">
        <v>0</v>
      </c>
      <c r="G178" s="223" t="b">
        <v>0</v>
      </c>
      <c r="H178" s="223" t="b">
        <v>0</v>
      </c>
      <c r="I178" s="609">
        <v>45720.0</v>
      </c>
      <c r="J178" s="623" t="s">
        <v>3620</v>
      </c>
    </row>
    <row r="179">
      <c r="A179" s="16" t="s">
        <v>317</v>
      </c>
      <c r="C179" s="16">
        <v>6.0</v>
      </c>
      <c r="D179" s="16" t="b">
        <v>0</v>
      </c>
      <c r="E179" s="16" t="b">
        <v>1</v>
      </c>
      <c r="F179" s="16" t="b">
        <v>0</v>
      </c>
      <c r="G179" s="223" t="b">
        <v>0</v>
      </c>
      <c r="H179" s="223" t="b">
        <v>0</v>
      </c>
      <c r="I179" s="609">
        <v>45719.0</v>
      </c>
      <c r="J179" s="623" t="s">
        <v>3620</v>
      </c>
    </row>
    <row r="180">
      <c r="A180" s="16" t="s">
        <v>448</v>
      </c>
      <c r="C180" s="16">
        <v>6.5</v>
      </c>
      <c r="D180" s="16" t="b">
        <v>1</v>
      </c>
      <c r="E180" s="223" t="b">
        <v>0</v>
      </c>
      <c r="F180" s="16" t="b">
        <v>0</v>
      </c>
      <c r="G180" s="223" t="b">
        <v>0</v>
      </c>
      <c r="H180" s="223" t="b">
        <v>0</v>
      </c>
      <c r="I180" s="609">
        <v>45719.0</v>
      </c>
      <c r="J180" s="623" t="s">
        <v>3620</v>
      </c>
    </row>
    <row r="181">
      <c r="A181" s="16" t="s">
        <v>1780</v>
      </c>
      <c r="C181" s="16">
        <v>6.0</v>
      </c>
      <c r="D181" s="16" t="b">
        <v>0</v>
      </c>
      <c r="E181" s="16" t="b">
        <v>1</v>
      </c>
      <c r="F181" s="16" t="b">
        <v>0</v>
      </c>
      <c r="G181" s="223" t="b">
        <v>0</v>
      </c>
      <c r="H181" s="223" t="b">
        <v>0</v>
      </c>
    </row>
    <row r="182">
      <c r="A182" s="16" t="s">
        <v>1731</v>
      </c>
      <c r="C182" s="16">
        <v>11.7</v>
      </c>
      <c r="D182" s="16" t="b">
        <v>1</v>
      </c>
      <c r="E182" s="223" t="b">
        <v>0</v>
      </c>
      <c r="F182" s="16" t="b">
        <v>0</v>
      </c>
      <c r="G182" s="223" t="b">
        <v>0</v>
      </c>
      <c r="H182" s="223" t="b">
        <v>0</v>
      </c>
    </row>
    <row r="183">
      <c r="A183" s="16" t="s">
        <v>384</v>
      </c>
      <c r="C183" s="622">
        <v>8.0</v>
      </c>
      <c r="D183" s="16" t="b">
        <v>1</v>
      </c>
      <c r="E183" s="223" t="b">
        <v>0</v>
      </c>
      <c r="F183" s="16" t="b">
        <v>0</v>
      </c>
      <c r="G183" s="223" t="b">
        <v>0</v>
      </c>
      <c r="H183" s="223" t="b">
        <v>0</v>
      </c>
      <c r="I183" s="609">
        <v>45719.0</v>
      </c>
      <c r="J183" s="623" t="s">
        <v>3620</v>
      </c>
    </row>
    <row r="184">
      <c r="A184" s="47" t="s">
        <v>348</v>
      </c>
      <c r="C184" s="16">
        <v>5.9</v>
      </c>
      <c r="D184" s="16" t="b">
        <v>0</v>
      </c>
      <c r="E184" s="223" t="b">
        <v>0</v>
      </c>
      <c r="F184" s="16" t="b">
        <v>1</v>
      </c>
      <c r="G184" s="223" t="b">
        <v>0</v>
      </c>
      <c r="H184" s="223" t="b">
        <v>0</v>
      </c>
      <c r="I184" s="609">
        <v>45719.0</v>
      </c>
      <c r="J184" s="623" t="s">
        <v>3620</v>
      </c>
      <c r="K184" s="625"/>
      <c r="L184" s="626"/>
    </row>
    <row r="185">
      <c r="A185" s="47" t="s">
        <v>365</v>
      </c>
      <c r="C185" s="16">
        <v>6.1</v>
      </c>
      <c r="D185" s="16" t="b">
        <v>0</v>
      </c>
      <c r="E185" s="16" t="b">
        <v>1</v>
      </c>
      <c r="F185" s="16" t="b">
        <v>0</v>
      </c>
      <c r="G185" s="223" t="b">
        <v>0</v>
      </c>
      <c r="H185" s="223" t="b">
        <v>0</v>
      </c>
      <c r="I185" s="609">
        <v>45719.0</v>
      </c>
      <c r="J185" s="623" t="s">
        <v>3620</v>
      </c>
      <c r="K185" s="625"/>
      <c r="L185" s="626"/>
    </row>
    <row r="186">
      <c r="A186" s="16" t="s">
        <v>1750</v>
      </c>
      <c r="C186" s="16">
        <v>5.7</v>
      </c>
      <c r="D186" s="16" t="b">
        <v>0</v>
      </c>
      <c r="E186" s="223" t="b">
        <v>0</v>
      </c>
      <c r="F186" s="16" t="b">
        <v>1</v>
      </c>
      <c r="G186" s="223" t="b">
        <v>0</v>
      </c>
      <c r="H186" s="223" t="b">
        <v>0</v>
      </c>
      <c r="K186" s="625"/>
      <c r="L186" s="626"/>
    </row>
    <row r="187">
      <c r="A187" s="16" t="s">
        <v>2587</v>
      </c>
      <c r="C187" s="16">
        <v>6.2</v>
      </c>
      <c r="D187" s="16" t="b">
        <v>0</v>
      </c>
      <c r="E187" s="16" t="b">
        <v>1</v>
      </c>
      <c r="F187" s="16" t="b">
        <v>0</v>
      </c>
      <c r="G187" s="223" t="b">
        <v>0</v>
      </c>
      <c r="H187" s="223" t="b">
        <v>0</v>
      </c>
      <c r="K187" s="625"/>
      <c r="L187" s="626"/>
    </row>
    <row r="188">
      <c r="A188" s="16" t="s">
        <v>416</v>
      </c>
      <c r="C188" s="16">
        <v>6.8</v>
      </c>
      <c r="D188" s="16" t="b">
        <v>1</v>
      </c>
      <c r="E188" s="223" t="b">
        <v>0</v>
      </c>
      <c r="F188" s="16" t="b">
        <v>0</v>
      </c>
      <c r="G188" s="223" t="b">
        <v>0</v>
      </c>
      <c r="H188" s="223" t="b">
        <v>0</v>
      </c>
      <c r="I188" s="609">
        <v>45719.0</v>
      </c>
      <c r="J188" s="623" t="s">
        <v>3620</v>
      </c>
      <c r="K188" s="625"/>
      <c r="L188" s="626"/>
    </row>
    <row r="189">
      <c r="A189" s="16" t="s">
        <v>475</v>
      </c>
      <c r="C189" s="16">
        <v>9.6</v>
      </c>
      <c r="D189" s="16" t="b">
        <v>1</v>
      </c>
      <c r="E189" s="223" t="b">
        <v>0</v>
      </c>
      <c r="F189" s="16" t="b">
        <v>0</v>
      </c>
      <c r="G189" s="223" t="b">
        <v>0</v>
      </c>
      <c r="H189" s="223" t="b">
        <v>0</v>
      </c>
      <c r="I189" s="609">
        <v>45719.0</v>
      </c>
      <c r="J189" s="623" t="s">
        <v>3620</v>
      </c>
      <c r="K189" s="625"/>
      <c r="L189" s="626"/>
    </row>
    <row r="190">
      <c r="A190" s="47" t="s">
        <v>424</v>
      </c>
      <c r="C190" s="16">
        <v>9.3</v>
      </c>
      <c r="D190" s="16" t="b">
        <v>1</v>
      </c>
      <c r="E190" s="223" t="b">
        <v>0</v>
      </c>
      <c r="F190" s="16" t="b">
        <v>0</v>
      </c>
      <c r="G190" s="223" t="b">
        <v>0</v>
      </c>
      <c r="H190" s="223" t="b">
        <v>0</v>
      </c>
      <c r="K190" s="625"/>
      <c r="L190" s="626"/>
    </row>
    <row r="191">
      <c r="A191" s="16" t="s">
        <v>462</v>
      </c>
      <c r="C191" s="16">
        <v>6.4</v>
      </c>
      <c r="D191" s="16" t="b">
        <v>0</v>
      </c>
      <c r="E191" s="16" t="b">
        <v>1</v>
      </c>
      <c r="F191" s="16" t="b">
        <v>0</v>
      </c>
      <c r="G191" s="223" t="b">
        <v>0</v>
      </c>
      <c r="H191" s="223" t="b">
        <v>0</v>
      </c>
      <c r="I191" s="609">
        <v>45720.0</v>
      </c>
      <c r="J191" s="623" t="s">
        <v>3620</v>
      </c>
      <c r="K191" s="625"/>
      <c r="L191" s="626"/>
    </row>
    <row r="192">
      <c r="A192" s="16" t="s">
        <v>446</v>
      </c>
      <c r="C192" s="16">
        <v>7.8</v>
      </c>
      <c r="D192" s="16" t="b">
        <v>1</v>
      </c>
      <c r="E192" s="223" t="b">
        <v>0</v>
      </c>
      <c r="F192" s="16" t="b">
        <v>0</v>
      </c>
      <c r="G192" s="223" t="b">
        <v>0</v>
      </c>
      <c r="H192" s="223" t="b">
        <v>0</v>
      </c>
      <c r="I192" s="609">
        <v>45719.0</v>
      </c>
      <c r="J192" s="623" t="s">
        <v>3620</v>
      </c>
      <c r="K192" s="625"/>
      <c r="L192" s="626"/>
    </row>
    <row r="193">
      <c r="A193" s="16" t="s">
        <v>1737</v>
      </c>
      <c r="C193" s="16">
        <v>5.9</v>
      </c>
      <c r="D193" s="16" t="b">
        <v>0</v>
      </c>
      <c r="E193" s="223" t="b">
        <v>0</v>
      </c>
      <c r="F193" s="16" t="b">
        <v>1</v>
      </c>
      <c r="G193" s="223" t="b">
        <v>0</v>
      </c>
      <c r="H193" s="223" t="b">
        <v>0</v>
      </c>
      <c r="J193" s="625"/>
      <c r="K193" s="625"/>
      <c r="L193" s="626"/>
    </row>
    <row r="194">
      <c r="A194" s="16" t="s">
        <v>402</v>
      </c>
      <c r="C194" s="16">
        <v>6.0</v>
      </c>
      <c r="D194" s="16" t="b">
        <v>0</v>
      </c>
      <c r="E194" s="16" t="b">
        <v>1</v>
      </c>
      <c r="F194" s="16" t="b">
        <v>0</v>
      </c>
      <c r="G194" s="223" t="b">
        <v>0</v>
      </c>
      <c r="H194" s="223" t="b">
        <v>0</v>
      </c>
      <c r="I194" s="609">
        <v>45720.0</v>
      </c>
      <c r="J194" s="623" t="s">
        <v>3620</v>
      </c>
      <c r="K194" s="625"/>
      <c r="L194" s="626"/>
    </row>
    <row r="195">
      <c r="A195" s="16" t="s">
        <v>454</v>
      </c>
      <c r="C195" s="16">
        <v>5.7</v>
      </c>
      <c r="D195" s="16" t="b">
        <v>0</v>
      </c>
      <c r="E195" s="223" t="b">
        <v>0</v>
      </c>
      <c r="F195" s="16" t="b">
        <v>1</v>
      </c>
      <c r="G195" s="223" t="b">
        <v>0</v>
      </c>
      <c r="H195" s="223" t="b">
        <v>0</v>
      </c>
      <c r="I195" s="609">
        <v>45719.0</v>
      </c>
      <c r="J195" s="623" t="s">
        <v>3620</v>
      </c>
      <c r="K195" s="625"/>
      <c r="L195" s="626"/>
    </row>
    <row r="196">
      <c r="A196" s="16" t="s">
        <v>406</v>
      </c>
      <c r="C196" s="16">
        <v>10.4</v>
      </c>
      <c r="D196" s="16" t="b">
        <v>1</v>
      </c>
      <c r="E196" s="223" t="b">
        <v>0</v>
      </c>
      <c r="F196" s="16" t="b">
        <v>0</v>
      </c>
      <c r="G196" s="223" t="b">
        <v>0</v>
      </c>
      <c r="H196" s="223" t="b">
        <v>0</v>
      </c>
      <c r="I196" s="609">
        <v>45719.0</v>
      </c>
      <c r="J196" s="623" t="s">
        <v>3620</v>
      </c>
      <c r="K196" s="625"/>
      <c r="L196" s="626"/>
    </row>
    <row r="197">
      <c r="A197" s="16" t="s">
        <v>482</v>
      </c>
      <c r="C197" s="16">
        <v>7.6</v>
      </c>
      <c r="D197" s="16" t="b">
        <v>1</v>
      </c>
      <c r="E197" s="223" t="b">
        <v>0</v>
      </c>
      <c r="F197" s="16" t="b">
        <v>0</v>
      </c>
      <c r="G197" s="223" t="b">
        <v>0</v>
      </c>
      <c r="H197" s="223" t="b">
        <v>0</v>
      </c>
      <c r="I197" s="609">
        <v>45719.0</v>
      </c>
      <c r="J197" s="623" t="s">
        <v>3620</v>
      </c>
      <c r="K197" s="625"/>
      <c r="L197" s="626"/>
    </row>
    <row r="198">
      <c r="A198" s="16" t="s">
        <v>1798</v>
      </c>
      <c r="C198" s="16">
        <v>5.5</v>
      </c>
      <c r="D198" s="16" t="b">
        <v>0</v>
      </c>
      <c r="E198" s="223" t="b">
        <v>0</v>
      </c>
      <c r="F198" s="16" t="b">
        <v>1</v>
      </c>
      <c r="G198" s="223" t="b">
        <v>0</v>
      </c>
      <c r="H198" s="223" t="b">
        <v>0</v>
      </c>
      <c r="J198" s="625"/>
      <c r="K198" s="625"/>
      <c r="L198" s="626"/>
    </row>
    <row r="199">
      <c r="A199" s="16" t="s">
        <v>456</v>
      </c>
      <c r="C199" s="16">
        <v>6.5</v>
      </c>
      <c r="D199" s="16" t="b">
        <v>1</v>
      </c>
      <c r="E199" s="223" t="b">
        <v>0</v>
      </c>
      <c r="F199" s="16" t="b">
        <v>0</v>
      </c>
      <c r="G199" s="223" t="b">
        <v>0</v>
      </c>
      <c r="H199" s="223" t="b">
        <v>0</v>
      </c>
      <c r="I199" s="609">
        <v>45719.0</v>
      </c>
      <c r="J199" s="623" t="s">
        <v>3620</v>
      </c>
      <c r="K199" s="625"/>
      <c r="L199" s="626"/>
    </row>
    <row r="200">
      <c r="A200" s="135" t="s">
        <v>467</v>
      </c>
      <c r="B200" s="318"/>
      <c r="C200" s="135">
        <v>10.3</v>
      </c>
      <c r="D200" s="135" t="b">
        <v>1</v>
      </c>
      <c r="E200" s="318" t="b">
        <v>0</v>
      </c>
      <c r="F200" s="135" t="b">
        <v>0</v>
      </c>
      <c r="G200" s="318" t="b">
        <v>0</v>
      </c>
      <c r="H200" s="318" t="b">
        <v>0</v>
      </c>
      <c r="I200" s="402">
        <v>45720.0</v>
      </c>
      <c r="J200" s="629"/>
      <c r="K200" s="630"/>
      <c r="L200" s="318"/>
      <c r="M200" s="318"/>
      <c r="N200" s="318"/>
      <c r="O200" s="318"/>
      <c r="P200" s="318"/>
      <c r="Q200" s="318"/>
      <c r="R200" s="318"/>
      <c r="S200" s="318"/>
      <c r="T200" s="318"/>
      <c r="U200" s="318"/>
      <c r="V200" s="318"/>
      <c r="W200" s="318"/>
      <c r="X200" s="318"/>
      <c r="Y200" s="318"/>
      <c r="Z200" s="318"/>
      <c r="AA200" s="318"/>
      <c r="AB200" s="318"/>
      <c r="AC200" s="318"/>
      <c r="AD200" s="318"/>
      <c r="AE200" s="318"/>
    </row>
    <row r="201">
      <c r="A201" s="16" t="s">
        <v>400</v>
      </c>
      <c r="C201" s="16">
        <v>7.0</v>
      </c>
      <c r="D201" s="16" t="b">
        <v>1</v>
      </c>
      <c r="E201" s="223" t="b">
        <v>0</v>
      </c>
      <c r="F201" s="16" t="b">
        <v>0</v>
      </c>
      <c r="G201" s="223" t="b">
        <v>0</v>
      </c>
      <c r="H201" s="223" t="b">
        <v>0</v>
      </c>
      <c r="I201" s="609">
        <v>45692.0</v>
      </c>
      <c r="J201" s="623" t="s">
        <v>3620</v>
      </c>
      <c r="K201" s="626"/>
    </row>
    <row r="202">
      <c r="A202" s="16" t="s">
        <v>428</v>
      </c>
      <c r="C202" s="16">
        <v>5.8</v>
      </c>
      <c r="D202" s="16" t="b">
        <v>0</v>
      </c>
      <c r="E202" s="223" t="b">
        <v>0</v>
      </c>
      <c r="F202" s="16" t="b">
        <v>1</v>
      </c>
      <c r="G202" s="223" t="b">
        <v>0</v>
      </c>
      <c r="H202" s="223" t="b">
        <v>0</v>
      </c>
      <c r="I202" s="609">
        <v>45720.0</v>
      </c>
      <c r="J202" s="623" t="s">
        <v>3620</v>
      </c>
      <c r="K202" s="626"/>
    </row>
    <row r="203">
      <c r="A203" s="16" t="s">
        <v>1804</v>
      </c>
      <c r="C203" s="16">
        <v>6.8</v>
      </c>
      <c r="D203" s="16" t="b">
        <v>1</v>
      </c>
      <c r="E203" s="223" t="b">
        <v>0</v>
      </c>
      <c r="F203" s="16" t="b">
        <v>0</v>
      </c>
      <c r="G203" s="223" t="b">
        <v>0</v>
      </c>
      <c r="H203" s="223" t="b">
        <v>0</v>
      </c>
      <c r="J203" s="625"/>
      <c r="K203" s="626"/>
      <c r="L203" s="625"/>
    </row>
    <row r="204">
      <c r="A204" s="16" t="s">
        <v>434</v>
      </c>
      <c r="C204" s="16">
        <v>5.8</v>
      </c>
      <c r="D204" s="16" t="b">
        <v>0</v>
      </c>
      <c r="E204" s="223" t="b">
        <v>0</v>
      </c>
      <c r="F204" s="16" t="b">
        <v>1</v>
      </c>
      <c r="G204" s="223" t="b">
        <v>0</v>
      </c>
      <c r="H204" s="223" t="b">
        <v>0</v>
      </c>
      <c r="I204" s="609">
        <v>45719.0</v>
      </c>
      <c r="J204" s="623" t="s">
        <v>3620</v>
      </c>
      <c r="K204" s="626"/>
      <c r="L204" s="625"/>
    </row>
    <row r="205">
      <c r="A205" s="135" t="s">
        <v>489</v>
      </c>
      <c r="B205" s="318"/>
      <c r="C205" s="135">
        <v>11.3</v>
      </c>
      <c r="D205" s="135" t="b">
        <v>1</v>
      </c>
      <c r="E205" s="318" t="b">
        <v>0</v>
      </c>
      <c r="F205" s="135" t="b">
        <v>0</v>
      </c>
      <c r="G205" s="318" t="b">
        <v>0</v>
      </c>
      <c r="H205" s="318" t="b">
        <v>0</v>
      </c>
      <c r="I205" s="402">
        <v>45719.0</v>
      </c>
      <c r="J205" s="628" t="s">
        <v>3620</v>
      </c>
      <c r="K205" s="630"/>
      <c r="L205" s="629"/>
      <c r="M205" s="318"/>
      <c r="N205" s="318"/>
      <c r="O205" s="318"/>
      <c r="P205" s="318"/>
      <c r="Q205" s="318"/>
      <c r="R205" s="318"/>
      <c r="S205" s="318"/>
      <c r="T205" s="318"/>
      <c r="U205" s="318"/>
      <c r="V205" s="318"/>
      <c r="W205" s="318"/>
      <c r="X205" s="318"/>
      <c r="Y205" s="318"/>
      <c r="Z205" s="318"/>
      <c r="AA205" s="318"/>
      <c r="AB205" s="318"/>
      <c r="AC205" s="318"/>
      <c r="AD205" s="318"/>
      <c r="AE205" s="318"/>
    </row>
    <row r="206">
      <c r="A206" s="16" t="s">
        <v>443</v>
      </c>
      <c r="C206" s="16">
        <v>6.6</v>
      </c>
      <c r="D206" s="16" t="b">
        <v>1</v>
      </c>
      <c r="E206" s="223" t="b">
        <v>0</v>
      </c>
      <c r="F206" s="16" t="b">
        <v>0</v>
      </c>
      <c r="G206" s="223" t="b">
        <v>0</v>
      </c>
      <c r="H206" s="223" t="b">
        <v>0</v>
      </c>
      <c r="I206" s="609">
        <v>45720.0</v>
      </c>
      <c r="J206" s="623" t="s">
        <v>3620</v>
      </c>
      <c r="K206" s="626"/>
      <c r="L206" s="625"/>
    </row>
    <row r="207">
      <c r="A207" s="16" t="s">
        <v>431</v>
      </c>
      <c r="C207" s="16">
        <v>8.0</v>
      </c>
      <c r="D207" s="16" t="b">
        <v>1</v>
      </c>
      <c r="E207" s="223" t="b">
        <v>0</v>
      </c>
      <c r="F207" s="16" t="b">
        <v>0</v>
      </c>
      <c r="G207" s="223" t="b">
        <v>0</v>
      </c>
      <c r="H207" s="223" t="b">
        <v>0</v>
      </c>
      <c r="I207" s="609">
        <v>45751.0</v>
      </c>
      <c r="J207" s="623" t="s">
        <v>3620</v>
      </c>
      <c r="K207" s="626"/>
      <c r="L207" s="625"/>
    </row>
    <row r="208">
      <c r="A208" s="16" t="s">
        <v>410</v>
      </c>
      <c r="C208" s="16">
        <v>5.0</v>
      </c>
      <c r="D208" s="16" t="b">
        <v>0</v>
      </c>
      <c r="E208" s="223" t="b">
        <v>0</v>
      </c>
      <c r="F208" s="16" t="b">
        <v>1</v>
      </c>
      <c r="G208" s="223" t="b">
        <v>0</v>
      </c>
      <c r="H208" s="223" t="b">
        <v>0</v>
      </c>
      <c r="I208" s="609">
        <v>45719.0</v>
      </c>
      <c r="J208" s="623" t="s">
        <v>3620</v>
      </c>
      <c r="K208" s="626"/>
      <c r="L208" s="625"/>
    </row>
    <row r="209">
      <c r="A209" s="135" t="s">
        <v>600</v>
      </c>
      <c r="B209" s="318"/>
      <c r="C209" s="135">
        <v>5.9</v>
      </c>
      <c r="D209" s="135" t="b">
        <v>0</v>
      </c>
      <c r="E209" s="318" t="b">
        <v>0</v>
      </c>
      <c r="F209" s="135" t="b">
        <v>1</v>
      </c>
      <c r="G209" s="318" t="b">
        <v>0</v>
      </c>
      <c r="H209" s="318" t="b">
        <v>0</v>
      </c>
      <c r="I209" s="402">
        <v>45719.0</v>
      </c>
      <c r="J209" s="628" t="s">
        <v>3620</v>
      </c>
      <c r="K209" s="318"/>
      <c r="L209" s="629"/>
      <c r="M209" s="318"/>
      <c r="N209" s="318"/>
      <c r="O209" s="318"/>
      <c r="P209" s="318"/>
      <c r="Q209" s="318"/>
      <c r="R209" s="318"/>
      <c r="S209" s="318"/>
      <c r="T209" s="318"/>
      <c r="U209" s="318"/>
      <c r="V209" s="318"/>
      <c r="W209" s="318"/>
      <c r="X209" s="318"/>
      <c r="Y209" s="318"/>
      <c r="Z209" s="318"/>
      <c r="AA209" s="318"/>
      <c r="AB209" s="318"/>
      <c r="AC209" s="318"/>
      <c r="AD209" s="318"/>
      <c r="AE209" s="318"/>
    </row>
    <row r="210">
      <c r="A210" s="135" t="s">
        <v>503</v>
      </c>
      <c r="B210" s="318"/>
      <c r="C210" s="135">
        <v>6.6</v>
      </c>
      <c r="D210" s="135" t="b">
        <v>1</v>
      </c>
      <c r="E210" s="318" t="b">
        <v>0</v>
      </c>
      <c r="F210" s="135" t="b">
        <v>0</v>
      </c>
      <c r="G210" s="318" t="b">
        <v>0</v>
      </c>
      <c r="H210" s="318" t="b">
        <v>0</v>
      </c>
      <c r="I210" s="402">
        <v>45719.0</v>
      </c>
      <c r="J210" s="628" t="s">
        <v>3620</v>
      </c>
      <c r="K210" s="630"/>
      <c r="L210" s="629"/>
      <c r="M210" s="318"/>
      <c r="N210" s="318"/>
      <c r="O210" s="318"/>
      <c r="P210" s="318"/>
      <c r="Q210" s="318"/>
      <c r="R210" s="318"/>
      <c r="S210" s="318"/>
      <c r="T210" s="318"/>
      <c r="U210" s="318"/>
      <c r="V210" s="318"/>
      <c r="W210" s="318"/>
      <c r="X210" s="318"/>
      <c r="Y210" s="318"/>
      <c r="Z210" s="318"/>
      <c r="AA210" s="318"/>
      <c r="AB210" s="318"/>
      <c r="AC210" s="318"/>
      <c r="AD210" s="318"/>
      <c r="AE210" s="318"/>
    </row>
    <row r="211">
      <c r="A211" s="16" t="s">
        <v>512</v>
      </c>
      <c r="C211" s="16">
        <v>5.4</v>
      </c>
      <c r="D211" s="16" t="b">
        <v>0</v>
      </c>
      <c r="E211" s="223" t="b">
        <v>0</v>
      </c>
      <c r="F211" s="16" t="b">
        <v>1</v>
      </c>
      <c r="G211" s="223" t="b">
        <v>0</v>
      </c>
      <c r="H211" s="223" t="b">
        <v>0</v>
      </c>
      <c r="I211" s="609">
        <v>45720.0</v>
      </c>
      <c r="J211" s="623" t="s">
        <v>3620</v>
      </c>
      <c r="K211" s="626"/>
      <c r="L211" s="625"/>
    </row>
    <row r="212">
      <c r="A212" s="16" t="s">
        <v>407</v>
      </c>
      <c r="C212" s="16">
        <v>5.3</v>
      </c>
      <c r="D212" s="16" t="b">
        <v>0</v>
      </c>
      <c r="E212" s="223" t="b">
        <v>0</v>
      </c>
      <c r="F212" s="16" t="b">
        <v>1</v>
      </c>
      <c r="G212" s="223" t="b">
        <v>0</v>
      </c>
      <c r="H212" s="223" t="b">
        <v>0</v>
      </c>
      <c r="I212" s="609">
        <v>45720.0</v>
      </c>
      <c r="J212" s="623" t="s">
        <v>3620</v>
      </c>
      <c r="K212" s="626"/>
      <c r="L212" s="625"/>
    </row>
    <row r="213">
      <c r="A213" s="16" t="s">
        <v>438</v>
      </c>
      <c r="C213" s="16">
        <v>8.7</v>
      </c>
      <c r="D213" s="16" t="b">
        <v>1</v>
      </c>
      <c r="E213" s="223" t="b">
        <v>0</v>
      </c>
      <c r="F213" s="16" t="b">
        <v>0</v>
      </c>
      <c r="G213" s="223" t="b">
        <v>0</v>
      </c>
      <c r="H213" s="223" t="b">
        <v>0</v>
      </c>
      <c r="I213" s="609">
        <v>45719.0</v>
      </c>
      <c r="J213" s="623" t="s">
        <v>3620</v>
      </c>
      <c r="K213" s="626"/>
      <c r="L213" s="625"/>
    </row>
    <row r="214">
      <c r="A214" s="16" t="s">
        <v>2801</v>
      </c>
      <c r="C214" s="16">
        <v>7.6</v>
      </c>
      <c r="D214" s="16" t="b">
        <v>1</v>
      </c>
      <c r="E214" s="223" t="b">
        <v>0</v>
      </c>
      <c r="F214" s="16" t="b">
        <v>0</v>
      </c>
      <c r="G214" s="223" t="b">
        <v>0</v>
      </c>
      <c r="H214" s="223" t="b">
        <v>0</v>
      </c>
      <c r="J214" s="625"/>
      <c r="K214" s="626"/>
      <c r="L214" s="625"/>
    </row>
    <row r="215">
      <c r="A215" s="16" t="s">
        <v>493</v>
      </c>
      <c r="C215" s="16">
        <v>5.4</v>
      </c>
      <c r="D215" s="16" t="b">
        <v>0</v>
      </c>
      <c r="E215" s="223" t="b">
        <v>0</v>
      </c>
      <c r="F215" s="16" t="b">
        <v>1</v>
      </c>
      <c r="G215" s="223" t="b">
        <v>0</v>
      </c>
      <c r="H215" s="223" t="b">
        <v>0</v>
      </c>
      <c r="I215" s="609">
        <v>45719.0</v>
      </c>
      <c r="J215" s="623" t="s">
        <v>3620</v>
      </c>
      <c r="K215" s="626"/>
    </row>
    <row r="216">
      <c r="A216" s="16" t="s">
        <v>496</v>
      </c>
      <c r="C216" s="16">
        <v>5.4</v>
      </c>
      <c r="D216" s="16" t="b">
        <v>0</v>
      </c>
      <c r="E216" s="223" t="b">
        <v>0</v>
      </c>
      <c r="F216" s="16" t="b">
        <v>1</v>
      </c>
      <c r="G216" s="223" t="b">
        <v>0</v>
      </c>
      <c r="H216" s="223" t="b">
        <v>0</v>
      </c>
      <c r="I216" s="609">
        <v>45720.0</v>
      </c>
      <c r="J216" s="623" t="s">
        <v>3620</v>
      </c>
      <c r="K216" s="626"/>
    </row>
    <row r="217">
      <c r="A217" s="135" t="s">
        <v>549</v>
      </c>
      <c r="B217" s="318"/>
      <c r="C217" s="135">
        <v>4.7</v>
      </c>
      <c r="D217" s="135" t="b">
        <v>0</v>
      </c>
      <c r="E217" s="318" t="b">
        <v>0</v>
      </c>
      <c r="F217" s="135" t="b">
        <v>1</v>
      </c>
      <c r="G217" s="318" t="b">
        <v>0</v>
      </c>
      <c r="H217" s="318" t="b">
        <v>0</v>
      </c>
      <c r="I217" s="402">
        <v>45719.0</v>
      </c>
      <c r="J217" s="628" t="s">
        <v>3620</v>
      </c>
      <c r="K217" s="630"/>
      <c r="L217" s="318"/>
      <c r="M217" s="318"/>
      <c r="N217" s="318"/>
      <c r="O217" s="318"/>
      <c r="P217" s="318"/>
      <c r="Q217" s="318"/>
      <c r="R217" s="318"/>
      <c r="S217" s="318"/>
      <c r="T217" s="318"/>
      <c r="U217" s="318"/>
      <c r="V217" s="318"/>
      <c r="W217" s="318"/>
      <c r="X217" s="318"/>
      <c r="Y217" s="318"/>
      <c r="Z217" s="318"/>
      <c r="AA217" s="318"/>
      <c r="AB217" s="318"/>
      <c r="AC217" s="318"/>
      <c r="AD217" s="318"/>
      <c r="AE217" s="318"/>
    </row>
    <row r="218">
      <c r="A218" s="16" t="s">
        <v>1810</v>
      </c>
      <c r="C218" s="16">
        <v>5.5</v>
      </c>
      <c r="D218" s="16" t="b">
        <v>0</v>
      </c>
      <c r="E218" s="223" t="b">
        <v>0</v>
      </c>
      <c r="F218" s="16" t="b">
        <v>1</v>
      </c>
      <c r="G218" s="223" t="b">
        <v>0</v>
      </c>
      <c r="H218" s="223" t="b">
        <v>0</v>
      </c>
      <c r="J218" s="625"/>
      <c r="K218" s="626"/>
    </row>
    <row r="219">
      <c r="A219" s="16" t="s">
        <v>517</v>
      </c>
      <c r="C219" s="16">
        <v>6.0</v>
      </c>
      <c r="D219" s="16" t="b">
        <v>0</v>
      </c>
      <c r="E219" s="16" t="b">
        <v>1</v>
      </c>
      <c r="F219" s="16" t="b">
        <v>0</v>
      </c>
      <c r="G219" s="223" t="b">
        <v>0</v>
      </c>
      <c r="H219" s="223" t="b">
        <v>0</v>
      </c>
      <c r="I219" s="609">
        <v>45719.0</v>
      </c>
      <c r="J219" s="623" t="s">
        <v>3620</v>
      </c>
      <c r="K219" s="626"/>
    </row>
    <row r="220">
      <c r="A220" s="16" t="s">
        <v>507</v>
      </c>
      <c r="C220" s="16">
        <v>6.3</v>
      </c>
      <c r="D220" s="16" t="b">
        <v>0</v>
      </c>
      <c r="E220" s="16" t="b">
        <v>1</v>
      </c>
      <c r="F220" s="16" t="b">
        <v>0</v>
      </c>
      <c r="G220" s="223" t="b">
        <v>0</v>
      </c>
      <c r="H220" s="223" t="b">
        <v>0</v>
      </c>
      <c r="I220" s="609">
        <v>45690.0</v>
      </c>
      <c r="J220" s="623" t="s">
        <v>3620</v>
      </c>
      <c r="K220" s="626"/>
    </row>
    <row r="221">
      <c r="A221" s="16" t="s">
        <v>2825</v>
      </c>
      <c r="C221" s="16">
        <v>13.3</v>
      </c>
      <c r="D221" s="16" t="b">
        <v>1</v>
      </c>
      <c r="E221" s="223" t="b">
        <v>0</v>
      </c>
      <c r="F221" s="16" t="b">
        <v>0</v>
      </c>
      <c r="G221" s="223" t="b">
        <v>0</v>
      </c>
      <c r="H221" s="223" t="b">
        <v>0</v>
      </c>
      <c r="J221" s="625"/>
      <c r="K221" s="626"/>
    </row>
    <row r="222">
      <c r="A222" s="16" t="s">
        <v>502</v>
      </c>
      <c r="C222" s="16">
        <v>5.2</v>
      </c>
      <c r="D222" s="16" t="b">
        <v>0</v>
      </c>
      <c r="E222" s="223" t="b">
        <v>0</v>
      </c>
      <c r="F222" s="16" t="b">
        <v>1</v>
      </c>
      <c r="G222" s="223" t="b">
        <v>0</v>
      </c>
      <c r="H222" s="223" t="b">
        <v>0</v>
      </c>
      <c r="I222" s="609">
        <v>45719.0</v>
      </c>
      <c r="J222" s="623" t="s">
        <v>3620</v>
      </c>
      <c r="K222" s="626"/>
    </row>
    <row r="223">
      <c r="A223" s="16" t="s">
        <v>485</v>
      </c>
      <c r="C223" s="16">
        <v>5.9</v>
      </c>
      <c r="D223" s="16" t="b">
        <v>0</v>
      </c>
      <c r="E223" s="223" t="b">
        <v>0</v>
      </c>
      <c r="F223" s="16" t="b">
        <v>1</v>
      </c>
      <c r="G223" s="223" t="b">
        <v>0</v>
      </c>
      <c r="H223" s="223" t="b">
        <v>0</v>
      </c>
      <c r="I223" s="609">
        <v>45719.0</v>
      </c>
      <c r="J223" s="623" t="s">
        <v>3620</v>
      </c>
      <c r="K223" s="626"/>
    </row>
    <row r="224">
      <c r="A224" s="16" t="s">
        <v>474</v>
      </c>
      <c r="C224" s="16">
        <v>6.1</v>
      </c>
      <c r="D224" s="16" t="b">
        <v>0</v>
      </c>
      <c r="E224" s="16" t="b">
        <v>1</v>
      </c>
      <c r="F224" s="16" t="b">
        <v>0</v>
      </c>
      <c r="G224" s="223" t="b">
        <v>0</v>
      </c>
      <c r="H224" s="223" t="b">
        <v>0</v>
      </c>
      <c r="I224" s="609">
        <v>45719.0</v>
      </c>
      <c r="J224" s="623" t="s">
        <v>3620</v>
      </c>
    </row>
    <row r="225" ht="16.5" customHeight="1">
      <c r="A225" s="16" t="s">
        <v>544</v>
      </c>
      <c r="C225" s="16">
        <v>6.0</v>
      </c>
      <c r="D225" s="16" t="b">
        <v>0</v>
      </c>
      <c r="E225" s="16" t="b">
        <v>1</v>
      </c>
      <c r="F225" s="16" t="b">
        <v>0</v>
      </c>
      <c r="G225" s="223" t="b">
        <v>0</v>
      </c>
      <c r="H225" s="223" t="b">
        <v>0</v>
      </c>
      <c r="I225" s="609">
        <v>45719.0</v>
      </c>
      <c r="J225" s="623" t="s">
        <v>3620</v>
      </c>
    </row>
    <row r="226">
      <c r="A226" s="135" t="s">
        <v>539</v>
      </c>
      <c r="B226" s="318"/>
      <c r="C226" s="135">
        <v>7.9</v>
      </c>
      <c r="D226" s="135" t="b">
        <v>1</v>
      </c>
      <c r="E226" s="318" t="b">
        <v>0</v>
      </c>
      <c r="F226" s="135" t="b">
        <v>0</v>
      </c>
      <c r="G226" s="318" t="b">
        <v>0</v>
      </c>
      <c r="H226" s="318" t="b">
        <v>0</v>
      </c>
      <c r="I226" s="402">
        <v>45719.0</v>
      </c>
      <c r="J226" s="628" t="s">
        <v>3620</v>
      </c>
      <c r="K226" s="318"/>
      <c r="L226" s="318"/>
      <c r="M226" s="318"/>
      <c r="N226" s="318"/>
      <c r="O226" s="318"/>
      <c r="P226" s="318"/>
      <c r="Q226" s="318"/>
      <c r="R226" s="318"/>
      <c r="S226" s="318"/>
      <c r="T226" s="318"/>
      <c r="U226" s="318"/>
      <c r="V226" s="318"/>
      <c r="W226" s="318"/>
      <c r="X226" s="318"/>
      <c r="Y226" s="318"/>
      <c r="Z226" s="318"/>
      <c r="AA226" s="318"/>
      <c r="AB226" s="318"/>
      <c r="AC226" s="318"/>
      <c r="AD226" s="318"/>
      <c r="AE226" s="318"/>
    </row>
    <row r="227">
      <c r="A227" s="16" t="s">
        <v>505</v>
      </c>
      <c r="C227" s="16">
        <v>10.8</v>
      </c>
      <c r="D227" s="16" t="b">
        <v>1</v>
      </c>
      <c r="E227" s="223" t="b">
        <v>0</v>
      </c>
      <c r="F227" s="16" t="b">
        <v>0</v>
      </c>
      <c r="G227" s="223" t="b">
        <v>0</v>
      </c>
      <c r="H227" s="223" t="b">
        <v>0</v>
      </c>
      <c r="I227" s="609">
        <v>45719.0</v>
      </c>
      <c r="J227" s="623" t="s">
        <v>3620</v>
      </c>
    </row>
    <row r="228">
      <c r="A228" s="135" t="s">
        <v>604</v>
      </c>
      <c r="B228" s="318"/>
      <c r="C228" s="135">
        <v>14.0</v>
      </c>
      <c r="D228" s="135" t="b">
        <v>1</v>
      </c>
      <c r="E228" s="318" t="b">
        <v>0</v>
      </c>
      <c r="F228" s="135" t="b">
        <v>0</v>
      </c>
      <c r="G228" s="318" t="b">
        <v>0</v>
      </c>
      <c r="H228" s="318" t="b">
        <v>0</v>
      </c>
      <c r="I228" s="402">
        <v>45720.0</v>
      </c>
      <c r="J228" s="628" t="s">
        <v>3620</v>
      </c>
      <c r="K228" s="630"/>
      <c r="L228" s="318"/>
      <c r="M228" s="318"/>
      <c r="N228" s="318"/>
      <c r="O228" s="318"/>
      <c r="P228" s="318"/>
      <c r="Q228" s="318"/>
      <c r="R228" s="318"/>
      <c r="S228" s="318"/>
      <c r="T228" s="318"/>
      <c r="U228" s="318"/>
      <c r="V228" s="318"/>
      <c r="W228" s="318"/>
      <c r="X228" s="318"/>
      <c r="Y228" s="318"/>
      <c r="Z228" s="318"/>
      <c r="AA228" s="318"/>
      <c r="AB228" s="318"/>
      <c r="AC228" s="318"/>
      <c r="AD228" s="318"/>
      <c r="AE228" s="318"/>
    </row>
    <row r="229">
      <c r="A229" s="16" t="s">
        <v>538</v>
      </c>
      <c r="C229" s="16">
        <v>5.6</v>
      </c>
      <c r="D229" s="16" t="b">
        <v>0</v>
      </c>
      <c r="E229" s="223" t="b">
        <v>0</v>
      </c>
      <c r="F229" s="16" t="b">
        <v>1</v>
      </c>
      <c r="G229" s="223" t="b">
        <v>0</v>
      </c>
      <c r="H229" s="223" t="b">
        <v>0</v>
      </c>
      <c r="I229" s="609">
        <v>45719.0</v>
      </c>
      <c r="J229" s="623" t="s">
        <v>3620</v>
      </c>
      <c r="K229" s="626"/>
    </row>
    <row r="230">
      <c r="A230" s="16" t="s">
        <v>509</v>
      </c>
      <c r="C230" s="16">
        <v>5.9</v>
      </c>
      <c r="D230" s="16" t="b">
        <v>0</v>
      </c>
      <c r="E230" s="223" t="b">
        <v>0</v>
      </c>
      <c r="F230" s="16" t="b">
        <v>1</v>
      </c>
      <c r="G230" s="223" t="b">
        <v>0</v>
      </c>
      <c r="H230" s="223" t="b">
        <v>0</v>
      </c>
      <c r="I230" s="609">
        <v>45720.0</v>
      </c>
      <c r="J230" s="623" t="s">
        <v>3620</v>
      </c>
      <c r="K230" s="626"/>
    </row>
    <row r="231">
      <c r="A231" s="16" t="s">
        <v>530</v>
      </c>
      <c r="C231" s="16">
        <v>5.9</v>
      </c>
      <c r="D231" s="16" t="b">
        <v>0</v>
      </c>
      <c r="E231" s="223" t="b">
        <v>0</v>
      </c>
      <c r="F231" s="16" t="b">
        <v>1</v>
      </c>
      <c r="G231" s="223" t="b">
        <v>0</v>
      </c>
      <c r="H231" s="223" t="b">
        <v>0</v>
      </c>
      <c r="I231" s="609">
        <v>45719.0</v>
      </c>
      <c r="J231" s="623" t="s">
        <v>3620</v>
      </c>
      <c r="K231" s="626"/>
    </row>
    <row r="232">
      <c r="A232" s="16" t="s">
        <v>528</v>
      </c>
      <c r="C232" s="16">
        <v>5.7</v>
      </c>
      <c r="D232" s="16" t="b">
        <v>0</v>
      </c>
      <c r="E232" s="223" t="b">
        <v>0</v>
      </c>
      <c r="F232" s="16" t="b">
        <v>1</v>
      </c>
      <c r="G232" s="223" t="b">
        <v>0</v>
      </c>
      <c r="H232" s="223" t="b">
        <v>0</v>
      </c>
      <c r="I232" s="609">
        <v>45719.0</v>
      </c>
      <c r="J232" s="623" t="s">
        <v>3620</v>
      </c>
      <c r="K232" s="626"/>
    </row>
    <row r="233">
      <c r="A233" s="16" t="s">
        <v>518</v>
      </c>
      <c r="C233" s="16">
        <v>5.2</v>
      </c>
      <c r="D233" s="16" t="b">
        <v>0</v>
      </c>
      <c r="E233" s="223" t="b">
        <v>0</v>
      </c>
      <c r="F233" s="16" t="b">
        <v>1</v>
      </c>
      <c r="G233" s="223" t="b">
        <v>0</v>
      </c>
      <c r="H233" s="223" t="b">
        <v>0</v>
      </c>
      <c r="I233" s="609">
        <v>45719.0</v>
      </c>
      <c r="J233" s="623" t="s">
        <v>3620</v>
      </c>
      <c r="K233" s="626"/>
    </row>
    <row r="234">
      <c r="A234" s="135" t="s">
        <v>594</v>
      </c>
      <c r="B234" s="318"/>
      <c r="C234" s="135">
        <v>5.1</v>
      </c>
      <c r="D234" s="135" t="b">
        <v>0</v>
      </c>
      <c r="E234" s="318" t="b">
        <v>0</v>
      </c>
      <c r="F234" s="135" t="b">
        <v>1</v>
      </c>
      <c r="G234" s="318" t="b">
        <v>0</v>
      </c>
      <c r="H234" s="318" t="b">
        <v>0</v>
      </c>
      <c r="I234" s="402">
        <v>45719.0</v>
      </c>
      <c r="J234" s="628" t="s">
        <v>3620</v>
      </c>
      <c r="K234" s="630"/>
      <c r="L234" s="318"/>
      <c r="M234" s="318"/>
      <c r="N234" s="318"/>
      <c r="O234" s="318"/>
      <c r="P234" s="318"/>
      <c r="Q234" s="318"/>
      <c r="R234" s="318"/>
      <c r="S234" s="318"/>
      <c r="T234" s="318"/>
      <c r="U234" s="318"/>
      <c r="V234" s="318"/>
      <c r="W234" s="318"/>
      <c r="X234" s="318"/>
      <c r="Y234" s="318"/>
      <c r="Z234" s="318"/>
      <c r="AA234" s="318"/>
      <c r="AB234" s="318"/>
      <c r="AC234" s="318"/>
      <c r="AD234" s="318"/>
      <c r="AE234" s="318"/>
    </row>
    <row r="235">
      <c r="A235" s="16" t="s">
        <v>533</v>
      </c>
      <c r="C235" s="16">
        <v>5.6</v>
      </c>
      <c r="D235" s="16" t="b">
        <v>0</v>
      </c>
      <c r="E235" s="223" t="b">
        <v>0</v>
      </c>
      <c r="F235" s="16" t="b">
        <v>1</v>
      </c>
      <c r="G235" s="223" t="b">
        <v>0</v>
      </c>
      <c r="H235" s="223" t="b">
        <v>0</v>
      </c>
      <c r="I235" s="609">
        <v>45719.0</v>
      </c>
      <c r="J235" s="623" t="s">
        <v>3620</v>
      </c>
      <c r="K235" s="626"/>
    </row>
    <row r="236">
      <c r="A236" s="135" t="s">
        <v>591</v>
      </c>
      <c r="B236" s="318"/>
      <c r="C236" s="135">
        <v>5.4</v>
      </c>
      <c r="D236" s="135" t="b">
        <v>0</v>
      </c>
      <c r="E236" s="318" t="b">
        <v>0</v>
      </c>
      <c r="F236" s="135" t="b">
        <v>1</v>
      </c>
      <c r="G236" s="318" t="b">
        <v>0</v>
      </c>
      <c r="H236" s="318" t="b">
        <v>0</v>
      </c>
      <c r="I236" s="402">
        <v>45720.0</v>
      </c>
      <c r="J236" s="628" t="s">
        <v>3620</v>
      </c>
      <c r="K236" s="630"/>
      <c r="L236" s="318"/>
      <c r="M236" s="318"/>
      <c r="N236" s="318"/>
      <c r="O236" s="318"/>
      <c r="P236" s="318"/>
      <c r="Q236" s="318"/>
      <c r="R236" s="318"/>
      <c r="S236" s="318"/>
      <c r="T236" s="318"/>
      <c r="U236" s="318"/>
      <c r="V236" s="318"/>
      <c r="W236" s="318"/>
      <c r="X236" s="318"/>
      <c r="Y236" s="318"/>
      <c r="Z236" s="318"/>
      <c r="AA236" s="318"/>
      <c r="AB236" s="318"/>
      <c r="AC236" s="318"/>
      <c r="AD236" s="318"/>
      <c r="AE236" s="318"/>
    </row>
    <row r="237">
      <c r="A237" s="16" t="s">
        <v>540</v>
      </c>
      <c r="C237" s="16">
        <v>5.7</v>
      </c>
      <c r="D237" s="16" t="b">
        <v>0</v>
      </c>
      <c r="E237" s="223" t="b">
        <v>0</v>
      </c>
      <c r="F237" s="16" t="b">
        <v>1</v>
      </c>
      <c r="G237" s="223" t="b">
        <v>0</v>
      </c>
      <c r="H237" s="223" t="b">
        <v>0</v>
      </c>
      <c r="I237" s="609">
        <v>45720.0</v>
      </c>
      <c r="J237" s="623" t="s">
        <v>3620</v>
      </c>
      <c r="K237" s="626"/>
    </row>
    <row r="238">
      <c r="A238" s="135" t="s">
        <v>606</v>
      </c>
      <c r="B238" s="318"/>
      <c r="C238" s="135">
        <v>6.3</v>
      </c>
      <c r="D238" s="135" t="b">
        <v>0</v>
      </c>
      <c r="E238" s="135" t="b">
        <v>1</v>
      </c>
      <c r="F238" s="135" t="b">
        <v>0</v>
      </c>
      <c r="G238" s="318" t="b">
        <v>0</v>
      </c>
      <c r="H238" s="318" t="b">
        <v>0</v>
      </c>
      <c r="I238" s="402">
        <v>45719.0</v>
      </c>
      <c r="J238" s="628" t="s">
        <v>3620</v>
      </c>
      <c r="K238" s="318"/>
      <c r="L238" s="318"/>
      <c r="M238" s="318"/>
      <c r="N238" s="318"/>
      <c r="O238" s="318"/>
      <c r="P238" s="318"/>
      <c r="Q238" s="318"/>
      <c r="R238" s="318"/>
      <c r="S238" s="318"/>
      <c r="T238" s="318"/>
      <c r="U238" s="318"/>
      <c r="V238" s="318"/>
      <c r="W238" s="318"/>
      <c r="X238" s="318"/>
      <c r="Y238" s="318"/>
      <c r="Z238" s="318"/>
      <c r="AA238" s="318"/>
      <c r="AB238" s="318"/>
      <c r="AC238" s="318"/>
      <c r="AD238" s="318"/>
      <c r="AE238" s="318"/>
    </row>
    <row r="239">
      <c r="A239" s="16" t="s">
        <v>553</v>
      </c>
      <c r="C239" s="16">
        <v>5.8</v>
      </c>
      <c r="D239" s="16" t="b">
        <v>0</v>
      </c>
      <c r="E239" s="223" t="b">
        <v>0</v>
      </c>
      <c r="F239" s="16" t="b">
        <v>1</v>
      </c>
      <c r="G239" s="223" t="b">
        <v>0</v>
      </c>
      <c r="H239" s="223" t="b">
        <v>0</v>
      </c>
      <c r="I239" s="609">
        <v>45720.0</v>
      </c>
      <c r="J239" s="623" t="s">
        <v>3620</v>
      </c>
      <c r="K239" s="626"/>
      <c r="L239" s="625"/>
    </row>
    <row r="240">
      <c r="A240" s="16" t="s">
        <v>537</v>
      </c>
      <c r="C240" s="16">
        <v>5.2</v>
      </c>
      <c r="D240" s="16" t="b">
        <v>0</v>
      </c>
      <c r="E240" s="223" t="b">
        <v>0</v>
      </c>
      <c r="F240" s="16" t="b">
        <v>1</v>
      </c>
      <c r="G240" s="223" t="b">
        <v>0</v>
      </c>
      <c r="H240" s="223" t="b">
        <v>0</v>
      </c>
      <c r="I240" s="609">
        <v>45719.0</v>
      </c>
      <c r="J240" s="623" t="s">
        <v>3620</v>
      </c>
      <c r="K240" s="626"/>
      <c r="L240" s="625"/>
    </row>
    <row r="241">
      <c r="A241" s="16" t="s">
        <v>557</v>
      </c>
      <c r="C241" s="16">
        <v>6.5</v>
      </c>
      <c r="D241" s="16" t="b">
        <v>1</v>
      </c>
      <c r="E241" s="223" t="b">
        <v>0</v>
      </c>
      <c r="F241" s="16" t="b">
        <v>0</v>
      </c>
      <c r="G241" s="223" t="b">
        <v>0</v>
      </c>
      <c r="H241" s="223" t="b">
        <v>0</v>
      </c>
      <c r="I241" s="609">
        <v>45719.0</v>
      </c>
      <c r="J241" s="623" t="s">
        <v>3620</v>
      </c>
      <c r="K241" s="626"/>
      <c r="L241" s="625"/>
    </row>
    <row r="242">
      <c r="A242" s="16" t="s">
        <v>555</v>
      </c>
      <c r="C242" s="16">
        <v>5.9</v>
      </c>
      <c r="D242" s="16" t="b">
        <v>0</v>
      </c>
      <c r="E242" s="223" t="b">
        <v>0</v>
      </c>
      <c r="F242" s="16" t="b">
        <v>1</v>
      </c>
      <c r="G242" s="223" t="b">
        <v>0</v>
      </c>
      <c r="H242" s="223" t="b">
        <v>0</v>
      </c>
      <c r="I242" s="609">
        <v>45719.0</v>
      </c>
      <c r="J242" s="623" t="s">
        <v>3620</v>
      </c>
      <c r="K242" s="626"/>
      <c r="L242" s="625"/>
    </row>
    <row r="243">
      <c r="A243" s="16" t="s">
        <v>3019</v>
      </c>
      <c r="D243" s="16" t="b">
        <v>0</v>
      </c>
      <c r="E243" s="223" t="b">
        <v>0</v>
      </c>
      <c r="F243" s="16" t="b">
        <v>0</v>
      </c>
      <c r="G243" s="223" t="b">
        <v>0</v>
      </c>
      <c r="H243" s="223" t="b">
        <v>0</v>
      </c>
      <c r="I243" s="609"/>
      <c r="J243" s="623"/>
      <c r="K243" s="626"/>
      <c r="L243" s="625"/>
    </row>
    <row r="244">
      <c r="A244" s="16" t="s">
        <v>536</v>
      </c>
      <c r="C244" s="16">
        <v>6.2</v>
      </c>
      <c r="D244" s="16" t="b">
        <v>0</v>
      </c>
      <c r="E244" s="16" t="b">
        <v>1</v>
      </c>
      <c r="F244" s="16" t="b">
        <v>0</v>
      </c>
      <c r="G244" s="223" t="b">
        <v>0</v>
      </c>
      <c r="H244" s="223" t="b">
        <v>0</v>
      </c>
      <c r="I244" s="609">
        <v>45720.0</v>
      </c>
      <c r="J244" s="623" t="s">
        <v>3620</v>
      </c>
      <c r="K244" s="626"/>
      <c r="L244" s="625"/>
    </row>
    <row r="245">
      <c r="A245" s="16" t="s">
        <v>542</v>
      </c>
      <c r="C245" s="16">
        <v>5.3</v>
      </c>
      <c r="D245" s="16" t="b">
        <v>0</v>
      </c>
      <c r="E245" s="223" t="b">
        <v>0</v>
      </c>
      <c r="F245" s="16" t="b">
        <v>1</v>
      </c>
      <c r="G245" s="223" t="b">
        <v>0</v>
      </c>
      <c r="H245" s="223" t="b">
        <v>0</v>
      </c>
      <c r="I245" s="609">
        <v>45720.0</v>
      </c>
      <c r="J245" s="623" t="s">
        <v>3620</v>
      </c>
      <c r="K245" s="626"/>
      <c r="L245" s="625"/>
    </row>
    <row r="246">
      <c r="A246" s="16" t="s">
        <v>3049</v>
      </c>
      <c r="C246" s="16">
        <v>5.2</v>
      </c>
      <c r="D246" s="16" t="b">
        <v>0</v>
      </c>
      <c r="E246" s="223" t="b">
        <v>0</v>
      </c>
      <c r="F246" s="16" t="b">
        <v>1</v>
      </c>
      <c r="G246" s="223" t="b">
        <v>0</v>
      </c>
      <c r="H246" s="223" t="b">
        <v>0</v>
      </c>
      <c r="J246" s="623"/>
      <c r="L246" s="625"/>
    </row>
    <row r="247">
      <c r="A247" s="16" t="s">
        <v>551</v>
      </c>
      <c r="C247" s="16">
        <v>5.3</v>
      </c>
      <c r="D247" s="16" t="b">
        <v>0</v>
      </c>
      <c r="E247" s="223" t="b">
        <v>0</v>
      </c>
      <c r="F247" s="16" t="b">
        <v>1</v>
      </c>
      <c r="I247" s="609">
        <v>45720.0</v>
      </c>
      <c r="J247" s="623" t="s">
        <v>3620</v>
      </c>
      <c r="L247" s="625"/>
    </row>
    <row r="248">
      <c r="L248" s="625"/>
    </row>
    <row r="249">
      <c r="L249" s="625"/>
    </row>
    <row r="250">
      <c r="L250" s="625"/>
    </row>
    <row r="251">
      <c r="L251" s="625"/>
    </row>
    <row r="252">
      <c r="L252" s="625"/>
    </row>
    <row r="253">
      <c r="L253" s="625"/>
    </row>
    <row r="254">
      <c r="L254" s="625"/>
    </row>
  </sheetData>
  <printOptions gridLines="1" horizontalCentered="1"/>
  <pageMargins bottom="0.75" footer="0.0" header="0.0" left="0.7" right="0.7"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2"/>
  <sheetData>
    <row r="1">
      <c r="A1" s="242" t="s">
        <v>0</v>
      </c>
      <c r="B1" s="242" t="s">
        <v>3749</v>
      </c>
    </row>
    <row r="2">
      <c r="A2" s="28" t="s">
        <v>46</v>
      </c>
      <c r="B2" s="16" t="s">
        <v>1065</v>
      </c>
    </row>
    <row r="3">
      <c r="A3" s="28" t="s">
        <v>49</v>
      </c>
      <c r="B3" s="16" t="s">
        <v>1065</v>
      </c>
    </row>
    <row r="4">
      <c r="A4" s="28" t="s">
        <v>27</v>
      </c>
      <c r="B4" s="16" t="s">
        <v>1065</v>
      </c>
    </row>
    <row r="5">
      <c r="A5" s="28" t="s">
        <v>10</v>
      </c>
      <c r="B5" s="16" t="s">
        <v>1065</v>
      </c>
    </row>
    <row r="6">
      <c r="A6" s="28" t="s">
        <v>65</v>
      </c>
      <c r="B6" s="16" t="s">
        <v>1065</v>
      </c>
    </row>
    <row r="7">
      <c r="A7" s="28" t="s">
        <v>22</v>
      </c>
      <c r="B7" s="16" t="s">
        <v>1065</v>
      </c>
    </row>
    <row r="8">
      <c r="A8" s="28" t="s">
        <v>53</v>
      </c>
      <c r="B8" s="16" t="s">
        <v>1065</v>
      </c>
    </row>
    <row r="9">
      <c r="A9" s="28" t="s">
        <v>57</v>
      </c>
      <c r="B9" s="16" t="s">
        <v>1065</v>
      </c>
    </row>
    <row r="10">
      <c r="A10" s="28" t="s">
        <v>67</v>
      </c>
      <c r="B10" s="16" t="s">
        <v>1065</v>
      </c>
    </row>
    <row r="11">
      <c r="A11" s="28" t="s">
        <v>50</v>
      </c>
    </row>
    <row r="12">
      <c r="A12" s="28" t="s">
        <v>34</v>
      </c>
      <c r="B12" s="16" t="s">
        <v>1065</v>
      </c>
    </row>
    <row r="13">
      <c r="A13" s="28" t="s">
        <v>62</v>
      </c>
      <c r="B13" s="16" t="s">
        <v>1065</v>
      </c>
    </row>
    <row r="14">
      <c r="A14" s="28" t="s">
        <v>25</v>
      </c>
      <c r="B14" s="16" t="s">
        <v>1065</v>
      </c>
    </row>
    <row r="15">
      <c r="A15" s="28" t="s">
        <v>69</v>
      </c>
      <c r="B15" s="16" t="s">
        <v>1065</v>
      </c>
    </row>
    <row r="16">
      <c r="A16" s="28" t="s">
        <v>43</v>
      </c>
      <c r="B16" s="16" t="s">
        <v>1065</v>
      </c>
    </row>
    <row r="17">
      <c r="A17" s="28" t="s">
        <v>82</v>
      </c>
      <c r="B17" s="16" t="s">
        <v>1065</v>
      </c>
    </row>
    <row r="18">
      <c r="A18" s="28" t="s">
        <v>59</v>
      </c>
      <c r="B18" s="16" t="s">
        <v>1065</v>
      </c>
    </row>
    <row r="19">
      <c r="A19" s="28" t="s">
        <v>73</v>
      </c>
      <c r="B19" s="16" t="s">
        <v>1065</v>
      </c>
    </row>
    <row r="20">
      <c r="A20" s="28" t="s">
        <v>33</v>
      </c>
      <c r="B20" s="16" t="s">
        <v>1065</v>
      </c>
    </row>
    <row r="21">
      <c r="A21" s="28" t="s">
        <v>55</v>
      </c>
      <c r="B21" s="16" t="s">
        <v>1065</v>
      </c>
    </row>
    <row r="22">
      <c r="A22" s="28" t="s">
        <v>41</v>
      </c>
      <c r="B22" s="16" t="s">
        <v>1065</v>
      </c>
    </row>
    <row r="23">
      <c r="A23" s="28" t="s">
        <v>58</v>
      </c>
      <c r="B23" s="16" t="s">
        <v>1065</v>
      </c>
    </row>
    <row r="24">
      <c r="A24" s="28" t="s">
        <v>38</v>
      </c>
      <c r="B24" s="16" t="s">
        <v>1065</v>
      </c>
    </row>
    <row r="25">
      <c r="A25" s="28" t="s">
        <v>71</v>
      </c>
      <c r="B25" s="16" t="s">
        <v>1065</v>
      </c>
    </row>
    <row r="26">
      <c r="A26" s="28" t="s">
        <v>75</v>
      </c>
      <c r="B26" s="16" t="s">
        <v>1065</v>
      </c>
    </row>
    <row r="27">
      <c r="A27" s="28" t="s">
        <v>66</v>
      </c>
      <c r="B27" s="16" t="s">
        <v>1065</v>
      </c>
    </row>
    <row r="28">
      <c r="A28" s="28" t="s">
        <v>88</v>
      </c>
      <c r="B28" s="16" t="s">
        <v>1065</v>
      </c>
    </row>
    <row r="29">
      <c r="A29" s="28" t="s">
        <v>51</v>
      </c>
      <c r="B29" s="16" t="s">
        <v>1065</v>
      </c>
    </row>
    <row r="30">
      <c r="A30" s="28" t="s">
        <v>93</v>
      </c>
      <c r="B30" s="16" t="s">
        <v>1065</v>
      </c>
    </row>
    <row r="31">
      <c r="A31" s="28" t="s">
        <v>70</v>
      </c>
      <c r="B31" s="16" t="s">
        <v>1065</v>
      </c>
    </row>
    <row r="32">
      <c r="A32" s="28" t="s">
        <v>78</v>
      </c>
      <c r="B32" s="16" t="s">
        <v>1065</v>
      </c>
    </row>
    <row r="33">
      <c r="A33" s="28" t="s">
        <v>91</v>
      </c>
      <c r="B33" s="16" t="s">
        <v>1065</v>
      </c>
    </row>
    <row r="34">
      <c r="A34" s="28" t="s">
        <v>32</v>
      </c>
      <c r="B34" s="16" t="s">
        <v>1065</v>
      </c>
    </row>
    <row r="35">
      <c r="A35" s="28" t="s">
        <v>126</v>
      </c>
      <c r="B35" s="16" t="s">
        <v>1065</v>
      </c>
    </row>
    <row r="36">
      <c r="A36" s="28" t="s">
        <v>74</v>
      </c>
      <c r="B36" s="16" t="s">
        <v>1065</v>
      </c>
    </row>
    <row r="37">
      <c r="A37" s="28" t="s">
        <v>85</v>
      </c>
      <c r="B37" s="16" t="s">
        <v>1065</v>
      </c>
    </row>
    <row r="38">
      <c r="A38" s="28" t="s">
        <v>89</v>
      </c>
      <c r="B38" s="16" t="s">
        <v>1065</v>
      </c>
    </row>
    <row r="39">
      <c r="A39" s="28" t="s">
        <v>81</v>
      </c>
      <c r="B39" s="16" t="s">
        <v>1065</v>
      </c>
    </row>
    <row r="40">
      <c r="A40" s="28" t="s">
        <v>90</v>
      </c>
      <c r="B40" s="16" t="s">
        <v>1065</v>
      </c>
    </row>
    <row r="41">
      <c r="A41" s="28" t="s">
        <v>120</v>
      </c>
      <c r="B41" s="16" t="s">
        <v>1065</v>
      </c>
    </row>
    <row r="42">
      <c r="A42" s="28" t="s">
        <v>87</v>
      </c>
      <c r="B42" s="16" t="s">
        <v>1065</v>
      </c>
    </row>
    <row r="43">
      <c r="A43" s="28" t="s">
        <v>193</v>
      </c>
      <c r="B43" s="16" t="s">
        <v>1065</v>
      </c>
    </row>
    <row r="44">
      <c r="A44" s="28" t="s">
        <v>84</v>
      </c>
      <c r="B44" s="16" t="s">
        <v>1065</v>
      </c>
    </row>
    <row r="45">
      <c r="A45" s="408" t="s">
        <v>116</v>
      </c>
      <c r="B45" s="286" t="s">
        <v>1232</v>
      </c>
    </row>
    <row r="46">
      <c r="A46" s="28" t="s">
        <v>86</v>
      </c>
      <c r="B46" s="16" t="s">
        <v>1065</v>
      </c>
    </row>
    <row r="47">
      <c r="A47" s="28" t="s">
        <v>96</v>
      </c>
      <c r="B47" s="16" t="s">
        <v>1065</v>
      </c>
    </row>
    <row r="48">
      <c r="A48" s="28" t="s">
        <v>122</v>
      </c>
      <c r="B48" s="16" t="s">
        <v>1065</v>
      </c>
    </row>
    <row r="49">
      <c r="A49" s="28" t="s">
        <v>135</v>
      </c>
      <c r="B49" s="16" t="s">
        <v>1065</v>
      </c>
    </row>
    <row r="50">
      <c r="A50" s="28" t="s">
        <v>125</v>
      </c>
      <c r="B50" s="16" t="s">
        <v>1065</v>
      </c>
    </row>
    <row r="51">
      <c r="A51" s="28" t="s">
        <v>127</v>
      </c>
      <c r="B51" s="16" t="s">
        <v>1065</v>
      </c>
    </row>
    <row r="52">
      <c r="A52" s="28" t="s">
        <v>141</v>
      </c>
      <c r="B52" s="16" t="s">
        <v>1065</v>
      </c>
    </row>
    <row r="53">
      <c r="A53" s="28" t="s">
        <v>114</v>
      </c>
      <c r="B53" s="16" t="s">
        <v>1065</v>
      </c>
    </row>
    <row r="54">
      <c r="A54" s="28" t="s">
        <v>147</v>
      </c>
      <c r="B54" s="16" t="s">
        <v>1065</v>
      </c>
    </row>
    <row r="55">
      <c r="A55" s="28" t="s">
        <v>164</v>
      </c>
      <c r="B55" s="16" t="s">
        <v>1065</v>
      </c>
    </row>
    <row r="56">
      <c r="A56" s="28" t="s">
        <v>148</v>
      </c>
      <c r="B56" s="16" t="s">
        <v>1065</v>
      </c>
    </row>
    <row r="57">
      <c r="A57" s="28" t="s">
        <v>192</v>
      </c>
      <c r="B57" s="16" t="s">
        <v>1065</v>
      </c>
    </row>
    <row r="58">
      <c r="A58" s="408" t="s">
        <v>117</v>
      </c>
      <c r="B58" s="286" t="s">
        <v>1232</v>
      </c>
    </row>
    <row r="59">
      <c r="A59" s="28" t="s">
        <v>133</v>
      </c>
      <c r="B59" s="16" t="s">
        <v>1065</v>
      </c>
    </row>
    <row r="60">
      <c r="A60" s="28" t="s">
        <v>145</v>
      </c>
      <c r="B60" s="16" t="s">
        <v>1065</v>
      </c>
    </row>
    <row r="61">
      <c r="A61" s="28" t="s">
        <v>152</v>
      </c>
      <c r="B61" s="16" t="s">
        <v>1065</v>
      </c>
    </row>
    <row r="62">
      <c r="A62" s="28" t="s">
        <v>154</v>
      </c>
      <c r="B62" s="16" t="s">
        <v>1065</v>
      </c>
    </row>
    <row r="63">
      <c r="A63" s="28" t="s">
        <v>178</v>
      </c>
      <c r="B63" s="16" t="s">
        <v>1065</v>
      </c>
    </row>
    <row r="64">
      <c r="A64" s="28" t="s">
        <v>162</v>
      </c>
      <c r="B64" s="16" t="s">
        <v>1065</v>
      </c>
    </row>
    <row r="65">
      <c r="A65" s="28" t="s">
        <v>153</v>
      </c>
      <c r="B65" s="16" t="s">
        <v>1065</v>
      </c>
    </row>
    <row r="66">
      <c r="A66" s="28" t="s">
        <v>151</v>
      </c>
      <c r="B66" s="16" t="s">
        <v>1065</v>
      </c>
    </row>
    <row r="67">
      <c r="A67" s="28" t="s">
        <v>216</v>
      </c>
      <c r="B67" s="16" t="s">
        <v>1065</v>
      </c>
    </row>
    <row r="68">
      <c r="A68" s="28" t="s">
        <v>180</v>
      </c>
      <c r="B68" s="16" t="s">
        <v>1065</v>
      </c>
    </row>
    <row r="69">
      <c r="A69" s="28" t="s">
        <v>157</v>
      </c>
      <c r="B69" s="16" t="s">
        <v>1065</v>
      </c>
    </row>
    <row r="70">
      <c r="A70" s="28" t="s">
        <v>211</v>
      </c>
      <c r="B70" s="16" t="s">
        <v>1065</v>
      </c>
    </row>
    <row r="71">
      <c r="A71" s="28" t="s">
        <v>183</v>
      </c>
      <c r="B71" s="16" t="s">
        <v>1065</v>
      </c>
    </row>
    <row r="72">
      <c r="A72" s="28" t="s">
        <v>138</v>
      </c>
      <c r="B72" s="16" t="s">
        <v>1065</v>
      </c>
    </row>
    <row r="73">
      <c r="A73" s="28" t="s">
        <v>228</v>
      </c>
      <c r="B73" s="16" t="s">
        <v>1065</v>
      </c>
    </row>
    <row r="74">
      <c r="A74" s="28" t="s">
        <v>176</v>
      </c>
      <c r="B74" s="16" t="s">
        <v>1065</v>
      </c>
    </row>
    <row r="75">
      <c r="A75" s="28" t="s">
        <v>195</v>
      </c>
      <c r="B75" s="16" t="s">
        <v>1065</v>
      </c>
    </row>
    <row r="76">
      <c r="A76" s="28" t="s">
        <v>169</v>
      </c>
      <c r="B76" s="16" t="s">
        <v>1065</v>
      </c>
    </row>
    <row r="77">
      <c r="A77" s="28" t="s">
        <v>188</v>
      </c>
      <c r="B77" s="16" t="s">
        <v>1065</v>
      </c>
    </row>
    <row r="78">
      <c r="A78" s="28" t="s">
        <v>196</v>
      </c>
      <c r="B78" s="16" t="s">
        <v>1065</v>
      </c>
    </row>
    <row r="79">
      <c r="A79" s="28" t="s">
        <v>215</v>
      </c>
      <c r="B79" s="16" t="s">
        <v>3750</v>
      </c>
    </row>
    <row r="80">
      <c r="A80" s="28" t="s">
        <v>184</v>
      </c>
      <c r="B80" s="16" t="s">
        <v>1065</v>
      </c>
    </row>
    <row r="81">
      <c r="A81" s="28" t="s">
        <v>128</v>
      </c>
      <c r="B81" s="16" t="s">
        <v>1065</v>
      </c>
    </row>
    <row r="82">
      <c r="A82" s="28" t="s">
        <v>190</v>
      </c>
      <c r="B82" s="16" t="s">
        <v>1065</v>
      </c>
    </row>
    <row r="83">
      <c r="A83" s="195" t="s">
        <v>227</v>
      </c>
      <c r="B83" s="189" t="s">
        <v>3751</v>
      </c>
    </row>
    <row r="84">
      <c r="A84" s="28" t="s">
        <v>229</v>
      </c>
      <c r="B84" s="16" t="s">
        <v>1065</v>
      </c>
    </row>
    <row r="85">
      <c r="A85" s="28" t="s">
        <v>168</v>
      </c>
      <c r="B85" s="16" t="s">
        <v>1065</v>
      </c>
    </row>
    <row r="86">
      <c r="A86" s="28" t="s">
        <v>236</v>
      </c>
      <c r="B86" s="16" t="s">
        <v>1065</v>
      </c>
    </row>
    <row r="87">
      <c r="A87" s="28" t="s">
        <v>278</v>
      </c>
      <c r="B87" s="16" t="s">
        <v>1065</v>
      </c>
    </row>
    <row r="88">
      <c r="A88" s="28" t="s">
        <v>186</v>
      </c>
      <c r="B88" s="16" t="s">
        <v>1065</v>
      </c>
    </row>
    <row r="89">
      <c r="A89" s="195" t="s">
        <v>207</v>
      </c>
      <c r="B89" s="189" t="s">
        <v>3751</v>
      </c>
    </row>
    <row r="90">
      <c r="A90" s="28" t="s">
        <v>259</v>
      </c>
      <c r="B90" s="16" t="s">
        <v>1065</v>
      </c>
    </row>
    <row r="91">
      <c r="A91" s="28" t="s">
        <v>272</v>
      </c>
      <c r="B91" s="16" t="s">
        <v>1065</v>
      </c>
    </row>
    <row r="92">
      <c r="A92" s="28" t="s">
        <v>231</v>
      </c>
      <c r="B92" s="16" t="s">
        <v>1065</v>
      </c>
    </row>
    <row r="93">
      <c r="A93" s="408" t="s">
        <v>254</v>
      </c>
      <c r="B93" s="286" t="s">
        <v>1232</v>
      </c>
    </row>
    <row r="94">
      <c r="A94" s="28" t="s">
        <v>243</v>
      </c>
      <c r="B94" s="16" t="s">
        <v>1065</v>
      </c>
    </row>
    <row r="95">
      <c r="A95" s="28" t="s">
        <v>279</v>
      </c>
      <c r="B95" s="16" t="s">
        <v>1065</v>
      </c>
    </row>
    <row r="96">
      <c r="A96" s="28" t="s">
        <v>209</v>
      </c>
      <c r="B96" s="16" t="s">
        <v>1065</v>
      </c>
    </row>
    <row r="97">
      <c r="A97" s="28" t="s">
        <v>314</v>
      </c>
      <c r="B97" s="16" t="s">
        <v>1065</v>
      </c>
    </row>
    <row r="98">
      <c r="A98" s="28" t="s">
        <v>274</v>
      </c>
      <c r="B98" s="16" t="s">
        <v>1065</v>
      </c>
    </row>
    <row r="99">
      <c r="A99" s="28" t="s">
        <v>217</v>
      </c>
      <c r="B99" s="16" t="s">
        <v>1065</v>
      </c>
    </row>
    <row r="100">
      <c r="A100" s="28" t="s">
        <v>262</v>
      </c>
      <c r="B100" s="16" t="s">
        <v>1065</v>
      </c>
    </row>
    <row r="101">
      <c r="A101" s="28" t="s">
        <v>263</v>
      </c>
      <c r="B101" s="16" t="s">
        <v>1065</v>
      </c>
    </row>
    <row r="102">
      <c r="A102" s="28" t="s">
        <v>255</v>
      </c>
      <c r="B102" s="16" t="s">
        <v>1065</v>
      </c>
    </row>
    <row r="103">
      <c r="A103" s="28" t="s">
        <v>287</v>
      </c>
      <c r="B103" s="16" t="s">
        <v>1065</v>
      </c>
    </row>
    <row r="104">
      <c r="A104" s="28" t="s">
        <v>347</v>
      </c>
      <c r="B104" s="16" t="s">
        <v>1065</v>
      </c>
    </row>
    <row r="105">
      <c r="A105" s="28" t="s">
        <v>244</v>
      </c>
      <c r="B105" s="16" t="s">
        <v>1065</v>
      </c>
    </row>
    <row r="106">
      <c r="A106" s="28" t="s">
        <v>256</v>
      </c>
      <c r="B106" s="16" t="s">
        <v>1065</v>
      </c>
    </row>
    <row r="107">
      <c r="A107" s="28" t="s">
        <v>353</v>
      </c>
      <c r="B107" s="16" t="s">
        <v>1065</v>
      </c>
    </row>
    <row r="108">
      <c r="A108" s="28" t="s">
        <v>260</v>
      </c>
      <c r="B108" s="16" t="s">
        <v>1065</v>
      </c>
    </row>
    <row r="109">
      <c r="A109" s="28" t="s">
        <v>311</v>
      </c>
      <c r="B109" s="16" t="s">
        <v>1065</v>
      </c>
    </row>
    <row r="110">
      <c r="A110" s="28" t="s">
        <v>283</v>
      </c>
      <c r="B110" s="16" t="s">
        <v>1065</v>
      </c>
    </row>
    <row r="111">
      <c r="A111" s="28" t="s">
        <v>277</v>
      </c>
      <c r="B111" s="16" t="s">
        <v>1065</v>
      </c>
    </row>
    <row r="112">
      <c r="A112" s="28" t="s">
        <v>286</v>
      </c>
      <c r="B112" s="16" t="s">
        <v>1065</v>
      </c>
    </row>
    <row r="113">
      <c r="A113" s="28" t="s">
        <v>304</v>
      </c>
      <c r="B113" s="16" t="s">
        <v>1065</v>
      </c>
    </row>
    <row r="114">
      <c r="A114" s="28" t="s">
        <v>319</v>
      </c>
      <c r="B114" s="16" t="s">
        <v>1065</v>
      </c>
    </row>
    <row r="115">
      <c r="A115" s="637" t="s">
        <v>307</v>
      </c>
      <c r="B115" s="16" t="s">
        <v>1065</v>
      </c>
    </row>
    <row r="116">
      <c r="A116" s="467" t="s">
        <v>296</v>
      </c>
      <c r="B116" s="16" t="s">
        <v>1065</v>
      </c>
    </row>
    <row r="117">
      <c r="A117" s="28" t="s">
        <v>336</v>
      </c>
      <c r="B117" s="16" t="s">
        <v>1065</v>
      </c>
    </row>
    <row r="118">
      <c r="A118" s="28" t="s">
        <v>317</v>
      </c>
      <c r="B118" s="16" t="s">
        <v>1065</v>
      </c>
    </row>
    <row r="119">
      <c r="A119" s="637" t="s">
        <v>597</v>
      </c>
      <c r="B119" s="16" t="s">
        <v>1065</v>
      </c>
    </row>
    <row r="120">
      <c r="A120" s="467" t="s">
        <v>301</v>
      </c>
      <c r="B120" s="16" t="s">
        <v>1065</v>
      </c>
    </row>
    <row r="121">
      <c r="A121" s="28" t="s">
        <v>315</v>
      </c>
      <c r="B121" s="16" t="s">
        <v>1065</v>
      </c>
    </row>
    <row r="122">
      <c r="A122" s="28" t="s">
        <v>394</v>
      </c>
      <c r="B122" s="16" t="s">
        <v>1065</v>
      </c>
    </row>
    <row r="123">
      <c r="A123" s="28" t="s">
        <v>340</v>
      </c>
      <c r="B123" s="16" t="s">
        <v>1065</v>
      </c>
      <c r="C123" s="16" t="s">
        <v>3752</v>
      </c>
    </row>
    <row r="124">
      <c r="A124" s="28" t="s">
        <v>378</v>
      </c>
      <c r="B124" s="16" t="s">
        <v>1065</v>
      </c>
    </row>
    <row r="125">
      <c r="A125" s="28" t="s">
        <v>368</v>
      </c>
      <c r="B125" s="16" t="s">
        <v>1065</v>
      </c>
    </row>
    <row r="126">
      <c r="A126" s="28" t="s">
        <v>599</v>
      </c>
      <c r="B126" s="16" t="s">
        <v>1065</v>
      </c>
    </row>
    <row r="127">
      <c r="A127" s="28" t="s">
        <v>322</v>
      </c>
      <c r="B127" s="16" t="s">
        <v>1065</v>
      </c>
    </row>
    <row r="128">
      <c r="A128" s="28" t="s">
        <v>364</v>
      </c>
      <c r="B128" s="16" t="s">
        <v>1065</v>
      </c>
    </row>
    <row r="129">
      <c r="A129" s="28" t="s">
        <v>335</v>
      </c>
      <c r="B129" s="16" t="s">
        <v>1065</v>
      </c>
    </row>
    <row r="130">
      <c r="A130" s="28" t="s">
        <v>341</v>
      </c>
      <c r="B130" s="16" t="s">
        <v>1065</v>
      </c>
    </row>
    <row r="131">
      <c r="A131" s="637" t="s">
        <v>375</v>
      </c>
      <c r="B131" s="16" t="s">
        <v>1065</v>
      </c>
    </row>
    <row r="132">
      <c r="A132" s="637" t="s">
        <v>362</v>
      </c>
      <c r="B132" s="16" t="s">
        <v>1065</v>
      </c>
    </row>
    <row r="133">
      <c r="A133" s="28" t="s">
        <v>382</v>
      </c>
      <c r="B133" s="16" t="s">
        <v>1065</v>
      </c>
    </row>
    <row r="134">
      <c r="A134" s="28" t="s">
        <v>358</v>
      </c>
      <c r="B134" s="16" t="s">
        <v>1065</v>
      </c>
    </row>
    <row r="135">
      <c r="A135" s="28" t="s">
        <v>391</v>
      </c>
      <c r="B135" s="16" t="s">
        <v>1065</v>
      </c>
    </row>
    <row r="136">
      <c r="A136" s="28" t="s">
        <v>372</v>
      </c>
      <c r="B136" s="16" t="s">
        <v>1065</v>
      </c>
    </row>
    <row r="137">
      <c r="A137" s="28" t="s">
        <v>327</v>
      </c>
      <c r="B137" s="16" t="s">
        <v>1065</v>
      </c>
    </row>
    <row r="138">
      <c r="A138" s="28" t="s">
        <v>345</v>
      </c>
      <c r="B138" s="16" t="s">
        <v>1065</v>
      </c>
    </row>
    <row r="139">
      <c r="A139" s="28" t="s">
        <v>415</v>
      </c>
      <c r="B139" s="16" t="s">
        <v>1065</v>
      </c>
    </row>
    <row r="140">
      <c r="A140" s="28" t="s">
        <v>337</v>
      </c>
      <c r="B140" s="16" t="s">
        <v>1065</v>
      </c>
    </row>
    <row r="141">
      <c r="A141" s="28" t="s">
        <v>380</v>
      </c>
      <c r="B141" s="16" t="s">
        <v>1065</v>
      </c>
    </row>
    <row r="142">
      <c r="A142" s="28" t="s">
        <v>385</v>
      </c>
      <c r="B142" s="16" t="s">
        <v>1065</v>
      </c>
    </row>
    <row r="143">
      <c r="A143" s="28" t="s">
        <v>484</v>
      </c>
      <c r="B143" s="16" t="s">
        <v>1065</v>
      </c>
    </row>
    <row r="144">
      <c r="A144" s="28" t="s">
        <v>384</v>
      </c>
      <c r="B144" s="16" t="s">
        <v>1065</v>
      </c>
    </row>
    <row r="145">
      <c r="A145" s="28" t="s">
        <v>448</v>
      </c>
      <c r="B145" s="16" t="s">
        <v>1065</v>
      </c>
    </row>
    <row r="146">
      <c r="A146" s="28" t="s">
        <v>424</v>
      </c>
      <c r="B146" s="16" t="s">
        <v>1065</v>
      </c>
    </row>
    <row r="147">
      <c r="A147" s="28" t="s">
        <v>365</v>
      </c>
      <c r="B147" s="16" t="s">
        <v>1065</v>
      </c>
    </row>
    <row r="148">
      <c r="A148" s="28" t="s">
        <v>348</v>
      </c>
      <c r="B148" s="16" t="s">
        <v>1065</v>
      </c>
      <c r="C148" s="16" t="s">
        <v>3753</v>
      </c>
    </row>
    <row r="149">
      <c r="A149" s="28" t="s">
        <v>446</v>
      </c>
      <c r="B149" s="16" t="s">
        <v>1065</v>
      </c>
    </row>
    <row r="150">
      <c r="A150" s="28" t="s">
        <v>454</v>
      </c>
      <c r="B150" s="16" t="s">
        <v>1065</v>
      </c>
    </row>
    <row r="151">
      <c r="A151" s="28" t="s">
        <v>402</v>
      </c>
      <c r="B151" s="16" t="s">
        <v>1065</v>
      </c>
    </row>
    <row r="152">
      <c r="A152" s="28" t="s">
        <v>462</v>
      </c>
      <c r="B152" s="16" t="s">
        <v>1065</v>
      </c>
    </row>
    <row r="153">
      <c r="A153" s="28" t="s">
        <v>437</v>
      </c>
      <c r="B153" s="16" t="s">
        <v>1065</v>
      </c>
    </row>
    <row r="154">
      <c r="A154" s="28" t="s">
        <v>467</v>
      </c>
      <c r="B154" s="16" t="s">
        <v>1065</v>
      </c>
    </row>
    <row r="155">
      <c r="A155" s="28" t="s">
        <v>416</v>
      </c>
      <c r="B155" s="16" t="s">
        <v>1065</v>
      </c>
    </row>
    <row r="156">
      <c r="A156" s="28" t="s">
        <v>406</v>
      </c>
      <c r="B156" s="16" t="s">
        <v>1065</v>
      </c>
    </row>
    <row r="157">
      <c r="A157" s="28" t="s">
        <v>475</v>
      </c>
      <c r="B157" s="16" t="s">
        <v>1065</v>
      </c>
    </row>
    <row r="158">
      <c r="A158" s="28" t="s">
        <v>456</v>
      </c>
      <c r="B158" s="16" t="s">
        <v>1065</v>
      </c>
    </row>
    <row r="159">
      <c r="A159" s="28" t="s">
        <v>482</v>
      </c>
      <c r="B159" s="16" t="s">
        <v>1065</v>
      </c>
    </row>
    <row r="160">
      <c r="A160" s="28" t="s">
        <v>428</v>
      </c>
      <c r="B160" s="16" t="s">
        <v>1065</v>
      </c>
    </row>
    <row r="161">
      <c r="A161" s="28" t="s">
        <v>434</v>
      </c>
      <c r="B161" s="16" t="s">
        <v>1065</v>
      </c>
    </row>
    <row r="162">
      <c r="A162" s="28" t="s">
        <v>489</v>
      </c>
      <c r="B162" s="16" t="s">
        <v>1065</v>
      </c>
    </row>
    <row r="163">
      <c r="A163" s="28" t="s">
        <v>431</v>
      </c>
      <c r="B163" s="16" t="s">
        <v>1065</v>
      </c>
    </row>
    <row r="164">
      <c r="A164" s="28" t="s">
        <v>400</v>
      </c>
      <c r="B164" s="16" t="s">
        <v>1065</v>
      </c>
    </row>
    <row r="165">
      <c r="A165" s="28" t="s">
        <v>600</v>
      </c>
      <c r="B165" s="16" t="s">
        <v>1065</v>
      </c>
    </row>
    <row r="166">
      <c r="A166" s="28" t="s">
        <v>512</v>
      </c>
      <c r="B166" s="16" t="s">
        <v>1065</v>
      </c>
    </row>
    <row r="167">
      <c r="A167" s="28" t="s">
        <v>493</v>
      </c>
      <c r="B167" s="16" t="s">
        <v>1065</v>
      </c>
    </row>
    <row r="168">
      <c r="A168" s="28" t="s">
        <v>443</v>
      </c>
      <c r="B168" s="16" t="s">
        <v>1065</v>
      </c>
    </row>
    <row r="169">
      <c r="A169" s="28" t="s">
        <v>410</v>
      </c>
      <c r="B169" s="16" t="s">
        <v>1065</v>
      </c>
    </row>
    <row r="170">
      <c r="A170" s="28" t="s">
        <v>407</v>
      </c>
      <c r="B170" s="16" t="s">
        <v>1065</v>
      </c>
    </row>
    <row r="171">
      <c r="A171" s="28" t="s">
        <v>438</v>
      </c>
      <c r="B171" s="16" t="s">
        <v>1065</v>
      </c>
    </row>
    <row r="172">
      <c r="A172" s="28" t="s">
        <v>503</v>
      </c>
      <c r="B172" s="16" t="s">
        <v>1065</v>
      </c>
    </row>
    <row r="173">
      <c r="A173" s="28" t="s">
        <v>496</v>
      </c>
      <c r="B173" s="16" t="s">
        <v>1065</v>
      </c>
    </row>
    <row r="174">
      <c r="A174" s="28" t="s">
        <v>549</v>
      </c>
      <c r="B174" s="16" t="s">
        <v>1065</v>
      </c>
    </row>
    <row r="175">
      <c r="A175" s="28" t="s">
        <v>474</v>
      </c>
      <c r="B175" s="16" t="s">
        <v>1065</v>
      </c>
    </row>
    <row r="176">
      <c r="A176" s="28" t="s">
        <v>485</v>
      </c>
      <c r="B176" s="16" t="s">
        <v>1065</v>
      </c>
    </row>
    <row r="177">
      <c r="A177" s="28" t="s">
        <v>507</v>
      </c>
      <c r="B177" s="16" t="s">
        <v>1065</v>
      </c>
    </row>
    <row r="178">
      <c r="A178" s="28" t="s">
        <v>544</v>
      </c>
      <c r="B178" s="16" t="s">
        <v>1065</v>
      </c>
    </row>
    <row r="179">
      <c r="A179" s="28" t="s">
        <v>517</v>
      </c>
      <c r="B179" s="16" t="s">
        <v>1065</v>
      </c>
    </row>
    <row r="180">
      <c r="A180" s="28" t="s">
        <v>520</v>
      </c>
      <c r="B180" s="16" t="s">
        <v>1065</v>
      </c>
    </row>
    <row r="181">
      <c r="A181" s="28" t="s">
        <v>509</v>
      </c>
      <c r="B181" s="16" t="s">
        <v>1065</v>
      </c>
    </row>
    <row r="182">
      <c r="A182" s="28" t="s">
        <v>505</v>
      </c>
      <c r="B182" s="16" t="s">
        <v>1065</v>
      </c>
    </row>
    <row r="183">
      <c r="A183" s="28" t="s">
        <v>538</v>
      </c>
      <c r="B183" s="16" t="s">
        <v>1065</v>
      </c>
    </row>
    <row r="184">
      <c r="A184" s="28" t="s">
        <v>502</v>
      </c>
      <c r="B184" s="16" t="s">
        <v>1065</v>
      </c>
    </row>
    <row r="185">
      <c r="A185" s="28" t="s">
        <v>539</v>
      </c>
      <c r="B185" s="16" t="s">
        <v>1065</v>
      </c>
    </row>
    <row r="186">
      <c r="A186" s="28" t="s">
        <v>604</v>
      </c>
      <c r="B186" s="16" t="s">
        <v>1065</v>
      </c>
    </row>
    <row r="187">
      <c r="A187" s="408" t="s">
        <v>528</v>
      </c>
      <c r="B187" s="286" t="s">
        <v>1232</v>
      </c>
    </row>
    <row r="188">
      <c r="A188" s="28" t="s">
        <v>530</v>
      </c>
      <c r="B188" s="16" t="s">
        <v>1065</v>
      </c>
      <c r="C188" s="16"/>
    </row>
    <row r="189">
      <c r="A189" s="28" t="s">
        <v>533</v>
      </c>
      <c r="B189" s="16" t="s">
        <v>1065</v>
      </c>
      <c r="C189" s="16"/>
    </row>
    <row r="190">
      <c r="A190" s="28" t="s">
        <v>540</v>
      </c>
      <c r="B190" s="16" t="s">
        <v>1065</v>
      </c>
    </row>
    <row r="191">
      <c r="A191" s="28" t="s">
        <v>553</v>
      </c>
      <c r="B191" s="16" t="s">
        <v>1065</v>
      </c>
    </row>
    <row r="192">
      <c r="A192" s="28" t="s">
        <v>518</v>
      </c>
      <c r="B192" s="16" t="s">
        <v>1065</v>
      </c>
    </row>
    <row r="193">
      <c r="A193" s="28" t="s">
        <v>594</v>
      </c>
      <c r="B193" s="16" t="s">
        <v>1065</v>
      </c>
    </row>
    <row r="194">
      <c r="A194" s="28" t="s">
        <v>537</v>
      </c>
      <c r="B194" s="16" t="s">
        <v>1065</v>
      </c>
    </row>
    <row r="195">
      <c r="A195" s="28" t="s">
        <v>536</v>
      </c>
      <c r="B195" s="16" t="s">
        <v>1065</v>
      </c>
    </row>
    <row r="196">
      <c r="A196" s="28" t="s">
        <v>606</v>
      </c>
      <c r="B196" s="16" t="s">
        <v>1065</v>
      </c>
    </row>
    <row r="197">
      <c r="A197" s="28" t="s">
        <v>591</v>
      </c>
      <c r="B197" s="16" t="s">
        <v>1065</v>
      </c>
    </row>
    <row r="198">
      <c r="A198" s="28" t="s">
        <v>542</v>
      </c>
      <c r="B198" s="16" t="s">
        <v>1065</v>
      </c>
    </row>
    <row r="199">
      <c r="A199" s="28" t="s">
        <v>551</v>
      </c>
      <c r="B199" s="16" t="s">
        <v>1065</v>
      </c>
    </row>
    <row r="200">
      <c r="A200" s="28" t="s">
        <v>555</v>
      </c>
      <c r="B200" s="16" t="s">
        <v>1065</v>
      </c>
    </row>
    <row r="201">
      <c r="A201" s="28" t="s">
        <v>557</v>
      </c>
      <c r="B201" s="16" t="s">
        <v>1065</v>
      </c>
    </row>
    <row r="202">
      <c r="A202" s="32"/>
    </row>
    <row r="203">
      <c r="A203" s="32"/>
    </row>
    <row r="204">
      <c r="A204" s="32"/>
    </row>
    <row r="205">
      <c r="A205" s="32"/>
    </row>
    <row r="206">
      <c r="A206" s="32"/>
    </row>
    <row r="207">
      <c r="A207" s="32"/>
    </row>
    <row r="208">
      <c r="A208" s="32"/>
    </row>
    <row r="209">
      <c r="A209" s="32"/>
    </row>
    <row r="210">
      <c r="A210" s="32"/>
    </row>
    <row r="211">
      <c r="A211" s="32"/>
    </row>
    <row r="212">
      <c r="A212" s="32"/>
    </row>
    <row r="213">
      <c r="A213" s="32"/>
    </row>
    <row r="214">
      <c r="A214" s="32"/>
    </row>
    <row r="215">
      <c r="A215" s="32"/>
    </row>
    <row r="216">
      <c r="A216" s="32"/>
    </row>
    <row r="217">
      <c r="A217" s="32"/>
    </row>
    <row r="218">
      <c r="A218" s="32"/>
    </row>
    <row r="219">
      <c r="A219" s="32"/>
    </row>
    <row r="220">
      <c r="A220" s="32"/>
    </row>
    <row r="221">
      <c r="A221" s="32"/>
    </row>
    <row r="222">
      <c r="A222" s="32"/>
    </row>
    <row r="223">
      <c r="A223" s="32"/>
    </row>
    <row r="224">
      <c r="A224" s="32"/>
    </row>
    <row r="225">
      <c r="A225" s="32"/>
    </row>
    <row r="226">
      <c r="A226" s="32"/>
    </row>
    <row r="227">
      <c r="A227" s="32"/>
    </row>
    <row r="228">
      <c r="A228" s="32"/>
    </row>
    <row r="229">
      <c r="A229" s="32"/>
    </row>
    <row r="230">
      <c r="A230" s="32"/>
    </row>
    <row r="231">
      <c r="A231" s="3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2"/>
  <cols>
    <col customWidth="1" min="1" max="1" width="15.88"/>
    <col customWidth="1" min="2" max="2" width="17.13"/>
    <col customWidth="1" min="3" max="4" width="19.75"/>
    <col customWidth="1" min="5" max="5" width="13.13"/>
  </cols>
  <sheetData>
    <row r="1">
      <c r="A1" s="18" t="s">
        <v>3754</v>
      </c>
      <c r="B1" s="18" t="s">
        <v>3755</v>
      </c>
      <c r="C1" s="18" t="s">
        <v>3756</v>
      </c>
      <c r="D1" s="18" t="s">
        <v>3757</v>
      </c>
      <c r="E1" s="18" t="s">
        <v>3758</v>
      </c>
      <c r="F1" s="18" t="s">
        <v>19</v>
      </c>
    </row>
    <row r="2">
      <c r="A2" s="638" t="s">
        <v>67</v>
      </c>
      <c r="B2" s="222">
        <v>45009.0</v>
      </c>
      <c r="C2" s="222">
        <v>45009.0</v>
      </c>
      <c r="D2" s="132" t="s">
        <v>3759</v>
      </c>
      <c r="E2" s="132" t="s">
        <v>40</v>
      </c>
    </row>
    <row r="3">
      <c r="A3" s="638" t="s">
        <v>50</v>
      </c>
      <c r="B3" s="222">
        <v>45014.0</v>
      </c>
      <c r="C3" s="222">
        <v>45014.0</v>
      </c>
      <c r="D3" s="132" t="s">
        <v>3760</v>
      </c>
      <c r="E3" s="132" t="s">
        <v>1370</v>
      </c>
    </row>
    <row r="4">
      <c r="A4" s="638" t="s">
        <v>34</v>
      </c>
      <c r="B4" s="222">
        <v>45019.0</v>
      </c>
      <c r="C4" s="222">
        <v>45019.0</v>
      </c>
      <c r="D4" s="132" t="s">
        <v>3761</v>
      </c>
      <c r="E4" s="132" t="s">
        <v>40</v>
      </c>
    </row>
    <row r="5">
      <c r="A5" s="638" t="s">
        <v>27</v>
      </c>
      <c r="B5" s="222">
        <v>45058.0</v>
      </c>
      <c r="C5" s="132" t="s">
        <v>3762</v>
      </c>
      <c r="D5" s="132" t="s">
        <v>3763</v>
      </c>
      <c r="E5" s="132" t="s">
        <v>28</v>
      </c>
    </row>
    <row r="6">
      <c r="A6" s="638" t="s">
        <v>41</v>
      </c>
      <c r="B6" s="222">
        <v>45061.0</v>
      </c>
      <c r="C6" s="222">
        <v>45056.0</v>
      </c>
      <c r="D6" s="132" t="s">
        <v>3764</v>
      </c>
      <c r="E6" s="132" t="s">
        <v>28</v>
      </c>
    </row>
    <row r="7">
      <c r="A7" s="638" t="s">
        <v>41</v>
      </c>
      <c r="B7" s="222">
        <v>45078.0</v>
      </c>
      <c r="C7" s="3"/>
      <c r="D7" s="3"/>
      <c r="E7" s="132" t="s">
        <v>28</v>
      </c>
    </row>
    <row r="8">
      <c r="A8" s="638" t="s">
        <v>43</v>
      </c>
      <c r="B8" s="222">
        <v>45121.0</v>
      </c>
      <c r="C8" s="222">
        <v>45063.0</v>
      </c>
      <c r="D8" s="132" t="s">
        <v>3765</v>
      </c>
      <c r="E8" s="132" t="s">
        <v>28</v>
      </c>
    </row>
    <row r="9">
      <c r="A9" s="638" t="s">
        <v>70</v>
      </c>
      <c r="B9" s="222">
        <v>45167.0</v>
      </c>
      <c r="C9" s="222">
        <v>45100.0</v>
      </c>
      <c r="D9" s="132" t="s">
        <v>3766</v>
      </c>
      <c r="E9" s="132" t="s">
        <v>1370</v>
      </c>
    </row>
    <row r="10">
      <c r="A10" s="638" t="s">
        <v>120</v>
      </c>
      <c r="B10" s="224">
        <v>45216.0</v>
      </c>
      <c r="C10" s="224">
        <v>45211.0</v>
      </c>
      <c r="D10" s="132" t="s">
        <v>3767</v>
      </c>
      <c r="E10" s="132" t="s">
        <v>28</v>
      </c>
    </row>
    <row r="11">
      <c r="A11" s="638" t="s">
        <v>183</v>
      </c>
      <c r="B11" s="281">
        <v>45303.0</v>
      </c>
      <c r="C11" s="224">
        <v>45250.0</v>
      </c>
      <c r="D11" s="132" t="s">
        <v>3768</v>
      </c>
      <c r="E11" s="132" t="s">
        <v>1370</v>
      </c>
    </row>
    <row r="12">
      <c r="A12" s="638" t="s">
        <v>2269</v>
      </c>
      <c r="B12" s="281">
        <v>45305.0</v>
      </c>
      <c r="C12" s="222">
        <v>45302.0</v>
      </c>
      <c r="D12" s="132" t="s">
        <v>3769</v>
      </c>
      <c r="E12" s="132" t="s">
        <v>736</v>
      </c>
    </row>
    <row r="13">
      <c r="A13" s="638" t="s">
        <v>176</v>
      </c>
      <c r="B13" s="222">
        <v>45315.0</v>
      </c>
      <c r="C13" s="222">
        <v>45267.0</v>
      </c>
      <c r="D13" s="132" t="s">
        <v>3770</v>
      </c>
      <c r="E13" s="132" t="s">
        <v>40</v>
      </c>
    </row>
    <row r="14">
      <c r="A14" s="638" t="s">
        <v>192</v>
      </c>
      <c r="B14" s="222">
        <v>45324.0</v>
      </c>
      <c r="C14" s="224">
        <v>45238.0</v>
      </c>
      <c r="D14" s="132" t="s">
        <v>3768</v>
      </c>
      <c r="E14" s="132" t="s">
        <v>1370</v>
      </c>
    </row>
    <row r="15">
      <c r="A15" s="638" t="s">
        <v>195</v>
      </c>
      <c r="B15" s="224">
        <v>45330.0</v>
      </c>
      <c r="C15" s="281">
        <v>45268.0</v>
      </c>
      <c r="D15" s="132" t="s">
        <v>3768</v>
      </c>
      <c r="E15" s="132" t="s">
        <v>1370</v>
      </c>
    </row>
    <row r="16">
      <c r="A16" s="638" t="s">
        <v>188</v>
      </c>
      <c r="B16" s="265">
        <v>45348.0</v>
      </c>
      <c r="C16" s="224">
        <v>45271.0</v>
      </c>
      <c r="D16" s="132" t="s">
        <v>3771</v>
      </c>
      <c r="E16" s="132" t="s">
        <v>1370</v>
      </c>
    </row>
    <row r="17">
      <c r="A17" s="638" t="s">
        <v>256</v>
      </c>
      <c r="B17" s="222">
        <v>45377.0</v>
      </c>
      <c r="C17" s="222">
        <v>45344.0</v>
      </c>
      <c r="D17" s="132" t="s">
        <v>3772</v>
      </c>
      <c r="E17" s="132" t="s">
        <v>40</v>
      </c>
    </row>
    <row r="18">
      <c r="A18" s="638" t="s">
        <v>336</v>
      </c>
      <c r="B18" s="222">
        <v>45377.0</v>
      </c>
      <c r="C18" s="222">
        <v>45378.0</v>
      </c>
      <c r="D18" s="132" t="s">
        <v>3772</v>
      </c>
      <c r="E18" s="132" t="s">
        <v>1370</v>
      </c>
    </row>
    <row r="19">
      <c r="A19" s="638" t="s">
        <v>364</v>
      </c>
      <c r="B19" s="224">
        <v>45391.0</v>
      </c>
      <c r="C19" s="224">
        <v>45391.0</v>
      </c>
      <c r="D19" s="132" t="s">
        <v>3773</v>
      </c>
      <c r="E19" s="132" t="s">
        <v>1370</v>
      </c>
      <c r="F19" s="16" t="s">
        <v>3774</v>
      </c>
    </row>
    <row r="20">
      <c r="A20" s="638" t="s">
        <v>358</v>
      </c>
      <c r="B20" s="222">
        <v>45428.0</v>
      </c>
      <c r="C20" s="222">
        <v>45425.0</v>
      </c>
      <c r="D20" s="132" t="s">
        <v>3775</v>
      </c>
      <c r="E20" s="132" t="s">
        <v>40</v>
      </c>
    </row>
    <row r="21">
      <c r="A21" s="638" t="s">
        <v>322</v>
      </c>
      <c r="B21" s="222">
        <v>45428.0</v>
      </c>
      <c r="C21" s="222">
        <v>45401.0</v>
      </c>
      <c r="D21" s="132" t="s">
        <v>3775</v>
      </c>
      <c r="E21" s="132" t="s">
        <v>40</v>
      </c>
      <c r="F21" s="16" t="s">
        <v>3776</v>
      </c>
    </row>
    <row r="22">
      <c r="A22" s="638" t="s">
        <v>1761</v>
      </c>
      <c r="B22" s="222">
        <v>45428.0</v>
      </c>
      <c r="C22" s="222">
        <v>45338.0</v>
      </c>
      <c r="D22" s="132" t="s">
        <v>3775</v>
      </c>
      <c r="E22" s="132" t="s">
        <v>40</v>
      </c>
    </row>
    <row r="23">
      <c r="A23" s="638" t="s">
        <v>260</v>
      </c>
      <c r="B23" s="222">
        <v>45432.0</v>
      </c>
      <c r="C23" s="222">
        <v>45349.0</v>
      </c>
      <c r="D23" s="132" t="s">
        <v>3777</v>
      </c>
      <c r="E23" s="132" t="s">
        <v>3778</v>
      </c>
    </row>
    <row r="24">
      <c r="A24" s="638" t="s">
        <v>319</v>
      </c>
      <c r="B24" s="222">
        <v>45447.0</v>
      </c>
      <c r="C24" s="222">
        <v>45365.0</v>
      </c>
      <c r="D24" s="132" t="s">
        <v>3779</v>
      </c>
      <c r="E24" s="132" t="s">
        <v>1370</v>
      </c>
    </row>
    <row r="25">
      <c r="A25" s="638" t="s">
        <v>340</v>
      </c>
      <c r="B25" s="222">
        <v>45511.0</v>
      </c>
      <c r="C25" s="222">
        <v>45394.0</v>
      </c>
      <c r="D25" s="132" t="s">
        <v>3780</v>
      </c>
      <c r="E25" s="132" t="s">
        <v>1370</v>
      </c>
    </row>
    <row r="26">
      <c r="A26" s="638" t="s">
        <v>372</v>
      </c>
      <c r="B26" s="224">
        <v>45517.0</v>
      </c>
      <c r="C26" s="222">
        <v>45433.0</v>
      </c>
      <c r="D26" s="132" t="s">
        <v>3773</v>
      </c>
      <c r="E26" s="132" t="s">
        <v>1370</v>
      </c>
      <c r="F26" s="16" t="s">
        <v>3781</v>
      </c>
    </row>
    <row r="27">
      <c r="A27" s="638" t="s">
        <v>384</v>
      </c>
      <c r="B27" s="222">
        <v>45524.0</v>
      </c>
      <c r="C27" s="222">
        <v>45467.0</v>
      </c>
      <c r="D27" s="132" t="s">
        <v>3773</v>
      </c>
      <c r="E27" s="132" t="s">
        <v>1370</v>
      </c>
    </row>
    <row r="28">
      <c r="A28" s="638" t="s">
        <v>391</v>
      </c>
      <c r="B28" s="224">
        <v>45561.0</v>
      </c>
      <c r="C28" s="224"/>
      <c r="D28" s="132" t="s">
        <v>3782</v>
      </c>
      <c r="E28" s="132" t="s">
        <v>1370</v>
      </c>
      <c r="F28" s="16" t="s">
        <v>3783</v>
      </c>
    </row>
    <row r="29">
      <c r="A29" s="638" t="s">
        <v>496</v>
      </c>
      <c r="B29" s="224">
        <v>45565.0</v>
      </c>
      <c r="C29" s="3"/>
      <c r="D29" s="3"/>
      <c r="E29" s="3"/>
      <c r="F29" s="16" t="s">
        <v>3784</v>
      </c>
    </row>
    <row r="30">
      <c r="A30" s="638" t="s">
        <v>549</v>
      </c>
      <c r="B30" s="224">
        <v>45574.0</v>
      </c>
      <c r="C30" s="3"/>
      <c r="D30" s="132"/>
      <c r="E30" s="132"/>
      <c r="F30" s="16" t="s">
        <v>3784</v>
      </c>
    </row>
    <row r="31">
      <c r="A31" s="638" t="s">
        <v>424</v>
      </c>
      <c r="B31" s="224">
        <v>45581.0</v>
      </c>
      <c r="C31" s="224">
        <v>45503.0</v>
      </c>
      <c r="D31" s="132" t="s">
        <v>3785</v>
      </c>
      <c r="E31" s="132" t="s">
        <v>28</v>
      </c>
      <c r="F31" s="16" t="s">
        <v>3784</v>
      </c>
    </row>
    <row r="32">
      <c r="A32" s="638" t="s">
        <v>503</v>
      </c>
      <c r="B32" s="224">
        <v>45604.0</v>
      </c>
      <c r="C32" s="3"/>
      <c r="D32" s="132" t="s">
        <v>3782</v>
      </c>
      <c r="E32" s="132" t="s">
        <v>1370</v>
      </c>
      <c r="F32" s="16" t="s">
        <v>3786</v>
      </c>
    </row>
    <row r="33">
      <c r="A33" s="638" t="s">
        <v>485</v>
      </c>
      <c r="B33" s="224">
        <v>45638.0</v>
      </c>
      <c r="C33" s="3"/>
      <c r="D33" s="132" t="s">
        <v>3782</v>
      </c>
      <c r="E33" s="132" t="s">
        <v>1370</v>
      </c>
      <c r="F33" s="16" t="s">
        <v>3787</v>
      </c>
    </row>
    <row r="34">
      <c r="A34" s="638" t="s">
        <v>512</v>
      </c>
      <c r="B34" s="224">
        <v>45318.0</v>
      </c>
      <c r="C34" s="3"/>
      <c r="D34" s="132" t="s">
        <v>3782</v>
      </c>
      <c r="E34" s="132" t="s">
        <v>1370</v>
      </c>
      <c r="F34" s="16" t="s">
        <v>3787</v>
      </c>
    </row>
    <row r="35">
      <c r="A35" s="638" t="s">
        <v>533</v>
      </c>
      <c r="B35" s="224">
        <v>45700.0</v>
      </c>
      <c r="C35" s="3"/>
      <c r="D35" s="132" t="s">
        <v>3782</v>
      </c>
      <c r="E35" s="132" t="s">
        <v>1370</v>
      </c>
      <c r="F35" s="16" t="s">
        <v>3787</v>
      </c>
    </row>
    <row r="36">
      <c r="A36" s="638" t="s">
        <v>530</v>
      </c>
      <c r="B36" s="224">
        <v>45706.0</v>
      </c>
      <c r="C36" s="3"/>
      <c r="D36" s="132" t="s">
        <v>3782</v>
      </c>
      <c r="E36" s="132" t="s">
        <v>1370</v>
      </c>
      <c r="F36" s="16" t="s">
        <v>3787</v>
      </c>
    </row>
    <row r="37">
      <c r="A37" s="132" t="s">
        <v>544</v>
      </c>
      <c r="B37" s="224">
        <v>45714.0</v>
      </c>
      <c r="C37" s="3"/>
      <c r="D37" s="3"/>
      <c r="E37" s="3"/>
      <c r="F37" s="16" t="s">
        <v>3788</v>
      </c>
    </row>
    <row r="38">
      <c r="A38" s="132" t="s">
        <v>538</v>
      </c>
      <c r="B38" s="224">
        <v>45754.0</v>
      </c>
      <c r="C38" s="3"/>
      <c r="D38" s="3"/>
      <c r="E38" s="3"/>
      <c r="F38" s="16" t="s">
        <v>3787</v>
      </c>
    </row>
    <row r="39">
      <c r="A39" s="132" t="s">
        <v>540</v>
      </c>
      <c r="B39" s="232">
        <v>45749.0</v>
      </c>
      <c r="C39" s="3"/>
      <c r="D39" s="3"/>
      <c r="E39" s="3"/>
      <c r="F39" s="16" t="s">
        <v>3787</v>
      </c>
    </row>
    <row r="40">
      <c r="A40" s="132" t="s">
        <v>484</v>
      </c>
      <c r="B40" s="224">
        <v>45772.0</v>
      </c>
      <c r="C40" s="132" t="s">
        <v>3789</v>
      </c>
      <c r="D40" s="132" t="s">
        <v>3790</v>
      </c>
      <c r="E40" s="132" t="s">
        <v>625</v>
      </c>
      <c r="F40" s="16" t="s">
        <v>3787</v>
      </c>
    </row>
    <row r="41">
      <c r="A41" s="132" t="s">
        <v>157</v>
      </c>
      <c r="B41" s="224">
        <v>45985.0</v>
      </c>
      <c r="C41" s="224">
        <v>45978.0</v>
      </c>
      <c r="D41" s="132" t="s">
        <v>3791</v>
      </c>
      <c r="E41" s="132" t="s">
        <v>649</v>
      </c>
      <c r="F41" s="16" t="s">
        <v>3792</v>
      </c>
    </row>
    <row r="42">
      <c r="A42" s="132" t="s">
        <v>162</v>
      </c>
      <c r="B42" s="222">
        <v>45993.0</v>
      </c>
      <c r="C42" s="224">
        <v>45975.0</v>
      </c>
      <c r="D42" s="132" t="s">
        <v>3793</v>
      </c>
      <c r="E42" s="132" t="s">
        <v>649</v>
      </c>
      <c r="F42" s="16" t="s">
        <v>3792</v>
      </c>
    </row>
    <row r="43">
      <c r="A43" s="132" t="s">
        <v>188</v>
      </c>
      <c r="B43" s="224">
        <v>46003.0</v>
      </c>
      <c r="C43" s="224">
        <v>46003.0</v>
      </c>
      <c r="D43" s="132" t="s">
        <v>3794</v>
      </c>
      <c r="E43" s="132" t="s">
        <v>649</v>
      </c>
      <c r="F43" s="16" t="s">
        <v>3792</v>
      </c>
    </row>
    <row r="44">
      <c r="A44" s="132" t="s">
        <v>138</v>
      </c>
      <c r="B44" s="224">
        <v>46013.0</v>
      </c>
      <c r="C44" s="224">
        <v>46010.0</v>
      </c>
      <c r="D44" s="3"/>
      <c r="E44" s="132" t="s">
        <v>649</v>
      </c>
      <c r="F44" s="16" t="s">
        <v>3792</v>
      </c>
    </row>
    <row r="45">
      <c r="A45" s="132" t="s">
        <v>190</v>
      </c>
      <c r="B45" s="222">
        <v>46031.0</v>
      </c>
      <c r="C45" s="222">
        <v>46031.0</v>
      </c>
      <c r="D45" s="132" t="s">
        <v>3795</v>
      </c>
      <c r="E45" s="132" t="s">
        <v>691</v>
      </c>
      <c r="F45" s="16" t="s">
        <v>3796</v>
      </c>
    </row>
    <row r="46">
      <c r="A46" s="132" t="s">
        <v>147</v>
      </c>
      <c r="B46" s="222">
        <v>46071.0</v>
      </c>
      <c r="C46" s="222">
        <v>46071.0</v>
      </c>
      <c r="D46" s="3"/>
      <c r="E46" s="132" t="s">
        <v>691</v>
      </c>
      <c r="F46" s="16" t="s">
        <v>3796</v>
      </c>
    </row>
    <row r="47">
      <c r="A47" s="132" t="s">
        <v>277</v>
      </c>
      <c r="B47" s="222">
        <v>46084.0</v>
      </c>
      <c r="C47" s="222">
        <v>46084.0</v>
      </c>
      <c r="E47" s="132" t="s">
        <v>691</v>
      </c>
      <c r="F47" s="16" t="s">
        <v>3797</v>
      </c>
    </row>
    <row r="48">
      <c r="A48" s="132" t="s">
        <v>283</v>
      </c>
      <c r="B48" s="222">
        <v>46084.0</v>
      </c>
      <c r="C48" s="222">
        <v>46084.0</v>
      </c>
      <c r="E48" s="132" t="s">
        <v>691</v>
      </c>
      <c r="F48" s="16" t="s">
        <v>3797</v>
      </c>
    </row>
    <row r="49">
      <c r="A49" s="132" t="s">
        <v>279</v>
      </c>
      <c r="B49" s="224">
        <v>46128.0</v>
      </c>
      <c r="C49" s="224">
        <v>46057.0</v>
      </c>
      <c r="D49" s="132"/>
      <c r="E49" s="132" t="s">
        <v>625</v>
      </c>
      <c r="F49" s="16" t="s">
        <v>3798</v>
      </c>
    </row>
    <row r="50">
      <c r="A50" s="132" t="s">
        <v>341</v>
      </c>
      <c r="B50" s="284">
        <v>46146.0</v>
      </c>
      <c r="C50" s="284">
        <v>46146.0</v>
      </c>
      <c r="D50" s="3"/>
      <c r="E50" s="132" t="s">
        <v>691</v>
      </c>
      <c r="F50" s="16" t="s">
        <v>3799</v>
      </c>
    </row>
    <row r="51">
      <c r="A51" s="132" t="s">
        <v>3800</v>
      </c>
      <c r="B51" s="284">
        <v>46147.0</v>
      </c>
      <c r="C51" s="284">
        <v>46147.0</v>
      </c>
      <c r="D51" s="3"/>
      <c r="E51" s="132" t="s">
        <v>691</v>
      </c>
      <c r="F51" s="16" t="s">
        <v>3799</v>
      </c>
    </row>
    <row r="52">
      <c r="A52" s="132" t="s">
        <v>394</v>
      </c>
      <c r="B52" s="222">
        <v>46154.0</v>
      </c>
      <c r="C52" s="222">
        <v>46154.0</v>
      </c>
      <c r="D52" s="3"/>
      <c r="E52" s="132" t="s">
        <v>691</v>
      </c>
      <c r="F52" s="16" t="s">
        <v>3799</v>
      </c>
    </row>
    <row r="53">
      <c r="A53" s="132" t="s">
        <v>365</v>
      </c>
      <c r="B53" s="222">
        <v>46155.0</v>
      </c>
      <c r="C53" s="222">
        <v>46155.0</v>
      </c>
      <c r="D53" s="3"/>
      <c r="E53" s="132" t="s">
        <v>691</v>
      </c>
      <c r="F53" s="16" t="s">
        <v>3799</v>
      </c>
    </row>
    <row r="54">
      <c r="A54" s="132" t="s">
        <v>336</v>
      </c>
      <c r="B54" s="222">
        <v>46163.0</v>
      </c>
      <c r="C54" s="222">
        <v>46163.0</v>
      </c>
      <c r="D54" s="3"/>
      <c r="E54" s="132" t="s">
        <v>691</v>
      </c>
      <c r="F54" s="16" t="s">
        <v>3801</v>
      </c>
    </row>
    <row r="55">
      <c r="A55" s="3"/>
      <c r="B55" s="3"/>
      <c r="C55" s="3"/>
      <c r="D55" s="3"/>
      <c r="E55" s="3"/>
    </row>
    <row r="56">
      <c r="A56" s="3"/>
      <c r="B56" s="3"/>
      <c r="C56" s="3"/>
      <c r="D56" s="3"/>
      <c r="E56" s="3"/>
    </row>
    <row r="57">
      <c r="A57" s="3"/>
      <c r="C57" s="3"/>
      <c r="D57" s="3"/>
      <c r="E57" s="3"/>
    </row>
    <row r="58">
      <c r="A58" s="3"/>
      <c r="C58" s="3"/>
      <c r="D58" s="3"/>
      <c r="E58" s="3"/>
    </row>
    <row r="59">
      <c r="A59" s="3"/>
      <c r="C59" s="3"/>
      <c r="D59" s="3"/>
      <c r="E59" s="3"/>
    </row>
    <row r="60">
      <c r="A60" s="3"/>
      <c r="C60" s="3"/>
      <c r="D60" s="3"/>
      <c r="E60" s="3"/>
    </row>
    <row r="61">
      <c r="A61" s="3"/>
      <c r="C61" s="3"/>
      <c r="D61" s="3"/>
      <c r="E61" s="3"/>
    </row>
    <row r="62">
      <c r="A62" s="3"/>
      <c r="C62" s="3"/>
      <c r="D62" s="3"/>
      <c r="E62" s="3"/>
    </row>
    <row r="63">
      <c r="A63" s="3"/>
      <c r="C63" s="3"/>
      <c r="D63" s="3"/>
      <c r="E63" s="3"/>
    </row>
    <row r="64">
      <c r="A64" s="3"/>
      <c r="C64" s="3"/>
      <c r="D64" s="3"/>
      <c r="E64" s="3"/>
    </row>
    <row r="65">
      <c r="A65" s="3"/>
      <c r="C65" s="3"/>
      <c r="D65" s="3"/>
      <c r="E65" s="3"/>
    </row>
    <row r="66">
      <c r="A66" s="3"/>
      <c r="C66" s="3"/>
      <c r="D66" s="3"/>
      <c r="E66" s="3"/>
    </row>
    <row r="67">
      <c r="A67" s="3"/>
      <c r="C67" s="3"/>
      <c r="D67" s="3"/>
      <c r="E67" s="3"/>
    </row>
    <row r="68">
      <c r="A68" s="3"/>
      <c r="C68" s="3"/>
      <c r="D68" s="3"/>
      <c r="E68" s="3"/>
    </row>
    <row r="69">
      <c r="A69" s="3"/>
      <c r="C69" s="3"/>
      <c r="D69" s="3"/>
      <c r="E69" s="3"/>
    </row>
    <row r="70">
      <c r="A70" s="3"/>
      <c r="C70" s="3"/>
      <c r="D70" s="3"/>
      <c r="E70" s="3"/>
    </row>
    <row r="71">
      <c r="A71" s="3"/>
      <c r="C71" s="3"/>
      <c r="D71" s="3"/>
      <c r="E71" s="3"/>
    </row>
    <row r="72">
      <c r="A72" s="3"/>
      <c r="C72" s="3"/>
      <c r="D72" s="3"/>
      <c r="E72" s="3"/>
    </row>
    <row r="73">
      <c r="A73" s="3"/>
      <c r="C73" s="3"/>
      <c r="D73" s="3"/>
      <c r="E73" s="3"/>
    </row>
    <row r="74">
      <c r="A74" s="3"/>
      <c r="C74" s="3"/>
      <c r="D74" s="3"/>
      <c r="E74" s="3"/>
    </row>
    <row r="75">
      <c r="A75" s="3"/>
      <c r="C75" s="3"/>
      <c r="D75" s="3"/>
      <c r="E75" s="3"/>
    </row>
    <row r="76">
      <c r="A76" s="3"/>
      <c r="C76" s="3"/>
      <c r="D76" s="3"/>
      <c r="E76" s="3"/>
    </row>
    <row r="77">
      <c r="A77" s="3"/>
      <c r="C77" s="3"/>
      <c r="D77" s="3"/>
      <c r="E77" s="3"/>
    </row>
    <row r="78">
      <c r="A78" s="3"/>
      <c r="C78" s="3"/>
      <c r="D78" s="3"/>
      <c r="E78" s="3"/>
    </row>
    <row r="79">
      <c r="A79" s="3"/>
      <c r="C79" s="3"/>
      <c r="D79" s="3"/>
      <c r="E79" s="3"/>
    </row>
    <row r="80">
      <c r="A80" s="3"/>
      <c r="C80" s="3"/>
      <c r="D80" s="3"/>
      <c r="E80" s="3"/>
    </row>
    <row r="81">
      <c r="A81" s="3"/>
      <c r="C81" s="3"/>
      <c r="D81" s="3"/>
      <c r="E81" s="3"/>
    </row>
    <row r="82">
      <c r="A82" s="3"/>
      <c r="C82" s="3"/>
      <c r="D82" s="3"/>
      <c r="E82" s="3"/>
    </row>
    <row r="83">
      <c r="A83" s="3"/>
      <c r="C83" s="3"/>
      <c r="D83" s="3"/>
      <c r="E83" s="3"/>
    </row>
    <row r="84">
      <c r="A84" s="3"/>
      <c r="C84" s="3"/>
      <c r="D84" s="3"/>
      <c r="E84" s="3"/>
    </row>
    <row r="85">
      <c r="A85" s="3"/>
      <c r="C85" s="3"/>
      <c r="D85" s="3"/>
      <c r="E85" s="3"/>
    </row>
    <row r="86">
      <c r="A86" s="3"/>
      <c r="C86" s="3"/>
      <c r="D86" s="3"/>
      <c r="E86" s="3"/>
    </row>
    <row r="87">
      <c r="A87" s="3"/>
      <c r="C87" s="3"/>
      <c r="D87" s="3"/>
      <c r="E87" s="3"/>
    </row>
    <row r="88">
      <c r="A88" s="3"/>
      <c r="C88" s="3"/>
      <c r="D88" s="3"/>
      <c r="E88" s="3"/>
    </row>
    <row r="89">
      <c r="A89" s="3"/>
      <c r="C89" s="3"/>
      <c r="D89" s="3"/>
      <c r="E89" s="3"/>
    </row>
    <row r="90">
      <c r="A90" s="3"/>
      <c r="C90" s="3"/>
      <c r="D90" s="3"/>
      <c r="E90" s="3"/>
    </row>
    <row r="91">
      <c r="A91" s="3"/>
      <c r="C91" s="3"/>
      <c r="D91" s="3"/>
      <c r="E91" s="3"/>
    </row>
    <row r="92">
      <c r="A92" s="3"/>
      <c r="C92" s="3"/>
      <c r="D92" s="3"/>
      <c r="E92" s="3"/>
    </row>
    <row r="93">
      <c r="A93" s="3"/>
      <c r="C93" s="3"/>
      <c r="D93" s="3"/>
      <c r="E93" s="3"/>
    </row>
    <row r="94">
      <c r="A94" s="3"/>
      <c r="C94" s="3"/>
      <c r="D94" s="3"/>
      <c r="E94" s="3"/>
    </row>
    <row r="95">
      <c r="A95" s="3"/>
      <c r="C95" s="3"/>
      <c r="D95" s="3"/>
      <c r="E95" s="3"/>
    </row>
    <row r="96">
      <c r="A96" s="3"/>
      <c r="C96" s="3"/>
      <c r="D96" s="3"/>
      <c r="E96" s="3"/>
    </row>
    <row r="97">
      <c r="A97" s="3"/>
      <c r="C97" s="3"/>
      <c r="D97" s="3"/>
      <c r="E97" s="3"/>
    </row>
    <row r="98">
      <c r="A98" s="3"/>
      <c r="C98" s="3"/>
      <c r="D98" s="3"/>
      <c r="E98" s="3"/>
    </row>
    <row r="99">
      <c r="A99" s="3"/>
      <c r="C99" s="3"/>
      <c r="D99" s="3"/>
      <c r="E99" s="3"/>
    </row>
    <row r="100">
      <c r="A100" s="3"/>
      <c r="C100" s="3"/>
      <c r="D100" s="3"/>
      <c r="E100" s="3"/>
    </row>
    <row r="101">
      <c r="A101" s="3"/>
      <c r="C101" s="3"/>
      <c r="D101" s="3"/>
      <c r="E101" s="3"/>
    </row>
    <row r="102">
      <c r="A102" s="3"/>
      <c r="C102" s="3"/>
      <c r="D102" s="3"/>
      <c r="E102" s="3"/>
    </row>
    <row r="103">
      <c r="A103" s="3"/>
      <c r="C103" s="3"/>
      <c r="D103" s="3"/>
      <c r="E103" s="3"/>
    </row>
    <row r="104">
      <c r="A104" s="3"/>
      <c r="C104" s="3"/>
      <c r="D104" s="3"/>
      <c r="E104" s="3"/>
    </row>
    <row r="105">
      <c r="A105" s="3"/>
      <c r="C105" s="3"/>
      <c r="D105" s="3"/>
      <c r="E105" s="3"/>
    </row>
    <row r="106">
      <c r="A106" s="3"/>
      <c r="C106" s="3"/>
      <c r="D106" s="3"/>
      <c r="E106" s="3"/>
    </row>
    <row r="107">
      <c r="A107" s="3"/>
      <c r="C107" s="3"/>
      <c r="D107" s="3"/>
      <c r="E107" s="3"/>
    </row>
    <row r="108">
      <c r="A108" s="3"/>
      <c r="C108" s="3"/>
      <c r="D108" s="3"/>
      <c r="E108" s="3"/>
    </row>
    <row r="109">
      <c r="A109" s="3"/>
      <c r="C109" s="3"/>
      <c r="D109" s="3"/>
      <c r="E109" s="3"/>
    </row>
    <row r="110">
      <c r="A110" s="3"/>
      <c r="C110" s="3"/>
      <c r="D110" s="3"/>
      <c r="E110" s="3"/>
    </row>
    <row r="111">
      <c r="A111" s="3"/>
      <c r="C111" s="3"/>
      <c r="D111" s="3"/>
      <c r="E111" s="3"/>
    </row>
    <row r="112">
      <c r="A112" s="3"/>
      <c r="C112" s="3"/>
      <c r="D112" s="3"/>
      <c r="E112" s="3"/>
    </row>
    <row r="113">
      <c r="A113" s="3"/>
      <c r="C113" s="3"/>
      <c r="D113" s="3"/>
      <c r="E113" s="3"/>
    </row>
    <row r="114">
      <c r="A114" s="3"/>
      <c r="C114" s="3"/>
      <c r="D114" s="3"/>
      <c r="E114" s="3"/>
    </row>
    <row r="115">
      <c r="A115" s="3"/>
      <c r="C115" s="3"/>
      <c r="D115" s="3"/>
      <c r="E115" s="3"/>
    </row>
    <row r="116">
      <c r="A116" s="3"/>
      <c r="C116" s="3"/>
      <c r="D116" s="3"/>
      <c r="E116" s="3"/>
    </row>
    <row r="117">
      <c r="A117" s="3"/>
      <c r="C117" s="3"/>
      <c r="D117" s="3"/>
      <c r="E117" s="3"/>
    </row>
    <row r="118">
      <c r="A118" s="3"/>
      <c r="C118" s="3"/>
      <c r="D118" s="3"/>
      <c r="E118" s="3"/>
    </row>
    <row r="119">
      <c r="A119" s="3"/>
      <c r="C119" s="3"/>
      <c r="D119" s="3"/>
      <c r="E119" s="3"/>
    </row>
    <row r="120">
      <c r="A120" s="3"/>
      <c r="C120" s="3"/>
      <c r="D120" s="3"/>
      <c r="E120" s="3"/>
    </row>
    <row r="121">
      <c r="A121" s="3"/>
      <c r="C121" s="3"/>
      <c r="D121" s="3"/>
      <c r="E121" s="3"/>
    </row>
    <row r="122">
      <c r="A122" s="3"/>
      <c r="C122" s="3"/>
      <c r="D122" s="3"/>
      <c r="E122" s="3"/>
    </row>
    <row r="123">
      <c r="A123" s="3"/>
      <c r="C123" s="3"/>
      <c r="D123" s="3"/>
      <c r="E123" s="3"/>
    </row>
    <row r="124">
      <c r="A124" s="3"/>
      <c r="C124" s="3"/>
      <c r="D124" s="3"/>
      <c r="E124" s="3"/>
    </row>
    <row r="125">
      <c r="A125" s="3"/>
      <c r="C125" s="3"/>
      <c r="D125" s="3"/>
      <c r="E125" s="3"/>
    </row>
    <row r="126">
      <c r="A126" s="3"/>
      <c r="C126" s="3"/>
      <c r="D126" s="3"/>
      <c r="E126" s="3"/>
    </row>
    <row r="127">
      <c r="A127" s="3"/>
      <c r="C127" s="3"/>
      <c r="D127" s="3"/>
      <c r="E127" s="3"/>
    </row>
    <row r="128">
      <c r="A128" s="3"/>
      <c r="C128" s="3"/>
      <c r="D128" s="3"/>
      <c r="E128" s="3"/>
    </row>
    <row r="129">
      <c r="A129" s="3"/>
      <c r="C129" s="3"/>
      <c r="D129" s="3"/>
      <c r="E129" s="3"/>
    </row>
    <row r="130">
      <c r="A130" s="3"/>
      <c r="C130" s="3"/>
      <c r="D130" s="3"/>
      <c r="E130" s="3"/>
    </row>
    <row r="131">
      <c r="A131" s="3"/>
      <c r="C131" s="3"/>
      <c r="D131" s="3"/>
      <c r="E131" s="3"/>
    </row>
    <row r="132">
      <c r="A132" s="3"/>
      <c r="C132" s="3"/>
      <c r="D132" s="3"/>
      <c r="E132" s="3"/>
    </row>
    <row r="133">
      <c r="A133" s="3"/>
      <c r="C133" s="3"/>
      <c r="D133" s="3"/>
      <c r="E133" s="3"/>
    </row>
    <row r="134">
      <c r="A134" s="3"/>
      <c r="C134" s="3"/>
      <c r="D134" s="3"/>
      <c r="E134" s="3"/>
    </row>
    <row r="135">
      <c r="A135" s="3"/>
      <c r="C135" s="3"/>
      <c r="D135" s="3"/>
      <c r="E135" s="3"/>
    </row>
    <row r="136">
      <c r="A136" s="3"/>
      <c r="C136" s="3"/>
      <c r="D136" s="3"/>
      <c r="E136" s="3"/>
    </row>
    <row r="137">
      <c r="A137" s="3"/>
      <c r="C137" s="3"/>
      <c r="D137" s="3"/>
      <c r="E137" s="3"/>
    </row>
    <row r="138">
      <c r="A138" s="3"/>
      <c r="C138" s="3"/>
      <c r="D138" s="3"/>
      <c r="E138" s="3"/>
    </row>
    <row r="139">
      <c r="A139" s="3"/>
      <c r="C139" s="3"/>
      <c r="D139" s="3"/>
      <c r="E139" s="3"/>
    </row>
    <row r="140">
      <c r="A140" s="3"/>
      <c r="C140" s="3"/>
      <c r="D140" s="3"/>
      <c r="E140" s="3"/>
    </row>
    <row r="141">
      <c r="A141" s="3"/>
      <c r="C141" s="3"/>
      <c r="D141" s="3"/>
      <c r="E141" s="3"/>
    </row>
    <row r="142">
      <c r="A142" s="3"/>
      <c r="C142" s="3"/>
      <c r="D142" s="3"/>
      <c r="E142" s="3"/>
    </row>
    <row r="143">
      <c r="A143" s="3"/>
      <c r="C143" s="3"/>
      <c r="D143" s="3"/>
      <c r="E143" s="3"/>
    </row>
    <row r="144">
      <c r="A144" s="3"/>
      <c r="C144" s="3"/>
      <c r="D144" s="3"/>
      <c r="E144" s="3"/>
    </row>
    <row r="145">
      <c r="A145" s="3"/>
      <c r="C145" s="3"/>
      <c r="D145" s="3"/>
      <c r="E145" s="3"/>
    </row>
    <row r="146">
      <c r="A146" s="3"/>
      <c r="C146" s="3"/>
      <c r="D146" s="3"/>
      <c r="E146" s="3"/>
    </row>
    <row r="147">
      <c r="A147" s="3"/>
      <c r="C147" s="3"/>
      <c r="D147" s="3"/>
      <c r="E147" s="3"/>
    </row>
    <row r="148">
      <c r="A148" s="3"/>
      <c r="C148" s="3"/>
      <c r="D148" s="3"/>
      <c r="E148" s="3"/>
    </row>
    <row r="149">
      <c r="A149" s="3"/>
      <c r="C149" s="3"/>
      <c r="D149" s="3"/>
      <c r="E149" s="3"/>
    </row>
    <row r="150">
      <c r="A150" s="3"/>
      <c r="C150" s="3"/>
      <c r="D150" s="3"/>
      <c r="E150" s="3"/>
    </row>
    <row r="151">
      <c r="A151" s="3"/>
      <c r="C151" s="3"/>
      <c r="D151" s="3"/>
      <c r="E151" s="3"/>
    </row>
    <row r="152">
      <c r="A152" s="3"/>
      <c r="C152" s="3"/>
      <c r="D152" s="3"/>
      <c r="E152" s="3"/>
    </row>
    <row r="153">
      <c r="A153" s="3"/>
      <c r="C153" s="3"/>
      <c r="D153" s="3"/>
      <c r="E153" s="3"/>
    </row>
    <row r="154">
      <c r="A154" s="3"/>
      <c r="C154" s="3"/>
      <c r="D154" s="3"/>
      <c r="E154" s="3"/>
    </row>
    <row r="155">
      <c r="A155" s="3"/>
      <c r="C155" s="3"/>
      <c r="D155" s="3"/>
      <c r="E155" s="3"/>
    </row>
    <row r="156">
      <c r="A156" s="3"/>
      <c r="C156" s="3"/>
      <c r="D156" s="3"/>
      <c r="E156" s="3"/>
    </row>
    <row r="157">
      <c r="A157" s="3"/>
      <c r="C157" s="3"/>
      <c r="D157" s="3"/>
      <c r="E157" s="3"/>
    </row>
    <row r="158">
      <c r="A158" s="3"/>
      <c r="C158" s="3"/>
      <c r="D158" s="3"/>
      <c r="E158" s="3"/>
    </row>
    <row r="159">
      <c r="A159" s="3"/>
      <c r="C159" s="3"/>
      <c r="D159" s="3"/>
      <c r="E159" s="3"/>
    </row>
    <row r="160">
      <c r="A160" s="3"/>
      <c r="C160" s="3"/>
      <c r="D160" s="3"/>
      <c r="E160" s="3"/>
    </row>
    <row r="161">
      <c r="A161" s="3"/>
      <c r="C161" s="3"/>
      <c r="D161" s="3"/>
      <c r="E161" s="3"/>
    </row>
    <row r="162">
      <c r="C162" s="3"/>
      <c r="D162" s="3"/>
      <c r="E162" s="3"/>
    </row>
    <row r="163">
      <c r="C163" s="3"/>
      <c r="D163" s="3"/>
      <c r="E163" s="3"/>
    </row>
    <row r="164">
      <c r="C164" s="3"/>
      <c r="D164" s="3"/>
      <c r="E164" s="3"/>
    </row>
    <row r="165">
      <c r="C165" s="3"/>
      <c r="D165" s="3"/>
      <c r="E165" s="3"/>
    </row>
    <row r="166">
      <c r="C166" s="3"/>
      <c r="D166" s="3"/>
      <c r="E166" s="3"/>
    </row>
    <row r="167">
      <c r="C167" s="3"/>
      <c r="D167" s="3"/>
      <c r="E167" s="3"/>
    </row>
    <row r="168">
      <c r="C168" s="3"/>
      <c r="D168" s="3"/>
      <c r="E168" s="3"/>
    </row>
    <row r="169">
      <c r="C169" s="3"/>
      <c r="D169" s="3"/>
      <c r="E169" s="3"/>
    </row>
    <row r="170">
      <c r="C170" s="3"/>
      <c r="D170" s="3"/>
      <c r="E170" s="3"/>
    </row>
    <row r="171">
      <c r="C171" s="3"/>
      <c r="D171" s="3"/>
      <c r="E171" s="3"/>
    </row>
    <row r="172">
      <c r="C172" s="3"/>
      <c r="D172" s="3"/>
      <c r="E172" s="3"/>
    </row>
    <row r="173">
      <c r="C173" s="3"/>
      <c r="D173" s="3"/>
      <c r="E173" s="3"/>
    </row>
    <row r="174">
      <c r="C174" s="3"/>
      <c r="D174" s="3"/>
      <c r="E174" s="3"/>
    </row>
    <row r="175">
      <c r="C175" s="3"/>
      <c r="D175" s="3"/>
      <c r="E175" s="3"/>
    </row>
    <row r="176">
      <c r="C176" s="3"/>
      <c r="D176" s="3"/>
      <c r="E176" s="3"/>
    </row>
    <row r="177">
      <c r="C177" s="3"/>
      <c r="D177" s="3"/>
      <c r="E177" s="3"/>
    </row>
    <row r="178">
      <c r="C178" s="3"/>
      <c r="D178" s="3"/>
      <c r="E178" s="3"/>
    </row>
    <row r="179">
      <c r="C179" s="3"/>
      <c r="D179" s="3"/>
      <c r="E179" s="3"/>
    </row>
    <row r="180">
      <c r="C180" s="3"/>
      <c r="D180" s="3"/>
      <c r="E180" s="3"/>
    </row>
    <row r="181">
      <c r="C181" s="3"/>
      <c r="D181" s="3"/>
      <c r="E181" s="3"/>
    </row>
    <row r="182">
      <c r="C182" s="3"/>
      <c r="D182" s="3"/>
      <c r="E182" s="3"/>
    </row>
    <row r="183">
      <c r="C183" s="3"/>
      <c r="D183" s="3"/>
      <c r="E183" s="3"/>
    </row>
    <row r="184">
      <c r="C184" s="3"/>
      <c r="D184" s="3"/>
      <c r="E184" s="3"/>
    </row>
    <row r="185">
      <c r="C185" s="3"/>
      <c r="D185" s="3"/>
      <c r="E185" s="3"/>
    </row>
    <row r="186">
      <c r="C186" s="3"/>
      <c r="D186" s="3"/>
      <c r="E186" s="3"/>
    </row>
    <row r="187">
      <c r="C187" s="3"/>
      <c r="D187" s="3"/>
      <c r="E187" s="3"/>
    </row>
    <row r="188">
      <c r="C188" s="3"/>
      <c r="D188" s="3"/>
      <c r="E188" s="3"/>
    </row>
    <row r="189">
      <c r="C189" s="3"/>
      <c r="D189" s="3"/>
      <c r="E189" s="3"/>
    </row>
    <row r="190">
      <c r="C190" s="3"/>
      <c r="D190" s="3"/>
      <c r="E190" s="3"/>
    </row>
    <row r="191">
      <c r="C191" s="3"/>
      <c r="D191" s="3"/>
      <c r="E191" s="3"/>
    </row>
    <row r="192">
      <c r="C192" s="3"/>
      <c r="D192" s="3"/>
      <c r="E192" s="3"/>
    </row>
    <row r="193">
      <c r="C193" s="3"/>
      <c r="D193" s="3"/>
      <c r="E193" s="3"/>
    </row>
    <row r="194">
      <c r="C194" s="3"/>
      <c r="D194" s="3"/>
      <c r="E194" s="3"/>
    </row>
    <row r="195">
      <c r="C195" s="3"/>
      <c r="D195" s="3"/>
      <c r="E195" s="3"/>
    </row>
    <row r="196">
      <c r="C196" s="3"/>
      <c r="D196" s="3"/>
      <c r="E196" s="3"/>
    </row>
    <row r="197">
      <c r="C197" s="3"/>
      <c r="D197" s="3"/>
      <c r="E197" s="3"/>
    </row>
    <row r="198">
      <c r="C198" s="3"/>
      <c r="D198" s="3"/>
      <c r="E198" s="3"/>
    </row>
    <row r="199">
      <c r="C199" s="3"/>
      <c r="D199" s="3"/>
      <c r="E199" s="3"/>
    </row>
    <row r="200">
      <c r="C200" s="3"/>
      <c r="D200" s="3"/>
      <c r="E200" s="3"/>
    </row>
    <row r="201">
      <c r="C201" s="3"/>
      <c r="D201" s="3"/>
      <c r="E201" s="3"/>
    </row>
    <row r="202">
      <c r="C202" s="3"/>
      <c r="D202" s="3"/>
      <c r="E202" s="3"/>
    </row>
    <row r="203">
      <c r="C203" s="3"/>
      <c r="D203" s="3"/>
      <c r="E203" s="3"/>
    </row>
    <row r="204">
      <c r="C204" s="3"/>
      <c r="D204" s="3"/>
      <c r="E204" s="3"/>
    </row>
    <row r="205">
      <c r="C205" s="3"/>
      <c r="D205" s="3"/>
      <c r="E205" s="3"/>
    </row>
    <row r="206">
      <c r="C206" s="3"/>
      <c r="D206" s="3"/>
      <c r="E206" s="3"/>
    </row>
    <row r="207">
      <c r="C207" s="3"/>
      <c r="D207" s="3"/>
      <c r="E207" s="3"/>
    </row>
    <row r="208">
      <c r="C208" s="3"/>
      <c r="D208" s="3"/>
      <c r="E208" s="3"/>
    </row>
    <row r="209">
      <c r="C209" s="3"/>
      <c r="D209" s="3"/>
      <c r="E209" s="3"/>
    </row>
    <row r="210">
      <c r="C210" s="3"/>
      <c r="D210" s="3"/>
      <c r="E210" s="3"/>
    </row>
    <row r="211">
      <c r="C211" s="3"/>
      <c r="D211" s="3"/>
      <c r="E211" s="3"/>
    </row>
    <row r="212">
      <c r="C212" s="3"/>
      <c r="D212" s="3"/>
      <c r="E212" s="3"/>
    </row>
    <row r="213">
      <c r="C213" s="3"/>
      <c r="D213" s="3"/>
      <c r="E213" s="3"/>
    </row>
    <row r="214">
      <c r="C214" s="3"/>
      <c r="D214" s="3"/>
      <c r="E214" s="3"/>
    </row>
    <row r="215">
      <c r="C215" s="3"/>
      <c r="D215" s="3"/>
      <c r="E215" s="3"/>
    </row>
    <row r="216">
      <c r="C216" s="3"/>
      <c r="D216" s="3"/>
      <c r="E216" s="3"/>
    </row>
    <row r="217">
      <c r="C217" s="3"/>
      <c r="D217" s="3"/>
      <c r="E217" s="3"/>
    </row>
    <row r="218">
      <c r="C218" s="3"/>
      <c r="D218" s="3"/>
      <c r="E218" s="3"/>
    </row>
    <row r="219">
      <c r="C219" s="3"/>
      <c r="D219" s="3"/>
      <c r="E219" s="3"/>
    </row>
    <row r="220">
      <c r="C220" s="3"/>
      <c r="D220" s="3"/>
      <c r="E220" s="3"/>
    </row>
    <row r="221">
      <c r="C221" s="3"/>
      <c r="D221" s="3"/>
      <c r="E221" s="3"/>
    </row>
    <row r="222">
      <c r="C222" s="3"/>
      <c r="D222" s="3"/>
      <c r="E222" s="3"/>
    </row>
    <row r="223">
      <c r="C223" s="3"/>
      <c r="D223" s="3"/>
      <c r="E223" s="3"/>
    </row>
    <row r="224">
      <c r="C224" s="3"/>
      <c r="D224" s="3"/>
      <c r="E224" s="3"/>
    </row>
    <row r="225">
      <c r="C225" s="3"/>
      <c r="D225" s="3"/>
      <c r="E225" s="3"/>
    </row>
    <row r="226">
      <c r="C226" s="3"/>
      <c r="D226" s="3"/>
      <c r="E226" s="3"/>
    </row>
    <row r="227">
      <c r="C227" s="3"/>
      <c r="D227" s="3"/>
      <c r="E227" s="3"/>
    </row>
    <row r="228">
      <c r="C228" s="3"/>
      <c r="D228" s="3"/>
      <c r="E228" s="3"/>
    </row>
    <row r="229">
      <c r="C229" s="3"/>
      <c r="D229" s="3"/>
      <c r="E229" s="3"/>
    </row>
    <row r="230">
      <c r="C230" s="3"/>
      <c r="D230" s="3"/>
      <c r="E230" s="3"/>
    </row>
    <row r="231">
      <c r="C231" s="3"/>
      <c r="D231" s="3"/>
      <c r="E231" s="3"/>
    </row>
    <row r="232">
      <c r="C232" s="3"/>
      <c r="D232" s="3"/>
      <c r="E232" s="3"/>
    </row>
    <row r="233">
      <c r="C233" s="3"/>
      <c r="D233" s="3"/>
      <c r="E233" s="3"/>
    </row>
    <row r="234">
      <c r="C234" s="3"/>
      <c r="D234" s="3"/>
      <c r="E234" s="3"/>
    </row>
    <row r="235">
      <c r="C235" s="3"/>
      <c r="D235" s="3"/>
      <c r="E235" s="3"/>
    </row>
    <row r="236">
      <c r="C236" s="3"/>
      <c r="D236" s="3"/>
      <c r="E236" s="3"/>
    </row>
    <row r="237">
      <c r="C237" s="3"/>
      <c r="D237" s="3"/>
      <c r="E237" s="3"/>
    </row>
    <row r="238">
      <c r="C238" s="3"/>
      <c r="D238" s="3"/>
      <c r="E238" s="3"/>
    </row>
    <row r="239">
      <c r="C239" s="3"/>
      <c r="D239" s="3"/>
      <c r="E239" s="3"/>
    </row>
    <row r="240">
      <c r="C240" s="3"/>
      <c r="D240" s="3"/>
      <c r="E240" s="3"/>
    </row>
    <row r="241">
      <c r="C241" s="3"/>
      <c r="D241" s="3"/>
      <c r="E241" s="3"/>
    </row>
    <row r="242">
      <c r="C242" s="3"/>
      <c r="D242" s="3"/>
      <c r="E242" s="3"/>
    </row>
    <row r="243">
      <c r="C243" s="3"/>
      <c r="D243" s="3"/>
      <c r="E243" s="3"/>
    </row>
    <row r="244">
      <c r="C244" s="3"/>
      <c r="D244" s="3"/>
      <c r="E244" s="3"/>
    </row>
    <row r="245">
      <c r="C245" s="3"/>
      <c r="D245" s="3"/>
      <c r="E245" s="3"/>
    </row>
    <row r="246">
      <c r="C246" s="3"/>
      <c r="D246" s="3"/>
      <c r="E246" s="3"/>
    </row>
    <row r="247">
      <c r="C247" s="3"/>
      <c r="D247" s="3"/>
      <c r="E247" s="3"/>
    </row>
    <row r="248">
      <c r="C248" s="3"/>
      <c r="D248" s="3"/>
      <c r="E248" s="3"/>
    </row>
    <row r="249">
      <c r="C249" s="3"/>
      <c r="D249" s="3"/>
      <c r="E249" s="3"/>
    </row>
    <row r="250">
      <c r="C250" s="3"/>
      <c r="D250" s="3"/>
      <c r="E250" s="3"/>
    </row>
    <row r="251">
      <c r="C251" s="3"/>
      <c r="D251" s="3"/>
      <c r="E251" s="3"/>
    </row>
    <row r="252">
      <c r="C252" s="3"/>
      <c r="D252" s="3"/>
      <c r="E252" s="3"/>
    </row>
    <row r="253">
      <c r="C253" s="3"/>
      <c r="D253" s="3"/>
      <c r="E253" s="3"/>
    </row>
    <row r="254">
      <c r="C254" s="3"/>
      <c r="D254" s="3"/>
      <c r="E254" s="3"/>
    </row>
    <row r="255">
      <c r="C255" s="3"/>
      <c r="D255" s="3"/>
      <c r="E255" s="3"/>
    </row>
    <row r="256">
      <c r="C256" s="3"/>
      <c r="D256" s="3"/>
      <c r="E256" s="3"/>
    </row>
    <row r="257">
      <c r="C257" s="3"/>
      <c r="D257" s="3"/>
      <c r="E257" s="3"/>
    </row>
    <row r="258">
      <c r="C258" s="3"/>
      <c r="D258" s="3"/>
      <c r="E258" s="3"/>
    </row>
    <row r="259">
      <c r="C259" s="3"/>
      <c r="D259" s="3"/>
      <c r="E259" s="3"/>
    </row>
    <row r="260">
      <c r="C260" s="3"/>
      <c r="D260" s="3"/>
      <c r="E260" s="3"/>
    </row>
    <row r="261">
      <c r="C261" s="3"/>
      <c r="D261" s="3"/>
      <c r="E261" s="3"/>
    </row>
    <row r="262">
      <c r="C262" s="3"/>
      <c r="D262" s="3"/>
      <c r="E262" s="3"/>
    </row>
    <row r="263">
      <c r="C263" s="3"/>
      <c r="D263" s="3"/>
      <c r="E263" s="3"/>
    </row>
    <row r="264">
      <c r="C264" s="3"/>
      <c r="D264" s="3"/>
      <c r="E264" s="3"/>
    </row>
    <row r="265">
      <c r="C265" s="3"/>
      <c r="D265" s="3"/>
      <c r="E265" s="3"/>
    </row>
    <row r="266">
      <c r="C266" s="3"/>
      <c r="D266" s="3"/>
      <c r="E266" s="3"/>
    </row>
    <row r="267">
      <c r="C267" s="3"/>
      <c r="D267" s="3"/>
      <c r="E267" s="3"/>
    </row>
    <row r="268">
      <c r="C268" s="3"/>
      <c r="D268" s="3"/>
      <c r="E268" s="3"/>
    </row>
    <row r="269">
      <c r="C269" s="3"/>
      <c r="D269" s="3"/>
      <c r="E269" s="3"/>
    </row>
    <row r="270">
      <c r="C270" s="3"/>
      <c r="D270" s="3"/>
      <c r="E270" s="3"/>
    </row>
    <row r="271">
      <c r="C271" s="3"/>
      <c r="D271" s="3"/>
      <c r="E271" s="3"/>
    </row>
    <row r="272">
      <c r="C272" s="3"/>
      <c r="D272" s="3"/>
      <c r="E272" s="3"/>
    </row>
    <row r="273">
      <c r="C273" s="3"/>
      <c r="D273" s="3"/>
      <c r="E273" s="3"/>
    </row>
    <row r="274">
      <c r="C274" s="3"/>
      <c r="D274" s="3"/>
      <c r="E274" s="3"/>
    </row>
    <row r="275">
      <c r="C275" s="3"/>
      <c r="D275" s="3"/>
      <c r="E275" s="3"/>
    </row>
    <row r="276">
      <c r="C276" s="3"/>
      <c r="D276" s="3"/>
      <c r="E276" s="3"/>
    </row>
    <row r="277">
      <c r="C277" s="3"/>
      <c r="D277" s="3"/>
      <c r="E277" s="3"/>
    </row>
    <row r="278">
      <c r="C278" s="3"/>
      <c r="D278" s="3"/>
      <c r="E278" s="3"/>
    </row>
    <row r="279">
      <c r="C279" s="3"/>
      <c r="D279" s="3"/>
      <c r="E279" s="3"/>
    </row>
    <row r="280">
      <c r="C280" s="3"/>
      <c r="D280" s="3"/>
      <c r="E280" s="3"/>
    </row>
    <row r="281">
      <c r="C281" s="3"/>
      <c r="D281" s="3"/>
      <c r="E281" s="3"/>
    </row>
    <row r="282">
      <c r="C282" s="3"/>
      <c r="D282" s="3"/>
      <c r="E282" s="3"/>
    </row>
    <row r="283">
      <c r="C283" s="3"/>
      <c r="D283" s="3"/>
      <c r="E283" s="3"/>
    </row>
    <row r="284">
      <c r="C284" s="3"/>
      <c r="D284" s="3"/>
      <c r="E284" s="3"/>
    </row>
    <row r="285">
      <c r="C285" s="3"/>
      <c r="D285" s="3"/>
      <c r="E285" s="3"/>
    </row>
    <row r="286">
      <c r="C286" s="3"/>
      <c r="D286" s="3"/>
      <c r="E286" s="3"/>
    </row>
    <row r="287">
      <c r="C287" s="3"/>
      <c r="D287" s="3"/>
      <c r="E287" s="3"/>
    </row>
    <row r="288">
      <c r="C288" s="3"/>
      <c r="D288" s="3"/>
      <c r="E288" s="3"/>
    </row>
    <row r="289">
      <c r="C289" s="3"/>
      <c r="D289" s="3"/>
      <c r="E289" s="3"/>
    </row>
    <row r="290">
      <c r="C290" s="3"/>
      <c r="D290" s="3"/>
      <c r="E290" s="3"/>
    </row>
    <row r="291">
      <c r="C291" s="3"/>
      <c r="D291" s="3"/>
      <c r="E291" s="3"/>
    </row>
    <row r="292">
      <c r="C292" s="3"/>
      <c r="D292" s="3"/>
      <c r="E292" s="3"/>
    </row>
    <row r="293">
      <c r="C293" s="3"/>
      <c r="D293" s="3"/>
      <c r="E293" s="3"/>
    </row>
    <row r="294">
      <c r="C294" s="3"/>
      <c r="D294" s="3"/>
      <c r="E294" s="3"/>
    </row>
    <row r="295">
      <c r="C295" s="3"/>
      <c r="D295" s="3"/>
      <c r="E295" s="3"/>
    </row>
    <row r="296">
      <c r="C296" s="3"/>
      <c r="D296" s="3"/>
      <c r="E296" s="3"/>
    </row>
    <row r="297">
      <c r="C297" s="3"/>
      <c r="D297" s="3"/>
      <c r="E297" s="3"/>
    </row>
    <row r="298">
      <c r="C298" s="3"/>
      <c r="D298" s="3"/>
      <c r="E298" s="3"/>
    </row>
    <row r="299">
      <c r="C299" s="3"/>
      <c r="D299" s="3"/>
      <c r="E299" s="3"/>
    </row>
    <row r="300">
      <c r="C300" s="3"/>
      <c r="D300" s="3"/>
      <c r="E300" s="3"/>
    </row>
    <row r="301">
      <c r="C301" s="3"/>
      <c r="D301" s="3"/>
      <c r="E301" s="3"/>
    </row>
    <row r="302">
      <c r="C302" s="3"/>
      <c r="D302" s="3"/>
      <c r="E302" s="3"/>
    </row>
    <row r="303">
      <c r="C303" s="3"/>
      <c r="D303" s="3"/>
      <c r="E303" s="3"/>
    </row>
    <row r="304">
      <c r="C304" s="3"/>
      <c r="D304" s="3"/>
      <c r="E304" s="3"/>
    </row>
    <row r="305">
      <c r="C305" s="3"/>
      <c r="D305" s="3"/>
      <c r="E305" s="3"/>
    </row>
    <row r="306">
      <c r="C306" s="3"/>
      <c r="D306" s="3"/>
      <c r="E306" s="3"/>
    </row>
    <row r="307">
      <c r="C307" s="3"/>
      <c r="D307" s="3"/>
      <c r="E307" s="3"/>
    </row>
    <row r="308">
      <c r="C308" s="3"/>
      <c r="D308" s="3"/>
      <c r="E308" s="3"/>
    </row>
    <row r="309">
      <c r="C309" s="3"/>
      <c r="D309" s="3"/>
      <c r="E309" s="3"/>
    </row>
    <row r="310">
      <c r="C310" s="3"/>
      <c r="D310" s="3"/>
      <c r="E310" s="3"/>
    </row>
    <row r="311">
      <c r="C311" s="3"/>
      <c r="D311" s="3"/>
      <c r="E311" s="3"/>
    </row>
    <row r="312">
      <c r="C312" s="3"/>
      <c r="D312" s="3"/>
      <c r="E312" s="3"/>
    </row>
    <row r="313">
      <c r="C313" s="3"/>
      <c r="D313" s="3"/>
      <c r="E313" s="3"/>
    </row>
    <row r="314">
      <c r="C314" s="3"/>
      <c r="D314" s="3"/>
      <c r="E314" s="3"/>
    </row>
    <row r="315">
      <c r="C315" s="3"/>
      <c r="D315" s="3"/>
      <c r="E315" s="3"/>
    </row>
    <row r="316">
      <c r="C316" s="3"/>
      <c r="D316" s="3"/>
      <c r="E316" s="3"/>
    </row>
    <row r="317">
      <c r="C317" s="3"/>
      <c r="D317" s="3"/>
      <c r="E317" s="3"/>
    </row>
    <row r="318">
      <c r="C318" s="3"/>
      <c r="D318" s="3"/>
      <c r="E318" s="3"/>
    </row>
    <row r="319">
      <c r="C319" s="3"/>
      <c r="D319" s="3"/>
      <c r="E319" s="3"/>
    </row>
    <row r="320">
      <c r="C320" s="3"/>
      <c r="D320" s="3"/>
      <c r="E320" s="3"/>
    </row>
    <row r="321">
      <c r="C321" s="3"/>
      <c r="D321" s="3"/>
      <c r="E321" s="3"/>
    </row>
    <row r="322">
      <c r="C322" s="3"/>
      <c r="D322" s="3"/>
      <c r="E322" s="3"/>
    </row>
    <row r="323">
      <c r="C323" s="3"/>
      <c r="D323" s="3"/>
      <c r="E323" s="3"/>
    </row>
    <row r="324">
      <c r="C324" s="3"/>
      <c r="D324" s="3"/>
      <c r="E324" s="3"/>
    </row>
    <row r="325">
      <c r="C325" s="3"/>
      <c r="D325" s="3"/>
      <c r="E325" s="3"/>
    </row>
    <row r="326">
      <c r="C326" s="3"/>
      <c r="D326" s="3"/>
      <c r="E326" s="3"/>
    </row>
    <row r="327">
      <c r="C327" s="3"/>
      <c r="D327" s="3"/>
      <c r="E327" s="3"/>
    </row>
    <row r="328">
      <c r="C328" s="3"/>
      <c r="D328" s="3"/>
      <c r="E328" s="3"/>
    </row>
    <row r="329">
      <c r="C329" s="3"/>
      <c r="D329" s="3"/>
      <c r="E329" s="3"/>
    </row>
    <row r="330">
      <c r="C330" s="3"/>
      <c r="D330" s="3"/>
      <c r="E330" s="3"/>
    </row>
    <row r="331">
      <c r="C331" s="3"/>
      <c r="D331" s="3"/>
      <c r="E331" s="3"/>
    </row>
    <row r="332">
      <c r="C332" s="3"/>
      <c r="D332" s="3"/>
      <c r="E332" s="3"/>
    </row>
    <row r="333">
      <c r="C333" s="3"/>
      <c r="D333" s="3"/>
      <c r="E333" s="3"/>
    </row>
    <row r="334">
      <c r="C334" s="3"/>
      <c r="D334" s="3"/>
      <c r="E334" s="3"/>
    </row>
    <row r="335">
      <c r="C335" s="3"/>
      <c r="D335" s="3"/>
      <c r="E335" s="3"/>
    </row>
    <row r="336">
      <c r="C336" s="3"/>
      <c r="D336" s="3"/>
      <c r="E336" s="3"/>
    </row>
    <row r="337">
      <c r="C337" s="3"/>
      <c r="D337" s="3"/>
      <c r="E337" s="3"/>
    </row>
    <row r="338">
      <c r="C338" s="3"/>
      <c r="D338" s="3"/>
      <c r="E338" s="3"/>
    </row>
    <row r="339">
      <c r="C339" s="3"/>
      <c r="D339" s="3"/>
      <c r="E339" s="3"/>
    </row>
    <row r="340">
      <c r="C340" s="3"/>
      <c r="D340" s="3"/>
      <c r="E340" s="3"/>
    </row>
    <row r="341">
      <c r="C341" s="3"/>
      <c r="D341" s="3"/>
      <c r="E341" s="3"/>
    </row>
    <row r="342">
      <c r="C342" s="3"/>
      <c r="D342" s="3"/>
      <c r="E342" s="3"/>
    </row>
    <row r="343">
      <c r="C343" s="3"/>
      <c r="D343" s="3"/>
      <c r="E343" s="3"/>
    </row>
    <row r="344">
      <c r="C344" s="3"/>
      <c r="D344" s="3"/>
      <c r="E344" s="3"/>
    </row>
    <row r="345">
      <c r="C345" s="3"/>
      <c r="D345" s="3"/>
      <c r="E345" s="3"/>
    </row>
    <row r="346">
      <c r="C346" s="3"/>
      <c r="D346" s="3"/>
      <c r="E346" s="3"/>
    </row>
    <row r="347">
      <c r="C347" s="3"/>
      <c r="D347" s="3"/>
      <c r="E347" s="3"/>
    </row>
    <row r="348">
      <c r="C348" s="3"/>
      <c r="D348" s="3"/>
      <c r="E348" s="3"/>
    </row>
    <row r="349">
      <c r="C349" s="3"/>
      <c r="D349" s="3"/>
      <c r="E349" s="3"/>
    </row>
    <row r="350">
      <c r="C350" s="3"/>
      <c r="D350" s="3"/>
      <c r="E350" s="3"/>
    </row>
    <row r="351">
      <c r="C351" s="3"/>
      <c r="D351" s="3"/>
      <c r="E351" s="3"/>
    </row>
    <row r="352">
      <c r="C352" s="3"/>
      <c r="D352" s="3"/>
      <c r="E352" s="3"/>
    </row>
    <row r="353">
      <c r="C353" s="3"/>
      <c r="D353" s="3"/>
      <c r="E353" s="3"/>
    </row>
    <row r="354">
      <c r="C354" s="3"/>
      <c r="D354" s="3"/>
      <c r="E354" s="3"/>
    </row>
    <row r="355">
      <c r="C355" s="3"/>
      <c r="D355" s="3"/>
      <c r="E355" s="3"/>
    </row>
    <row r="356">
      <c r="C356" s="3"/>
      <c r="D356" s="3"/>
      <c r="E356" s="3"/>
    </row>
    <row r="357">
      <c r="C357" s="3"/>
      <c r="D357" s="3"/>
      <c r="E357" s="3"/>
    </row>
    <row r="358">
      <c r="C358" s="3"/>
      <c r="D358" s="3"/>
      <c r="E358" s="3"/>
    </row>
    <row r="359">
      <c r="C359" s="3"/>
      <c r="D359" s="3"/>
      <c r="E359" s="3"/>
    </row>
    <row r="360">
      <c r="C360" s="3"/>
      <c r="D360" s="3"/>
      <c r="E360" s="3"/>
    </row>
    <row r="361">
      <c r="C361" s="3"/>
      <c r="D361" s="3"/>
      <c r="E361" s="3"/>
    </row>
    <row r="362">
      <c r="C362" s="3"/>
      <c r="D362" s="3"/>
      <c r="E362" s="3"/>
    </row>
    <row r="363">
      <c r="C363" s="3"/>
      <c r="D363" s="3"/>
      <c r="E363" s="3"/>
    </row>
    <row r="364">
      <c r="C364" s="3"/>
      <c r="D364" s="3"/>
      <c r="E364" s="3"/>
    </row>
    <row r="365">
      <c r="C365" s="3"/>
      <c r="D365" s="3"/>
      <c r="E365" s="3"/>
    </row>
    <row r="366">
      <c r="C366" s="3"/>
      <c r="D366" s="3"/>
      <c r="E366" s="3"/>
    </row>
    <row r="367">
      <c r="C367" s="3"/>
      <c r="D367" s="3"/>
      <c r="E367" s="3"/>
    </row>
    <row r="368">
      <c r="C368" s="3"/>
      <c r="D368" s="3"/>
      <c r="E368" s="3"/>
    </row>
    <row r="369">
      <c r="C369" s="3"/>
      <c r="D369" s="3"/>
      <c r="E369" s="3"/>
    </row>
    <row r="370">
      <c r="C370" s="3"/>
      <c r="D370" s="3"/>
      <c r="E370" s="3"/>
    </row>
    <row r="371">
      <c r="C371" s="3"/>
      <c r="D371" s="3"/>
      <c r="E371" s="3"/>
    </row>
    <row r="372">
      <c r="C372" s="3"/>
      <c r="D372" s="3"/>
      <c r="E372" s="3"/>
    </row>
    <row r="373">
      <c r="C373" s="3"/>
      <c r="D373" s="3"/>
      <c r="E373" s="3"/>
    </row>
    <row r="374">
      <c r="C374" s="3"/>
      <c r="D374" s="3"/>
      <c r="E374" s="3"/>
    </row>
    <row r="375">
      <c r="C375" s="3"/>
      <c r="D375" s="3"/>
      <c r="E375" s="3"/>
    </row>
    <row r="376">
      <c r="C376" s="3"/>
      <c r="D376" s="3"/>
      <c r="E376" s="3"/>
    </row>
    <row r="377">
      <c r="C377" s="3"/>
      <c r="D377" s="3"/>
      <c r="E377" s="3"/>
    </row>
    <row r="378">
      <c r="C378" s="3"/>
      <c r="D378" s="3"/>
      <c r="E378" s="3"/>
    </row>
    <row r="379">
      <c r="C379" s="3"/>
      <c r="D379" s="3"/>
      <c r="E379" s="3"/>
    </row>
    <row r="380">
      <c r="C380" s="3"/>
      <c r="D380" s="3"/>
      <c r="E380" s="3"/>
    </row>
    <row r="381">
      <c r="C381" s="3"/>
      <c r="D381" s="3"/>
      <c r="E381" s="3"/>
    </row>
    <row r="382">
      <c r="C382" s="3"/>
      <c r="D382" s="3"/>
      <c r="E382" s="3"/>
    </row>
    <row r="383">
      <c r="C383" s="3"/>
      <c r="D383" s="3"/>
      <c r="E383" s="3"/>
    </row>
    <row r="384">
      <c r="C384" s="3"/>
      <c r="D384" s="3"/>
      <c r="E384" s="3"/>
    </row>
    <row r="385">
      <c r="C385" s="3"/>
      <c r="D385" s="3"/>
      <c r="E385" s="3"/>
    </row>
    <row r="386">
      <c r="C386" s="3"/>
      <c r="D386" s="3"/>
      <c r="E386" s="3"/>
    </row>
    <row r="387">
      <c r="C387" s="3"/>
      <c r="D387" s="3"/>
      <c r="E387" s="3"/>
    </row>
    <row r="388">
      <c r="C388" s="3"/>
      <c r="D388" s="3"/>
      <c r="E388" s="3"/>
    </row>
    <row r="389">
      <c r="C389" s="3"/>
      <c r="D389" s="3"/>
      <c r="E389" s="3"/>
    </row>
    <row r="390">
      <c r="C390" s="3"/>
      <c r="D390" s="3"/>
      <c r="E390" s="3"/>
    </row>
    <row r="391">
      <c r="C391" s="3"/>
      <c r="D391" s="3"/>
      <c r="E391" s="3"/>
    </row>
    <row r="392">
      <c r="C392" s="3"/>
      <c r="D392" s="3"/>
      <c r="E392" s="3"/>
    </row>
    <row r="393">
      <c r="C393" s="3"/>
      <c r="D393" s="3"/>
      <c r="E393" s="3"/>
    </row>
    <row r="394">
      <c r="C394" s="3"/>
      <c r="D394" s="3"/>
      <c r="E394" s="3"/>
    </row>
    <row r="395">
      <c r="C395" s="3"/>
      <c r="D395" s="3"/>
      <c r="E395" s="3"/>
    </row>
    <row r="396">
      <c r="C396" s="3"/>
      <c r="D396" s="3"/>
      <c r="E396" s="3"/>
    </row>
    <row r="397">
      <c r="C397" s="3"/>
      <c r="D397" s="3"/>
      <c r="E397" s="3"/>
    </row>
    <row r="398">
      <c r="C398" s="3"/>
      <c r="D398" s="3"/>
      <c r="E398" s="3"/>
    </row>
    <row r="399">
      <c r="C399" s="3"/>
      <c r="D399" s="3"/>
      <c r="E399" s="3"/>
    </row>
    <row r="400">
      <c r="C400" s="3"/>
      <c r="D400" s="3"/>
      <c r="E400" s="3"/>
    </row>
    <row r="401">
      <c r="C401" s="3"/>
      <c r="D401" s="3"/>
      <c r="E401" s="3"/>
    </row>
    <row r="402">
      <c r="C402" s="3"/>
      <c r="D402" s="3"/>
      <c r="E402" s="3"/>
    </row>
    <row r="403">
      <c r="C403" s="3"/>
      <c r="D403" s="3"/>
      <c r="E403" s="3"/>
    </row>
    <row r="404">
      <c r="C404" s="3"/>
      <c r="D404" s="3"/>
      <c r="E404" s="3"/>
    </row>
    <row r="405">
      <c r="C405" s="3"/>
      <c r="D405" s="3"/>
      <c r="E405" s="3"/>
    </row>
    <row r="406">
      <c r="C406" s="3"/>
      <c r="D406" s="3"/>
      <c r="E406" s="3"/>
    </row>
    <row r="407">
      <c r="C407" s="3"/>
      <c r="D407" s="3"/>
      <c r="E407" s="3"/>
    </row>
    <row r="408">
      <c r="C408" s="3"/>
      <c r="D408" s="3"/>
      <c r="E408" s="3"/>
    </row>
    <row r="409">
      <c r="C409" s="3"/>
      <c r="D409" s="3"/>
      <c r="E409" s="3"/>
    </row>
    <row r="410">
      <c r="C410" s="3"/>
      <c r="D410" s="3"/>
      <c r="E410" s="3"/>
    </row>
    <row r="411">
      <c r="C411" s="3"/>
      <c r="D411" s="3"/>
      <c r="E411" s="3"/>
    </row>
    <row r="412">
      <c r="C412" s="3"/>
      <c r="D412" s="3"/>
      <c r="E412" s="3"/>
    </row>
    <row r="413">
      <c r="C413" s="3"/>
      <c r="D413" s="3"/>
      <c r="E413" s="3"/>
    </row>
    <row r="414">
      <c r="C414" s="3"/>
      <c r="D414" s="3"/>
      <c r="E414" s="3"/>
    </row>
    <row r="415">
      <c r="C415" s="3"/>
      <c r="D415" s="3"/>
      <c r="E415" s="3"/>
    </row>
    <row r="416">
      <c r="C416" s="3"/>
      <c r="D416" s="3"/>
      <c r="E416" s="3"/>
    </row>
    <row r="417">
      <c r="C417" s="3"/>
      <c r="D417" s="3"/>
      <c r="E417" s="3"/>
    </row>
    <row r="418">
      <c r="C418" s="3"/>
      <c r="D418" s="3"/>
      <c r="E418" s="3"/>
    </row>
    <row r="419">
      <c r="C419" s="3"/>
      <c r="D419" s="3"/>
      <c r="E419" s="3"/>
    </row>
    <row r="420">
      <c r="C420" s="3"/>
      <c r="D420" s="3"/>
      <c r="E420" s="3"/>
    </row>
    <row r="421">
      <c r="C421" s="3"/>
      <c r="D421" s="3"/>
      <c r="E421" s="3"/>
    </row>
    <row r="422">
      <c r="C422" s="3"/>
      <c r="D422" s="3"/>
      <c r="E422" s="3"/>
    </row>
    <row r="423">
      <c r="C423" s="3"/>
      <c r="D423" s="3"/>
      <c r="E423" s="3"/>
    </row>
    <row r="424">
      <c r="C424" s="3"/>
      <c r="D424" s="3"/>
      <c r="E424" s="3"/>
    </row>
    <row r="425">
      <c r="C425" s="3"/>
      <c r="D425" s="3"/>
      <c r="E425" s="3"/>
    </row>
    <row r="426">
      <c r="C426" s="3"/>
      <c r="D426" s="3"/>
      <c r="E426" s="3"/>
    </row>
    <row r="427">
      <c r="C427" s="3"/>
      <c r="D427" s="3"/>
      <c r="E427" s="3"/>
    </row>
    <row r="428">
      <c r="C428" s="3"/>
      <c r="D428" s="3"/>
      <c r="E428" s="3"/>
    </row>
    <row r="429">
      <c r="C429" s="3"/>
      <c r="D429" s="3"/>
      <c r="E429" s="3"/>
    </row>
    <row r="430">
      <c r="C430" s="3"/>
      <c r="D430" s="3"/>
      <c r="E430" s="3"/>
    </row>
    <row r="431">
      <c r="C431" s="3"/>
      <c r="D431" s="3"/>
      <c r="E431" s="3"/>
    </row>
    <row r="432">
      <c r="C432" s="3"/>
      <c r="D432" s="3"/>
      <c r="E432" s="3"/>
    </row>
    <row r="433">
      <c r="C433" s="3"/>
      <c r="D433" s="3"/>
      <c r="E433" s="3"/>
    </row>
    <row r="434">
      <c r="C434" s="3"/>
      <c r="D434" s="3"/>
      <c r="E434" s="3"/>
    </row>
    <row r="435">
      <c r="C435" s="3"/>
      <c r="D435" s="3"/>
      <c r="E435" s="3"/>
    </row>
    <row r="436">
      <c r="C436" s="3"/>
      <c r="D436" s="3"/>
      <c r="E436" s="3"/>
    </row>
    <row r="437">
      <c r="C437" s="3"/>
      <c r="D437" s="3"/>
      <c r="E437" s="3"/>
    </row>
    <row r="438">
      <c r="C438" s="3"/>
      <c r="D438" s="3"/>
      <c r="E438" s="3"/>
    </row>
    <row r="439">
      <c r="C439" s="3"/>
      <c r="D439" s="3"/>
      <c r="E439" s="3"/>
    </row>
    <row r="440">
      <c r="C440" s="3"/>
      <c r="D440" s="3"/>
      <c r="E440" s="3"/>
    </row>
    <row r="441">
      <c r="C441" s="3"/>
      <c r="D441" s="3"/>
      <c r="E441" s="3"/>
    </row>
    <row r="442">
      <c r="C442" s="3"/>
      <c r="D442" s="3"/>
      <c r="E442" s="3"/>
    </row>
    <row r="443">
      <c r="C443" s="3"/>
      <c r="D443" s="3"/>
      <c r="E443" s="3"/>
    </row>
    <row r="444">
      <c r="C444" s="3"/>
      <c r="D444" s="3"/>
      <c r="E444" s="3"/>
    </row>
    <row r="445">
      <c r="C445" s="3"/>
      <c r="D445" s="3"/>
      <c r="E445" s="3"/>
    </row>
    <row r="446">
      <c r="C446" s="3"/>
      <c r="D446" s="3"/>
      <c r="E446" s="3"/>
    </row>
    <row r="447">
      <c r="C447" s="3"/>
      <c r="D447" s="3"/>
      <c r="E447" s="3"/>
    </row>
    <row r="448">
      <c r="C448" s="3"/>
      <c r="D448" s="3"/>
      <c r="E448" s="3"/>
    </row>
    <row r="449">
      <c r="C449" s="3"/>
      <c r="D449" s="3"/>
      <c r="E449" s="3"/>
    </row>
    <row r="450">
      <c r="C450" s="3"/>
      <c r="D450" s="3"/>
      <c r="E450" s="3"/>
    </row>
    <row r="451">
      <c r="C451" s="3"/>
      <c r="D451" s="3"/>
      <c r="E451" s="3"/>
    </row>
    <row r="452">
      <c r="C452" s="3"/>
      <c r="D452" s="3"/>
      <c r="E452" s="3"/>
    </row>
    <row r="453">
      <c r="C453" s="3"/>
      <c r="D453" s="3"/>
      <c r="E453" s="3"/>
    </row>
    <row r="454">
      <c r="C454" s="3"/>
      <c r="D454" s="3"/>
      <c r="E454" s="3"/>
    </row>
    <row r="455">
      <c r="C455" s="3"/>
      <c r="D455" s="3"/>
      <c r="E455" s="3"/>
    </row>
    <row r="456">
      <c r="C456" s="3"/>
      <c r="D456" s="3"/>
      <c r="E456" s="3"/>
    </row>
    <row r="457">
      <c r="C457" s="3"/>
      <c r="D457" s="3"/>
      <c r="E457" s="3"/>
    </row>
    <row r="458">
      <c r="C458" s="3"/>
      <c r="D458" s="3"/>
      <c r="E458" s="3"/>
    </row>
    <row r="459">
      <c r="C459" s="3"/>
      <c r="D459" s="3"/>
      <c r="E459" s="3"/>
    </row>
    <row r="460">
      <c r="C460" s="3"/>
      <c r="D460" s="3"/>
      <c r="E460" s="3"/>
    </row>
    <row r="461">
      <c r="C461" s="3"/>
      <c r="D461" s="3"/>
      <c r="E461" s="3"/>
    </row>
    <row r="462">
      <c r="C462" s="3"/>
      <c r="D462" s="3"/>
      <c r="E462" s="3"/>
    </row>
    <row r="463">
      <c r="C463" s="3"/>
      <c r="D463" s="3"/>
      <c r="E463" s="3"/>
    </row>
    <row r="464">
      <c r="C464" s="3"/>
      <c r="D464" s="3"/>
      <c r="E464" s="3"/>
    </row>
    <row r="465">
      <c r="C465" s="3"/>
      <c r="D465" s="3"/>
      <c r="E465" s="3"/>
    </row>
    <row r="466">
      <c r="C466" s="3"/>
      <c r="D466" s="3"/>
      <c r="E466" s="3"/>
    </row>
    <row r="467">
      <c r="C467" s="3"/>
      <c r="D467" s="3"/>
      <c r="E467" s="3"/>
    </row>
    <row r="468">
      <c r="C468" s="3"/>
      <c r="D468" s="3"/>
      <c r="E468" s="3"/>
    </row>
    <row r="469">
      <c r="C469" s="3"/>
      <c r="D469" s="3"/>
      <c r="E469" s="3"/>
    </row>
    <row r="470">
      <c r="C470" s="3"/>
      <c r="D470" s="3"/>
      <c r="E470" s="3"/>
    </row>
    <row r="471">
      <c r="C471" s="3"/>
      <c r="D471" s="3"/>
      <c r="E471" s="3"/>
    </row>
    <row r="472">
      <c r="C472" s="3"/>
      <c r="D472" s="3"/>
      <c r="E472" s="3"/>
    </row>
    <row r="473">
      <c r="C473" s="3"/>
      <c r="D473" s="3"/>
      <c r="E473" s="3"/>
    </row>
    <row r="474">
      <c r="C474" s="3"/>
      <c r="D474" s="3"/>
      <c r="E474" s="3"/>
    </row>
    <row r="475">
      <c r="C475" s="3"/>
      <c r="D475" s="3"/>
      <c r="E475" s="3"/>
    </row>
    <row r="476">
      <c r="C476" s="3"/>
      <c r="D476" s="3"/>
      <c r="E476" s="3"/>
    </row>
    <row r="477">
      <c r="C477" s="3"/>
      <c r="D477" s="3"/>
      <c r="E477" s="3"/>
    </row>
    <row r="478">
      <c r="C478" s="3"/>
      <c r="D478" s="3"/>
      <c r="E478" s="3"/>
    </row>
    <row r="479">
      <c r="C479" s="3"/>
      <c r="D479" s="3"/>
      <c r="E479" s="3"/>
    </row>
    <row r="480">
      <c r="C480" s="3"/>
      <c r="D480" s="3"/>
      <c r="E480" s="3"/>
    </row>
    <row r="481">
      <c r="C481" s="3"/>
      <c r="D481" s="3"/>
      <c r="E481" s="3"/>
    </row>
    <row r="482">
      <c r="C482" s="3"/>
      <c r="D482" s="3"/>
      <c r="E482" s="3"/>
    </row>
    <row r="483">
      <c r="C483" s="3"/>
      <c r="D483" s="3"/>
      <c r="E483" s="3"/>
    </row>
    <row r="484">
      <c r="C484" s="3"/>
      <c r="D484" s="3"/>
      <c r="E484" s="3"/>
    </row>
    <row r="485">
      <c r="C485" s="3"/>
      <c r="D485" s="3"/>
      <c r="E485" s="3"/>
    </row>
    <row r="486">
      <c r="C486" s="3"/>
      <c r="D486" s="3"/>
      <c r="E486" s="3"/>
    </row>
    <row r="487">
      <c r="C487" s="3"/>
      <c r="D487" s="3"/>
      <c r="E487" s="3"/>
    </row>
    <row r="488">
      <c r="C488" s="3"/>
      <c r="D488" s="3"/>
      <c r="E488" s="3"/>
    </row>
    <row r="489">
      <c r="C489" s="3"/>
      <c r="D489" s="3"/>
      <c r="E489" s="3"/>
    </row>
    <row r="490">
      <c r="C490" s="3"/>
      <c r="D490" s="3"/>
      <c r="E490" s="3"/>
    </row>
    <row r="491">
      <c r="C491" s="3"/>
      <c r="D491" s="3"/>
      <c r="E491" s="3"/>
    </row>
    <row r="492">
      <c r="C492" s="3"/>
      <c r="D492" s="3"/>
      <c r="E492" s="3"/>
    </row>
    <row r="493">
      <c r="C493" s="3"/>
      <c r="D493" s="3"/>
      <c r="E493" s="3"/>
    </row>
    <row r="494">
      <c r="C494" s="3"/>
      <c r="D494" s="3"/>
      <c r="E494" s="3"/>
    </row>
    <row r="495">
      <c r="C495" s="3"/>
      <c r="D495" s="3"/>
      <c r="E495" s="3"/>
    </row>
    <row r="496">
      <c r="C496" s="3"/>
      <c r="D496" s="3"/>
      <c r="E496" s="3"/>
    </row>
    <row r="497">
      <c r="C497" s="3"/>
      <c r="D497" s="3"/>
      <c r="E497" s="3"/>
    </row>
    <row r="498">
      <c r="C498" s="3"/>
      <c r="D498" s="3"/>
      <c r="E498" s="3"/>
    </row>
    <row r="499">
      <c r="C499" s="3"/>
      <c r="D499" s="3"/>
      <c r="E499" s="3"/>
    </row>
    <row r="500">
      <c r="C500" s="3"/>
      <c r="D500" s="3"/>
      <c r="E500" s="3"/>
    </row>
    <row r="501">
      <c r="C501" s="3"/>
      <c r="D501" s="3"/>
      <c r="E501" s="3"/>
    </row>
    <row r="502">
      <c r="C502" s="3"/>
      <c r="D502" s="3"/>
      <c r="E502" s="3"/>
    </row>
    <row r="503">
      <c r="C503" s="3"/>
      <c r="D503" s="3"/>
      <c r="E503" s="3"/>
    </row>
    <row r="504">
      <c r="C504" s="3"/>
      <c r="D504" s="3"/>
      <c r="E504" s="3"/>
    </row>
    <row r="505">
      <c r="C505" s="3"/>
      <c r="D505" s="3"/>
      <c r="E505" s="3"/>
    </row>
    <row r="506">
      <c r="C506" s="3"/>
      <c r="D506" s="3"/>
      <c r="E506" s="3"/>
    </row>
    <row r="507">
      <c r="C507" s="3"/>
      <c r="D507" s="3"/>
      <c r="E507" s="3"/>
    </row>
    <row r="508">
      <c r="C508" s="3"/>
      <c r="D508" s="3"/>
      <c r="E508" s="3"/>
    </row>
    <row r="509">
      <c r="C509" s="3"/>
      <c r="D509" s="3"/>
      <c r="E509" s="3"/>
    </row>
    <row r="510">
      <c r="C510" s="3"/>
      <c r="D510" s="3"/>
      <c r="E510" s="3"/>
    </row>
    <row r="511">
      <c r="C511" s="3"/>
      <c r="D511" s="3"/>
      <c r="E511" s="3"/>
    </row>
    <row r="512">
      <c r="C512" s="3"/>
      <c r="D512" s="3"/>
      <c r="E512" s="3"/>
    </row>
    <row r="513">
      <c r="C513" s="3"/>
      <c r="D513" s="3"/>
      <c r="E513" s="3"/>
    </row>
    <row r="514">
      <c r="C514" s="3"/>
      <c r="D514" s="3"/>
      <c r="E514" s="3"/>
    </row>
    <row r="515">
      <c r="C515" s="3"/>
      <c r="D515" s="3"/>
      <c r="E515" s="3"/>
    </row>
    <row r="516">
      <c r="C516" s="3"/>
      <c r="D516" s="3"/>
      <c r="E516" s="3"/>
    </row>
    <row r="517">
      <c r="C517" s="3"/>
      <c r="D517" s="3"/>
      <c r="E517" s="3"/>
    </row>
    <row r="518">
      <c r="C518" s="3"/>
      <c r="D518" s="3"/>
      <c r="E518" s="3"/>
    </row>
    <row r="519">
      <c r="C519" s="3"/>
      <c r="D519" s="3"/>
      <c r="E519" s="3"/>
    </row>
    <row r="520">
      <c r="C520" s="3"/>
      <c r="D520" s="3"/>
      <c r="E520" s="3"/>
    </row>
    <row r="521">
      <c r="C521" s="3"/>
      <c r="D521" s="3"/>
      <c r="E521" s="3"/>
    </row>
    <row r="522">
      <c r="C522" s="3"/>
      <c r="D522" s="3"/>
      <c r="E522" s="3"/>
    </row>
    <row r="523">
      <c r="C523" s="3"/>
      <c r="D523" s="3"/>
      <c r="E523" s="3"/>
    </row>
    <row r="524">
      <c r="C524" s="3"/>
      <c r="D524" s="3"/>
      <c r="E524" s="3"/>
    </row>
    <row r="525">
      <c r="C525" s="3"/>
      <c r="D525" s="3"/>
      <c r="E525" s="3"/>
    </row>
    <row r="526">
      <c r="C526" s="3"/>
      <c r="D526" s="3"/>
      <c r="E526" s="3"/>
    </row>
    <row r="527">
      <c r="C527" s="3"/>
      <c r="D527" s="3"/>
      <c r="E527" s="3"/>
    </row>
    <row r="528">
      <c r="C528" s="3"/>
      <c r="D528" s="3"/>
      <c r="E528" s="3"/>
    </row>
    <row r="529">
      <c r="C529" s="3"/>
      <c r="D529" s="3"/>
      <c r="E529" s="3"/>
    </row>
    <row r="530">
      <c r="C530" s="3"/>
      <c r="D530" s="3"/>
      <c r="E530" s="3"/>
    </row>
    <row r="531">
      <c r="C531" s="3"/>
      <c r="D531" s="3"/>
      <c r="E531" s="3"/>
    </row>
    <row r="532">
      <c r="C532" s="3"/>
      <c r="D532" s="3"/>
      <c r="E532" s="3"/>
    </row>
    <row r="533">
      <c r="C533" s="3"/>
      <c r="D533" s="3"/>
      <c r="E533" s="3"/>
    </row>
    <row r="534">
      <c r="C534" s="3"/>
      <c r="D534" s="3"/>
      <c r="E534" s="3"/>
    </row>
    <row r="535">
      <c r="C535" s="3"/>
      <c r="D535" s="3"/>
      <c r="E535" s="3"/>
    </row>
    <row r="536">
      <c r="C536" s="3"/>
      <c r="D536" s="3"/>
      <c r="E536" s="3"/>
    </row>
    <row r="537">
      <c r="C537" s="3"/>
      <c r="D537" s="3"/>
      <c r="E537" s="3"/>
    </row>
    <row r="538">
      <c r="C538" s="3"/>
      <c r="D538" s="3"/>
      <c r="E538" s="3"/>
    </row>
    <row r="539">
      <c r="C539" s="3"/>
      <c r="D539" s="3"/>
      <c r="E539" s="3"/>
    </row>
    <row r="540">
      <c r="C540" s="3"/>
      <c r="D540" s="3"/>
      <c r="E540" s="3"/>
    </row>
    <row r="541">
      <c r="C541" s="3"/>
      <c r="D541" s="3"/>
      <c r="E541" s="3"/>
    </row>
    <row r="542">
      <c r="C542" s="3"/>
      <c r="D542" s="3"/>
      <c r="E542" s="3"/>
    </row>
    <row r="543">
      <c r="C543" s="3"/>
      <c r="D543" s="3"/>
      <c r="E543" s="3"/>
    </row>
    <row r="544">
      <c r="C544" s="3"/>
      <c r="D544" s="3"/>
      <c r="E544" s="3"/>
    </row>
    <row r="545">
      <c r="C545" s="3"/>
      <c r="D545" s="3"/>
      <c r="E545" s="3"/>
    </row>
    <row r="546">
      <c r="C546" s="3"/>
      <c r="D546" s="3"/>
      <c r="E546" s="3"/>
    </row>
    <row r="547">
      <c r="C547" s="3"/>
      <c r="D547" s="3"/>
      <c r="E547" s="3"/>
    </row>
    <row r="548">
      <c r="C548" s="3"/>
      <c r="D548" s="3"/>
      <c r="E548" s="3"/>
    </row>
    <row r="549">
      <c r="C549" s="3"/>
      <c r="D549" s="3"/>
      <c r="E549" s="3"/>
    </row>
    <row r="550">
      <c r="C550" s="3"/>
      <c r="D550" s="3"/>
      <c r="E550" s="3"/>
    </row>
    <row r="551">
      <c r="C551" s="3"/>
      <c r="D551" s="3"/>
      <c r="E551" s="3"/>
    </row>
    <row r="552">
      <c r="C552" s="3"/>
      <c r="D552" s="3"/>
      <c r="E552" s="3"/>
    </row>
    <row r="553">
      <c r="C553" s="3"/>
      <c r="D553" s="3"/>
      <c r="E553" s="3"/>
    </row>
    <row r="554">
      <c r="C554" s="3"/>
      <c r="D554" s="3"/>
      <c r="E554" s="3"/>
    </row>
    <row r="555">
      <c r="C555" s="3"/>
      <c r="D555" s="3"/>
      <c r="E555" s="3"/>
    </row>
    <row r="556">
      <c r="C556" s="3"/>
      <c r="D556" s="3"/>
      <c r="E556" s="3"/>
    </row>
    <row r="557">
      <c r="C557" s="3"/>
      <c r="D557" s="3"/>
      <c r="E557" s="3"/>
    </row>
    <row r="558">
      <c r="C558" s="3"/>
      <c r="D558" s="3"/>
      <c r="E558" s="3"/>
    </row>
    <row r="559">
      <c r="C559" s="3"/>
      <c r="D559" s="3"/>
      <c r="E559" s="3"/>
    </row>
    <row r="560">
      <c r="C560" s="3"/>
      <c r="D560" s="3"/>
      <c r="E560" s="3"/>
    </row>
    <row r="561">
      <c r="C561" s="3"/>
      <c r="D561" s="3"/>
      <c r="E561" s="3"/>
    </row>
    <row r="562">
      <c r="C562" s="3"/>
      <c r="D562" s="3"/>
      <c r="E562" s="3"/>
    </row>
    <row r="563">
      <c r="C563" s="3"/>
      <c r="D563" s="3"/>
      <c r="E563" s="3"/>
    </row>
    <row r="564">
      <c r="C564" s="3"/>
      <c r="D564" s="3"/>
      <c r="E564" s="3"/>
    </row>
    <row r="565">
      <c r="C565" s="3"/>
      <c r="D565" s="3"/>
      <c r="E565" s="3"/>
    </row>
    <row r="566">
      <c r="C566" s="3"/>
      <c r="D566" s="3"/>
      <c r="E566" s="3"/>
    </row>
    <row r="567">
      <c r="C567" s="3"/>
      <c r="D567" s="3"/>
      <c r="E567" s="3"/>
    </row>
    <row r="568">
      <c r="C568" s="3"/>
      <c r="D568" s="3"/>
      <c r="E568" s="3"/>
    </row>
    <row r="569">
      <c r="C569" s="3"/>
      <c r="D569" s="3"/>
      <c r="E569" s="3"/>
    </row>
    <row r="570">
      <c r="C570" s="3"/>
      <c r="D570" s="3"/>
      <c r="E570" s="3"/>
    </row>
    <row r="571">
      <c r="C571" s="3"/>
      <c r="D571" s="3"/>
      <c r="E571" s="3"/>
    </row>
    <row r="572">
      <c r="C572" s="3"/>
      <c r="D572" s="3"/>
      <c r="E572" s="3"/>
    </row>
    <row r="573">
      <c r="C573" s="3"/>
      <c r="D573" s="3"/>
      <c r="E573" s="3"/>
    </row>
    <row r="574">
      <c r="C574" s="3"/>
      <c r="D574" s="3"/>
      <c r="E574" s="3"/>
    </row>
    <row r="575">
      <c r="C575" s="3"/>
      <c r="D575" s="3"/>
      <c r="E575" s="3"/>
    </row>
    <row r="576">
      <c r="C576" s="3"/>
      <c r="D576" s="3"/>
      <c r="E576" s="3"/>
    </row>
    <row r="577">
      <c r="C577" s="3"/>
      <c r="D577" s="3"/>
      <c r="E577" s="3"/>
    </row>
    <row r="578">
      <c r="C578" s="3"/>
      <c r="D578" s="3"/>
      <c r="E578" s="3"/>
    </row>
    <row r="579">
      <c r="C579" s="3"/>
      <c r="D579" s="3"/>
      <c r="E579" s="3"/>
    </row>
    <row r="580">
      <c r="C580" s="3"/>
      <c r="D580" s="3"/>
      <c r="E580" s="3"/>
    </row>
    <row r="581">
      <c r="C581" s="3"/>
      <c r="D581" s="3"/>
      <c r="E581" s="3"/>
    </row>
    <row r="582">
      <c r="C582" s="3"/>
      <c r="D582" s="3"/>
      <c r="E582" s="3"/>
    </row>
    <row r="583">
      <c r="C583" s="3"/>
      <c r="D583" s="3"/>
      <c r="E583" s="3"/>
    </row>
    <row r="584">
      <c r="C584" s="3"/>
      <c r="D584" s="3"/>
      <c r="E584" s="3"/>
    </row>
    <row r="585">
      <c r="C585" s="3"/>
      <c r="D585" s="3"/>
      <c r="E585" s="3"/>
    </row>
    <row r="586">
      <c r="C586" s="3"/>
      <c r="D586" s="3"/>
      <c r="E586" s="3"/>
    </row>
    <row r="587">
      <c r="C587" s="3"/>
      <c r="D587" s="3"/>
      <c r="E587" s="3"/>
    </row>
    <row r="588">
      <c r="C588" s="3"/>
      <c r="D588" s="3"/>
      <c r="E588" s="3"/>
    </row>
    <row r="589">
      <c r="C589" s="3"/>
      <c r="D589" s="3"/>
      <c r="E589" s="3"/>
    </row>
    <row r="590">
      <c r="C590" s="3"/>
      <c r="D590" s="3"/>
      <c r="E590" s="3"/>
    </row>
    <row r="591">
      <c r="C591" s="3"/>
      <c r="D591" s="3"/>
      <c r="E591" s="3"/>
    </row>
    <row r="592">
      <c r="C592" s="3"/>
      <c r="D592" s="3"/>
      <c r="E592" s="3"/>
    </row>
    <row r="593">
      <c r="C593" s="3"/>
      <c r="D593" s="3"/>
      <c r="E593" s="3"/>
    </row>
    <row r="594">
      <c r="C594" s="3"/>
      <c r="D594" s="3"/>
      <c r="E594" s="3"/>
    </row>
    <row r="595">
      <c r="C595" s="3"/>
      <c r="D595" s="3"/>
      <c r="E595" s="3"/>
    </row>
    <row r="596">
      <c r="C596" s="3"/>
      <c r="D596" s="3"/>
      <c r="E596" s="3"/>
    </row>
    <row r="597">
      <c r="C597" s="3"/>
      <c r="D597" s="3"/>
      <c r="E597" s="3"/>
    </row>
    <row r="598">
      <c r="C598" s="3"/>
      <c r="D598" s="3"/>
      <c r="E598" s="3"/>
    </row>
    <row r="599">
      <c r="C599" s="3"/>
      <c r="D599" s="3"/>
      <c r="E599" s="3"/>
    </row>
    <row r="600">
      <c r="C600" s="3"/>
      <c r="D600" s="3"/>
      <c r="E600" s="3"/>
    </row>
    <row r="601">
      <c r="C601" s="3"/>
      <c r="D601" s="3"/>
      <c r="E601" s="3"/>
    </row>
    <row r="602">
      <c r="C602" s="3"/>
      <c r="D602" s="3"/>
      <c r="E602" s="3"/>
    </row>
    <row r="603">
      <c r="C603" s="3"/>
      <c r="D603" s="3"/>
      <c r="E603" s="3"/>
    </row>
    <row r="604">
      <c r="C604" s="3"/>
      <c r="D604" s="3"/>
      <c r="E604" s="3"/>
    </row>
    <row r="605">
      <c r="C605" s="3"/>
      <c r="D605" s="3"/>
      <c r="E605" s="3"/>
    </row>
    <row r="606">
      <c r="C606" s="3"/>
      <c r="D606" s="3"/>
      <c r="E606" s="3"/>
    </row>
    <row r="607">
      <c r="C607" s="3"/>
      <c r="D607" s="3"/>
      <c r="E607" s="3"/>
    </row>
    <row r="608">
      <c r="C608" s="3"/>
      <c r="D608" s="3"/>
      <c r="E608" s="3"/>
    </row>
    <row r="609">
      <c r="C609" s="3"/>
      <c r="D609" s="3"/>
      <c r="E609" s="3"/>
    </row>
    <row r="610">
      <c r="C610" s="3"/>
      <c r="D610" s="3"/>
      <c r="E610" s="3"/>
    </row>
    <row r="611">
      <c r="C611" s="3"/>
      <c r="D611" s="3"/>
      <c r="E611" s="3"/>
    </row>
    <row r="612">
      <c r="C612" s="3"/>
      <c r="D612" s="3"/>
      <c r="E612" s="3"/>
    </row>
    <row r="613">
      <c r="C613" s="3"/>
      <c r="D613" s="3"/>
      <c r="E613" s="3"/>
    </row>
    <row r="614">
      <c r="C614" s="3"/>
      <c r="D614" s="3"/>
      <c r="E614" s="3"/>
    </row>
    <row r="615">
      <c r="C615" s="3"/>
      <c r="D615" s="3"/>
      <c r="E615" s="3"/>
    </row>
    <row r="616">
      <c r="C616" s="3"/>
      <c r="D616" s="3"/>
      <c r="E616" s="3"/>
    </row>
    <row r="617">
      <c r="C617" s="3"/>
      <c r="D617" s="3"/>
      <c r="E617" s="3"/>
    </row>
    <row r="618">
      <c r="C618" s="3"/>
      <c r="D618" s="3"/>
      <c r="E618" s="3"/>
    </row>
    <row r="619">
      <c r="C619" s="3"/>
      <c r="D619" s="3"/>
      <c r="E619" s="3"/>
    </row>
    <row r="620">
      <c r="C620" s="3"/>
      <c r="D620" s="3"/>
      <c r="E620" s="3"/>
    </row>
    <row r="621">
      <c r="C621" s="3"/>
      <c r="D621" s="3"/>
      <c r="E621" s="3"/>
    </row>
    <row r="622">
      <c r="C622" s="3"/>
      <c r="D622" s="3"/>
      <c r="E622" s="3"/>
    </row>
    <row r="623">
      <c r="C623" s="3"/>
      <c r="D623" s="3"/>
      <c r="E623" s="3"/>
    </row>
    <row r="624">
      <c r="C624" s="3"/>
      <c r="D624" s="3"/>
      <c r="E624" s="3"/>
    </row>
    <row r="625">
      <c r="C625" s="3"/>
      <c r="D625" s="3"/>
      <c r="E625" s="3"/>
    </row>
    <row r="626">
      <c r="C626" s="3"/>
      <c r="D626" s="3"/>
      <c r="E626" s="3"/>
    </row>
    <row r="627">
      <c r="C627" s="3"/>
      <c r="D627" s="3"/>
      <c r="E627" s="3"/>
    </row>
    <row r="628">
      <c r="C628" s="3"/>
      <c r="D628" s="3"/>
      <c r="E628" s="3"/>
    </row>
    <row r="629">
      <c r="C629" s="3"/>
      <c r="D629" s="3"/>
      <c r="E629" s="3"/>
    </row>
    <row r="630">
      <c r="C630" s="3"/>
      <c r="D630" s="3"/>
      <c r="E630" s="3"/>
    </row>
    <row r="631">
      <c r="C631" s="3"/>
      <c r="D631" s="3"/>
      <c r="E631" s="3"/>
    </row>
    <row r="632">
      <c r="C632" s="3"/>
      <c r="D632" s="3"/>
      <c r="E632" s="3"/>
    </row>
    <row r="633">
      <c r="C633" s="3"/>
      <c r="D633" s="3"/>
      <c r="E633" s="3"/>
    </row>
    <row r="634">
      <c r="C634" s="3"/>
      <c r="D634" s="3"/>
      <c r="E634" s="3"/>
    </row>
    <row r="635">
      <c r="C635" s="3"/>
      <c r="D635" s="3"/>
      <c r="E635" s="3"/>
    </row>
    <row r="636">
      <c r="C636" s="3"/>
      <c r="D636" s="3"/>
      <c r="E636" s="3"/>
    </row>
    <row r="637">
      <c r="C637" s="3"/>
      <c r="D637" s="3"/>
      <c r="E637" s="3"/>
    </row>
    <row r="638">
      <c r="C638" s="3"/>
      <c r="D638" s="3"/>
      <c r="E638" s="3"/>
    </row>
    <row r="639">
      <c r="C639" s="3"/>
      <c r="D639" s="3"/>
      <c r="E639" s="3"/>
    </row>
    <row r="640">
      <c r="C640" s="3"/>
      <c r="D640" s="3"/>
      <c r="E640" s="3"/>
    </row>
    <row r="641">
      <c r="C641" s="3"/>
      <c r="D641" s="3"/>
      <c r="E641" s="3"/>
    </row>
    <row r="642">
      <c r="C642" s="3"/>
      <c r="D642" s="3"/>
      <c r="E642" s="3"/>
    </row>
    <row r="643">
      <c r="C643" s="3"/>
      <c r="D643" s="3"/>
      <c r="E643" s="3"/>
    </row>
    <row r="644">
      <c r="C644" s="3"/>
      <c r="D644" s="3"/>
      <c r="E644" s="3"/>
    </row>
    <row r="645">
      <c r="C645" s="3"/>
      <c r="D645" s="3"/>
      <c r="E645" s="3"/>
    </row>
    <row r="646">
      <c r="C646" s="3"/>
      <c r="D646" s="3"/>
      <c r="E646" s="3"/>
    </row>
    <row r="647">
      <c r="C647" s="3"/>
      <c r="D647" s="3"/>
      <c r="E647" s="3"/>
    </row>
    <row r="648">
      <c r="C648" s="3"/>
      <c r="D648" s="3"/>
      <c r="E648" s="3"/>
    </row>
    <row r="649">
      <c r="C649" s="3"/>
      <c r="D649" s="3"/>
      <c r="E649" s="3"/>
    </row>
    <row r="650">
      <c r="C650" s="3"/>
      <c r="D650" s="3"/>
      <c r="E650" s="3"/>
    </row>
    <row r="651">
      <c r="C651" s="3"/>
      <c r="D651" s="3"/>
      <c r="E651" s="3"/>
    </row>
    <row r="652">
      <c r="C652" s="3"/>
      <c r="D652" s="3"/>
      <c r="E652" s="3"/>
    </row>
    <row r="653">
      <c r="C653" s="3"/>
      <c r="D653" s="3"/>
      <c r="E653" s="3"/>
    </row>
    <row r="654">
      <c r="C654" s="3"/>
      <c r="D654" s="3"/>
      <c r="E654" s="3"/>
    </row>
    <row r="655">
      <c r="C655" s="3"/>
      <c r="D655" s="3"/>
      <c r="E655" s="3"/>
    </row>
    <row r="656">
      <c r="C656" s="3"/>
      <c r="D656" s="3"/>
      <c r="E656" s="3"/>
    </row>
    <row r="657">
      <c r="C657" s="3"/>
      <c r="D657" s="3"/>
      <c r="E657" s="3"/>
    </row>
    <row r="658">
      <c r="C658" s="3"/>
      <c r="D658" s="3"/>
      <c r="E658" s="3"/>
    </row>
    <row r="659">
      <c r="C659" s="3"/>
      <c r="D659" s="3"/>
      <c r="E659" s="3"/>
    </row>
    <row r="660">
      <c r="C660" s="3"/>
      <c r="D660" s="3"/>
      <c r="E660" s="3"/>
    </row>
    <row r="661">
      <c r="C661" s="3"/>
      <c r="D661" s="3"/>
      <c r="E661" s="3"/>
    </row>
    <row r="662">
      <c r="C662" s="3"/>
      <c r="D662" s="3"/>
      <c r="E662" s="3"/>
    </row>
    <row r="663">
      <c r="C663" s="3"/>
      <c r="D663" s="3"/>
      <c r="E663" s="3"/>
    </row>
    <row r="664">
      <c r="C664" s="3"/>
      <c r="D664" s="3"/>
      <c r="E664" s="3"/>
    </row>
    <row r="665">
      <c r="C665" s="3"/>
      <c r="D665" s="3"/>
      <c r="E665" s="3"/>
    </row>
    <row r="666">
      <c r="C666" s="3"/>
      <c r="D666" s="3"/>
      <c r="E666" s="3"/>
    </row>
    <row r="667">
      <c r="C667" s="3"/>
      <c r="D667" s="3"/>
      <c r="E667" s="3"/>
    </row>
    <row r="668">
      <c r="C668" s="3"/>
      <c r="D668" s="3"/>
      <c r="E668" s="3"/>
    </row>
    <row r="669">
      <c r="C669" s="3"/>
      <c r="D669" s="3"/>
      <c r="E669" s="3"/>
    </row>
    <row r="670">
      <c r="C670" s="3"/>
      <c r="D670" s="3"/>
      <c r="E670" s="3"/>
    </row>
    <row r="671">
      <c r="C671" s="3"/>
      <c r="D671" s="3"/>
      <c r="E671" s="3"/>
    </row>
    <row r="672">
      <c r="C672" s="3"/>
      <c r="D672" s="3"/>
      <c r="E672" s="3"/>
    </row>
    <row r="673">
      <c r="C673" s="3"/>
      <c r="D673" s="3"/>
      <c r="E673" s="3"/>
    </row>
    <row r="674">
      <c r="C674" s="3"/>
      <c r="D674" s="3"/>
      <c r="E674" s="3"/>
    </row>
    <row r="675">
      <c r="C675" s="3"/>
      <c r="D675" s="3"/>
      <c r="E675" s="3"/>
    </row>
    <row r="676">
      <c r="C676" s="3"/>
      <c r="D676" s="3"/>
      <c r="E676" s="3"/>
    </row>
    <row r="677">
      <c r="C677" s="3"/>
      <c r="D677" s="3"/>
      <c r="E677" s="3"/>
    </row>
    <row r="678">
      <c r="C678" s="3"/>
      <c r="D678" s="3"/>
      <c r="E678" s="3"/>
    </row>
    <row r="679">
      <c r="C679" s="3"/>
      <c r="D679" s="3"/>
      <c r="E679" s="3"/>
    </row>
    <row r="680">
      <c r="C680" s="3"/>
      <c r="D680" s="3"/>
      <c r="E680" s="3"/>
    </row>
    <row r="681">
      <c r="C681" s="3"/>
      <c r="D681" s="3"/>
      <c r="E681" s="3"/>
    </row>
    <row r="682">
      <c r="C682" s="3"/>
      <c r="D682" s="3"/>
      <c r="E682" s="3"/>
    </row>
    <row r="683">
      <c r="C683" s="3"/>
      <c r="D683" s="3"/>
      <c r="E683" s="3"/>
    </row>
    <row r="684">
      <c r="C684" s="3"/>
      <c r="D684" s="3"/>
      <c r="E684" s="3"/>
    </row>
    <row r="685">
      <c r="C685" s="3"/>
      <c r="D685" s="3"/>
      <c r="E685" s="3"/>
    </row>
    <row r="686">
      <c r="C686" s="3"/>
      <c r="D686" s="3"/>
      <c r="E686" s="3"/>
    </row>
    <row r="687">
      <c r="C687" s="3"/>
      <c r="D687" s="3"/>
      <c r="E687" s="3"/>
    </row>
    <row r="688">
      <c r="C688" s="3"/>
      <c r="D688" s="3"/>
      <c r="E688" s="3"/>
    </row>
    <row r="689">
      <c r="C689" s="3"/>
      <c r="D689" s="3"/>
      <c r="E689" s="3"/>
    </row>
    <row r="690">
      <c r="C690" s="3"/>
      <c r="D690" s="3"/>
      <c r="E690" s="3"/>
    </row>
    <row r="691">
      <c r="C691" s="3"/>
      <c r="D691" s="3"/>
      <c r="E691" s="3"/>
    </row>
    <row r="692">
      <c r="C692" s="3"/>
      <c r="D692" s="3"/>
      <c r="E692" s="3"/>
    </row>
    <row r="693">
      <c r="C693" s="3"/>
      <c r="D693" s="3"/>
      <c r="E693" s="3"/>
    </row>
    <row r="694">
      <c r="C694" s="3"/>
      <c r="D694" s="3"/>
      <c r="E694" s="3"/>
    </row>
    <row r="695">
      <c r="C695" s="3"/>
      <c r="D695" s="3"/>
      <c r="E695" s="3"/>
    </row>
    <row r="696">
      <c r="C696" s="3"/>
      <c r="D696" s="3"/>
      <c r="E696" s="3"/>
    </row>
    <row r="697">
      <c r="C697" s="3"/>
      <c r="D697" s="3"/>
      <c r="E697" s="3"/>
    </row>
    <row r="698">
      <c r="C698" s="3"/>
      <c r="D698" s="3"/>
      <c r="E698" s="3"/>
    </row>
    <row r="699">
      <c r="C699" s="3"/>
      <c r="D699" s="3"/>
      <c r="E699" s="3"/>
    </row>
    <row r="700">
      <c r="C700" s="3"/>
      <c r="D700" s="3"/>
      <c r="E700" s="3"/>
    </row>
    <row r="701">
      <c r="C701" s="3"/>
      <c r="D701" s="3"/>
      <c r="E701" s="3"/>
    </row>
    <row r="702">
      <c r="C702" s="3"/>
      <c r="D702" s="3"/>
      <c r="E702" s="3"/>
    </row>
    <row r="703">
      <c r="C703" s="3"/>
      <c r="D703" s="3"/>
      <c r="E703" s="3"/>
    </row>
    <row r="704">
      <c r="C704" s="3"/>
      <c r="D704" s="3"/>
      <c r="E704" s="3"/>
    </row>
    <row r="705">
      <c r="C705" s="3"/>
      <c r="D705" s="3"/>
      <c r="E705" s="3"/>
    </row>
    <row r="706">
      <c r="C706" s="3"/>
      <c r="D706" s="3"/>
      <c r="E706" s="3"/>
    </row>
    <row r="707">
      <c r="C707" s="3"/>
      <c r="D707" s="3"/>
      <c r="E707" s="3"/>
    </row>
    <row r="708">
      <c r="C708" s="3"/>
      <c r="D708" s="3"/>
      <c r="E708" s="3"/>
    </row>
    <row r="709">
      <c r="C709" s="3"/>
      <c r="D709" s="3"/>
      <c r="E709" s="3"/>
    </row>
    <row r="710">
      <c r="C710" s="3"/>
      <c r="D710" s="3"/>
      <c r="E710" s="3"/>
    </row>
    <row r="711">
      <c r="C711" s="3"/>
      <c r="D711" s="3"/>
      <c r="E711" s="3"/>
    </row>
    <row r="712">
      <c r="C712" s="3"/>
      <c r="D712" s="3"/>
      <c r="E712" s="3"/>
    </row>
    <row r="713">
      <c r="C713" s="3"/>
      <c r="D713" s="3"/>
      <c r="E713" s="3"/>
    </row>
    <row r="714">
      <c r="C714" s="3"/>
      <c r="D714" s="3"/>
      <c r="E714" s="3"/>
    </row>
    <row r="715">
      <c r="C715" s="3"/>
      <c r="D715" s="3"/>
      <c r="E715" s="3"/>
    </row>
    <row r="716">
      <c r="C716" s="3"/>
      <c r="D716" s="3"/>
      <c r="E716" s="3"/>
    </row>
    <row r="717">
      <c r="C717" s="3"/>
      <c r="D717" s="3"/>
      <c r="E717" s="3"/>
    </row>
    <row r="718">
      <c r="C718" s="3"/>
      <c r="D718" s="3"/>
      <c r="E718" s="3"/>
    </row>
    <row r="719">
      <c r="C719" s="3"/>
      <c r="D719" s="3"/>
      <c r="E719" s="3"/>
    </row>
    <row r="720">
      <c r="C720" s="3"/>
      <c r="D720" s="3"/>
      <c r="E720" s="3"/>
    </row>
    <row r="721">
      <c r="C721" s="3"/>
      <c r="D721" s="3"/>
      <c r="E721" s="3"/>
    </row>
    <row r="722">
      <c r="C722" s="3"/>
      <c r="D722" s="3"/>
      <c r="E722" s="3"/>
    </row>
    <row r="723">
      <c r="C723" s="3"/>
      <c r="D723" s="3"/>
      <c r="E723" s="3"/>
    </row>
    <row r="724">
      <c r="C724" s="3"/>
      <c r="D724" s="3"/>
      <c r="E724" s="3"/>
    </row>
    <row r="725">
      <c r="C725" s="3"/>
      <c r="D725" s="3"/>
      <c r="E725" s="3"/>
    </row>
    <row r="726">
      <c r="C726" s="3"/>
      <c r="D726" s="3"/>
      <c r="E726" s="3"/>
    </row>
    <row r="727">
      <c r="C727" s="3"/>
      <c r="D727" s="3"/>
      <c r="E727" s="3"/>
    </row>
    <row r="728">
      <c r="C728" s="3"/>
      <c r="D728" s="3"/>
      <c r="E728" s="3"/>
    </row>
    <row r="729">
      <c r="C729" s="3"/>
      <c r="D729" s="3"/>
      <c r="E729" s="3"/>
    </row>
    <row r="730">
      <c r="C730" s="3"/>
      <c r="D730" s="3"/>
      <c r="E730" s="3"/>
    </row>
    <row r="731">
      <c r="C731" s="3"/>
      <c r="D731" s="3"/>
      <c r="E731" s="3"/>
    </row>
    <row r="732">
      <c r="C732" s="3"/>
      <c r="D732" s="3"/>
      <c r="E732" s="3"/>
    </row>
    <row r="733">
      <c r="C733" s="3"/>
      <c r="D733" s="3"/>
      <c r="E733" s="3"/>
    </row>
    <row r="734">
      <c r="C734" s="3"/>
      <c r="D734" s="3"/>
      <c r="E734" s="3"/>
    </row>
    <row r="735">
      <c r="C735" s="3"/>
      <c r="D735" s="3"/>
      <c r="E735" s="3"/>
    </row>
    <row r="736">
      <c r="C736" s="3"/>
      <c r="D736" s="3"/>
      <c r="E736" s="3"/>
    </row>
    <row r="737">
      <c r="C737" s="3"/>
      <c r="D737" s="3"/>
      <c r="E737" s="3"/>
    </row>
    <row r="738">
      <c r="C738" s="3"/>
      <c r="D738" s="3"/>
      <c r="E738" s="3"/>
    </row>
    <row r="739">
      <c r="C739" s="3"/>
      <c r="D739" s="3"/>
      <c r="E739" s="3"/>
    </row>
    <row r="740">
      <c r="C740" s="3"/>
      <c r="D740" s="3"/>
      <c r="E740" s="3"/>
    </row>
    <row r="741">
      <c r="C741" s="3"/>
      <c r="D741" s="3"/>
      <c r="E741" s="3"/>
    </row>
    <row r="742">
      <c r="C742" s="3"/>
      <c r="D742" s="3"/>
      <c r="E742" s="3"/>
    </row>
    <row r="743">
      <c r="C743" s="3"/>
      <c r="D743" s="3"/>
      <c r="E743" s="3"/>
    </row>
    <row r="744">
      <c r="C744" s="3"/>
      <c r="D744" s="3"/>
      <c r="E744" s="3"/>
    </row>
    <row r="745">
      <c r="C745" s="3"/>
      <c r="D745" s="3"/>
      <c r="E745" s="3"/>
    </row>
    <row r="746">
      <c r="C746" s="3"/>
      <c r="D746" s="3"/>
      <c r="E746" s="3"/>
    </row>
    <row r="747">
      <c r="C747" s="3"/>
      <c r="D747" s="3"/>
      <c r="E747" s="3"/>
    </row>
    <row r="748">
      <c r="C748" s="3"/>
      <c r="D748" s="3"/>
      <c r="E748" s="3"/>
    </row>
    <row r="749">
      <c r="C749" s="3"/>
      <c r="D749" s="3"/>
      <c r="E749" s="3"/>
    </row>
    <row r="750">
      <c r="C750" s="3"/>
      <c r="D750" s="3"/>
      <c r="E750" s="3"/>
    </row>
    <row r="751">
      <c r="C751" s="3"/>
      <c r="D751" s="3"/>
      <c r="E751" s="3"/>
    </row>
    <row r="752">
      <c r="C752" s="3"/>
      <c r="D752" s="3"/>
      <c r="E752" s="3"/>
    </row>
    <row r="753">
      <c r="C753" s="3"/>
      <c r="D753" s="3"/>
      <c r="E753" s="3"/>
    </row>
    <row r="754">
      <c r="C754" s="3"/>
      <c r="D754" s="3"/>
      <c r="E754" s="3"/>
    </row>
    <row r="755">
      <c r="C755" s="3"/>
      <c r="D755" s="3"/>
      <c r="E755" s="3"/>
    </row>
    <row r="756">
      <c r="C756" s="3"/>
      <c r="D756" s="3"/>
      <c r="E756" s="3"/>
    </row>
    <row r="757">
      <c r="C757" s="3"/>
      <c r="D757" s="3"/>
      <c r="E757" s="3"/>
    </row>
    <row r="758">
      <c r="C758" s="3"/>
      <c r="D758" s="3"/>
      <c r="E758" s="3"/>
    </row>
    <row r="759">
      <c r="C759" s="3"/>
      <c r="D759" s="3"/>
      <c r="E759" s="3"/>
    </row>
    <row r="760">
      <c r="C760" s="3"/>
      <c r="D760" s="3"/>
      <c r="E760" s="3"/>
    </row>
    <row r="761">
      <c r="C761" s="3"/>
      <c r="D761" s="3"/>
      <c r="E761" s="3"/>
    </row>
    <row r="762">
      <c r="C762" s="3"/>
      <c r="D762" s="3"/>
      <c r="E762" s="3"/>
    </row>
    <row r="763">
      <c r="C763" s="3"/>
      <c r="D763" s="3"/>
      <c r="E763" s="3"/>
    </row>
    <row r="764">
      <c r="C764" s="3"/>
      <c r="D764" s="3"/>
      <c r="E764" s="3"/>
    </row>
    <row r="765">
      <c r="C765" s="3"/>
      <c r="D765" s="3"/>
      <c r="E765" s="3"/>
    </row>
    <row r="766">
      <c r="C766" s="3"/>
      <c r="D766" s="3"/>
      <c r="E766" s="3"/>
    </row>
    <row r="767">
      <c r="C767" s="3"/>
      <c r="D767" s="3"/>
      <c r="E767" s="3"/>
    </row>
    <row r="768">
      <c r="C768" s="3"/>
      <c r="D768" s="3"/>
      <c r="E768" s="3"/>
    </row>
    <row r="769">
      <c r="C769" s="3"/>
      <c r="D769" s="3"/>
      <c r="E769" s="3"/>
    </row>
    <row r="770">
      <c r="C770" s="3"/>
      <c r="D770" s="3"/>
      <c r="E770" s="3"/>
    </row>
    <row r="771">
      <c r="C771" s="3"/>
      <c r="D771" s="3"/>
      <c r="E771" s="3"/>
    </row>
    <row r="772">
      <c r="C772" s="3"/>
      <c r="D772" s="3"/>
      <c r="E772" s="3"/>
    </row>
    <row r="773">
      <c r="C773" s="3"/>
      <c r="D773" s="3"/>
      <c r="E773" s="3"/>
    </row>
    <row r="774">
      <c r="C774" s="3"/>
      <c r="D774" s="3"/>
      <c r="E774" s="3"/>
    </row>
    <row r="775">
      <c r="C775" s="3"/>
      <c r="D775" s="3"/>
      <c r="E775" s="3"/>
    </row>
    <row r="776">
      <c r="C776" s="3"/>
      <c r="D776" s="3"/>
      <c r="E776" s="3"/>
    </row>
    <row r="777">
      <c r="C777" s="3"/>
      <c r="D777" s="3"/>
      <c r="E777" s="3"/>
    </row>
    <row r="778">
      <c r="C778" s="3"/>
      <c r="D778" s="3"/>
      <c r="E778" s="3"/>
    </row>
    <row r="779">
      <c r="C779" s="3"/>
      <c r="D779" s="3"/>
      <c r="E779" s="3"/>
    </row>
    <row r="780">
      <c r="C780" s="3"/>
      <c r="D780" s="3"/>
      <c r="E780" s="3"/>
    </row>
    <row r="781">
      <c r="C781" s="3"/>
      <c r="D781" s="3"/>
      <c r="E781" s="3"/>
    </row>
    <row r="782">
      <c r="C782" s="3"/>
      <c r="D782" s="3"/>
      <c r="E782" s="3"/>
    </row>
    <row r="783">
      <c r="C783" s="3"/>
      <c r="D783" s="3"/>
      <c r="E783" s="3"/>
    </row>
    <row r="784">
      <c r="C784" s="3"/>
      <c r="D784" s="3"/>
      <c r="E784" s="3"/>
    </row>
    <row r="785">
      <c r="C785" s="3"/>
      <c r="D785" s="3"/>
      <c r="E785" s="3"/>
    </row>
    <row r="786">
      <c r="C786" s="3"/>
      <c r="D786" s="3"/>
      <c r="E786" s="3"/>
    </row>
    <row r="787">
      <c r="C787" s="3"/>
      <c r="D787" s="3"/>
      <c r="E787" s="3"/>
    </row>
    <row r="788">
      <c r="C788" s="3"/>
      <c r="D788" s="3"/>
      <c r="E788" s="3"/>
    </row>
    <row r="789">
      <c r="C789" s="3"/>
      <c r="D789" s="3"/>
      <c r="E789" s="3"/>
    </row>
    <row r="790">
      <c r="C790" s="3"/>
      <c r="D790" s="3"/>
      <c r="E790" s="3"/>
    </row>
    <row r="791">
      <c r="C791" s="3"/>
      <c r="D791" s="3"/>
      <c r="E791" s="3"/>
    </row>
    <row r="792">
      <c r="C792" s="3"/>
      <c r="D792" s="3"/>
      <c r="E792" s="3"/>
    </row>
    <row r="793">
      <c r="C793" s="3"/>
      <c r="D793" s="3"/>
      <c r="E793" s="3"/>
    </row>
    <row r="794">
      <c r="C794" s="3"/>
      <c r="D794" s="3"/>
      <c r="E794" s="3"/>
    </row>
    <row r="795">
      <c r="C795" s="3"/>
      <c r="D795" s="3"/>
      <c r="E795" s="3"/>
    </row>
    <row r="796">
      <c r="C796" s="3"/>
      <c r="D796" s="3"/>
      <c r="E796" s="3"/>
    </row>
    <row r="797">
      <c r="C797" s="3"/>
      <c r="D797" s="3"/>
      <c r="E797" s="3"/>
    </row>
    <row r="798">
      <c r="C798" s="3"/>
      <c r="D798" s="3"/>
      <c r="E798" s="3"/>
    </row>
    <row r="799">
      <c r="C799" s="3"/>
      <c r="D799" s="3"/>
      <c r="E799" s="3"/>
    </row>
    <row r="800">
      <c r="C800" s="3"/>
      <c r="D800" s="3"/>
      <c r="E800" s="3"/>
    </row>
    <row r="801">
      <c r="C801" s="3"/>
      <c r="D801" s="3"/>
      <c r="E801" s="3"/>
    </row>
    <row r="802">
      <c r="C802" s="3"/>
      <c r="D802" s="3"/>
      <c r="E802" s="3"/>
    </row>
    <row r="803">
      <c r="C803" s="3"/>
      <c r="D803" s="3"/>
      <c r="E803" s="3"/>
    </row>
    <row r="804">
      <c r="C804" s="3"/>
      <c r="D804" s="3"/>
      <c r="E804" s="3"/>
    </row>
    <row r="805">
      <c r="C805" s="3"/>
      <c r="D805" s="3"/>
      <c r="E805" s="3"/>
    </row>
    <row r="806">
      <c r="C806" s="3"/>
      <c r="D806" s="3"/>
      <c r="E806" s="3"/>
    </row>
    <row r="807">
      <c r="C807" s="3"/>
      <c r="D807" s="3"/>
      <c r="E807" s="3"/>
    </row>
    <row r="808">
      <c r="C808" s="3"/>
      <c r="D808" s="3"/>
      <c r="E808" s="3"/>
    </row>
    <row r="809">
      <c r="C809" s="3"/>
      <c r="D809" s="3"/>
      <c r="E809" s="3"/>
    </row>
    <row r="810">
      <c r="C810" s="3"/>
      <c r="D810" s="3"/>
      <c r="E810" s="3"/>
    </row>
    <row r="811">
      <c r="C811" s="3"/>
      <c r="D811" s="3"/>
      <c r="E811" s="3"/>
    </row>
    <row r="812">
      <c r="C812" s="3"/>
      <c r="D812" s="3"/>
      <c r="E812" s="3"/>
    </row>
    <row r="813">
      <c r="C813" s="3"/>
      <c r="D813" s="3"/>
      <c r="E813" s="3"/>
    </row>
    <row r="814">
      <c r="C814" s="3"/>
      <c r="D814" s="3"/>
      <c r="E814" s="3"/>
    </row>
    <row r="815">
      <c r="C815" s="3"/>
      <c r="D815" s="3"/>
      <c r="E815" s="3"/>
    </row>
    <row r="816">
      <c r="C816" s="3"/>
      <c r="D816" s="3"/>
      <c r="E816" s="3"/>
    </row>
    <row r="817">
      <c r="C817" s="3"/>
      <c r="D817" s="3"/>
      <c r="E817" s="3"/>
    </row>
    <row r="818">
      <c r="C818" s="3"/>
      <c r="D818" s="3"/>
      <c r="E818" s="3"/>
    </row>
    <row r="819">
      <c r="C819" s="3"/>
      <c r="D819" s="3"/>
      <c r="E819" s="3"/>
    </row>
    <row r="820">
      <c r="C820" s="3"/>
      <c r="D820" s="3"/>
      <c r="E820" s="3"/>
    </row>
    <row r="821">
      <c r="C821" s="3"/>
      <c r="D821" s="3"/>
      <c r="E821" s="3"/>
    </row>
    <row r="822">
      <c r="C822" s="3"/>
      <c r="D822" s="3"/>
      <c r="E822" s="3"/>
    </row>
    <row r="823">
      <c r="C823" s="3"/>
      <c r="D823" s="3"/>
      <c r="E823" s="3"/>
    </row>
    <row r="824">
      <c r="C824" s="3"/>
      <c r="D824" s="3"/>
      <c r="E824" s="3"/>
    </row>
    <row r="825">
      <c r="C825" s="3"/>
      <c r="D825" s="3"/>
      <c r="E825" s="3"/>
    </row>
    <row r="826">
      <c r="C826" s="3"/>
      <c r="D826" s="3"/>
      <c r="E826" s="3"/>
    </row>
    <row r="827">
      <c r="C827" s="3"/>
      <c r="D827" s="3"/>
      <c r="E827" s="3"/>
    </row>
    <row r="828">
      <c r="C828" s="3"/>
      <c r="D828" s="3"/>
      <c r="E828" s="3"/>
    </row>
    <row r="829">
      <c r="C829" s="3"/>
      <c r="D829" s="3"/>
      <c r="E829" s="3"/>
    </row>
    <row r="830">
      <c r="C830" s="3"/>
      <c r="D830" s="3"/>
      <c r="E830" s="3"/>
    </row>
    <row r="831">
      <c r="C831" s="3"/>
      <c r="D831" s="3"/>
      <c r="E831" s="3"/>
    </row>
    <row r="832">
      <c r="C832" s="3"/>
      <c r="D832" s="3"/>
      <c r="E832" s="3"/>
    </row>
    <row r="833">
      <c r="C833" s="3"/>
      <c r="D833" s="3"/>
      <c r="E833" s="3"/>
    </row>
    <row r="834">
      <c r="C834" s="3"/>
      <c r="D834" s="3"/>
      <c r="E834" s="3"/>
    </row>
    <row r="835">
      <c r="C835" s="3"/>
      <c r="D835" s="3"/>
      <c r="E835" s="3"/>
    </row>
    <row r="836">
      <c r="C836" s="3"/>
      <c r="D836" s="3"/>
      <c r="E836" s="3"/>
    </row>
    <row r="837">
      <c r="C837" s="3"/>
      <c r="D837" s="3"/>
      <c r="E837" s="3"/>
    </row>
    <row r="838">
      <c r="C838" s="3"/>
      <c r="D838" s="3"/>
      <c r="E838" s="3"/>
    </row>
    <row r="839">
      <c r="C839" s="3"/>
      <c r="D839" s="3"/>
      <c r="E839" s="3"/>
    </row>
    <row r="840">
      <c r="C840" s="3"/>
      <c r="D840" s="3"/>
      <c r="E840" s="3"/>
    </row>
    <row r="841">
      <c r="C841" s="3"/>
      <c r="D841" s="3"/>
      <c r="E841" s="3"/>
    </row>
    <row r="842">
      <c r="C842" s="3"/>
      <c r="D842" s="3"/>
      <c r="E842" s="3"/>
    </row>
    <row r="843">
      <c r="C843" s="3"/>
      <c r="D843" s="3"/>
      <c r="E843" s="3"/>
    </row>
    <row r="844">
      <c r="C844" s="3"/>
      <c r="D844" s="3"/>
      <c r="E844" s="3"/>
    </row>
    <row r="845">
      <c r="C845" s="3"/>
      <c r="D845" s="3"/>
      <c r="E845" s="3"/>
    </row>
    <row r="846">
      <c r="C846" s="3"/>
      <c r="D846" s="3"/>
      <c r="E846" s="3"/>
    </row>
    <row r="847">
      <c r="C847" s="3"/>
      <c r="D847" s="3"/>
      <c r="E847" s="3"/>
    </row>
    <row r="848">
      <c r="C848" s="3"/>
      <c r="D848" s="3"/>
      <c r="E848" s="3"/>
    </row>
    <row r="849">
      <c r="C849" s="3"/>
      <c r="D849" s="3"/>
      <c r="E849" s="3"/>
    </row>
    <row r="850">
      <c r="C850" s="3"/>
      <c r="D850" s="3"/>
      <c r="E850" s="3"/>
    </row>
    <row r="851">
      <c r="C851" s="3"/>
      <c r="D851" s="3"/>
      <c r="E851" s="3"/>
    </row>
    <row r="852">
      <c r="C852" s="3"/>
      <c r="D852" s="3"/>
      <c r="E852" s="3"/>
    </row>
    <row r="853">
      <c r="C853" s="3"/>
      <c r="D853" s="3"/>
      <c r="E853" s="3"/>
    </row>
    <row r="854">
      <c r="C854" s="3"/>
      <c r="D854" s="3"/>
      <c r="E854" s="3"/>
    </row>
    <row r="855">
      <c r="C855" s="3"/>
      <c r="D855" s="3"/>
      <c r="E855" s="3"/>
    </row>
    <row r="856">
      <c r="C856" s="3"/>
      <c r="D856" s="3"/>
      <c r="E856" s="3"/>
    </row>
    <row r="857">
      <c r="C857" s="3"/>
      <c r="D857" s="3"/>
      <c r="E857" s="3"/>
    </row>
    <row r="858">
      <c r="C858" s="3"/>
      <c r="D858" s="3"/>
      <c r="E858" s="3"/>
    </row>
    <row r="859">
      <c r="C859" s="3"/>
      <c r="D859" s="3"/>
      <c r="E859" s="3"/>
    </row>
    <row r="860">
      <c r="C860" s="3"/>
      <c r="D860" s="3"/>
      <c r="E860" s="3"/>
    </row>
    <row r="861">
      <c r="C861" s="3"/>
      <c r="D861" s="3"/>
      <c r="E861" s="3"/>
    </row>
    <row r="862">
      <c r="C862" s="3"/>
      <c r="D862" s="3"/>
      <c r="E862" s="3"/>
    </row>
    <row r="863">
      <c r="C863" s="3"/>
      <c r="D863" s="3"/>
      <c r="E863" s="3"/>
    </row>
    <row r="864">
      <c r="C864" s="3"/>
      <c r="D864" s="3"/>
      <c r="E864" s="3"/>
    </row>
    <row r="865">
      <c r="C865" s="3"/>
      <c r="D865" s="3"/>
      <c r="E865" s="3"/>
    </row>
    <row r="866">
      <c r="C866" s="3"/>
      <c r="D866" s="3"/>
      <c r="E866" s="3"/>
    </row>
    <row r="867">
      <c r="C867" s="3"/>
      <c r="D867" s="3"/>
      <c r="E867" s="3"/>
    </row>
    <row r="868">
      <c r="C868" s="3"/>
      <c r="D868" s="3"/>
      <c r="E868" s="3"/>
    </row>
    <row r="869">
      <c r="C869" s="3"/>
      <c r="D869" s="3"/>
      <c r="E869" s="3"/>
    </row>
    <row r="870">
      <c r="C870" s="3"/>
      <c r="D870" s="3"/>
      <c r="E870" s="3"/>
    </row>
    <row r="871">
      <c r="C871" s="3"/>
      <c r="D871" s="3"/>
      <c r="E871" s="3"/>
    </row>
    <row r="872">
      <c r="C872" s="3"/>
      <c r="D872" s="3"/>
      <c r="E872" s="3"/>
    </row>
    <row r="873">
      <c r="C873" s="3"/>
      <c r="D873" s="3"/>
      <c r="E873" s="3"/>
    </row>
    <row r="874">
      <c r="C874" s="3"/>
      <c r="D874" s="3"/>
      <c r="E874" s="3"/>
    </row>
    <row r="875">
      <c r="C875" s="3"/>
      <c r="D875" s="3"/>
      <c r="E875" s="3"/>
    </row>
    <row r="876">
      <c r="C876" s="3"/>
      <c r="D876" s="3"/>
      <c r="E876" s="3"/>
    </row>
    <row r="877">
      <c r="C877" s="3"/>
      <c r="D877" s="3"/>
      <c r="E877" s="3"/>
    </row>
    <row r="878">
      <c r="C878" s="3"/>
      <c r="D878" s="3"/>
      <c r="E878" s="3"/>
    </row>
    <row r="879">
      <c r="C879" s="3"/>
      <c r="D879" s="3"/>
      <c r="E879" s="3"/>
    </row>
    <row r="880">
      <c r="C880" s="3"/>
      <c r="D880" s="3"/>
      <c r="E880" s="3"/>
    </row>
    <row r="881">
      <c r="C881" s="3"/>
      <c r="D881" s="3"/>
      <c r="E881" s="3"/>
    </row>
    <row r="882">
      <c r="C882" s="3"/>
      <c r="D882" s="3"/>
      <c r="E882" s="3"/>
    </row>
    <row r="883">
      <c r="C883" s="3"/>
      <c r="D883" s="3"/>
      <c r="E883" s="3"/>
    </row>
    <row r="884">
      <c r="C884" s="3"/>
      <c r="D884" s="3"/>
      <c r="E884" s="3"/>
    </row>
    <row r="885">
      <c r="C885" s="3"/>
      <c r="D885" s="3"/>
      <c r="E885" s="3"/>
    </row>
    <row r="886">
      <c r="C886" s="3"/>
      <c r="D886" s="3"/>
      <c r="E886" s="3"/>
    </row>
    <row r="887">
      <c r="C887" s="3"/>
      <c r="D887" s="3"/>
      <c r="E887" s="3"/>
    </row>
    <row r="888">
      <c r="C888" s="3"/>
      <c r="D888" s="3"/>
      <c r="E888" s="3"/>
    </row>
    <row r="889">
      <c r="C889" s="3"/>
      <c r="D889" s="3"/>
      <c r="E889" s="3"/>
    </row>
    <row r="890">
      <c r="C890" s="3"/>
      <c r="D890" s="3"/>
      <c r="E890" s="3"/>
    </row>
    <row r="891">
      <c r="C891" s="3"/>
      <c r="D891" s="3"/>
      <c r="E891" s="3"/>
    </row>
    <row r="892">
      <c r="C892" s="3"/>
      <c r="D892" s="3"/>
      <c r="E892" s="3"/>
    </row>
    <row r="893">
      <c r="C893" s="3"/>
      <c r="D893" s="3"/>
      <c r="E893" s="3"/>
    </row>
    <row r="894">
      <c r="C894" s="3"/>
      <c r="D894" s="3"/>
      <c r="E894" s="3"/>
    </row>
    <row r="895">
      <c r="C895" s="3"/>
      <c r="D895" s="3"/>
      <c r="E895" s="3"/>
    </row>
    <row r="896">
      <c r="C896" s="3"/>
      <c r="D896" s="3"/>
      <c r="E896" s="3"/>
    </row>
    <row r="897">
      <c r="C897" s="3"/>
      <c r="D897" s="3"/>
      <c r="E897" s="3"/>
    </row>
    <row r="898">
      <c r="C898" s="3"/>
      <c r="D898" s="3"/>
      <c r="E898" s="3"/>
    </row>
    <row r="899">
      <c r="C899" s="3"/>
      <c r="D899" s="3"/>
      <c r="E899" s="3"/>
    </row>
    <row r="900">
      <c r="C900" s="3"/>
      <c r="D900" s="3"/>
      <c r="E900" s="3"/>
    </row>
    <row r="901">
      <c r="C901" s="3"/>
      <c r="D901" s="3"/>
      <c r="E901" s="3"/>
    </row>
    <row r="902">
      <c r="C902" s="3"/>
      <c r="D902" s="3"/>
      <c r="E902" s="3"/>
    </row>
    <row r="903">
      <c r="C903" s="3"/>
      <c r="D903" s="3"/>
      <c r="E903" s="3"/>
    </row>
    <row r="904">
      <c r="C904" s="3"/>
      <c r="D904" s="3"/>
      <c r="E904" s="3"/>
    </row>
    <row r="905">
      <c r="C905" s="3"/>
      <c r="D905" s="3"/>
      <c r="E905" s="3"/>
    </row>
    <row r="906">
      <c r="C906" s="3"/>
      <c r="D906" s="3"/>
      <c r="E906" s="3"/>
    </row>
    <row r="907">
      <c r="C907" s="3"/>
      <c r="D907" s="3"/>
      <c r="E907" s="3"/>
    </row>
    <row r="908">
      <c r="C908" s="3"/>
      <c r="D908" s="3"/>
      <c r="E908" s="3"/>
    </row>
    <row r="909">
      <c r="C909" s="3"/>
      <c r="D909" s="3"/>
      <c r="E909" s="3"/>
    </row>
    <row r="910">
      <c r="C910" s="3"/>
      <c r="D910" s="3"/>
      <c r="E910" s="3"/>
    </row>
    <row r="911">
      <c r="C911" s="3"/>
      <c r="D911" s="3"/>
      <c r="E911" s="3"/>
    </row>
    <row r="912">
      <c r="C912" s="3"/>
      <c r="D912" s="3"/>
      <c r="E912" s="3"/>
    </row>
    <row r="913">
      <c r="C913" s="3"/>
      <c r="D913" s="3"/>
      <c r="E913" s="3"/>
    </row>
    <row r="914">
      <c r="C914" s="3"/>
      <c r="D914" s="3"/>
      <c r="E914" s="3"/>
    </row>
    <row r="915">
      <c r="C915" s="3"/>
      <c r="D915" s="3"/>
      <c r="E915" s="3"/>
    </row>
    <row r="916">
      <c r="C916" s="3"/>
      <c r="D916" s="3"/>
      <c r="E916" s="3"/>
    </row>
    <row r="917">
      <c r="C917" s="3"/>
      <c r="D917" s="3"/>
      <c r="E917" s="3"/>
    </row>
    <row r="918">
      <c r="C918" s="3"/>
      <c r="D918" s="3"/>
      <c r="E918" s="3"/>
    </row>
    <row r="919">
      <c r="C919" s="3"/>
      <c r="D919" s="3"/>
      <c r="E919" s="3"/>
    </row>
    <row r="920">
      <c r="C920" s="3"/>
      <c r="D920" s="3"/>
      <c r="E920" s="3"/>
    </row>
    <row r="921">
      <c r="C921" s="3"/>
      <c r="D921" s="3"/>
      <c r="E921" s="3"/>
    </row>
    <row r="922">
      <c r="C922" s="3"/>
      <c r="D922" s="3"/>
      <c r="E922" s="3"/>
    </row>
    <row r="923">
      <c r="C923" s="3"/>
      <c r="D923" s="3"/>
      <c r="E923" s="3"/>
    </row>
    <row r="924">
      <c r="C924" s="3"/>
      <c r="D924" s="3"/>
      <c r="E924" s="3"/>
    </row>
    <row r="925">
      <c r="C925" s="3"/>
      <c r="D925" s="3"/>
      <c r="E925" s="3"/>
    </row>
    <row r="926">
      <c r="C926" s="3"/>
      <c r="D926" s="3"/>
      <c r="E926" s="3"/>
    </row>
    <row r="927">
      <c r="C927" s="3"/>
      <c r="D927" s="3"/>
      <c r="E927" s="3"/>
    </row>
    <row r="928">
      <c r="C928" s="3"/>
      <c r="D928" s="3"/>
      <c r="E928" s="3"/>
    </row>
    <row r="929">
      <c r="C929" s="3"/>
      <c r="D929" s="3"/>
      <c r="E929" s="3"/>
    </row>
    <row r="930">
      <c r="C930" s="3"/>
      <c r="D930" s="3"/>
      <c r="E930" s="3"/>
    </row>
    <row r="931">
      <c r="C931" s="3"/>
      <c r="D931" s="3"/>
      <c r="E931" s="3"/>
    </row>
    <row r="932">
      <c r="C932" s="3"/>
      <c r="D932" s="3"/>
      <c r="E932" s="3"/>
    </row>
    <row r="933">
      <c r="C933" s="3"/>
      <c r="D933" s="3"/>
      <c r="E933" s="3"/>
    </row>
    <row r="934">
      <c r="C934" s="3"/>
      <c r="D934" s="3"/>
      <c r="E934" s="3"/>
    </row>
    <row r="935">
      <c r="C935" s="3"/>
      <c r="D935" s="3"/>
      <c r="E935" s="3"/>
    </row>
    <row r="936">
      <c r="C936" s="3"/>
      <c r="D936" s="3"/>
      <c r="E936" s="3"/>
    </row>
    <row r="937">
      <c r="C937" s="3"/>
      <c r="D937" s="3"/>
      <c r="E937" s="3"/>
    </row>
    <row r="938">
      <c r="C938" s="3"/>
      <c r="D938" s="3"/>
      <c r="E938" s="3"/>
    </row>
    <row r="939">
      <c r="C939" s="3"/>
      <c r="D939" s="3"/>
      <c r="E939" s="3"/>
    </row>
    <row r="940">
      <c r="C940" s="3"/>
      <c r="D940" s="3"/>
      <c r="E940" s="3"/>
    </row>
    <row r="941">
      <c r="C941" s="3"/>
      <c r="D941" s="3"/>
      <c r="E941" s="3"/>
    </row>
    <row r="942">
      <c r="C942" s="3"/>
      <c r="D942" s="3"/>
      <c r="E942" s="3"/>
    </row>
    <row r="943">
      <c r="C943" s="3"/>
      <c r="D943" s="3"/>
      <c r="E943" s="3"/>
    </row>
    <row r="944">
      <c r="C944" s="3"/>
      <c r="D944" s="3"/>
      <c r="E944" s="3"/>
    </row>
    <row r="945">
      <c r="C945" s="3"/>
      <c r="D945" s="3"/>
      <c r="E945" s="3"/>
    </row>
    <row r="946">
      <c r="C946" s="3"/>
      <c r="D946" s="3"/>
      <c r="E946" s="3"/>
    </row>
    <row r="947">
      <c r="C947" s="3"/>
      <c r="D947" s="3"/>
      <c r="E947" s="3"/>
    </row>
    <row r="948">
      <c r="C948" s="3"/>
      <c r="D948" s="3"/>
      <c r="E948" s="3"/>
    </row>
    <row r="949">
      <c r="C949" s="3"/>
      <c r="D949" s="3"/>
      <c r="E949" s="3"/>
    </row>
    <row r="950">
      <c r="C950" s="3"/>
      <c r="D950" s="3"/>
      <c r="E950" s="3"/>
    </row>
    <row r="951">
      <c r="C951" s="3"/>
      <c r="D951" s="3"/>
      <c r="E951" s="3"/>
    </row>
    <row r="952">
      <c r="C952" s="3"/>
      <c r="D952" s="3"/>
      <c r="E952" s="3"/>
    </row>
    <row r="953">
      <c r="C953" s="3"/>
      <c r="D953" s="3"/>
      <c r="E953" s="3"/>
    </row>
    <row r="954">
      <c r="C954" s="3"/>
      <c r="D954" s="3"/>
      <c r="E954" s="3"/>
    </row>
    <row r="955">
      <c r="C955" s="3"/>
      <c r="D955" s="3"/>
      <c r="E955" s="3"/>
    </row>
    <row r="956">
      <c r="C956" s="3"/>
      <c r="D956" s="3"/>
      <c r="E956" s="3"/>
    </row>
    <row r="957">
      <c r="C957" s="3"/>
      <c r="D957" s="3"/>
      <c r="E957" s="3"/>
    </row>
    <row r="958">
      <c r="C958" s="3"/>
      <c r="D958" s="3"/>
      <c r="E958" s="3"/>
    </row>
    <row r="959">
      <c r="C959" s="3"/>
      <c r="D959" s="3"/>
      <c r="E959" s="3"/>
    </row>
    <row r="960">
      <c r="C960" s="3"/>
      <c r="D960" s="3"/>
      <c r="E960" s="3"/>
    </row>
    <row r="961">
      <c r="C961" s="3"/>
      <c r="D961" s="3"/>
      <c r="E961" s="3"/>
    </row>
    <row r="962">
      <c r="C962" s="3"/>
      <c r="D962" s="3"/>
      <c r="E962" s="3"/>
    </row>
    <row r="963">
      <c r="C963" s="3"/>
      <c r="D963" s="3"/>
      <c r="E963" s="3"/>
    </row>
    <row r="964">
      <c r="C964" s="3"/>
      <c r="D964" s="3"/>
      <c r="E964" s="3"/>
    </row>
    <row r="965">
      <c r="C965" s="3"/>
      <c r="D965" s="3"/>
      <c r="E965" s="3"/>
    </row>
    <row r="966">
      <c r="C966" s="3"/>
      <c r="D966" s="3"/>
      <c r="E966" s="3"/>
    </row>
    <row r="967">
      <c r="C967" s="3"/>
      <c r="D967" s="3"/>
      <c r="E967" s="3"/>
    </row>
    <row r="968">
      <c r="C968" s="3"/>
      <c r="D968" s="3"/>
      <c r="E968" s="3"/>
    </row>
    <row r="969">
      <c r="C969" s="3"/>
      <c r="D969" s="3"/>
      <c r="E969" s="3"/>
    </row>
    <row r="970">
      <c r="C970" s="3"/>
      <c r="D970" s="3"/>
      <c r="E970" s="3"/>
    </row>
    <row r="971">
      <c r="C971" s="3"/>
      <c r="D971" s="3"/>
      <c r="E971" s="3"/>
    </row>
    <row r="972">
      <c r="C972" s="3"/>
      <c r="D972" s="3"/>
      <c r="E972" s="3"/>
    </row>
    <row r="973">
      <c r="C973" s="3"/>
      <c r="D973" s="3"/>
      <c r="E973" s="3"/>
    </row>
    <row r="974">
      <c r="C974" s="3"/>
      <c r="D974" s="3"/>
      <c r="E974" s="3"/>
    </row>
    <row r="975">
      <c r="C975" s="3"/>
      <c r="D975" s="3"/>
      <c r="E975" s="3"/>
    </row>
    <row r="976">
      <c r="C976" s="3"/>
      <c r="D976" s="3"/>
      <c r="E976" s="3"/>
    </row>
    <row r="977">
      <c r="C977" s="3"/>
      <c r="D977" s="3"/>
      <c r="E977" s="3"/>
    </row>
    <row r="978">
      <c r="C978" s="3"/>
      <c r="D978" s="3"/>
      <c r="E978" s="3"/>
    </row>
    <row r="979">
      <c r="C979" s="3"/>
      <c r="D979" s="3"/>
      <c r="E979" s="3"/>
    </row>
    <row r="980">
      <c r="C980" s="3"/>
      <c r="D980" s="3"/>
      <c r="E980" s="3"/>
    </row>
    <row r="981">
      <c r="C981" s="3"/>
      <c r="D981" s="3"/>
      <c r="E981" s="3"/>
    </row>
    <row r="982">
      <c r="C982" s="3"/>
      <c r="D982" s="3"/>
      <c r="E982" s="3"/>
    </row>
    <row r="983">
      <c r="C983" s="3"/>
      <c r="D983" s="3"/>
      <c r="E983" s="3"/>
    </row>
    <row r="984">
      <c r="C984" s="3"/>
      <c r="D984" s="3"/>
      <c r="E984" s="3"/>
    </row>
    <row r="985">
      <c r="C985" s="3"/>
      <c r="D985" s="3"/>
      <c r="E985" s="3"/>
    </row>
    <row r="986">
      <c r="C986" s="3"/>
      <c r="D986" s="3"/>
      <c r="E986" s="3"/>
    </row>
    <row r="987">
      <c r="C987" s="3"/>
      <c r="D987" s="3"/>
      <c r="E987" s="3"/>
    </row>
    <row r="988">
      <c r="C988" s="3"/>
      <c r="D988" s="3"/>
      <c r="E988" s="3"/>
    </row>
    <row r="989">
      <c r="C989" s="3"/>
      <c r="D989" s="3"/>
      <c r="E989" s="3"/>
    </row>
    <row r="990">
      <c r="C990" s="3"/>
      <c r="D990" s="3"/>
      <c r="E990" s="3"/>
    </row>
    <row r="991">
      <c r="C991" s="3"/>
      <c r="D991" s="3"/>
      <c r="E991" s="3"/>
    </row>
    <row r="992">
      <c r="C992" s="3"/>
      <c r="D992" s="3"/>
      <c r="E992" s="3"/>
    </row>
    <row r="993">
      <c r="C993" s="3"/>
      <c r="D993" s="3"/>
      <c r="E993" s="3"/>
    </row>
    <row r="994">
      <c r="C994" s="3"/>
      <c r="D994" s="3"/>
      <c r="E994" s="3"/>
    </row>
    <row r="995">
      <c r="C995" s="3"/>
      <c r="D995" s="3"/>
      <c r="E995" s="3"/>
    </row>
    <row r="996">
      <c r="C996" s="3"/>
      <c r="D996" s="3"/>
      <c r="E996" s="3"/>
    </row>
    <row r="997">
      <c r="C997" s="3"/>
      <c r="D997" s="3"/>
      <c r="E997" s="3"/>
    </row>
    <row r="998">
      <c r="C998" s="3"/>
      <c r="D998" s="3"/>
      <c r="E998" s="3"/>
    </row>
    <row r="999">
      <c r="C999" s="3"/>
      <c r="D999" s="3"/>
      <c r="E999" s="3"/>
    </row>
    <row r="1000">
      <c r="C1000" s="3"/>
      <c r="D1000" s="3"/>
      <c r="E1000" s="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2"/>
  <cols>
    <col customWidth="1" min="1" max="1" width="16.25"/>
    <col customWidth="1" min="4" max="4" width="26.13"/>
  </cols>
  <sheetData>
    <row r="1">
      <c r="A1" s="18" t="s">
        <v>994</v>
      </c>
      <c r="B1" s="18" t="s">
        <v>0</v>
      </c>
      <c r="C1" s="18" t="s">
        <v>3802</v>
      </c>
      <c r="D1" s="18" t="s">
        <v>19</v>
      </c>
      <c r="E1" s="257"/>
      <c r="F1" s="257"/>
      <c r="G1" s="257"/>
      <c r="H1" s="257"/>
      <c r="I1" s="257"/>
      <c r="J1" s="257"/>
      <c r="K1" s="257"/>
      <c r="L1" s="257"/>
      <c r="M1" s="257"/>
      <c r="N1" s="257"/>
      <c r="O1" s="257"/>
      <c r="P1" s="257"/>
      <c r="Q1" s="257"/>
      <c r="R1" s="257"/>
      <c r="S1" s="257"/>
      <c r="T1" s="257"/>
      <c r="U1" s="257"/>
      <c r="V1" s="257"/>
      <c r="W1" s="257"/>
      <c r="X1" s="257"/>
      <c r="Y1" s="257"/>
      <c r="Z1" s="257"/>
    </row>
    <row r="2">
      <c r="A2" s="639">
        <v>45089.0</v>
      </c>
      <c r="B2" s="640" t="s">
        <v>10</v>
      </c>
      <c r="C2" s="16" t="s">
        <v>3803</v>
      </c>
      <c r="D2" s="16" t="s">
        <v>3804</v>
      </c>
    </row>
    <row r="3">
      <c r="A3" s="639">
        <v>45119.0</v>
      </c>
      <c r="B3" s="640" t="s">
        <v>32</v>
      </c>
    </row>
    <row r="4">
      <c r="A4" s="639">
        <v>45119.0</v>
      </c>
      <c r="B4" s="400" t="s">
        <v>25</v>
      </c>
    </row>
    <row r="5">
      <c r="A5" s="639">
        <v>45155.0</v>
      </c>
      <c r="B5" s="640" t="s">
        <v>50</v>
      </c>
      <c r="C5" s="47" t="s">
        <v>3803</v>
      </c>
    </row>
    <row r="6">
      <c r="A6" s="639">
        <v>45177.0</v>
      </c>
      <c r="B6" s="400" t="s">
        <v>53</v>
      </c>
      <c r="C6" s="16" t="s">
        <v>3805</v>
      </c>
    </row>
    <row r="7">
      <c r="A7" s="639">
        <v>45162.0</v>
      </c>
      <c r="B7" s="400" t="s">
        <v>59</v>
      </c>
      <c r="C7" s="16" t="s">
        <v>3805</v>
      </c>
    </row>
    <row r="8">
      <c r="A8" s="639">
        <v>45148.0</v>
      </c>
      <c r="B8" s="400" t="s">
        <v>74</v>
      </c>
      <c r="C8" s="16" t="s">
        <v>3805</v>
      </c>
    </row>
    <row r="9">
      <c r="A9" s="639">
        <v>45177.0</v>
      </c>
      <c r="B9" s="640" t="s">
        <v>57</v>
      </c>
      <c r="C9" s="47" t="s">
        <v>3805</v>
      </c>
    </row>
    <row r="10">
      <c r="A10" s="639">
        <v>45138.0</v>
      </c>
      <c r="B10" s="400" t="s">
        <v>65</v>
      </c>
      <c r="C10" s="16" t="s">
        <v>3805</v>
      </c>
    </row>
    <row r="11">
      <c r="A11" s="639">
        <v>45146.0</v>
      </c>
      <c r="B11" s="640" t="s">
        <v>71</v>
      </c>
      <c r="C11" s="16" t="s">
        <v>3805</v>
      </c>
    </row>
    <row r="12">
      <c r="A12" s="639">
        <v>45303.0</v>
      </c>
      <c r="B12" s="640" t="s">
        <v>162</v>
      </c>
      <c r="C12" s="47" t="s">
        <v>3805</v>
      </c>
    </row>
    <row r="13">
      <c r="A13" s="639">
        <v>45324.0</v>
      </c>
      <c r="B13" s="400" t="s">
        <v>192</v>
      </c>
      <c r="C13" s="47" t="s">
        <v>3803</v>
      </c>
      <c r="D13" s="16" t="s">
        <v>3806</v>
      </c>
    </row>
    <row r="14">
      <c r="A14" s="639">
        <v>45373.0</v>
      </c>
      <c r="B14" s="400" t="s">
        <v>157</v>
      </c>
      <c r="C14" s="47" t="s">
        <v>3803</v>
      </c>
      <c r="D14" s="16" t="s">
        <v>3806</v>
      </c>
    </row>
    <row r="15">
      <c r="A15" s="639">
        <v>45387.0</v>
      </c>
      <c r="B15" s="400" t="s">
        <v>227</v>
      </c>
      <c r="C15" s="47" t="s">
        <v>3803</v>
      </c>
      <c r="D15" s="16" t="s">
        <v>3806</v>
      </c>
    </row>
    <row r="16">
      <c r="A16" s="639">
        <v>45387.0</v>
      </c>
      <c r="B16" s="400" t="s">
        <v>183</v>
      </c>
      <c r="C16" s="47" t="s">
        <v>3803</v>
      </c>
      <c r="D16" s="16" t="s">
        <v>3806</v>
      </c>
    </row>
    <row r="17">
      <c r="A17" s="234">
        <v>45393.0</v>
      </c>
      <c r="B17" s="400" t="s">
        <v>278</v>
      </c>
      <c r="C17" s="16" t="s">
        <v>3805</v>
      </c>
      <c r="D17" s="16" t="s">
        <v>3807</v>
      </c>
    </row>
    <row r="18">
      <c r="A18" s="234">
        <v>45393.0</v>
      </c>
      <c r="B18" s="400" t="s">
        <v>236</v>
      </c>
      <c r="C18" s="16" t="s">
        <v>3805</v>
      </c>
      <c r="D18" s="16" t="s">
        <v>3808</v>
      </c>
    </row>
    <row r="19">
      <c r="A19" s="234">
        <v>45408.0</v>
      </c>
      <c r="B19" s="400" t="s">
        <v>190</v>
      </c>
      <c r="C19" s="16" t="s">
        <v>3805</v>
      </c>
      <c r="D19" s="16" t="s">
        <v>625</v>
      </c>
    </row>
    <row r="20">
      <c r="A20" s="234">
        <v>45413.0</v>
      </c>
      <c r="B20" s="400" t="s">
        <v>255</v>
      </c>
      <c r="C20" s="16" t="s">
        <v>3805</v>
      </c>
      <c r="D20" s="16" t="s">
        <v>625</v>
      </c>
    </row>
    <row r="21">
      <c r="A21" s="234">
        <v>45440.0</v>
      </c>
      <c r="B21" s="400" t="s">
        <v>283</v>
      </c>
      <c r="C21" s="16" t="s">
        <v>3805</v>
      </c>
      <c r="D21" s="16" t="s">
        <v>625</v>
      </c>
    </row>
    <row r="22">
      <c r="A22" s="234">
        <v>45440.0</v>
      </c>
      <c r="B22" s="400" t="s">
        <v>277</v>
      </c>
      <c r="C22" s="16" t="s">
        <v>3805</v>
      </c>
      <c r="D22" s="16" t="s">
        <v>625</v>
      </c>
    </row>
    <row r="23">
      <c r="A23" s="234">
        <v>45442.0</v>
      </c>
      <c r="B23" s="400" t="s">
        <v>315</v>
      </c>
      <c r="C23" s="16" t="s">
        <v>3805</v>
      </c>
      <c r="D23" s="16" t="s">
        <v>625</v>
      </c>
    </row>
    <row r="24">
      <c r="A24" s="639">
        <v>45446.0</v>
      </c>
      <c r="B24" s="189" t="s">
        <v>319</v>
      </c>
      <c r="D24" s="16" t="s">
        <v>1370</v>
      </c>
    </row>
    <row r="25">
      <c r="A25" s="234">
        <v>45454.0</v>
      </c>
      <c r="B25" s="16" t="s">
        <v>336</v>
      </c>
      <c r="C25" s="16" t="s">
        <v>3809</v>
      </c>
      <c r="D25" s="16" t="s">
        <v>3810</v>
      </c>
    </row>
    <row r="26">
      <c r="A26" s="234">
        <v>45474.0</v>
      </c>
      <c r="B26" s="16" t="s">
        <v>340</v>
      </c>
      <c r="C26" s="16" t="s">
        <v>3805</v>
      </c>
      <c r="D26" s="16" t="s">
        <v>3810</v>
      </c>
    </row>
    <row r="27">
      <c r="A27" s="234">
        <v>45483.0</v>
      </c>
      <c r="B27" s="16" t="s">
        <v>196</v>
      </c>
      <c r="C27" s="16" t="s">
        <v>3805</v>
      </c>
      <c r="D27" s="16" t="s">
        <v>625</v>
      </c>
    </row>
    <row r="28">
      <c r="A28" s="234">
        <v>45505.0</v>
      </c>
      <c r="B28" s="16" t="s">
        <v>353</v>
      </c>
      <c r="C28" s="16" t="s">
        <v>3805</v>
      </c>
      <c r="D28" s="16" t="s">
        <v>3810</v>
      </c>
    </row>
    <row r="29">
      <c r="A29" s="234">
        <v>45510.0</v>
      </c>
      <c r="B29" s="16" t="s">
        <v>304</v>
      </c>
      <c r="C29" s="16" t="s">
        <v>3805</v>
      </c>
      <c r="D29" s="16" t="s">
        <v>625</v>
      </c>
    </row>
    <row r="30">
      <c r="A30" s="234">
        <v>45517.0</v>
      </c>
      <c r="B30" s="16" t="s">
        <v>372</v>
      </c>
      <c r="C30" s="16" t="s">
        <v>3805</v>
      </c>
      <c r="D30" s="16" t="s">
        <v>625</v>
      </c>
    </row>
    <row r="31">
      <c r="A31" s="234">
        <v>45530.0</v>
      </c>
      <c r="B31" s="16" t="s">
        <v>358</v>
      </c>
      <c r="C31" s="16" t="s">
        <v>3805</v>
      </c>
      <c r="D31" s="16" t="s">
        <v>625</v>
      </c>
    </row>
    <row r="32">
      <c r="A32" s="234">
        <v>45531.0</v>
      </c>
      <c r="B32" s="16" t="s">
        <v>327</v>
      </c>
      <c r="C32" s="16" t="s">
        <v>3805</v>
      </c>
      <c r="D32" s="16" t="s">
        <v>625</v>
      </c>
    </row>
    <row r="33">
      <c r="A33" s="234">
        <v>45532.0</v>
      </c>
      <c r="B33" s="16" t="s">
        <v>385</v>
      </c>
      <c r="C33" s="16" t="s">
        <v>3805</v>
      </c>
      <c r="D33" s="16" t="s">
        <v>3811</v>
      </c>
    </row>
    <row r="34">
      <c r="A34" s="234">
        <v>45540.0</v>
      </c>
      <c r="B34" s="16" t="s">
        <v>362</v>
      </c>
      <c r="C34" s="16" t="s">
        <v>3805</v>
      </c>
      <c r="D34" s="16" t="s">
        <v>625</v>
      </c>
    </row>
    <row r="35">
      <c r="A35" s="234">
        <v>45561.0</v>
      </c>
      <c r="B35" s="16" t="s">
        <v>391</v>
      </c>
      <c r="C35" s="16" t="s">
        <v>3812</v>
      </c>
      <c r="D35" s="16" t="s">
        <v>625</v>
      </c>
    </row>
    <row r="36">
      <c r="A36" s="234">
        <v>45562.0</v>
      </c>
      <c r="B36" s="16" t="s">
        <v>380</v>
      </c>
      <c r="C36" s="16" t="s">
        <v>3813</v>
      </c>
      <c r="D36" s="16" t="s">
        <v>625</v>
      </c>
    </row>
    <row r="37">
      <c r="A37" s="234">
        <v>45579.0</v>
      </c>
      <c r="B37" s="16" t="s">
        <v>345</v>
      </c>
      <c r="C37" s="16" t="s">
        <v>3803</v>
      </c>
      <c r="D37" s="16" t="s">
        <v>3814</v>
      </c>
    </row>
    <row r="38">
      <c r="A38" s="234">
        <v>45581.0</v>
      </c>
      <c r="B38" s="16" t="s">
        <v>424</v>
      </c>
      <c r="C38" s="16" t="s">
        <v>3805</v>
      </c>
      <c r="D38" s="16" t="s">
        <v>625</v>
      </c>
    </row>
    <row r="39">
      <c r="A39" s="234">
        <v>45587.0</v>
      </c>
      <c r="B39" s="16" t="s">
        <v>437</v>
      </c>
      <c r="C39" s="16" t="s">
        <v>3805</v>
      </c>
      <c r="D39" s="16" t="s">
        <v>625</v>
      </c>
    </row>
    <row r="40">
      <c r="A40" s="234">
        <v>45590.0</v>
      </c>
      <c r="B40" s="16" t="s">
        <v>335</v>
      </c>
      <c r="C40" s="16" t="s">
        <v>3815</v>
      </c>
      <c r="D40" s="16" t="s">
        <v>3810</v>
      </c>
    </row>
    <row r="41">
      <c r="A41" s="234">
        <v>45596.0</v>
      </c>
      <c r="B41" s="16" t="s">
        <v>443</v>
      </c>
      <c r="C41" s="16" t="s">
        <v>3805</v>
      </c>
      <c r="D41" s="16" t="s">
        <v>3810</v>
      </c>
    </row>
    <row r="42">
      <c r="A42" s="639">
        <v>45604.0</v>
      </c>
      <c r="B42" s="16" t="s">
        <v>438</v>
      </c>
      <c r="C42" s="16" t="s">
        <v>3816</v>
      </c>
      <c r="D42" s="16" t="s">
        <v>3817</v>
      </c>
    </row>
    <row r="43">
      <c r="A43" s="234">
        <v>45607.0</v>
      </c>
      <c r="B43" s="16" t="s">
        <v>183</v>
      </c>
      <c r="C43" s="16" t="s">
        <v>3818</v>
      </c>
      <c r="D43" s="16" t="s">
        <v>3819</v>
      </c>
    </row>
    <row r="44">
      <c r="A44" s="234">
        <v>45608.0</v>
      </c>
      <c r="B44" s="16" t="s">
        <v>153</v>
      </c>
      <c r="C44" s="16" t="s">
        <v>3818</v>
      </c>
      <c r="D44" s="16" t="s">
        <v>3820</v>
      </c>
    </row>
    <row r="45">
      <c r="A45" s="234">
        <v>45608.0</v>
      </c>
      <c r="B45" s="16" t="s">
        <v>176</v>
      </c>
      <c r="D45" s="16" t="s">
        <v>3820</v>
      </c>
    </row>
    <row r="46">
      <c r="A46" s="234">
        <v>45608.0</v>
      </c>
      <c r="B46" s="16" t="s">
        <v>190</v>
      </c>
      <c r="D46" s="16" t="s">
        <v>3820</v>
      </c>
    </row>
    <row r="47">
      <c r="A47" s="234">
        <v>45608.0</v>
      </c>
      <c r="B47" s="16" t="s">
        <v>216</v>
      </c>
      <c r="D47" s="16" t="s">
        <v>3820</v>
      </c>
    </row>
    <row r="48">
      <c r="A48" s="234">
        <v>45638.0</v>
      </c>
      <c r="B48" s="16" t="s">
        <v>485</v>
      </c>
      <c r="C48" s="16" t="s">
        <v>3805</v>
      </c>
      <c r="D48" s="16" t="s">
        <v>625</v>
      </c>
    </row>
    <row r="49">
      <c r="A49" s="234">
        <v>45645.0</v>
      </c>
      <c r="B49" s="16" t="s">
        <v>456</v>
      </c>
      <c r="C49" s="16" t="s">
        <v>3821</v>
      </c>
      <c r="D49" s="16" t="s">
        <v>3820</v>
      </c>
    </row>
    <row r="50">
      <c r="A50" s="234">
        <v>45645.0</v>
      </c>
      <c r="B50" s="16" t="s">
        <v>428</v>
      </c>
      <c r="C50" s="16" t="s">
        <v>3805</v>
      </c>
      <c r="D50" s="16" t="s">
        <v>3810</v>
      </c>
    </row>
    <row r="51">
      <c r="A51" s="234">
        <v>45666.0</v>
      </c>
      <c r="B51" s="16" t="s">
        <v>493</v>
      </c>
      <c r="C51" s="16" t="s">
        <v>3822</v>
      </c>
      <c r="D51" s="16" t="s">
        <v>3810</v>
      </c>
    </row>
    <row r="52">
      <c r="A52" s="234">
        <v>45684.0</v>
      </c>
      <c r="B52" s="16" t="s">
        <v>512</v>
      </c>
      <c r="C52" s="16" t="s">
        <v>3805</v>
      </c>
      <c r="D52" s="16" t="s">
        <v>3810</v>
      </c>
    </row>
    <row r="53">
      <c r="A53" s="234">
        <v>45687.0</v>
      </c>
      <c r="B53" s="16" t="s">
        <v>518</v>
      </c>
      <c r="C53" s="16" t="s">
        <v>3805</v>
      </c>
      <c r="D53" s="16" t="s">
        <v>625</v>
      </c>
    </row>
    <row r="54">
      <c r="A54" s="234">
        <v>45693.0</v>
      </c>
      <c r="B54" s="16" t="s">
        <v>507</v>
      </c>
      <c r="C54" s="16" t="s">
        <v>3805</v>
      </c>
      <c r="D54" s="16" t="s">
        <v>625</v>
      </c>
    </row>
    <row r="55">
      <c r="A55" s="234">
        <v>45698.0</v>
      </c>
      <c r="B55" s="16" t="s">
        <v>496</v>
      </c>
      <c r="C55" s="16" t="s">
        <v>3805</v>
      </c>
      <c r="D55" s="16" t="s">
        <v>625</v>
      </c>
    </row>
    <row r="56">
      <c r="A56" s="234">
        <v>45706.0</v>
      </c>
      <c r="B56" s="16" t="s">
        <v>530</v>
      </c>
      <c r="C56" s="16" t="s">
        <v>3805</v>
      </c>
      <c r="D56" s="16" t="s">
        <v>625</v>
      </c>
    </row>
    <row r="57">
      <c r="A57" s="234">
        <v>45712.0</v>
      </c>
      <c r="B57" s="16" t="s">
        <v>533</v>
      </c>
      <c r="C57" s="16" t="s">
        <v>3823</v>
      </c>
      <c r="D57" s="16" t="s">
        <v>625</v>
      </c>
    </row>
    <row r="58">
      <c r="A58" s="234">
        <v>45714.0</v>
      </c>
      <c r="B58" s="16" t="s">
        <v>544</v>
      </c>
      <c r="C58" s="16" t="s">
        <v>3805</v>
      </c>
      <c r="D58" s="16" t="s">
        <v>625</v>
      </c>
    </row>
    <row r="59">
      <c r="A59" s="234">
        <v>45716.0</v>
      </c>
      <c r="B59" s="16" t="s">
        <v>517</v>
      </c>
      <c r="C59" s="16" t="s">
        <v>3805</v>
      </c>
      <c r="D59" s="16" t="s">
        <v>625</v>
      </c>
    </row>
    <row r="60">
      <c r="A60" s="234">
        <v>45719.0</v>
      </c>
      <c r="B60" s="16" t="s">
        <v>528</v>
      </c>
      <c r="C60" s="16" t="s">
        <v>3805</v>
      </c>
      <c r="D60" s="16" t="s">
        <v>625</v>
      </c>
    </row>
    <row r="61">
      <c r="A61" s="234">
        <v>45726.0</v>
      </c>
      <c r="B61" s="16" t="s">
        <v>536</v>
      </c>
      <c r="C61" s="16" t="s">
        <v>3805</v>
      </c>
      <c r="D61" s="16" t="s">
        <v>625</v>
      </c>
    </row>
    <row r="62">
      <c r="A62" s="234">
        <v>45730.0</v>
      </c>
      <c r="B62" s="16" t="s">
        <v>557</v>
      </c>
      <c r="C62" s="16" t="s">
        <v>3805</v>
      </c>
      <c r="D62" s="16" t="s">
        <v>625</v>
      </c>
    </row>
    <row r="63">
      <c r="A63" s="234">
        <v>45735.0</v>
      </c>
      <c r="B63" s="16" t="s">
        <v>475</v>
      </c>
      <c r="C63" s="16" t="s">
        <v>3805</v>
      </c>
      <c r="D63" s="16" t="s">
        <v>625</v>
      </c>
    </row>
    <row r="64">
      <c r="A64" s="234">
        <v>45740.0</v>
      </c>
      <c r="B64" s="16" t="s">
        <v>537</v>
      </c>
      <c r="C64" s="16" t="s">
        <v>3805</v>
      </c>
      <c r="D64" s="16" t="s">
        <v>3810</v>
      </c>
    </row>
    <row r="65">
      <c r="A65" s="234">
        <v>45742.0</v>
      </c>
      <c r="B65" s="16" t="s">
        <v>509</v>
      </c>
      <c r="C65" s="16" t="s">
        <v>3805</v>
      </c>
      <c r="D65" s="16" t="s">
        <v>3810</v>
      </c>
    </row>
    <row r="66">
      <c r="A66" s="234">
        <v>45754.0</v>
      </c>
      <c r="B66" s="16" t="s">
        <v>538</v>
      </c>
      <c r="C66" s="16" t="s">
        <v>3816</v>
      </c>
      <c r="D66" s="16" t="s">
        <v>3810</v>
      </c>
    </row>
    <row r="67">
      <c r="A67" s="234">
        <v>45769.0</v>
      </c>
      <c r="B67" s="16" t="s">
        <v>542</v>
      </c>
      <c r="C67" s="16" t="s">
        <v>3805</v>
      </c>
      <c r="D67" s="16" t="s">
        <v>625</v>
      </c>
    </row>
    <row r="68">
      <c r="A68" s="234">
        <v>45772.0</v>
      </c>
      <c r="B68" s="16" t="s">
        <v>484</v>
      </c>
      <c r="C68" s="16" t="s">
        <v>3805</v>
      </c>
      <c r="D68" s="16" t="s">
        <v>3810</v>
      </c>
    </row>
    <row r="69">
      <c r="A69" s="234">
        <v>45775.0</v>
      </c>
      <c r="B69" s="16" t="s">
        <v>551</v>
      </c>
      <c r="C69" s="16" t="s">
        <v>3805</v>
      </c>
      <c r="D69" s="16" t="s">
        <v>3810</v>
      </c>
    </row>
    <row r="70">
      <c r="A70" s="234">
        <v>45796.0</v>
      </c>
      <c r="B70" s="16" t="s">
        <v>10</v>
      </c>
      <c r="C70" s="16" t="s">
        <v>3805</v>
      </c>
      <c r="D70" s="16" t="s">
        <v>28</v>
      </c>
    </row>
    <row r="71">
      <c r="A71" s="234">
        <v>45917.0</v>
      </c>
      <c r="B71" s="16" t="s">
        <v>400</v>
      </c>
      <c r="C71" s="16" t="s">
        <v>3823</v>
      </c>
      <c r="D71" s="16" t="s">
        <v>3824</v>
      </c>
    </row>
    <row r="72">
      <c r="A72" s="234">
        <v>45926.0</v>
      </c>
      <c r="B72" s="16" t="s">
        <v>454</v>
      </c>
      <c r="C72" s="16" t="s">
        <v>3823</v>
      </c>
      <c r="D72" s="16" t="s">
        <v>3825</v>
      </c>
    </row>
    <row r="73">
      <c r="A73" s="234">
        <v>45943.0</v>
      </c>
      <c r="B73" s="16" t="s">
        <v>133</v>
      </c>
      <c r="C73" s="16" t="s">
        <v>3805</v>
      </c>
      <c r="D73" s="16" t="s">
        <v>3826</v>
      </c>
    </row>
    <row r="74">
      <c r="A74" s="234">
        <v>45946.0</v>
      </c>
      <c r="B74" s="16" t="s">
        <v>117</v>
      </c>
      <c r="C74" s="16" t="s">
        <v>3805</v>
      </c>
      <c r="D74" s="16" t="s">
        <v>625</v>
      </c>
    </row>
    <row r="75">
      <c r="A75" s="234">
        <v>45950.0</v>
      </c>
      <c r="B75" s="16" t="s">
        <v>152</v>
      </c>
      <c r="C75" s="16" t="s">
        <v>3805</v>
      </c>
      <c r="D75" s="16" t="s">
        <v>3827</v>
      </c>
    </row>
    <row r="76">
      <c r="A76" s="234">
        <v>45972.0</v>
      </c>
      <c r="B76" s="16" t="s">
        <v>125</v>
      </c>
      <c r="C76" s="16" t="s">
        <v>3828</v>
      </c>
      <c r="D76" s="16" t="s">
        <v>625</v>
      </c>
    </row>
    <row r="77">
      <c r="A77" s="234">
        <v>45985.0</v>
      </c>
      <c r="B77" s="16" t="s">
        <v>157</v>
      </c>
      <c r="C77" s="16" t="s">
        <v>3823</v>
      </c>
      <c r="D77" s="16" t="s">
        <v>3829</v>
      </c>
    </row>
    <row r="78">
      <c r="A78" s="234">
        <v>46010.0</v>
      </c>
      <c r="B78" s="16" t="s">
        <v>127</v>
      </c>
      <c r="C78" s="16" t="s">
        <v>3823</v>
      </c>
      <c r="D78" s="16" t="s">
        <v>3830</v>
      </c>
    </row>
    <row r="79">
      <c r="A79" s="234">
        <v>46013.0</v>
      </c>
      <c r="B79" s="16" t="s">
        <v>138</v>
      </c>
      <c r="C79" s="16" t="s">
        <v>3831</v>
      </c>
      <c r="D79" s="16" t="s">
        <v>3832</v>
      </c>
    </row>
    <row r="80">
      <c r="A80" s="639">
        <v>46031.0</v>
      </c>
      <c r="B80" s="16" t="s">
        <v>190</v>
      </c>
      <c r="C80" s="16" t="s">
        <v>3833</v>
      </c>
      <c r="D80" s="16" t="s">
        <v>3834</v>
      </c>
    </row>
    <row r="81">
      <c r="A81" s="234">
        <v>46037.0</v>
      </c>
      <c r="B81" s="16" t="s">
        <v>209</v>
      </c>
      <c r="C81" s="16" t="s">
        <v>3835</v>
      </c>
      <c r="D81" s="16" t="s">
        <v>3836</v>
      </c>
    </row>
    <row r="82">
      <c r="A82" s="639">
        <v>46043.0</v>
      </c>
      <c r="B82" s="16" t="s">
        <v>228</v>
      </c>
      <c r="C82" s="16" t="s">
        <v>3803</v>
      </c>
      <c r="D82" s="16" t="s">
        <v>3834</v>
      </c>
    </row>
    <row r="83">
      <c r="A83" s="234">
        <v>46050.0</v>
      </c>
      <c r="B83" s="16" t="s">
        <v>217</v>
      </c>
      <c r="C83" s="16" t="s">
        <v>3837</v>
      </c>
      <c r="D83" s="16" t="s">
        <v>3838</v>
      </c>
    </row>
    <row r="84">
      <c r="A84" s="641">
        <v>46055.0</v>
      </c>
      <c r="B84" s="16" t="s">
        <v>307</v>
      </c>
      <c r="C84" s="16" t="s">
        <v>3805</v>
      </c>
      <c r="D84" s="16" t="s">
        <v>691</v>
      </c>
    </row>
    <row r="85">
      <c r="A85" s="642">
        <v>46057.0</v>
      </c>
      <c r="B85" s="16" t="s">
        <v>192</v>
      </c>
      <c r="C85" s="16" t="s">
        <v>3805</v>
      </c>
      <c r="D85" s="16" t="s">
        <v>3839</v>
      </c>
    </row>
    <row r="86">
      <c r="A86" s="642">
        <v>46057.0</v>
      </c>
      <c r="B86" s="16" t="s">
        <v>279</v>
      </c>
      <c r="D86" s="16" t="s">
        <v>3840</v>
      </c>
    </row>
    <row r="87">
      <c r="A87" s="639">
        <v>46071.0</v>
      </c>
      <c r="B87" s="16" t="s">
        <v>147</v>
      </c>
      <c r="C87" s="16" t="s">
        <v>3805</v>
      </c>
      <c r="D87" s="16" t="s">
        <v>691</v>
      </c>
    </row>
    <row r="88">
      <c r="A88" s="234">
        <v>46078.0</v>
      </c>
      <c r="B88" s="16" t="s">
        <v>227</v>
      </c>
      <c r="C88" s="16" t="s">
        <v>3805</v>
      </c>
      <c r="D88" s="16" t="s">
        <v>3841</v>
      </c>
    </row>
    <row r="89">
      <c r="A89" s="639">
        <v>46084.0</v>
      </c>
      <c r="B89" s="16" t="s">
        <v>277</v>
      </c>
      <c r="C89" s="16" t="s">
        <v>3805</v>
      </c>
      <c r="D89" s="16" t="s">
        <v>3842</v>
      </c>
    </row>
    <row r="90">
      <c r="A90" s="639">
        <v>46084.0</v>
      </c>
      <c r="B90" s="16" t="s">
        <v>283</v>
      </c>
      <c r="C90" s="16" t="s">
        <v>3805</v>
      </c>
      <c r="D90" s="16" t="s">
        <v>3842</v>
      </c>
    </row>
    <row r="91">
      <c r="A91" s="234">
        <v>46094.0</v>
      </c>
      <c r="B91" s="16" t="s">
        <v>216</v>
      </c>
      <c r="C91" s="16" t="s">
        <v>3843</v>
      </c>
      <c r="D91" s="16" t="s">
        <v>3844</v>
      </c>
    </row>
    <row r="92">
      <c r="A92" s="234">
        <v>46121.0</v>
      </c>
      <c r="B92" s="16" t="s">
        <v>176</v>
      </c>
      <c r="C92" s="16" t="s">
        <v>3803</v>
      </c>
      <c r="D92" s="16" t="s">
        <v>3845</v>
      </c>
    </row>
    <row r="93">
      <c r="A93" s="639">
        <v>46125.0</v>
      </c>
      <c r="B93" s="16" t="s">
        <v>256</v>
      </c>
      <c r="C93" s="16" t="s">
        <v>3803</v>
      </c>
      <c r="D93" s="16" t="s">
        <v>3846</v>
      </c>
    </row>
    <row r="94">
      <c r="A94" s="639">
        <v>46146.0</v>
      </c>
      <c r="B94" s="16" t="s">
        <v>341</v>
      </c>
      <c r="C94" s="16" t="s">
        <v>3805</v>
      </c>
      <c r="D94" s="16" t="s">
        <v>3847</v>
      </c>
    </row>
    <row r="95">
      <c r="A95" s="643">
        <v>46147.0</v>
      </c>
      <c r="B95" s="14" t="s">
        <v>3800</v>
      </c>
      <c r="C95" s="16" t="s">
        <v>3805</v>
      </c>
      <c r="D95" s="16" t="s">
        <v>3848</v>
      </c>
    </row>
    <row r="96">
      <c r="A96" s="639">
        <v>46154.0</v>
      </c>
      <c r="B96" s="16" t="s">
        <v>394</v>
      </c>
      <c r="C96" s="16" t="s">
        <v>3805</v>
      </c>
      <c r="D96" s="16" t="s">
        <v>3848</v>
      </c>
    </row>
    <row r="97">
      <c r="A97" s="234">
        <v>46155.0</v>
      </c>
      <c r="B97" s="16" t="s">
        <v>365</v>
      </c>
      <c r="C97" s="16" t="s">
        <v>3805</v>
      </c>
      <c r="D97" s="16" t="s">
        <v>3848</v>
      </c>
    </row>
    <row r="98">
      <c r="A98" s="639">
        <v>46156.0</v>
      </c>
      <c r="B98" s="16" t="s">
        <v>378</v>
      </c>
      <c r="C98" s="16" t="s">
        <v>3805</v>
      </c>
      <c r="D98" s="16" t="s">
        <v>3849</v>
      </c>
    </row>
    <row r="99">
      <c r="A99" s="234">
        <v>46157.0</v>
      </c>
      <c r="B99" s="16" t="s">
        <v>368</v>
      </c>
      <c r="C99" s="16" t="s">
        <v>3805</v>
      </c>
      <c r="D99" s="16" t="s">
        <v>3849</v>
      </c>
    </row>
    <row r="100">
      <c r="A100" s="644">
        <v>46163.0</v>
      </c>
      <c r="B100" s="16" t="s">
        <v>336</v>
      </c>
      <c r="C100" s="314" t="s">
        <v>3805</v>
      </c>
      <c r="D100" s="16" t="s">
        <v>3850</v>
      </c>
    </row>
    <row r="101">
      <c r="A101" s="642">
        <v>45792.0</v>
      </c>
      <c r="B101" s="16" t="s">
        <v>384</v>
      </c>
      <c r="C101" s="314" t="s">
        <v>3805</v>
      </c>
    </row>
    <row r="102">
      <c r="A102" s="642"/>
      <c r="B102" s="16"/>
    </row>
    <row r="103">
      <c r="A103" s="142"/>
    </row>
    <row r="104">
      <c r="A104" s="142"/>
    </row>
    <row r="105">
      <c r="A105" s="142"/>
    </row>
    <row r="106">
      <c r="A106" s="142"/>
    </row>
    <row r="107">
      <c r="A107" s="142"/>
    </row>
    <row r="108">
      <c r="A108" s="142"/>
    </row>
    <row r="109">
      <c r="A109" s="142"/>
    </row>
    <row r="110">
      <c r="A110" s="142"/>
    </row>
    <row r="111">
      <c r="A111" s="142"/>
    </row>
    <row r="112">
      <c r="A112" s="142"/>
    </row>
    <row r="113">
      <c r="A113" s="142"/>
    </row>
    <row r="114">
      <c r="A114" s="142"/>
    </row>
    <row r="115">
      <c r="A115" s="142"/>
    </row>
    <row r="116">
      <c r="A116" s="142"/>
    </row>
    <row r="117">
      <c r="A117" s="142"/>
    </row>
    <row r="118">
      <c r="A118" s="142"/>
    </row>
    <row r="119">
      <c r="A119" s="142"/>
    </row>
    <row r="120">
      <c r="A120" s="142"/>
    </row>
    <row r="121">
      <c r="A121" s="142"/>
    </row>
    <row r="122">
      <c r="A122" s="142"/>
    </row>
    <row r="123">
      <c r="A123" s="142"/>
    </row>
    <row r="124">
      <c r="A124" s="142"/>
    </row>
    <row r="125">
      <c r="A125" s="142"/>
    </row>
    <row r="126">
      <c r="A126" s="142"/>
    </row>
    <row r="127">
      <c r="A127" s="142"/>
    </row>
    <row r="128">
      <c r="A128" s="142"/>
    </row>
    <row r="129">
      <c r="A129" s="142"/>
    </row>
    <row r="130">
      <c r="A130" s="142"/>
    </row>
    <row r="131">
      <c r="A131" s="142"/>
    </row>
    <row r="132">
      <c r="A132" s="142"/>
    </row>
    <row r="133">
      <c r="A133" s="142"/>
    </row>
    <row r="134">
      <c r="A134" s="142"/>
    </row>
    <row r="135">
      <c r="A135" s="142"/>
    </row>
    <row r="136">
      <c r="A136" s="142"/>
    </row>
    <row r="137">
      <c r="A137" s="142"/>
    </row>
    <row r="138">
      <c r="A138" s="142"/>
    </row>
    <row r="139">
      <c r="A139" s="142"/>
    </row>
    <row r="140">
      <c r="A140" s="142"/>
    </row>
    <row r="141">
      <c r="A141" s="142"/>
    </row>
    <row r="142">
      <c r="A142" s="142"/>
    </row>
    <row r="143">
      <c r="A143" s="142"/>
    </row>
    <row r="144">
      <c r="A144" s="142"/>
    </row>
    <row r="145">
      <c r="A145" s="142"/>
    </row>
    <row r="146">
      <c r="A146" s="142"/>
    </row>
    <row r="147">
      <c r="A147" s="142"/>
    </row>
    <row r="148">
      <c r="A148" s="142"/>
    </row>
    <row r="149">
      <c r="A149" s="142"/>
    </row>
    <row r="150">
      <c r="A150" s="142"/>
    </row>
    <row r="151">
      <c r="A151" s="142"/>
    </row>
    <row r="152">
      <c r="A152" s="142"/>
    </row>
    <row r="153">
      <c r="A153" s="142"/>
    </row>
    <row r="154">
      <c r="A154" s="142"/>
    </row>
    <row r="155">
      <c r="A155" s="142"/>
    </row>
    <row r="156">
      <c r="A156" s="142"/>
    </row>
    <row r="157">
      <c r="A157" s="142"/>
    </row>
    <row r="158">
      <c r="A158" s="142"/>
    </row>
    <row r="159">
      <c r="A159" s="142"/>
    </row>
    <row r="160">
      <c r="A160" s="142"/>
    </row>
    <row r="161">
      <c r="A161" s="142"/>
    </row>
    <row r="162">
      <c r="A162" s="142"/>
    </row>
    <row r="163">
      <c r="A163" s="142"/>
    </row>
    <row r="164">
      <c r="A164" s="142"/>
    </row>
    <row r="165">
      <c r="A165" s="142"/>
    </row>
    <row r="166">
      <c r="A166" s="142"/>
    </row>
    <row r="167">
      <c r="A167" s="142"/>
    </row>
    <row r="168">
      <c r="A168" s="14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2"/>
  <cols>
    <col customWidth="1" min="2" max="2" width="16.0"/>
    <col customWidth="1" min="3" max="3" width="14.63"/>
    <col customWidth="1" min="4" max="4" width="16.25"/>
  </cols>
  <sheetData>
    <row r="1">
      <c r="A1" s="18" t="s">
        <v>3754</v>
      </c>
      <c r="B1" s="18" t="s">
        <v>3755</v>
      </c>
      <c r="C1" s="18" t="s">
        <v>3851</v>
      </c>
      <c r="D1" s="18" t="s">
        <v>3758</v>
      </c>
      <c r="E1" s="18" t="s">
        <v>19</v>
      </c>
    </row>
    <row r="2">
      <c r="A2" s="16" t="s">
        <v>517</v>
      </c>
      <c r="B2" s="645">
        <v>45716.0</v>
      </c>
      <c r="E2" s="16" t="s">
        <v>3852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3" max="3" width="13.75"/>
    <col customWidth="1" min="4" max="4" width="40.25"/>
    <col customWidth="1" min="5" max="5" width="23.25"/>
    <col customWidth="1" min="6" max="6" width="16.0"/>
    <col customWidth="1" min="8" max="8" width="13.88"/>
    <col customWidth="1" min="9" max="9" width="17.0"/>
    <col customWidth="1" min="11" max="11" width="30.0"/>
  </cols>
  <sheetData>
    <row r="1">
      <c r="A1" s="646" t="s">
        <v>3853</v>
      </c>
      <c r="H1" s="647" t="s">
        <v>3854</v>
      </c>
      <c r="J1" s="648"/>
      <c r="K1" s="14"/>
    </row>
    <row r="2">
      <c r="A2" s="649" t="s">
        <v>3855</v>
      </c>
      <c r="B2" s="649" t="s">
        <v>3856</v>
      </c>
      <c r="C2" s="649" t="s">
        <v>3857</v>
      </c>
      <c r="D2" s="650" t="s">
        <v>3858</v>
      </c>
      <c r="E2" s="650" t="s">
        <v>3859</v>
      </c>
      <c r="F2" s="649" t="s">
        <v>3860</v>
      </c>
      <c r="G2" s="651" t="s">
        <v>3861</v>
      </c>
      <c r="H2" s="652" t="s">
        <v>3862</v>
      </c>
      <c r="I2" s="652" t="s">
        <v>3860</v>
      </c>
      <c r="J2" s="652" t="s">
        <v>3861</v>
      </c>
      <c r="K2" s="653" t="s">
        <v>3863</v>
      </c>
    </row>
    <row r="3">
      <c r="A3" s="640" t="s">
        <v>1246</v>
      </c>
      <c r="B3" s="654">
        <v>44987.0</v>
      </c>
      <c r="C3" s="655">
        <v>0.47847222222222224</v>
      </c>
      <c r="D3" s="640" t="s">
        <v>3864</v>
      </c>
      <c r="E3" s="656" t="str">
        <f t="shared" ref="E3:E106" si="1">IFS(D3 = "SBD", "10mL Blood", OR(D3 = "MRI Base", D3 = "MB"), "4 – 10mL Blood &amp; 1 – 10mL Serum",OR(D3 = "MRI Post", D3 = "MP"), "1 – 10mL Blood", D3 = "LP", "10mL Blood &amp; 20cc CSF")</f>
        <v>10mL Blood</v>
      </c>
      <c r="F3" s="646" t="str">
        <f t="shared" ref="F3:F37" si="2">IFS(D3="SBD", "1", OR(D3="MRI BASE", D3="MB"),  "5",OR(D3="MRI POST", D3= "MP"), "2", D3="LP", "2")</f>
        <v>1</v>
      </c>
      <c r="G3" s="640" t="s">
        <v>40</v>
      </c>
      <c r="H3" s="657">
        <v>0.48055555555555557</v>
      </c>
      <c r="I3" s="658">
        <v>1.0</v>
      </c>
      <c r="J3" s="658" t="s">
        <v>3865</v>
      </c>
    </row>
    <row r="4">
      <c r="A4" s="640" t="s">
        <v>49</v>
      </c>
      <c r="B4" s="654">
        <v>44988.0</v>
      </c>
      <c r="C4" s="655">
        <v>0.4270833333333333</v>
      </c>
      <c r="D4" s="640" t="s">
        <v>3864</v>
      </c>
      <c r="E4" s="656" t="str">
        <f t="shared" si="1"/>
        <v>10mL Blood</v>
      </c>
      <c r="F4" s="646" t="str">
        <f t="shared" si="2"/>
        <v>1</v>
      </c>
      <c r="G4" s="640" t="s">
        <v>40</v>
      </c>
      <c r="H4" s="657">
        <v>0.4340277777777778</v>
      </c>
      <c r="I4" s="658">
        <v>1.0</v>
      </c>
      <c r="J4" s="658" t="s">
        <v>3865</v>
      </c>
    </row>
    <row r="5">
      <c r="A5" s="400" t="s">
        <v>27</v>
      </c>
      <c r="B5" s="654">
        <v>44988.0</v>
      </c>
      <c r="C5" s="655">
        <v>0.5034722222222222</v>
      </c>
      <c r="D5" s="400" t="s">
        <v>3864</v>
      </c>
      <c r="E5" s="656" t="str">
        <f t="shared" si="1"/>
        <v>10mL Blood</v>
      </c>
      <c r="F5" s="646" t="str">
        <f t="shared" si="2"/>
        <v>1</v>
      </c>
      <c r="G5" s="400" t="s">
        <v>28</v>
      </c>
      <c r="H5" s="657">
        <v>0.5034722222222222</v>
      </c>
      <c r="I5" s="658">
        <v>1.0</v>
      </c>
      <c r="J5" s="658" t="s">
        <v>3865</v>
      </c>
    </row>
    <row r="6">
      <c r="A6" s="640" t="s">
        <v>22</v>
      </c>
      <c r="B6" s="654">
        <v>44995.0</v>
      </c>
      <c r="C6" s="655">
        <v>0.42569444444444443</v>
      </c>
      <c r="D6" s="640" t="s">
        <v>3864</v>
      </c>
      <c r="E6" s="656" t="str">
        <f t="shared" si="1"/>
        <v>10mL Blood</v>
      </c>
      <c r="F6" s="646" t="str">
        <f t="shared" si="2"/>
        <v>1</v>
      </c>
      <c r="G6" s="640" t="s">
        <v>40</v>
      </c>
      <c r="H6" s="657">
        <v>0.42569444444444443</v>
      </c>
      <c r="I6" s="658">
        <v>1.0</v>
      </c>
      <c r="J6" s="658" t="s">
        <v>3865</v>
      </c>
    </row>
    <row r="7">
      <c r="A7" s="640" t="s">
        <v>10</v>
      </c>
      <c r="B7" s="659">
        <v>45001.0</v>
      </c>
      <c r="C7" s="655">
        <v>0.4791666666666667</v>
      </c>
      <c r="D7" s="640" t="s">
        <v>3864</v>
      </c>
      <c r="E7" s="656" t="str">
        <f t="shared" si="1"/>
        <v>10mL Blood</v>
      </c>
      <c r="F7" s="646" t="str">
        <f t="shared" si="2"/>
        <v>1</v>
      </c>
      <c r="G7" s="640" t="s">
        <v>40</v>
      </c>
      <c r="H7" s="657">
        <v>0.4791666666666667</v>
      </c>
      <c r="I7" s="658">
        <v>1.0</v>
      </c>
      <c r="J7" s="658" t="s">
        <v>3865</v>
      </c>
    </row>
    <row r="8">
      <c r="A8" s="640" t="s">
        <v>1278</v>
      </c>
      <c r="B8" s="659">
        <v>45001.0</v>
      </c>
      <c r="C8" s="655">
        <v>0.5326388888888889</v>
      </c>
      <c r="D8" s="640" t="s">
        <v>3864</v>
      </c>
      <c r="E8" s="656" t="str">
        <f t="shared" si="1"/>
        <v>10mL Blood</v>
      </c>
      <c r="F8" s="646" t="str">
        <f t="shared" si="2"/>
        <v>1</v>
      </c>
      <c r="G8" s="640" t="s">
        <v>40</v>
      </c>
      <c r="H8" s="657">
        <v>0.5416666666666666</v>
      </c>
      <c r="I8" s="658">
        <v>1.0</v>
      </c>
      <c r="J8" s="658" t="s">
        <v>3865</v>
      </c>
    </row>
    <row r="9">
      <c r="A9" s="640" t="s">
        <v>65</v>
      </c>
      <c r="B9" s="659">
        <v>45001.0</v>
      </c>
      <c r="C9" s="655">
        <v>0.6284722222222222</v>
      </c>
      <c r="D9" s="640" t="s">
        <v>3864</v>
      </c>
      <c r="E9" s="656" t="str">
        <f t="shared" si="1"/>
        <v>10mL Blood</v>
      </c>
      <c r="F9" s="646" t="str">
        <f t="shared" si="2"/>
        <v>1</v>
      </c>
      <c r="G9" s="640" t="s">
        <v>40</v>
      </c>
      <c r="H9" s="657">
        <v>0.6284722222222222</v>
      </c>
      <c r="I9" s="658">
        <v>1.0</v>
      </c>
      <c r="J9" s="658" t="s">
        <v>3866</v>
      </c>
    </row>
    <row r="10">
      <c r="A10" s="640" t="s">
        <v>1288</v>
      </c>
      <c r="B10" s="660">
        <v>45002.0</v>
      </c>
      <c r="C10" s="655">
        <v>0.6097222222222223</v>
      </c>
      <c r="D10" s="640" t="s">
        <v>3864</v>
      </c>
      <c r="E10" s="656" t="str">
        <f t="shared" si="1"/>
        <v>10mL Blood</v>
      </c>
      <c r="F10" s="646" t="str">
        <f t="shared" si="2"/>
        <v>1</v>
      </c>
      <c r="G10" s="640" t="s">
        <v>40</v>
      </c>
      <c r="H10" s="657">
        <v>0.63125</v>
      </c>
      <c r="I10" s="658">
        <v>1.0</v>
      </c>
      <c r="J10" s="658" t="s">
        <v>3866</v>
      </c>
    </row>
    <row r="11">
      <c r="A11" s="400" t="s">
        <v>57</v>
      </c>
      <c r="B11" s="659">
        <v>45005.0</v>
      </c>
      <c r="C11" s="655">
        <v>0.37777777777777777</v>
      </c>
      <c r="D11" s="400" t="s">
        <v>3864</v>
      </c>
      <c r="E11" s="656" t="str">
        <f t="shared" si="1"/>
        <v>10mL Blood</v>
      </c>
      <c r="F11" s="646" t="str">
        <f t="shared" si="2"/>
        <v>1</v>
      </c>
      <c r="G11" s="400" t="s">
        <v>1370</v>
      </c>
      <c r="H11" s="657">
        <v>0.4583333333333333</v>
      </c>
      <c r="I11" s="658">
        <v>1.0</v>
      </c>
      <c r="J11" s="658" t="s">
        <v>3866</v>
      </c>
    </row>
    <row r="12">
      <c r="A12" s="400" t="s">
        <v>53</v>
      </c>
      <c r="B12" s="659">
        <v>45005.0</v>
      </c>
      <c r="C12" s="655">
        <v>0.4027777777777778</v>
      </c>
      <c r="D12" s="400" t="s">
        <v>3864</v>
      </c>
      <c r="E12" s="656" t="str">
        <f t="shared" si="1"/>
        <v>10mL Blood</v>
      </c>
      <c r="F12" s="646" t="str">
        <f t="shared" si="2"/>
        <v>1</v>
      </c>
      <c r="G12" s="400" t="s">
        <v>40</v>
      </c>
      <c r="H12" s="657">
        <v>0.4583333333333333</v>
      </c>
      <c r="I12" s="658">
        <v>1.0</v>
      </c>
      <c r="J12" s="658" t="s">
        <v>3866</v>
      </c>
    </row>
    <row r="13">
      <c r="A13" s="640" t="s">
        <v>55</v>
      </c>
      <c r="B13" s="659">
        <v>45007.0</v>
      </c>
      <c r="C13" s="655">
        <v>0.4395833333333333</v>
      </c>
      <c r="D13" s="400" t="s">
        <v>3864</v>
      </c>
      <c r="E13" s="656" t="str">
        <f t="shared" si="1"/>
        <v>10mL Blood</v>
      </c>
      <c r="F13" s="646" t="str">
        <f t="shared" si="2"/>
        <v>1</v>
      </c>
      <c r="G13" s="400" t="s">
        <v>28</v>
      </c>
      <c r="H13" s="657">
        <v>0.4791666666666667</v>
      </c>
      <c r="I13" s="658">
        <v>1.0</v>
      </c>
      <c r="J13" s="658" t="s">
        <v>3865</v>
      </c>
    </row>
    <row r="14">
      <c r="A14" s="640" t="s">
        <v>25</v>
      </c>
      <c r="B14" s="654">
        <v>45008.0</v>
      </c>
      <c r="C14" s="655">
        <v>0.49236111111111114</v>
      </c>
      <c r="D14" s="640" t="s">
        <v>3864</v>
      </c>
      <c r="E14" s="656" t="str">
        <f t="shared" si="1"/>
        <v>10mL Blood</v>
      </c>
      <c r="F14" s="661" t="str">
        <f t="shared" si="2"/>
        <v>1</v>
      </c>
      <c r="G14" s="640" t="s">
        <v>40</v>
      </c>
      <c r="H14" s="657">
        <v>0.5541666666666667</v>
      </c>
      <c r="I14" s="658">
        <v>1.0</v>
      </c>
      <c r="J14" s="662" t="s">
        <v>3866</v>
      </c>
    </row>
    <row r="15">
      <c r="A15" s="640" t="s">
        <v>67</v>
      </c>
      <c r="B15" s="654">
        <v>45009.0</v>
      </c>
      <c r="C15" s="655">
        <v>0.35625</v>
      </c>
      <c r="D15" s="640" t="s">
        <v>3864</v>
      </c>
      <c r="E15" s="656" t="str">
        <f t="shared" si="1"/>
        <v>10mL Blood</v>
      </c>
      <c r="F15" s="661" t="str">
        <f t="shared" si="2"/>
        <v>1</v>
      </c>
      <c r="G15" s="640" t="s">
        <v>40</v>
      </c>
      <c r="H15" s="657">
        <v>0.4409722222222222</v>
      </c>
      <c r="I15" s="658">
        <v>1.0</v>
      </c>
      <c r="J15" s="658" t="s">
        <v>3866</v>
      </c>
    </row>
    <row r="16">
      <c r="A16" s="400" t="s">
        <v>1316</v>
      </c>
      <c r="B16" s="654">
        <v>45012.0</v>
      </c>
      <c r="C16" s="655">
        <v>0.025694444444444443</v>
      </c>
      <c r="D16" s="400" t="s">
        <v>3864</v>
      </c>
      <c r="E16" s="656" t="str">
        <f t="shared" si="1"/>
        <v>10mL Blood</v>
      </c>
      <c r="F16" s="646" t="str">
        <f t="shared" si="2"/>
        <v>1</v>
      </c>
      <c r="G16" s="400" t="s">
        <v>28</v>
      </c>
      <c r="H16" s="657">
        <v>0.5625</v>
      </c>
      <c r="I16" s="658">
        <v>1.0</v>
      </c>
      <c r="J16" s="662" t="s">
        <v>3865</v>
      </c>
    </row>
    <row r="17">
      <c r="A17" s="400" t="s">
        <v>50</v>
      </c>
      <c r="B17" s="654">
        <v>45013.0</v>
      </c>
      <c r="C17" s="655">
        <v>0.4166666666666667</v>
      </c>
      <c r="D17" s="400" t="s">
        <v>3864</v>
      </c>
      <c r="E17" s="656" t="str">
        <f t="shared" si="1"/>
        <v>10mL Blood</v>
      </c>
      <c r="F17" s="646" t="str">
        <f t="shared" si="2"/>
        <v>1</v>
      </c>
      <c r="G17" s="400" t="s">
        <v>40</v>
      </c>
      <c r="H17" s="657">
        <v>0.4583333333333333</v>
      </c>
      <c r="I17" s="658">
        <v>1.0</v>
      </c>
      <c r="J17" s="662" t="s">
        <v>3866</v>
      </c>
    </row>
    <row r="18">
      <c r="A18" s="400" t="s">
        <v>38</v>
      </c>
      <c r="B18" s="654">
        <v>45014.0</v>
      </c>
      <c r="C18" s="655">
        <v>0.4215277777777778</v>
      </c>
      <c r="D18" s="400" t="s">
        <v>3864</v>
      </c>
      <c r="E18" s="656" t="str">
        <f t="shared" si="1"/>
        <v>10mL Blood</v>
      </c>
      <c r="F18" s="646" t="str">
        <f t="shared" si="2"/>
        <v>1</v>
      </c>
      <c r="G18" s="400" t="s">
        <v>28</v>
      </c>
      <c r="H18" s="657">
        <v>0.4444444444444444</v>
      </c>
      <c r="I18" s="658">
        <v>1.0</v>
      </c>
      <c r="J18" s="658" t="s">
        <v>3867</v>
      </c>
    </row>
    <row r="19">
      <c r="A19" s="400" t="s">
        <v>69</v>
      </c>
      <c r="B19" s="654">
        <v>45015.0</v>
      </c>
      <c r="C19" s="655">
        <v>0.46875</v>
      </c>
      <c r="D19" s="400" t="s">
        <v>3864</v>
      </c>
      <c r="E19" s="656" t="str">
        <f t="shared" si="1"/>
        <v>10mL Blood</v>
      </c>
      <c r="F19" s="646" t="str">
        <f t="shared" si="2"/>
        <v>1</v>
      </c>
      <c r="G19" s="400" t="s">
        <v>40</v>
      </c>
      <c r="H19" s="657">
        <v>0.46944444444444444</v>
      </c>
      <c r="I19" s="658">
        <v>1.0</v>
      </c>
      <c r="J19" s="658" t="s">
        <v>3865</v>
      </c>
    </row>
    <row r="20">
      <c r="A20" s="640" t="s">
        <v>34</v>
      </c>
      <c r="B20" s="654">
        <v>45019.0</v>
      </c>
      <c r="C20" s="655">
        <v>0.3854166666666667</v>
      </c>
      <c r="D20" s="640" t="s">
        <v>3864</v>
      </c>
      <c r="E20" s="656" t="str">
        <f t="shared" si="1"/>
        <v>10mL Blood</v>
      </c>
      <c r="F20" s="646" t="str">
        <f t="shared" si="2"/>
        <v>1</v>
      </c>
      <c r="G20" s="640" t="s">
        <v>40</v>
      </c>
      <c r="H20" s="657">
        <v>0.3958333333333333</v>
      </c>
      <c r="I20" s="658">
        <v>1.0</v>
      </c>
      <c r="J20" s="658" t="s">
        <v>3866</v>
      </c>
    </row>
    <row r="21">
      <c r="A21" s="640" t="s">
        <v>62</v>
      </c>
      <c r="B21" s="654">
        <v>45019.0</v>
      </c>
      <c r="C21" s="655">
        <v>0.5326388888888889</v>
      </c>
      <c r="D21" s="640" t="s">
        <v>3864</v>
      </c>
      <c r="E21" s="656" t="str">
        <f t="shared" si="1"/>
        <v>10mL Blood</v>
      </c>
      <c r="F21" s="646" t="str">
        <f t="shared" si="2"/>
        <v>1</v>
      </c>
      <c r="G21" s="640" t="s">
        <v>28</v>
      </c>
      <c r="H21" s="657">
        <v>0.6256944444444444</v>
      </c>
      <c r="I21" s="658">
        <v>1.0</v>
      </c>
      <c r="J21" s="658" t="s">
        <v>3867</v>
      </c>
      <c r="K21" s="142"/>
      <c r="L21" s="142"/>
      <c r="M21" s="142"/>
      <c r="N21" s="142"/>
      <c r="O21" s="142"/>
      <c r="P21" s="142"/>
      <c r="Q21" s="142"/>
      <c r="R21" s="142"/>
      <c r="S21" s="142"/>
      <c r="T21" s="142"/>
      <c r="U21" s="142"/>
      <c r="V21" s="142"/>
      <c r="W21" s="142"/>
      <c r="X21" s="142"/>
      <c r="Y21" s="142"/>
      <c r="Z21" s="142"/>
    </row>
    <row r="22">
      <c r="A22" s="640" t="s">
        <v>43</v>
      </c>
      <c r="B22" s="654">
        <v>45028.0</v>
      </c>
      <c r="C22" s="655">
        <v>0.6388888888888888</v>
      </c>
      <c r="D22" s="640" t="s">
        <v>3864</v>
      </c>
      <c r="E22" s="656" t="str">
        <f t="shared" si="1"/>
        <v>10mL Blood</v>
      </c>
      <c r="F22" s="646" t="str">
        <f t="shared" si="2"/>
        <v>1</v>
      </c>
      <c r="G22" s="640" t="s">
        <v>28</v>
      </c>
      <c r="H22" s="663" t="s">
        <v>3868</v>
      </c>
      <c r="I22" s="658">
        <v>1.0</v>
      </c>
      <c r="J22" s="658" t="s">
        <v>3866</v>
      </c>
    </row>
    <row r="23">
      <c r="A23" s="640" t="s">
        <v>1353</v>
      </c>
      <c r="B23" s="654">
        <v>45035.0</v>
      </c>
      <c r="C23" s="655">
        <v>0.4722222222222222</v>
      </c>
      <c r="D23" s="640" t="s">
        <v>3864</v>
      </c>
      <c r="E23" s="656" t="str">
        <f t="shared" si="1"/>
        <v>10mL Blood</v>
      </c>
      <c r="F23" s="646" t="str">
        <f t="shared" si="2"/>
        <v>1</v>
      </c>
      <c r="G23" s="640" t="s">
        <v>28</v>
      </c>
      <c r="H23" s="657">
        <v>0.5</v>
      </c>
      <c r="I23" s="658">
        <v>1.0</v>
      </c>
      <c r="J23" s="658" t="s">
        <v>3866</v>
      </c>
    </row>
    <row r="24">
      <c r="A24" s="640" t="s">
        <v>82</v>
      </c>
      <c r="B24" s="654">
        <v>45037.0</v>
      </c>
      <c r="C24" s="655">
        <v>0.36666666666666664</v>
      </c>
      <c r="D24" s="640" t="s">
        <v>3864</v>
      </c>
      <c r="E24" s="656" t="str">
        <f t="shared" si="1"/>
        <v>10mL Blood</v>
      </c>
      <c r="F24" s="646" t="str">
        <f t="shared" si="2"/>
        <v>1</v>
      </c>
      <c r="G24" s="640" t="s">
        <v>40</v>
      </c>
      <c r="H24" s="657">
        <v>0.5548611111111111</v>
      </c>
      <c r="I24" s="658">
        <v>1.0</v>
      </c>
      <c r="J24" s="658" t="s">
        <v>3867</v>
      </c>
    </row>
    <row r="25">
      <c r="A25" s="640" t="s">
        <v>1362</v>
      </c>
      <c r="B25" s="654">
        <v>45042.0</v>
      </c>
      <c r="C25" s="655">
        <v>0.3958333333333333</v>
      </c>
      <c r="D25" s="640" t="s">
        <v>3864</v>
      </c>
      <c r="E25" s="656" t="str">
        <f t="shared" si="1"/>
        <v>10mL Blood</v>
      </c>
      <c r="F25" s="646" t="str">
        <f t="shared" si="2"/>
        <v>1</v>
      </c>
      <c r="G25" s="640" t="s">
        <v>28</v>
      </c>
      <c r="H25" s="657">
        <v>0.43333333333333335</v>
      </c>
      <c r="I25" s="658">
        <v>1.0</v>
      </c>
      <c r="J25" s="658" t="s">
        <v>3867</v>
      </c>
    </row>
    <row r="26">
      <c r="A26" s="640" t="s">
        <v>71</v>
      </c>
      <c r="B26" s="666">
        <v>45044.0</v>
      </c>
      <c r="C26" s="655">
        <v>0.46597222222222223</v>
      </c>
      <c r="D26" s="640" t="s">
        <v>3864</v>
      </c>
      <c r="E26" s="656" t="str">
        <f t="shared" si="1"/>
        <v>10mL Blood</v>
      </c>
      <c r="F26" s="661" t="str">
        <f t="shared" si="2"/>
        <v>1</v>
      </c>
      <c r="G26" s="640" t="s">
        <v>28</v>
      </c>
      <c r="H26" s="657">
        <v>0.4826388888888889</v>
      </c>
      <c r="I26" s="658">
        <v>1.0</v>
      </c>
      <c r="J26" s="658" t="s">
        <v>3865</v>
      </c>
    </row>
    <row r="27">
      <c r="A27" s="640" t="s">
        <v>33</v>
      </c>
      <c r="B27" s="654">
        <v>45050.0</v>
      </c>
      <c r="C27" s="655">
        <v>0.4597222222222222</v>
      </c>
      <c r="D27" s="640" t="s">
        <v>3864</v>
      </c>
      <c r="E27" s="656" t="str">
        <f t="shared" si="1"/>
        <v>10mL Blood</v>
      </c>
      <c r="F27" s="661" t="str">
        <f t="shared" si="2"/>
        <v>1</v>
      </c>
      <c r="G27" s="640" t="s">
        <v>40</v>
      </c>
      <c r="H27" s="657">
        <v>0.4965277777777778</v>
      </c>
      <c r="I27" s="658">
        <v>1.0</v>
      </c>
      <c r="J27" s="658" t="s">
        <v>3865</v>
      </c>
    </row>
    <row r="28">
      <c r="A28" s="400" t="s">
        <v>46</v>
      </c>
      <c r="B28" s="654">
        <v>45050.0</v>
      </c>
      <c r="C28" s="655">
        <v>0.4013888888888889</v>
      </c>
      <c r="D28" s="400" t="s">
        <v>3864</v>
      </c>
      <c r="E28" s="656" t="str">
        <f t="shared" si="1"/>
        <v>10mL Blood</v>
      </c>
      <c r="F28" s="646" t="str">
        <f t="shared" si="2"/>
        <v>1</v>
      </c>
      <c r="G28" s="400" t="s">
        <v>28</v>
      </c>
      <c r="H28" s="657">
        <v>0.4965277777777778</v>
      </c>
      <c r="I28" s="658">
        <v>1.0</v>
      </c>
      <c r="J28" s="658" t="s">
        <v>3865</v>
      </c>
    </row>
    <row r="29">
      <c r="A29" s="640" t="s">
        <v>59</v>
      </c>
      <c r="B29" s="654">
        <v>45054.0</v>
      </c>
      <c r="C29" s="655">
        <v>0.38055555555555554</v>
      </c>
      <c r="D29" s="640" t="s">
        <v>3864</v>
      </c>
      <c r="E29" s="656" t="str">
        <f t="shared" si="1"/>
        <v>10mL Blood</v>
      </c>
      <c r="F29" s="661" t="str">
        <f t="shared" si="2"/>
        <v>1</v>
      </c>
      <c r="G29" s="640" t="s">
        <v>28</v>
      </c>
      <c r="H29" s="663" t="s">
        <v>3877</v>
      </c>
      <c r="I29" s="658">
        <v>1.0</v>
      </c>
      <c r="J29" s="658" t="s">
        <v>3867</v>
      </c>
    </row>
    <row r="30">
      <c r="A30" s="640" t="s">
        <v>58</v>
      </c>
      <c r="B30" s="654">
        <v>45056.0</v>
      </c>
      <c r="C30" s="655">
        <v>0.37916666666666665</v>
      </c>
      <c r="D30" s="640" t="s">
        <v>3864</v>
      </c>
      <c r="E30" s="656" t="str">
        <f t="shared" si="1"/>
        <v>10mL Blood</v>
      </c>
      <c r="F30" s="661" t="str">
        <f t="shared" si="2"/>
        <v>1</v>
      </c>
      <c r="G30" s="640" t="s">
        <v>28</v>
      </c>
      <c r="H30" s="657">
        <v>0.3958333333333333</v>
      </c>
      <c r="I30" s="658">
        <v>1.0</v>
      </c>
      <c r="J30" s="658" t="s">
        <v>3867</v>
      </c>
    </row>
    <row r="31">
      <c r="A31" s="640" t="s">
        <v>41</v>
      </c>
      <c r="B31" s="654">
        <v>45056.0</v>
      </c>
      <c r="C31" s="655">
        <v>0.4673611111111111</v>
      </c>
      <c r="D31" s="640" t="s">
        <v>3864</v>
      </c>
      <c r="E31" s="656" t="str">
        <f t="shared" si="1"/>
        <v>10mL Blood</v>
      </c>
      <c r="F31" s="661" t="str">
        <f t="shared" si="2"/>
        <v>1</v>
      </c>
      <c r="G31" s="640" t="s">
        <v>28</v>
      </c>
      <c r="H31" s="657">
        <v>0.4791666666666667</v>
      </c>
      <c r="I31" s="658">
        <v>1.0</v>
      </c>
      <c r="J31" s="658" t="s">
        <v>3867</v>
      </c>
    </row>
    <row r="32">
      <c r="A32" s="640" t="s">
        <v>75</v>
      </c>
      <c r="B32" s="654">
        <v>45069.0</v>
      </c>
      <c r="C32" s="655">
        <v>0.6388888888888888</v>
      </c>
      <c r="D32" s="640" t="s">
        <v>3864</v>
      </c>
      <c r="E32" s="656" t="str">
        <f t="shared" si="1"/>
        <v>10mL Blood</v>
      </c>
      <c r="F32" s="661" t="str">
        <f t="shared" si="2"/>
        <v>1</v>
      </c>
      <c r="G32" s="640" t="s">
        <v>40</v>
      </c>
      <c r="H32" s="657">
        <v>0.6694444444444444</v>
      </c>
      <c r="I32" s="658">
        <v>1.0</v>
      </c>
      <c r="J32" s="658" t="s">
        <v>3866</v>
      </c>
    </row>
    <row r="33">
      <c r="A33" s="640" t="s">
        <v>88</v>
      </c>
      <c r="B33" s="654">
        <v>45079.0</v>
      </c>
      <c r="C33" s="655">
        <v>0.5131944444444444</v>
      </c>
      <c r="D33" s="640" t="s">
        <v>3864</v>
      </c>
      <c r="E33" s="656" t="str">
        <f t="shared" si="1"/>
        <v>10mL Blood</v>
      </c>
      <c r="F33" s="661" t="str">
        <f t="shared" si="2"/>
        <v>1</v>
      </c>
      <c r="G33" s="640" t="s">
        <v>28</v>
      </c>
      <c r="H33" s="657">
        <v>0.5243055555555556</v>
      </c>
      <c r="I33" s="658">
        <v>1.0</v>
      </c>
      <c r="J33" s="658" t="s">
        <v>3865</v>
      </c>
    </row>
    <row r="34">
      <c r="A34" s="640" t="s">
        <v>91</v>
      </c>
      <c r="B34" s="654">
        <v>45079.0</v>
      </c>
      <c r="C34" s="655">
        <v>0.5131944444444444</v>
      </c>
      <c r="D34" s="640" t="s">
        <v>3864</v>
      </c>
      <c r="E34" s="656" t="str">
        <f t="shared" si="1"/>
        <v>10mL Blood</v>
      </c>
      <c r="F34" s="661" t="str">
        <f t="shared" si="2"/>
        <v>1</v>
      </c>
      <c r="G34" s="640" t="s">
        <v>28</v>
      </c>
      <c r="H34" s="657">
        <v>0.5243055555555556</v>
      </c>
      <c r="I34" s="658">
        <v>1.0</v>
      </c>
      <c r="J34" s="658" t="s">
        <v>3865</v>
      </c>
    </row>
    <row r="35">
      <c r="A35" s="640" t="s">
        <v>66</v>
      </c>
      <c r="B35" s="654">
        <v>45079.0</v>
      </c>
      <c r="C35" s="655">
        <v>0.5611111111111111</v>
      </c>
      <c r="D35" s="640" t="s">
        <v>3864</v>
      </c>
      <c r="E35" s="656" t="str">
        <f t="shared" si="1"/>
        <v>10mL Blood</v>
      </c>
      <c r="F35" s="661" t="str">
        <f t="shared" si="2"/>
        <v>1</v>
      </c>
      <c r="G35" s="640" t="s">
        <v>40</v>
      </c>
      <c r="H35" s="657">
        <v>0.6076388888888888</v>
      </c>
      <c r="I35" s="658">
        <v>1.0</v>
      </c>
      <c r="J35" s="658" t="s">
        <v>3866</v>
      </c>
    </row>
    <row r="36">
      <c r="A36" s="640" t="s">
        <v>1430</v>
      </c>
      <c r="B36" s="654">
        <v>45084.0</v>
      </c>
      <c r="C36" s="655">
        <v>0.6611111111111111</v>
      </c>
      <c r="D36" s="640" t="s">
        <v>3864</v>
      </c>
      <c r="E36" s="656" t="str">
        <f t="shared" si="1"/>
        <v>10mL Blood</v>
      </c>
      <c r="F36" s="661" t="str">
        <f t="shared" si="2"/>
        <v>1</v>
      </c>
      <c r="G36" s="640" t="s">
        <v>40</v>
      </c>
      <c r="H36" s="657">
        <v>0.6666666666666666</v>
      </c>
      <c r="I36" s="658">
        <v>1.0</v>
      </c>
      <c r="J36" s="658" t="s">
        <v>3866</v>
      </c>
    </row>
    <row r="37">
      <c r="A37" s="640" t="s">
        <v>10</v>
      </c>
      <c r="B37" s="654">
        <v>45085.0</v>
      </c>
      <c r="C37" s="655">
        <v>0.3472222222222222</v>
      </c>
      <c r="D37" s="640" t="s">
        <v>3866</v>
      </c>
      <c r="E37" s="677" t="str">
        <f t="shared" si="1"/>
        <v>4 – 10mL Blood &amp; 1 – 10mL Serum</v>
      </c>
      <c r="F37" s="661" t="str">
        <f t="shared" si="2"/>
        <v>5</v>
      </c>
      <c r="G37" s="640" t="s">
        <v>40</v>
      </c>
      <c r="H37" s="657">
        <v>0.46597222222222223</v>
      </c>
      <c r="I37" s="658">
        <v>5.0</v>
      </c>
      <c r="J37" s="658" t="s">
        <v>3866</v>
      </c>
      <c r="K37" s="142"/>
      <c r="L37" s="142"/>
      <c r="M37" s="142"/>
      <c r="N37" s="142"/>
      <c r="O37" s="142"/>
      <c r="P37" s="142"/>
      <c r="Q37" s="142"/>
      <c r="R37" s="142"/>
      <c r="S37" s="142"/>
      <c r="T37" s="142"/>
      <c r="U37" s="142"/>
      <c r="V37" s="142"/>
      <c r="W37" s="142"/>
      <c r="X37" s="142"/>
      <c r="Y37" s="142"/>
      <c r="Z37" s="142"/>
    </row>
    <row r="38">
      <c r="A38" s="640" t="s">
        <v>10</v>
      </c>
      <c r="B38" s="654">
        <v>45085.0</v>
      </c>
      <c r="C38" s="655">
        <v>0.5111111111111111</v>
      </c>
      <c r="D38" s="640" t="s">
        <v>3879</v>
      </c>
      <c r="E38" s="677" t="str">
        <f t="shared" si="1"/>
        <v>1 – 10mL Blood</v>
      </c>
      <c r="F38" s="661" t="str">
        <f t="shared" ref="F38:F91" si="3">IFS(D38="SBD", "1", OR(D38="MRI BASE", D38="MB"),  "5",OR(D38="MRI POST", D38= "MP"), "1", D38="LP", "2")</f>
        <v>1</v>
      </c>
      <c r="G38" s="640" t="s">
        <v>40</v>
      </c>
      <c r="H38" s="657">
        <v>0.625</v>
      </c>
      <c r="I38" s="658">
        <v>1.0</v>
      </c>
      <c r="J38" s="658" t="s">
        <v>3867</v>
      </c>
      <c r="K38" s="142"/>
      <c r="L38" s="142"/>
      <c r="M38" s="142"/>
      <c r="N38" s="142"/>
      <c r="O38" s="142"/>
      <c r="P38" s="142"/>
      <c r="Q38" s="142"/>
      <c r="R38" s="142"/>
      <c r="S38" s="142"/>
      <c r="T38" s="142"/>
      <c r="U38" s="142"/>
      <c r="V38" s="142"/>
      <c r="W38" s="142"/>
      <c r="X38" s="142"/>
      <c r="Y38" s="142"/>
      <c r="Z38" s="142"/>
    </row>
    <row r="39">
      <c r="A39" s="640" t="s">
        <v>22</v>
      </c>
      <c r="B39" s="654">
        <v>45089.0</v>
      </c>
      <c r="C39" s="655">
        <v>0.34791666666666665</v>
      </c>
      <c r="D39" s="400" t="s">
        <v>3866</v>
      </c>
      <c r="E39" s="656" t="str">
        <f t="shared" si="1"/>
        <v>4 – 10mL Blood &amp; 1 – 10mL Serum</v>
      </c>
      <c r="F39" s="661" t="str">
        <f t="shared" si="3"/>
        <v>5</v>
      </c>
      <c r="G39" s="400" t="s">
        <v>40</v>
      </c>
      <c r="H39" s="657">
        <v>0.43125</v>
      </c>
      <c r="I39" s="658">
        <v>1.0</v>
      </c>
      <c r="J39" s="658" t="s">
        <v>3867</v>
      </c>
    </row>
    <row r="40">
      <c r="A40" s="400" t="s">
        <v>22</v>
      </c>
      <c r="B40" s="654">
        <v>45089.0</v>
      </c>
      <c r="C40" s="655">
        <v>0.5152777777777777</v>
      </c>
      <c r="D40" s="400" t="s">
        <v>3879</v>
      </c>
      <c r="E40" s="656" t="str">
        <f t="shared" si="1"/>
        <v>1 – 10mL Blood</v>
      </c>
      <c r="F40" s="661" t="str">
        <f t="shared" si="3"/>
        <v>1</v>
      </c>
      <c r="G40" s="400" t="s">
        <v>28</v>
      </c>
      <c r="H40" s="657">
        <v>0.625</v>
      </c>
      <c r="I40" s="658">
        <v>1.0</v>
      </c>
      <c r="J40" s="658" t="s">
        <v>3866</v>
      </c>
    </row>
    <row r="41">
      <c r="A41" s="640" t="s">
        <v>51</v>
      </c>
      <c r="B41" s="654">
        <v>45096.0</v>
      </c>
      <c r="C41" s="655">
        <v>0.4076388888888889</v>
      </c>
      <c r="D41" s="640" t="s">
        <v>3864</v>
      </c>
      <c r="E41" s="677" t="str">
        <f t="shared" si="1"/>
        <v>10mL Blood</v>
      </c>
      <c r="F41" s="661" t="str">
        <f t="shared" si="3"/>
        <v>1</v>
      </c>
      <c r="G41" s="640" t="s">
        <v>28</v>
      </c>
      <c r="H41" s="657">
        <v>0.4756944444444444</v>
      </c>
      <c r="I41" s="658">
        <v>1.0</v>
      </c>
      <c r="J41" s="658" t="s">
        <v>3867</v>
      </c>
    </row>
    <row r="42">
      <c r="A42" s="640" t="s">
        <v>70</v>
      </c>
      <c r="B42" s="654">
        <v>45097.0</v>
      </c>
      <c r="C42" s="655">
        <v>0.38819444444444445</v>
      </c>
      <c r="D42" s="640" t="s">
        <v>3864</v>
      </c>
      <c r="E42" s="656" t="str">
        <f t="shared" si="1"/>
        <v>10mL Blood</v>
      </c>
      <c r="F42" s="661" t="str">
        <f t="shared" si="3"/>
        <v>1</v>
      </c>
      <c r="G42" s="400" t="s">
        <v>40</v>
      </c>
      <c r="H42" s="657">
        <v>0.6506944444444445</v>
      </c>
      <c r="I42" s="658">
        <v>1.0</v>
      </c>
      <c r="J42" s="658" t="s">
        <v>3867</v>
      </c>
    </row>
    <row r="43">
      <c r="A43" s="640" t="s">
        <v>93</v>
      </c>
      <c r="B43" s="654">
        <v>45097.0</v>
      </c>
      <c r="C43" s="655">
        <v>0.44027777777777777</v>
      </c>
      <c r="D43" s="640" t="s">
        <v>3864</v>
      </c>
      <c r="E43" s="656" t="str">
        <f t="shared" si="1"/>
        <v>10mL Blood</v>
      </c>
      <c r="F43" s="661" t="str">
        <f t="shared" si="3"/>
        <v>1</v>
      </c>
      <c r="G43" s="400" t="s">
        <v>28</v>
      </c>
      <c r="H43" s="657">
        <v>0.6506944444444445</v>
      </c>
      <c r="I43" s="658">
        <v>1.0</v>
      </c>
      <c r="J43" s="658" t="s">
        <v>3867</v>
      </c>
    </row>
    <row r="44">
      <c r="A44" s="640" t="s">
        <v>78</v>
      </c>
      <c r="B44" s="654">
        <v>45103.0</v>
      </c>
      <c r="C44" s="655">
        <v>0.46319444444444446</v>
      </c>
      <c r="D44" s="640" t="s">
        <v>3864</v>
      </c>
      <c r="E44" s="677" t="str">
        <f t="shared" si="1"/>
        <v>10mL Blood</v>
      </c>
      <c r="F44" s="661" t="str">
        <f t="shared" si="3"/>
        <v>1</v>
      </c>
      <c r="G44" s="640" t="s">
        <v>40</v>
      </c>
      <c r="H44" s="657">
        <v>0.49027777777777776</v>
      </c>
      <c r="I44" s="658">
        <v>1.0</v>
      </c>
      <c r="J44" s="658" t="s">
        <v>3866</v>
      </c>
    </row>
    <row r="45">
      <c r="A45" s="640" t="s">
        <v>85</v>
      </c>
      <c r="B45" s="654">
        <v>45106.0</v>
      </c>
      <c r="C45" s="655">
        <v>0.50625</v>
      </c>
      <c r="D45" s="640" t="s">
        <v>3864</v>
      </c>
      <c r="E45" s="677" t="str">
        <f t="shared" si="1"/>
        <v>10mL Blood</v>
      </c>
      <c r="F45" s="661" t="str">
        <f t="shared" si="3"/>
        <v>1</v>
      </c>
      <c r="G45" s="640" t="s">
        <v>28</v>
      </c>
      <c r="H45" s="657">
        <v>0.59375</v>
      </c>
      <c r="I45" s="658">
        <v>1.0</v>
      </c>
      <c r="J45" s="658" t="s">
        <v>3867</v>
      </c>
    </row>
    <row r="46">
      <c r="A46" s="640" t="s">
        <v>25</v>
      </c>
      <c r="B46" s="654">
        <v>45114.0</v>
      </c>
      <c r="C46" s="655">
        <v>0.34652777777777777</v>
      </c>
      <c r="D46" s="640" t="s">
        <v>3866</v>
      </c>
      <c r="E46" s="656" t="str">
        <f t="shared" si="1"/>
        <v>4 – 10mL Blood &amp; 1 – 10mL Serum</v>
      </c>
      <c r="F46" s="661" t="str">
        <f t="shared" si="3"/>
        <v>5</v>
      </c>
      <c r="G46" s="400" t="s">
        <v>40</v>
      </c>
      <c r="H46" s="657">
        <v>0.3861111111111111</v>
      </c>
      <c r="I46" s="658">
        <v>5.0</v>
      </c>
      <c r="J46" s="658" t="s">
        <v>3865</v>
      </c>
    </row>
    <row r="47">
      <c r="A47" s="640" t="s">
        <v>25</v>
      </c>
      <c r="B47" s="654">
        <v>45114.0</v>
      </c>
      <c r="C47" s="655">
        <v>0.5020833333333333</v>
      </c>
      <c r="D47" s="640" t="s">
        <v>3879</v>
      </c>
      <c r="E47" s="677" t="str">
        <f t="shared" si="1"/>
        <v>1 – 10mL Blood</v>
      </c>
      <c r="F47" s="661" t="str">
        <f t="shared" si="3"/>
        <v>1</v>
      </c>
      <c r="G47" s="640" t="s">
        <v>2943</v>
      </c>
      <c r="H47" s="657">
        <v>0.5173611111111112</v>
      </c>
      <c r="I47" s="658">
        <v>1.0</v>
      </c>
      <c r="J47" s="658" t="s">
        <v>3865</v>
      </c>
    </row>
    <row r="48">
      <c r="A48" s="640" t="s">
        <v>1526</v>
      </c>
      <c r="B48" s="654">
        <v>45117.0</v>
      </c>
      <c r="C48" s="655">
        <v>0.4930555555555556</v>
      </c>
      <c r="D48" s="640" t="s">
        <v>3864</v>
      </c>
      <c r="E48" s="677" t="str">
        <f t="shared" si="1"/>
        <v>10mL Blood</v>
      </c>
      <c r="F48" s="661" t="str">
        <f t="shared" si="3"/>
        <v>1</v>
      </c>
      <c r="G48" s="640" t="s">
        <v>40</v>
      </c>
      <c r="H48" s="657">
        <v>0.5597222222222222</v>
      </c>
      <c r="I48" s="658">
        <v>1.0</v>
      </c>
      <c r="J48" s="658" t="s">
        <v>3865</v>
      </c>
    </row>
    <row r="49">
      <c r="A49" s="640" t="s">
        <v>126</v>
      </c>
      <c r="B49" s="654">
        <v>45117.0</v>
      </c>
      <c r="C49" s="655">
        <v>0.6763888888888889</v>
      </c>
      <c r="D49" s="640" t="s">
        <v>3864</v>
      </c>
      <c r="E49" s="656" t="str">
        <f t="shared" si="1"/>
        <v>10mL Blood</v>
      </c>
      <c r="F49" s="661" t="str">
        <f t="shared" si="3"/>
        <v>1</v>
      </c>
      <c r="G49" s="400" t="s">
        <v>40</v>
      </c>
      <c r="H49" s="657">
        <v>0.6854166666666667</v>
      </c>
      <c r="I49" s="658">
        <v>1.0</v>
      </c>
      <c r="J49" s="658" t="s">
        <v>3865</v>
      </c>
    </row>
    <row r="50">
      <c r="A50" s="640" t="s">
        <v>32</v>
      </c>
      <c r="B50" s="654">
        <v>45118.0</v>
      </c>
      <c r="C50" s="679">
        <v>0.42291666666666666</v>
      </c>
      <c r="D50" s="640" t="s">
        <v>3864</v>
      </c>
      <c r="E50" s="677" t="str">
        <f t="shared" si="1"/>
        <v>10mL Blood</v>
      </c>
      <c r="F50" s="661" t="str">
        <f t="shared" si="3"/>
        <v>1</v>
      </c>
      <c r="G50" s="640" t="s">
        <v>40</v>
      </c>
      <c r="H50" s="657">
        <v>0.4375</v>
      </c>
      <c r="I50" s="658">
        <v>1.0</v>
      </c>
      <c r="J50" s="658" t="s">
        <v>3865</v>
      </c>
    </row>
    <row r="51">
      <c r="A51" s="640" t="s">
        <v>32</v>
      </c>
      <c r="B51" s="654">
        <v>45119.0</v>
      </c>
      <c r="C51" s="655">
        <v>0.34097222222222223</v>
      </c>
      <c r="D51" s="640" t="s">
        <v>3866</v>
      </c>
      <c r="E51" s="677" t="str">
        <f t="shared" si="1"/>
        <v>4 – 10mL Blood &amp; 1 – 10mL Serum</v>
      </c>
      <c r="F51" s="661" t="str">
        <f t="shared" si="3"/>
        <v>5</v>
      </c>
      <c r="G51" s="640" t="s">
        <v>28</v>
      </c>
      <c r="H51" s="657">
        <v>0.3472222222222222</v>
      </c>
      <c r="I51" s="658">
        <v>5.0</v>
      </c>
      <c r="J51" s="658" t="s">
        <v>3865</v>
      </c>
    </row>
    <row r="52">
      <c r="A52" s="640" t="s">
        <v>32</v>
      </c>
      <c r="B52" s="654">
        <v>45119.0</v>
      </c>
      <c r="C52" s="655">
        <v>0.46875</v>
      </c>
      <c r="D52" s="640" t="s">
        <v>3879</v>
      </c>
      <c r="E52" s="677" t="str">
        <f t="shared" si="1"/>
        <v>1 – 10mL Blood</v>
      </c>
      <c r="F52" s="661" t="str">
        <f t="shared" si="3"/>
        <v>1</v>
      </c>
      <c r="G52" s="640" t="s">
        <v>28</v>
      </c>
      <c r="H52" s="657">
        <v>0.5</v>
      </c>
      <c r="I52" s="658">
        <v>1.0</v>
      </c>
      <c r="J52" s="658" t="s">
        <v>3865</v>
      </c>
    </row>
    <row r="53">
      <c r="A53" s="640" t="s">
        <v>43</v>
      </c>
      <c r="B53" s="654">
        <v>45121.0</v>
      </c>
      <c r="C53" s="655">
        <v>0.35694444444444445</v>
      </c>
      <c r="D53" s="640" t="s">
        <v>3881</v>
      </c>
      <c r="E53" s="677" t="str">
        <f t="shared" si="1"/>
        <v>10mL Blood &amp; 20cc CSF</v>
      </c>
      <c r="F53" s="661" t="str">
        <f t="shared" si="3"/>
        <v>2</v>
      </c>
      <c r="G53" s="640" t="s">
        <v>28</v>
      </c>
      <c r="H53" s="657">
        <v>0.4618055555555556</v>
      </c>
      <c r="I53" s="658">
        <v>1.0</v>
      </c>
      <c r="J53" s="662" t="s">
        <v>3865</v>
      </c>
    </row>
    <row r="54">
      <c r="A54" s="640" t="s">
        <v>82</v>
      </c>
      <c r="B54" s="654">
        <v>45121.0</v>
      </c>
      <c r="C54" s="679">
        <v>0.3861111111111111</v>
      </c>
      <c r="D54" s="640" t="s">
        <v>3881</v>
      </c>
      <c r="E54" s="677" t="str">
        <f t="shared" si="1"/>
        <v>10mL Blood &amp; 20cc CSF</v>
      </c>
      <c r="F54" s="661" t="str">
        <f t="shared" si="3"/>
        <v>2</v>
      </c>
      <c r="G54" s="640" t="s">
        <v>40</v>
      </c>
      <c r="H54" s="657">
        <v>0.4618055555555556</v>
      </c>
      <c r="I54" s="658">
        <v>1.0</v>
      </c>
      <c r="J54" s="658" t="s">
        <v>3865</v>
      </c>
    </row>
    <row r="55">
      <c r="A55" s="640" t="s">
        <v>74</v>
      </c>
      <c r="B55" s="654">
        <v>45121.0</v>
      </c>
      <c r="C55" s="655">
        <v>0.4666666666666667</v>
      </c>
      <c r="D55" s="640" t="s">
        <v>3864</v>
      </c>
      <c r="E55" s="677" t="str">
        <f t="shared" si="1"/>
        <v>10mL Blood</v>
      </c>
      <c r="F55" s="661" t="str">
        <f t="shared" si="3"/>
        <v>1</v>
      </c>
      <c r="G55" s="640" t="s">
        <v>28</v>
      </c>
      <c r="H55" s="680"/>
      <c r="I55" s="658"/>
      <c r="J55" s="658"/>
    </row>
    <row r="56">
      <c r="A56" s="640" t="s">
        <v>34</v>
      </c>
      <c r="B56" s="654">
        <v>45124.0</v>
      </c>
      <c r="C56" s="655">
        <v>0.34652777777777777</v>
      </c>
      <c r="D56" s="640" t="s">
        <v>3866</v>
      </c>
      <c r="E56" s="677" t="str">
        <f t="shared" si="1"/>
        <v>4 – 10mL Blood &amp; 1 – 10mL Serum</v>
      </c>
      <c r="F56" s="661" t="str">
        <f t="shared" si="3"/>
        <v>5</v>
      </c>
      <c r="G56" s="640" t="s">
        <v>40</v>
      </c>
      <c r="H56" s="680"/>
      <c r="I56" s="658">
        <v>5.0</v>
      </c>
      <c r="J56" s="658" t="s">
        <v>3865</v>
      </c>
    </row>
    <row r="57">
      <c r="A57" s="640" t="s">
        <v>38</v>
      </c>
      <c r="B57" s="654">
        <v>45124.0</v>
      </c>
      <c r="C57" s="655">
        <v>0.41875</v>
      </c>
      <c r="D57" s="640" t="s">
        <v>3866</v>
      </c>
      <c r="E57" s="677" t="str">
        <f t="shared" si="1"/>
        <v>4 – 10mL Blood &amp; 1 – 10mL Serum</v>
      </c>
      <c r="F57" s="661" t="str">
        <f t="shared" si="3"/>
        <v>5</v>
      </c>
      <c r="G57" s="640" t="s">
        <v>28</v>
      </c>
      <c r="H57" s="657">
        <v>0.4236111111111111</v>
      </c>
      <c r="I57" s="658">
        <v>5.0</v>
      </c>
      <c r="J57" s="658" t="s">
        <v>3865</v>
      </c>
    </row>
    <row r="58">
      <c r="A58" s="640" t="s">
        <v>34</v>
      </c>
      <c r="B58" s="654">
        <v>45124.0</v>
      </c>
      <c r="C58" s="655">
        <v>0.4638888888888889</v>
      </c>
      <c r="D58" s="640" t="s">
        <v>3879</v>
      </c>
      <c r="E58" s="677" t="str">
        <f t="shared" si="1"/>
        <v>1 – 10mL Blood</v>
      </c>
      <c r="F58" s="661" t="str">
        <f t="shared" si="3"/>
        <v>1</v>
      </c>
      <c r="G58" s="640" t="s">
        <v>40</v>
      </c>
      <c r="H58" s="657">
        <v>0.5201388888888889</v>
      </c>
      <c r="I58" s="658">
        <v>1.0</v>
      </c>
      <c r="J58" s="658" t="s">
        <v>3865</v>
      </c>
    </row>
    <row r="59">
      <c r="A59" s="640" t="s">
        <v>38</v>
      </c>
      <c r="B59" s="654">
        <v>45124.0</v>
      </c>
      <c r="C59" s="655">
        <v>0.5395833333333333</v>
      </c>
      <c r="D59" s="640" t="s">
        <v>3879</v>
      </c>
      <c r="E59" s="677" t="str">
        <f t="shared" si="1"/>
        <v>1 – 10mL Blood</v>
      </c>
      <c r="F59" s="661" t="str">
        <f t="shared" si="3"/>
        <v>1</v>
      </c>
      <c r="G59" s="640" t="s">
        <v>28</v>
      </c>
      <c r="H59" s="657">
        <v>0.5430555555555555</v>
      </c>
      <c r="I59" s="658">
        <v>1.0</v>
      </c>
      <c r="J59" s="658" t="s">
        <v>3865</v>
      </c>
    </row>
    <row r="60">
      <c r="A60" s="640" t="s">
        <v>41</v>
      </c>
      <c r="B60" s="654">
        <v>45125.0</v>
      </c>
      <c r="C60" s="655">
        <v>0.34444444444444444</v>
      </c>
      <c r="D60" s="640" t="s">
        <v>3866</v>
      </c>
      <c r="E60" s="677" t="str">
        <f t="shared" si="1"/>
        <v>4 – 10mL Blood &amp; 1 – 10mL Serum</v>
      </c>
      <c r="F60" s="661" t="str">
        <f t="shared" si="3"/>
        <v>5</v>
      </c>
      <c r="G60" s="640" t="s">
        <v>28</v>
      </c>
      <c r="H60" s="657">
        <v>0.375</v>
      </c>
      <c r="I60" s="658">
        <v>5.0</v>
      </c>
      <c r="J60" s="658" t="s">
        <v>3865</v>
      </c>
    </row>
    <row r="61">
      <c r="A61" s="640" t="s">
        <v>41</v>
      </c>
      <c r="B61" s="654">
        <v>45125.0</v>
      </c>
      <c r="C61" s="655">
        <v>0.4930555555555556</v>
      </c>
      <c r="D61" s="640" t="s">
        <v>3879</v>
      </c>
      <c r="E61" s="677" t="str">
        <f t="shared" si="1"/>
        <v>1 – 10mL Blood</v>
      </c>
      <c r="F61" s="661" t="str">
        <f t="shared" si="3"/>
        <v>1</v>
      </c>
      <c r="G61" s="640" t="s">
        <v>28</v>
      </c>
      <c r="H61" s="657">
        <v>0.5291666666666667</v>
      </c>
      <c r="I61" s="658">
        <v>1.0</v>
      </c>
      <c r="J61" s="658" t="s">
        <v>3865</v>
      </c>
    </row>
    <row r="62">
      <c r="A62" s="640" t="s">
        <v>43</v>
      </c>
      <c r="B62" s="654">
        <v>45126.0</v>
      </c>
      <c r="C62" s="655">
        <v>0.3576388888888889</v>
      </c>
      <c r="D62" s="640" t="s">
        <v>3866</v>
      </c>
      <c r="E62" s="677" t="str">
        <f t="shared" si="1"/>
        <v>4 – 10mL Blood &amp; 1 – 10mL Serum</v>
      </c>
      <c r="F62" s="661" t="str">
        <f t="shared" si="3"/>
        <v>5</v>
      </c>
      <c r="G62" s="640" t="s">
        <v>28</v>
      </c>
      <c r="H62" s="657">
        <v>0.3715277777777778</v>
      </c>
      <c r="I62" s="658">
        <v>5.0</v>
      </c>
      <c r="J62" s="658" t="s">
        <v>3865</v>
      </c>
    </row>
    <row r="63">
      <c r="A63" s="640" t="s">
        <v>43</v>
      </c>
      <c r="B63" s="654">
        <v>45126.0</v>
      </c>
      <c r="C63" s="655">
        <v>0.4826388888888889</v>
      </c>
      <c r="D63" s="640" t="s">
        <v>3879</v>
      </c>
      <c r="E63" s="677" t="str">
        <f t="shared" si="1"/>
        <v>1 – 10mL Blood</v>
      </c>
      <c r="F63" s="661" t="str">
        <f t="shared" si="3"/>
        <v>1</v>
      </c>
      <c r="G63" s="640" t="s">
        <v>28</v>
      </c>
      <c r="H63" s="657">
        <v>0.5083333333333333</v>
      </c>
      <c r="I63" s="658">
        <v>1.0</v>
      </c>
      <c r="J63" s="658" t="s">
        <v>3865</v>
      </c>
    </row>
    <row r="64">
      <c r="A64" s="400" t="s">
        <v>33</v>
      </c>
      <c r="B64" s="654">
        <v>45128.0</v>
      </c>
      <c r="C64" s="655">
        <v>0.34930555555555554</v>
      </c>
      <c r="D64" s="640" t="s">
        <v>3866</v>
      </c>
      <c r="E64" s="656" t="str">
        <f t="shared" si="1"/>
        <v>4 – 10mL Blood &amp; 1 – 10mL Serum</v>
      </c>
      <c r="F64" s="661" t="str">
        <f t="shared" si="3"/>
        <v>5</v>
      </c>
      <c r="G64" s="400" t="s">
        <v>40</v>
      </c>
      <c r="H64" s="657">
        <v>0.42430555555555555</v>
      </c>
      <c r="I64" s="658">
        <v>5.0</v>
      </c>
      <c r="J64" s="658" t="s">
        <v>3865</v>
      </c>
    </row>
    <row r="65">
      <c r="A65" s="640" t="s">
        <v>33</v>
      </c>
      <c r="B65" s="654">
        <v>45128.0</v>
      </c>
      <c r="C65" s="655">
        <v>0.4798611111111111</v>
      </c>
      <c r="D65" s="640" t="s">
        <v>3879</v>
      </c>
      <c r="E65" s="677" t="str">
        <f t="shared" si="1"/>
        <v>1 – 10mL Blood</v>
      </c>
      <c r="F65" s="661" t="str">
        <f t="shared" si="3"/>
        <v>1</v>
      </c>
      <c r="G65" s="640" t="s">
        <v>40</v>
      </c>
      <c r="H65" s="657">
        <v>0.4826388888888889</v>
      </c>
      <c r="I65" s="658">
        <v>1.0</v>
      </c>
      <c r="J65" s="658" t="s">
        <v>3865</v>
      </c>
    </row>
    <row r="66">
      <c r="A66" s="640" t="s">
        <v>120</v>
      </c>
      <c r="B66" s="654">
        <v>45131.0</v>
      </c>
      <c r="C66" s="655">
        <v>0.39166666666666666</v>
      </c>
      <c r="D66" s="640" t="s">
        <v>3864</v>
      </c>
      <c r="E66" s="677" t="str">
        <f t="shared" si="1"/>
        <v>10mL Blood</v>
      </c>
      <c r="F66" s="661" t="str">
        <f t="shared" si="3"/>
        <v>1</v>
      </c>
      <c r="G66" s="640" t="s">
        <v>28</v>
      </c>
      <c r="H66" s="657">
        <v>0.3958333333333333</v>
      </c>
      <c r="I66" s="658">
        <v>1.0</v>
      </c>
      <c r="J66" s="658" t="s">
        <v>3867</v>
      </c>
    </row>
    <row r="67">
      <c r="A67" s="640" t="s">
        <v>73</v>
      </c>
      <c r="B67" s="654">
        <v>45132.0</v>
      </c>
      <c r="C67" s="655">
        <v>0.3506944444444444</v>
      </c>
      <c r="D67" s="640" t="s">
        <v>3866</v>
      </c>
      <c r="E67" s="677" t="str">
        <f t="shared" si="1"/>
        <v>4 – 10mL Blood &amp; 1 – 10mL Serum</v>
      </c>
      <c r="F67" s="661" t="str">
        <f t="shared" si="3"/>
        <v>5</v>
      </c>
      <c r="G67" s="640" t="s">
        <v>2943</v>
      </c>
      <c r="H67" s="668"/>
      <c r="I67" s="668"/>
      <c r="J67" s="668"/>
    </row>
    <row r="68">
      <c r="A68" s="400" t="s">
        <v>51</v>
      </c>
      <c r="B68" s="654">
        <v>45132.0</v>
      </c>
      <c r="C68" s="655">
        <v>0.41875</v>
      </c>
      <c r="D68" s="400" t="s">
        <v>3866</v>
      </c>
      <c r="E68" s="656" t="str">
        <f t="shared" si="1"/>
        <v>4 – 10mL Blood &amp; 1 – 10mL Serum</v>
      </c>
      <c r="F68" s="661" t="str">
        <f t="shared" si="3"/>
        <v>5</v>
      </c>
      <c r="G68" s="400" t="s">
        <v>28</v>
      </c>
      <c r="H68" s="668"/>
      <c r="I68" s="662">
        <v>5.0</v>
      </c>
      <c r="J68" s="658" t="s">
        <v>3867</v>
      </c>
    </row>
    <row r="69">
      <c r="A69" s="400" t="s">
        <v>51</v>
      </c>
      <c r="B69" s="654">
        <v>45132.0</v>
      </c>
      <c r="C69" s="655">
        <v>0.5423611111111111</v>
      </c>
      <c r="D69" s="400" t="s">
        <v>3879</v>
      </c>
      <c r="E69" s="656" t="str">
        <f t="shared" si="1"/>
        <v>1 – 10mL Blood</v>
      </c>
      <c r="F69" s="661" t="str">
        <f t="shared" si="3"/>
        <v>1</v>
      </c>
      <c r="G69" s="400" t="s">
        <v>28</v>
      </c>
      <c r="H69" s="668"/>
      <c r="I69" s="662">
        <v>1.0</v>
      </c>
      <c r="J69" s="658" t="s">
        <v>3867</v>
      </c>
    </row>
    <row r="70">
      <c r="A70" s="400" t="s">
        <v>58</v>
      </c>
      <c r="B70" s="654">
        <v>45133.0</v>
      </c>
      <c r="C70" s="655">
        <v>0.3541666666666667</v>
      </c>
      <c r="D70" s="400" t="s">
        <v>3866</v>
      </c>
      <c r="E70" s="656" t="str">
        <f t="shared" si="1"/>
        <v>4 – 10mL Blood &amp; 1 – 10mL Serum</v>
      </c>
      <c r="F70" s="661" t="str">
        <f t="shared" si="3"/>
        <v>5</v>
      </c>
      <c r="G70" s="400" t="s">
        <v>28</v>
      </c>
      <c r="H70" s="668"/>
      <c r="I70" s="662">
        <v>5.0</v>
      </c>
      <c r="J70" s="662" t="s">
        <v>3867</v>
      </c>
    </row>
    <row r="71">
      <c r="A71" s="400" t="s">
        <v>58</v>
      </c>
      <c r="B71" s="654">
        <v>45133.0</v>
      </c>
      <c r="C71" s="655">
        <v>0.4708333333333333</v>
      </c>
      <c r="D71" s="400" t="s">
        <v>3879</v>
      </c>
      <c r="E71" s="656" t="str">
        <f t="shared" si="1"/>
        <v>1 – 10mL Blood</v>
      </c>
      <c r="F71" s="661" t="str">
        <f t="shared" si="3"/>
        <v>1</v>
      </c>
      <c r="G71" s="400" t="s">
        <v>28</v>
      </c>
      <c r="H71" s="668"/>
      <c r="I71" s="662">
        <v>1.0</v>
      </c>
      <c r="J71" s="662" t="s">
        <v>3867</v>
      </c>
    </row>
    <row r="72">
      <c r="A72" s="400" t="s">
        <v>55</v>
      </c>
      <c r="B72" s="654">
        <v>45133.0</v>
      </c>
      <c r="C72" s="655">
        <v>0.41805555555555557</v>
      </c>
      <c r="D72" s="400" t="s">
        <v>3866</v>
      </c>
      <c r="E72" s="656" t="str">
        <f t="shared" si="1"/>
        <v>4 – 10mL Blood &amp; 1 – 10mL Serum</v>
      </c>
      <c r="F72" s="661" t="str">
        <f t="shared" si="3"/>
        <v>5</v>
      </c>
      <c r="G72" s="400" t="s">
        <v>28</v>
      </c>
      <c r="H72" s="668"/>
      <c r="I72" s="662">
        <v>5.0</v>
      </c>
      <c r="J72" s="662" t="s">
        <v>3867</v>
      </c>
    </row>
    <row r="73">
      <c r="A73" s="400" t="s">
        <v>55</v>
      </c>
      <c r="B73" s="654">
        <v>45133.0</v>
      </c>
      <c r="C73" s="655">
        <v>0.5659722222222222</v>
      </c>
      <c r="D73" s="400" t="s">
        <v>3879</v>
      </c>
      <c r="E73" s="656" t="str">
        <f t="shared" si="1"/>
        <v>1 – 10mL Blood</v>
      </c>
      <c r="F73" s="661" t="str">
        <f t="shared" si="3"/>
        <v>1</v>
      </c>
      <c r="G73" s="400" t="s">
        <v>28</v>
      </c>
      <c r="H73" s="668"/>
      <c r="I73" s="662">
        <v>1.0</v>
      </c>
      <c r="J73" s="662" t="s">
        <v>3867</v>
      </c>
    </row>
    <row r="74">
      <c r="A74" s="400" t="s">
        <v>62</v>
      </c>
      <c r="B74" s="654">
        <v>45134.0</v>
      </c>
      <c r="C74" s="655">
        <v>0.34652777777777777</v>
      </c>
      <c r="D74" s="400" t="s">
        <v>3866</v>
      </c>
      <c r="E74" s="656" t="str">
        <f t="shared" si="1"/>
        <v>4 – 10mL Blood &amp; 1 – 10mL Serum</v>
      </c>
      <c r="F74" s="661" t="str">
        <f t="shared" si="3"/>
        <v>5</v>
      </c>
      <c r="G74" s="400" t="s">
        <v>40</v>
      </c>
      <c r="H74" s="668"/>
      <c r="I74" s="662">
        <v>5.0</v>
      </c>
      <c r="J74" s="668"/>
    </row>
    <row r="75">
      <c r="A75" s="400" t="s">
        <v>65</v>
      </c>
      <c r="B75" s="654">
        <v>45138.0</v>
      </c>
      <c r="C75" s="655">
        <v>0.3527777777777778</v>
      </c>
      <c r="D75" s="640" t="s">
        <v>3866</v>
      </c>
      <c r="E75" s="677" t="str">
        <f t="shared" si="1"/>
        <v>4 – 10mL Blood &amp; 1 – 10mL Serum</v>
      </c>
      <c r="F75" s="661" t="str">
        <f t="shared" si="3"/>
        <v>5</v>
      </c>
      <c r="G75" s="640" t="s">
        <v>40</v>
      </c>
      <c r="H75" s="657">
        <v>0.44722222222222224</v>
      </c>
      <c r="I75" s="662">
        <v>5.0</v>
      </c>
      <c r="J75" s="662" t="s">
        <v>3865</v>
      </c>
    </row>
    <row r="76">
      <c r="A76" s="640" t="s">
        <v>65</v>
      </c>
      <c r="B76" s="654">
        <v>45138.0</v>
      </c>
      <c r="C76" s="655">
        <v>0.48125</v>
      </c>
      <c r="D76" s="640" t="s">
        <v>3879</v>
      </c>
      <c r="E76" s="677" t="str">
        <f t="shared" si="1"/>
        <v>1 – 10mL Blood</v>
      </c>
      <c r="F76" s="661" t="str">
        <f t="shared" si="3"/>
        <v>1</v>
      </c>
      <c r="G76" s="640" t="s">
        <v>1370</v>
      </c>
      <c r="H76" s="657">
        <v>0.5888888888888889</v>
      </c>
      <c r="I76" s="662">
        <v>1.0</v>
      </c>
      <c r="J76" s="662" t="s">
        <v>3867</v>
      </c>
    </row>
    <row r="77">
      <c r="A77" s="640" t="s">
        <v>67</v>
      </c>
      <c r="B77" s="654">
        <v>45139.0</v>
      </c>
      <c r="C77" s="655">
        <v>0.3423611111111111</v>
      </c>
      <c r="D77" s="640" t="s">
        <v>3866</v>
      </c>
      <c r="E77" s="677" t="str">
        <f t="shared" si="1"/>
        <v>4 – 10mL Blood &amp; 1 – 10mL Serum</v>
      </c>
      <c r="F77" s="661" t="str">
        <f t="shared" si="3"/>
        <v>5</v>
      </c>
      <c r="G77" s="640" t="s">
        <v>40</v>
      </c>
      <c r="H77" s="657">
        <v>0.5104166666666666</v>
      </c>
      <c r="I77" s="662">
        <v>5.0</v>
      </c>
      <c r="J77" s="662" t="s">
        <v>3883</v>
      </c>
    </row>
    <row r="78">
      <c r="A78" s="640" t="s">
        <v>67</v>
      </c>
      <c r="B78" s="654">
        <v>45139.0</v>
      </c>
      <c r="C78" s="655">
        <v>0.4708333333333333</v>
      </c>
      <c r="D78" s="640" t="s">
        <v>3879</v>
      </c>
      <c r="E78" s="677" t="str">
        <f t="shared" si="1"/>
        <v>1 – 10mL Blood</v>
      </c>
      <c r="F78" s="661" t="str">
        <f t="shared" si="3"/>
        <v>1</v>
      </c>
      <c r="G78" s="640" t="s">
        <v>1370</v>
      </c>
      <c r="H78" s="657">
        <v>0.5104166666666666</v>
      </c>
      <c r="I78" s="662">
        <v>1.0</v>
      </c>
      <c r="J78" s="662" t="s">
        <v>3883</v>
      </c>
    </row>
    <row r="79">
      <c r="A79" s="400" t="s">
        <v>89</v>
      </c>
      <c r="B79" s="654">
        <v>45139.0</v>
      </c>
      <c r="C79" s="655">
        <v>0.5298611111111111</v>
      </c>
      <c r="D79" s="400" t="s">
        <v>3864</v>
      </c>
      <c r="E79" s="656" t="str">
        <f t="shared" si="1"/>
        <v>10mL Blood</v>
      </c>
      <c r="F79" s="661" t="str">
        <f t="shared" si="3"/>
        <v>1</v>
      </c>
      <c r="G79" s="400" t="s">
        <v>28</v>
      </c>
      <c r="H79" s="657">
        <v>0.5416666666666666</v>
      </c>
      <c r="I79" s="662">
        <v>1.0</v>
      </c>
      <c r="J79" s="662" t="s">
        <v>3883</v>
      </c>
    </row>
    <row r="80">
      <c r="A80" s="640" t="s">
        <v>66</v>
      </c>
      <c r="B80" s="654">
        <v>45140.0</v>
      </c>
      <c r="C80" s="655">
        <v>0.3402777777777778</v>
      </c>
      <c r="D80" s="640" t="s">
        <v>3866</v>
      </c>
      <c r="E80" s="677" t="str">
        <f t="shared" si="1"/>
        <v>4 – 10mL Blood &amp; 1 – 10mL Serum</v>
      </c>
      <c r="F80" s="661" t="str">
        <f t="shared" si="3"/>
        <v>5</v>
      </c>
      <c r="G80" s="640" t="s">
        <v>40</v>
      </c>
      <c r="H80" s="657">
        <v>0.4861111111111111</v>
      </c>
      <c r="I80" s="662">
        <v>5.0</v>
      </c>
      <c r="J80" s="662" t="s">
        <v>3867</v>
      </c>
    </row>
    <row r="81">
      <c r="A81" s="640" t="s">
        <v>66</v>
      </c>
      <c r="B81" s="654">
        <v>45140.0</v>
      </c>
      <c r="C81" s="655">
        <v>0.475</v>
      </c>
      <c r="D81" s="640" t="s">
        <v>3879</v>
      </c>
      <c r="E81" s="677" t="str">
        <f t="shared" si="1"/>
        <v>1 – 10mL Blood</v>
      </c>
      <c r="F81" s="661" t="str">
        <f t="shared" si="3"/>
        <v>1</v>
      </c>
      <c r="G81" s="640" t="s">
        <v>40</v>
      </c>
      <c r="H81" s="657">
        <v>0.4861111111111111</v>
      </c>
      <c r="I81" s="662">
        <v>1.0</v>
      </c>
      <c r="J81" s="662" t="s">
        <v>3867</v>
      </c>
    </row>
    <row r="82">
      <c r="A82" s="400" t="s">
        <v>90</v>
      </c>
      <c r="B82" s="654">
        <v>45140.0</v>
      </c>
      <c r="C82" s="655">
        <v>0.4527777777777778</v>
      </c>
      <c r="D82" s="400" t="s">
        <v>3864</v>
      </c>
      <c r="E82" s="656" t="str">
        <f t="shared" si="1"/>
        <v>10mL Blood</v>
      </c>
      <c r="F82" s="661" t="str">
        <f t="shared" si="3"/>
        <v>1</v>
      </c>
      <c r="G82" s="400" t="s">
        <v>28</v>
      </c>
      <c r="H82" s="657">
        <v>0.4527777777777778</v>
      </c>
      <c r="I82" s="662">
        <v>1.0</v>
      </c>
      <c r="J82" s="662" t="s">
        <v>3867</v>
      </c>
    </row>
    <row r="83">
      <c r="A83" s="640" t="s">
        <v>81</v>
      </c>
      <c r="B83" s="654">
        <v>45140.0</v>
      </c>
      <c r="C83" s="655">
        <v>0.5729166666666666</v>
      </c>
      <c r="D83" s="640" t="s">
        <v>3864</v>
      </c>
      <c r="E83" s="677" t="str">
        <f t="shared" si="1"/>
        <v>10mL Blood</v>
      </c>
      <c r="F83" s="661" t="str">
        <f t="shared" si="3"/>
        <v>1</v>
      </c>
      <c r="G83" s="640" t="s">
        <v>28</v>
      </c>
      <c r="H83" s="657">
        <v>0.5729166666666666</v>
      </c>
      <c r="I83" s="662">
        <v>1.0</v>
      </c>
      <c r="J83" s="662" t="s">
        <v>3865</v>
      </c>
    </row>
    <row r="84">
      <c r="A84" s="640" t="s">
        <v>87</v>
      </c>
      <c r="B84" s="654">
        <v>45141.0</v>
      </c>
      <c r="C84" s="655">
        <v>0.4576388888888889</v>
      </c>
      <c r="D84" s="640" t="s">
        <v>3864</v>
      </c>
      <c r="E84" s="677" t="str">
        <f t="shared" si="1"/>
        <v>10mL Blood</v>
      </c>
      <c r="F84" s="661" t="str">
        <f t="shared" si="3"/>
        <v>1</v>
      </c>
      <c r="G84" s="640" t="s">
        <v>40</v>
      </c>
      <c r="H84" s="657">
        <v>0.4583333333333333</v>
      </c>
      <c r="I84" s="658">
        <v>1.0</v>
      </c>
      <c r="J84" s="658" t="s">
        <v>3865</v>
      </c>
    </row>
    <row r="85">
      <c r="A85" s="640" t="s">
        <v>71</v>
      </c>
      <c r="B85" s="654">
        <v>45146.0</v>
      </c>
      <c r="C85" s="655">
        <v>0.3472222222222222</v>
      </c>
      <c r="D85" s="640" t="s">
        <v>3866</v>
      </c>
      <c r="E85" s="677" t="str">
        <f t="shared" si="1"/>
        <v>4 – 10mL Blood &amp; 1 – 10mL Serum</v>
      </c>
      <c r="F85" s="661" t="str">
        <f t="shared" si="3"/>
        <v>5</v>
      </c>
      <c r="G85" s="640" t="s">
        <v>649</v>
      </c>
      <c r="H85" s="657">
        <v>0.50625</v>
      </c>
      <c r="I85" s="658">
        <v>5.0</v>
      </c>
      <c r="J85" s="658" t="s">
        <v>3865</v>
      </c>
    </row>
    <row r="86">
      <c r="A86" s="640" t="s">
        <v>71</v>
      </c>
      <c r="B86" s="654">
        <v>45146.0</v>
      </c>
      <c r="C86" s="655">
        <v>0.4826388888888889</v>
      </c>
      <c r="D86" s="640" t="s">
        <v>3879</v>
      </c>
      <c r="E86" s="677" t="str">
        <f t="shared" si="1"/>
        <v>1 – 10mL Blood</v>
      </c>
      <c r="F86" s="661" t="str">
        <f t="shared" si="3"/>
        <v>1</v>
      </c>
      <c r="G86" s="640" t="s">
        <v>40</v>
      </c>
      <c r="H86" s="657">
        <v>0.50625</v>
      </c>
      <c r="I86" s="658">
        <v>1.0</v>
      </c>
      <c r="J86" s="658" t="s">
        <v>3865</v>
      </c>
    </row>
    <row r="87">
      <c r="A87" s="400" t="s">
        <v>193</v>
      </c>
      <c r="B87" s="654">
        <v>45153.0</v>
      </c>
      <c r="C87" s="655">
        <v>0.5777777777777777</v>
      </c>
      <c r="D87" s="400" t="s">
        <v>3864</v>
      </c>
      <c r="E87" s="656" t="str">
        <f t="shared" si="1"/>
        <v>10mL Blood</v>
      </c>
      <c r="F87" s="661" t="str">
        <f t="shared" si="3"/>
        <v>1</v>
      </c>
      <c r="G87" s="400" t="s">
        <v>28</v>
      </c>
      <c r="H87" s="657">
        <v>0.5777777777777777</v>
      </c>
      <c r="I87" s="658">
        <v>1.0</v>
      </c>
      <c r="J87" s="658" t="s">
        <v>3865</v>
      </c>
    </row>
    <row r="88">
      <c r="A88" s="640" t="s">
        <v>50</v>
      </c>
      <c r="B88" s="654">
        <v>45154.0</v>
      </c>
      <c r="C88" s="655">
        <v>0.3527777777777778</v>
      </c>
      <c r="D88" s="640" t="s">
        <v>3866</v>
      </c>
      <c r="E88" s="656" t="str">
        <f t="shared" si="1"/>
        <v>4 – 10mL Blood &amp; 1 – 10mL Serum</v>
      </c>
      <c r="F88" s="661" t="str">
        <f t="shared" si="3"/>
        <v>5</v>
      </c>
      <c r="G88" s="400" t="s">
        <v>649</v>
      </c>
      <c r="H88" s="657">
        <v>0.43125</v>
      </c>
      <c r="I88" s="658">
        <v>5.0</v>
      </c>
      <c r="J88" s="658" t="s">
        <v>3865</v>
      </c>
    </row>
    <row r="89">
      <c r="A89" s="640" t="s">
        <v>70</v>
      </c>
      <c r="B89" s="654">
        <v>45154.0</v>
      </c>
      <c r="C89" s="655">
        <v>0.4270833333333333</v>
      </c>
      <c r="D89" s="640" t="s">
        <v>3866</v>
      </c>
      <c r="E89" s="656" t="str">
        <f t="shared" si="1"/>
        <v>4 – 10mL Blood &amp; 1 – 10mL Serum</v>
      </c>
      <c r="F89" s="661" t="str">
        <f t="shared" si="3"/>
        <v>5</v>
      </c>
      <c r="G89" s="400" t="s">
        <v>28</v>
      </c>
      <c r="H89" s="657">
        <v>0.43125</v>
      </c>
      <c r="I89" s="658">
        <v>5.0</v>
      </c>
      <c r="J89" s="658" t="s">
        <v>3865</v>
      </c>
    </row>
    <row r="90">
      <c r="A90" s="640" t="s">
        <v>1623</v>
      </c>
      <c r="B90" s="654">
        <v>45154.0</v>
      </c>
      <c r="C90" s="655">
        <v>0.49027777777777776</v>
      </c>
      <c r="D90" s="640" t="s">
        <v>3864</v>
      </c>
      <c r="E90" s="677" t="str">
        <f t="shared" si="1"/>
        <v>10mL Blood</v>
      </c>
      <c r="F90" s="661" t="str">
        <f t="shared" si="3"/>
        <v>1</v>
      </c>
      <c r="G90" s="640" t="s">
        <v>649</v>
      </c>
      <c r="H90" s="657">
        <v>0.5236111111111111</v>
      </c>
      <c r="I90" s="658">
        <v>1.0</v>
      </c>
      <c r="J90" s="658" t="s">
        <v>3865</v>
      </c>
    </row>
    <row r="91">
      <c r="A91" s="640" t="s">
        <v>50</v>
      </c>
      <c r="B91" s="654">
        <v>45154.0</v>
      </c>
      <c r="C91" s="679">
        <v>0.4951388888888889</v>
      </c>
      <c r="D91" s="640" t="s">
        <v>3879</v>
      </c>
      <c r="E91" s="677" t="str">
        <f t="shared" si="1"/>
        <v>1 – 10mL Blood</v>
      </c>
      <c r="F91" s="661" t="str">
        <f t="shared" si="3"/>
        <v>1</v>
      </c>
      <c r="G91" s="640" t="s">
        <v>28</v>
      </c>
      <c r="H91" s="657">
        <v>0.5236111111111111</v>
      </c>
      <c r="I91" s="658">
        <v>1.0</v>
      </c>
      <c r="J91" s="658" t="s">
        <v>3865</v>
      </c>
    </row>
    <row r="92">
      <c r="A92" s="640" t="s">
        <v>1657</v>
      </c>
      <c r="B92" s="654">
        <v>45156.0</v>
      </c>
      <c r="C92" s="655">
        <v>0.5083333333333333</v>
      </c>
      <c r="D92" s="640" t="s">
        <v>3864</v>
      </c>
      <c r="E92" s="677" t="str">
        <f t="shared" si="1"/>
        <v>10mL Blood</v>
      </c>
      <c r="F92" s="640">
        <v>1.0</v>
      </c>
      <c r="G92" s="640" t="s">
        <v>28</v>
      </c>
      <c r="H92" s="668"/>
      <c r="I92" s="668"/>
      <c r="J92" s="668"/>
    </row>
    <row r="93">
      <c r="A93" s="640" t="s">
        <v>84</v>
      </c>
      <c r="B93" s="654">
        <v>45160.0</v>
      </c>
      <c r="C93" s="655">
        <v>0.6430555555555556</v>
      </c>
      <c r="D93" s="640" t="s">
        <v>3864</v>
      </c>
      <c r="E93" s="677" t="str">
        <f t="shared" si="1"/>
        <v>10mL Blood</v>
      </c>
      <c r="F93" s="640">
        <v>1.0</v>
      </c>
      <c r="G93" s="640" t="s">
        <v>28</v>
      </c>
      <c r="H93" s="657">
        <v>0.6430555555555556</v>
      </c>
      <c r="I93" s="658">
        <v>1.0</v>
      </c>
      <c r="J93" s="658" t="s">
        <v>3883</v>
      </c>
      <c r="K93" s="142"/>
      <c r="L93" s="142"/>
      <c r="M93" s="142"/>
      <c r="N93" s="142"/>
      <c r="O93" s="142"/>
      <c r="P93" s="142"/>
      <c r="Q93" s="142"/>
      <c r="R93" s="142"/>
      <c r="S93" s="142"/>
      <c r="T93" s="142"/>
      <c r="U93" s="142"/>
      <c r="V93" s="142"/>
      <c r="W93" s="142"/>
      <c r="X93" s="142"/>
      <c r="Y93" s="142"/>
      <c r="Z93" s="142"/>
    </row>
    <row r="94">
      <c r="A94" s="640" t="s">
        <v>127</v>
      </c>
      <c r="B94" s="654">
        <v>45168.0</v>
      </c>
      <c r="C94" s="655">
        <v>0.40625</v>
      </c>
      <c r="D94" s="640" t="s">
        <v>3864</v>
      </c>
      <c r="E94" s="677" t="str">
        <f t="shared" si="1"/>
        <v>10mL Blood</v>
      </c>
      <c r="F94" s="640">
        <v>1.0</v>
      </c>
      <c r="G94" s="640" t="s">
        <v>40</v>
      </c>
      <c r="H94" s="657">
        <v>0.40625</v>
      </c>
      <c r="I94" s="658">
        <v>1.0</v>
      </c>
      <c r="J94" s="658" t="s">
        <v>3865</v>
      </c>
    </row>
    <row r="95">
      <c r="A95" s="640" t="s">
        <v>78</v>
      </c>
      <c r="B95" s="654">
        <v>45174.0</v>
      </c>
      <c r="C95" s="655">
        <v>0.3659722222222222</v>
      </c>
      <c r="D95" s="640" t="s">
        <v>3866</v>
      </c>
      <c r="E95" s="677" t="str">
        <f t="shared" si="1"/>
        <v>4 – 10mL Blood &amp; 1 – 10mL Serum</v>
      </c>
      <c r="F95" s="640">
        <v>5.0</v>
      </c>
      <c r="G95" s="640" t="s">
        <v>649</v>
      </c>
      <c r="H95" s="657">
        <v>0.4076388888888889</v>
      </c>
      <c r="I95" s="658">
        <v>5.0</v>
      </c>
      <c r="J95" s="658" t="s">
        <v>3865</v>
      </c>
    </row>
    <row r="96">
      <c r="A96" s="640" t="s">
        <v>78</v>
      </c>
      <c r="B96" s="654">
        <v>45174.0</v>
      </c>
      <c r="C96" s="655">
        <v>0.49027777777777776</v>
      </c>
      <c r="D96" s="640" t="s">
        <v>3879</v>
      </c>
      <c r="E96" s="677" t="str">
        <f t="shared" si="1"/>
        <v>1 – 10mL Blood</v>
      </c>
      <c r="F96" s="640">
        <v>1.0</v>
      </c>
      <c r="G96" s="640" t="s">
        <v>40</v>
      </c>
      <c r="H96" s="657">
        <v>0.5104166666666666</v>
      </c>
      <c r="I96" s="658">
        <v>1.0</v>
      </c>
      <c r="J96" s="658" t="s">
        <v>3865</v>
      </c>
    </row>
    <row r="97">
      <c r="A97" s="640" t="s">
        <v>75</v>
      </c>
      <c r="B97" s="654">
        <v>45175.0</v>
      </c>
      <c r="C97" s="655">
        <v>0.3659722222222222</v>
      </c>
      <c r="D97" s="640" t="s">
        <v>3866</v>
      </c>
      <c r="E97" s="677" t="str">
        <f t="shared" si="1"/>
        <v>4 – 10mL Blood &amp; 1 – 10mL Serum</v>
      </c>
      <c r="F97" s="640">
        <v>5.0</v>
      </c>
      <c r="G97" s="640" t="s">
        <v>736</v>
      </c>
      <c r="H97" s="657">
        <v>0.38819444444444445</v>
      </c>
      <c r="I97" s="658">
        <v>5.0</v>
      </c>
      <c r="J97" s="658" t="s">
        <v>3865</v>
      </c>
    </row>
    <row r="98">
      <c r="A98" s="640" t="s">
        <v>75</v>
      </c>
      <c r="B98" s="654">
        <v>45175.0</v>
      </c>
      <c r="C98" s="655">
        <v>0.4888888888888889</v>
      </c>
      <c r="D98" s="640" t="s">
        <v>3879</v>
      </c>
      <c r="E98" s="677" t="str">
        <f t="shared" si="1"/>
        <v>1 – 10mL Blood</v>
      </c>
      <c r="F98" s="640">
        <v>1.0</v>
      </c>
      <c r="G98" s="640" t="s">
        <v>736</v>
      </c>
      <c r="H98" s="657">
        <v>0.5652777777777778</v>
      </c>
      <c r="I98" s="658">
        <v>1.0</v>
      </c>
      <c r="J98" s="658" t="s">
        <v>3865</v>
      </c>
    </row>
    <row r="99">
      <c r="A99" s="640" t="s">
        <v>53</v>
      </c>
      <c r="B99" s="654">
        <v>45177.0</v>
      </c>
      <c r="C99" s="655">
        <v>0.3486111111111111</v>
      </c>
      <c r="D99" s="640" t="s">
        <v>3866</v>
      </c>
      <c r="E99" s="677" t="str">
        <f t="shared" si="1"/>
        <v>4 – 10mL Blood &amp; 1 – 10mL Serum</v>
      </c>
      <c r="F99" s="640">
        <v>5.0</v>
      </c>
      <c r="G99" s="640" t="s">
        <v>649</v>
      </c>
      <c r="H99" s="657">
        <v>0.5520833333333334</v>
      </c>
      <c r="I99" s="658">
        <v>5.0</v>
      </c>
      <c r="J99" s="662" t="s">
        <v>3867</v>
      </c>
    </row>
    <row r="100">
      <c r="A100" s="640" t="s">
        <v>57</v>
      </c>
      <c r="B100" s="654">
        <v>45177.0</v>
      </c>
      <c r="C100" s="655">
        <v>0.4013888888888889</v>
      </c>
      <c r="D100" s="640" t="s">
        <v>3866</v>
      </c>
      <c r="E100" s="677" t="str">
        <f t="shared" si="1"/>
        <v>4 – 10mL Blood &amp; 1 – 10mL Serum</v>
      </c>
      <c r="F100" s="640">
        <v>5.0</v>
      </c>
      <c r="G100" s="640" t="s">
        <v>649</v>
      </c>
      <c r="H100" s="657">
        <v>0.5520833333333334</v>
      </c>
      <c r="I100" s="658">
        <v>5.0</v>
      </c>
      <c r="J100" s="662" t="s">
        <v>3867</v>
      </c>
    </row>
    <row r="101">
      <c r="A101" s="640" t="s">
        <v>53</v>
      </c>
      <c r="B101" s="654">
        <v>45177.0</v>
      </c>
      <c r="C101" s="655">
        <v>0.4826388888888889</v>
      </c>
      <c r="D101" s="640" t="s">
        <v>3879</v>
      </c>
      <c r="E101" s="677" t="str">
        <f t="shared" si="1"/>
        <v>1 – 10mL Blood</v>
      </c>
      <c r="F101" s="640">
        <v>1.0</v>
      </c>
      <c r="G101" s="640" t="s">
        <v>736</v>
      </c>
      <c r="H101" s="657">
        <v>0.5520833333333334</v>
      </c>
      <c r="I101" s="658">
        <v>1.0</v>
      </c>
      <c r="J101" s="662" t="s">
        <v>3867</v>
      </c>
    </row>
    <row r="102">
      <c r="A102" s="640" t="s">
        <v>57</v>
      </c>
      <c r="B102" s="654">
        <v>45177.0</v>
      </c>
      <c r="C102" s="655">
        <v>0.5145833333333333</v>
      </c>
      <c r="D102" s="640" t="s">
        <v>3879</v>
      </c>
      <c r="E102" s="677" t="str">
        <f t="shared" si="1"/>
        <v>1 – 10mL Blood</v>
      </c>
      <c r="F102" s="640">
        <v>1.0</v>
      </c>
      <c r="G102" s="640" t="s">
        <v>649</v>
      </c>
      <c r="H102" s="657">
        <v>0.5520833333333334</v>
      </c>
      <c r="I102" s="658">
        <v>1.0</v>
      </c>
      <c r="J102" s="662" t="s">
        <v>3867</v>
      </c>
    </row>
    <row r="103">
      <c r="A103" s="640" t="s">
        <v>82</v>
      </c>
      <c r="B103" s="654">
        <v>45181.0</v>
      </c>
      <c r="C103" s="655">
        <v>0.3506944444444444</v>
      </c>
      <c r="D103" s="640" t="s">
        <v>3866</v>
      </c>
      <c r="E103" s="677" t="str">
        <f t="shared" si="1"/>
        <v>4 – 10mL Blood &amp; 1 – 10mL Serum</v>
      </c>
      <c r="F103" s="640">
        <v>5.0</v>
      </c>
      <c r="G103" s="640" t="s">
        <v>40</v>
      </c>
      <c r="H103" s="668"/>
      <c r="I103" s="668"/>
      <c r="J103" s="668"/>
    </row>
    <row r="104">
      <c r="A104" s="640" t="s">
        <v>82</v>
      </c>
      <c r="B104" s="654">
        <v>45181.0</v>
      </c>
      <c r="C104" s="655">
        <v>0.4625</v>
      </c>
      <c r="D104" s="640" t="s">
        <v>3879</v>
      </c>
      <c r="E104" s="677" t="str">
        <f t="shared" si="1"/>
        <v>1 – 10mL Blood</v>
      </c>
      <c r="F104" s="640">
        <v>1.0</v>
      </c>
      <c r="G104" s="640" t="s">
        <v>649</v>
      </c>
      <c r="H104" s="668"/>
      <c r="I104" s="668"/>
      <c r="J104" s="668"/>
    </row>
    <row r="105">
      <c r="A105" s="640" t="s">
        <v>85</v>
      </c>
      <c r="B105" s="654">
        <v>45189.0</v>
      </c>
      <c r="C105" s="655">
        <v>0.34375</v>
      </c>
      <c r="D105" s="640" t="s">
        <v>3866</v>
      </c>
      <c r="E105" s="677" t="str">
        <f t="shared" si="1"/>
        <v>4 – 10mL Blood &amp; 1 – 10mL Serum</v>
      </c>
      <c r="F105" s="640">
        <v>5.0</v>
      </c>
      <c r="G105" s="640" t="s">
        <v>40</v>
      </c>
      <c r="H105" s="657">
        <v>0.48194444444444445</v>
      </c>
      <c r="I105" s="658">
        <v>5.0</v>
      </c>
      <c r="J105" s="658" t="s">
        <v>3885</v>
      </c>
    </row>
    <row r="106">
      <c r="A106" s="640" t="s">
        <v>85</v>
      </c>
      <c r="B106" s="654">
        <v>45189.0</v>
      </c>
      <c r="C106" s="655">
        <v>0.4708333333333333</v>
      </c>
      <c r="D106" s="640" t="s">
        <v>3879</v>
      </c>
      <c r="E106" s="677" t="str">
        <f t="shared" si="1"/>
        <v>1 – 10mL Blood</v>
      </c>
      <c r="F106" s="640">
        <v>1.0</v>
      </c>
      <c r="G106" s="640" t="s">
        <v>40</v>
      </c>
      <c r="H106" s="657">
        <v>0.48194444444444445</v>
      </c>
      <c r="I106" s="658">
        <v>1.0</v>
      </c>
      <c r="J106" s="658" t="s">
        <v>3865</v>
      </c>
    </row>
    <row r="107">
      <c r="E107" s="677" t="str">
        <f>IFS(D108 = "SBD", "10mL Blood", OR(D108 = "MRI Base", D108 = "MB"), "4 – 10mL Blood &amp; 1 – 10mL Serum",OR(D108 = "MRI Post", D108 = "MP"), "1 – 10mL Blood", D108 = "LP", "10mL Blood &amp; 20cc CSF")</f>
        <v>#N/A</v>
      </c>
    </row>
    <row r="109">
      <c r="E109" s="677" t="str">
        <f t="shared" ref="E109:E112" si="4">IFS(D109 = "SBD", "10mL Blood", OR(D109 = "MRI Base", D109 = "MB"), "4 – 10mL Blood &amp; 1 – 10mL Serum",OR(D109 = "MRI Post", D109 = "MP"), "1 – 10mL Blood", D109 = "LP", "10mL Blood &amp; 20cc CSF")</f>
        <v>#N/A</v>
      </c>
    </row>
    <row r="110">
      <c r="E110" s="677" t="str">
        <f t="shared" si="4"/>
        <v>#N/A</v>
      </c>
    </row>
    <row r="111">
      <c r="E111" s="677" t="str">
        <f t="shared" si="4"/>
        <v>#N/A</v>
      </c>
    </row>
    <row r="112">
      <c r="E112" s="677" t="str">
        <f t="shared" si="4"/>
        <v>#N/A</v>
      </c>
    </row>
    <row r="113">
      <c r="E113" s="356"/>
    </row>
    <row r="114">
      <c r="E114" s="356"/>
    </row>
    <row r="115">
      <c r="E115" s="356"/>
    </row>
    <row r="116">
      <c r="E116" s="356"/>
    </row>
    <row r="117">
      <c r="E117" s="356"/>
    </row>
    <row r="118">
      <c r="E118" s="356"/>
    </row>
    <row r="119">
      <c r="E119" s="356"/>
    </row>
    <row r="120">
      <c r="E120" s="356"/>
    </row>
    <row r="121">
      <c r="E121" s="356"/>
    </row>
    <row r="122">
      <c r="E122" s="356"/>
    </row>
    <row r="123">
      <c r="E123" s="356"/>
    </row>
    <row r="124">
      <c r="E124" s="356"/>
    </row>
    <row r="125">
      <c r="E125" s="356"/>
    </row>
    <row r="126">
      <c r="E126" s="356"/>
    </row>
    <row r="127">
      <c r="E127" s="356"/>
    </row>
    <row r="128">
      <c r="E128" s="356"/>
    </row>
    <row r="129">
      <c r="E129" s="356"/>
    </row>
    <row r="130">
      <c r="E130" s="356"/>
    </row>
    <row r="131">
      <c r="E131" s="356"/>
    </row>
    <row r="132">
      <c r="E132" s="356"/>
    </row>
    <row r="133">
      <c r="E133" s="356"/>
    </row>
    <row r="134">
      <c r="E134" s="356"/>
    </row>
    <row r="135">
      <c r="E135" s="356"/>
    </row>
    <row r="136">
      <c r="E136" s="356"/>
    </row>
    <row r="137">
      <c r="E137" s="356"/>
    </row>
    <row r="138">
      <c r="E138" s="356"/>
    </row>
    <row r="139">
      <c r="E139" s="356"/>
    </row>
    <row r="140">
      <c r="E140" s="356"/>
    </row>
    <row r="141">
      <c r="E141" s="356"/>
    </row>
    <row r="142">
      <c r="E142" s="356"/>
    </row>
    <row r="143">
      <c r="E143" s="356"/>
    </row>
    <row r="144">
      <c r="E144" s="356"/>
    </row>
    <row r="145">
      <c r="E145" s="356"/>
    </row>
    <row r="146">
      <c r="E146" s="356"/>
    </row>
    <row r="147">
      <c r="E147" s="356"/>
    </row>
    <row r="148">
      <c r="E148" s="356"/>
    </row>
    <row r="149">
      <c r="E149" s="356"/>
    </row>
    <row r="150">
      <c r="E150" s="356"/>
    </row>
    <row r="151">
      <c r="E151" s="356"/>
    </row>
    <row r="152">
      <c r="E152" s="356"/>
    </row>
    <row r="153">
      <c r="E153" s="356"/>
    </row>
    <row r="154">
      <c r="E154" s="356"/>
    </row>
    <row r="155">
      <c r="E155" s="356"/>
    </row>
    <row r="156">
      <c r="E156" s="356"/>
    </row>
    <row r="157">
      <c r="E157" s="356"/>
    </row>
    <row r="158">
      <c r="E158" s="356"/>
    </row>
    <row r="159">
      <c r="E159" s="356"/>
    </row>
    <row r="160">
      <c r="E160" s="356"/>
    </row>
    <row r="161">
      <c r="E161" s="356"/>
    </row>
    <row r="162">
      <c r="E162" s="356"/>
    </row>
    <row r="163">
      <c r="E163" s="356"/>
    </row>
    <row r="164">
      <c r="E164" s="356"/>
    </row>
    <row r="165">
      <c r="E165" s="356"/>
    </row>
    <row r="166">
      <c r="E166" s="356"/>
    </row>
    <row r="167">
      <c r="E167" s="356"/>
    </row>
    <row r="168">
      <c r="E168" s="356"/>
    </row>
    <row r="169">
      <c r="E169" s="356"/>
    </row>
    <row r="170">
      <c r="E170" s="356"/>
    </row>
    <row r="171">
      <c r="E171" s="356"/>
    </row>
    <row r="172">
      <c r="E172" s="356"/>
    </row>
    <row r="173">
      <c r="E173" s="356"/>
    </row>
    <row r="174">
      <c r="E174" s="356"/>
    </row>
    <row r="175">
      <c r="E175" s="356"/>
    </row>
    <row r="176">
      <c r="E176" s="356"/>
    </row>
    <row r="177">
      <c r="E177" s="356"/>
    </row>
    <row r="178">
      <c r="E178" s="356"/>
    </row>
    <row r="179">
      <c r="E179" s="356"/>
    </row>
    <row r="180">
      <c r="E180" s="356"/>
    </row>
    <row r="181">
      <c r="E181" s="356"/>
    </row>
    <row r="182">
      <c r="E182" s="356"/>
    </row>
    <row r="183">
      <c r="E183" s="356"/>
    </row>
    <row r="184">
      <c r="E184" s="356"/>
    </row>
    <row r="185">
      <c r="E185" s="356"/>
    </row>
    <row r="186">
      <c r="E186" s="356"/>
    </row>
    <row r="187">
      <c r="E187" s="356"/>
    </row>
    <row r="188">
      <c r="E188" s="356"/>
    </row>
    <row r="189">
      <c r="E189" s="356"/>
    </row>
    <row r="190">
      <c r="E190" s="356"/>
    </row>
    <row r="191">
      <c r="E191" s="356"/>
    </row>
    <row r="192">
      <c r="E192" s="356"/>
    </row>
    <row r="193">
      <c r="E193" s="356"/>
    </row>
    <row r="194">
      <c r="E194" s="356"/>
    </row>
    <row r="195">
      <c r="E195" s="356"/>
    </row>
    <row r="196">
      <c r="E196" s="356"/>
    </row>
    <row r="197">
      <c r="E197" s="356"/>
    </row>
    <row r="198">
      <c r="E198" s="356"/>
    </row>
    <row r="199">
      <c r="E199" s="356"/>
    </row>
    <row r="200">
      <c r="E200" s="356"/>
    </row>
    <row r="201">
      <c r="E201" s="356"/>
    </row>
    <row r="202">
      <c r="E202" s="356"/>
    </row>
    <row r="203">
      <c r="E203" s="356"/>
    </row>
    <row r="204">
      <c r="E204" s="356"/>
    </row>
    <row r="205">
      <c r="E205" s="356"/>
    </row>
    <row r="206">
      <c r="E206" s="356"/>
    </row>
    <row r="207">
      <c r="E207" s="356"/>
    </row>
    <row r="208">
      <c r="E208" s="356"/>
    </row>
    <row r="209">
      <c r="E209" s="356"/>
    </row>
    <row r="210">
      <c r="E210" s="356"/>
    </row>
    <row r="211">
      <c r="E211" s="356"/>
    </row>
    <row r="212">
      <c r="E212" s="356"/>
    </row>
    <row r="213">
      <c r="E213" s="356"/>
    </row>
    <row r="214">
      <c r="E214" s="356"/>
    </row>
    <row r="215">
      <c r="E215" s="356"/>
    </row>
    <row r="216">
      <c r="E216" s="356"/>
    </row>
    <row r="217">
      <c r="E217" s="356"/>
    </row>
    <row r="218">
      <c r="E218" s="356"/>
    </row>
    <row r="219">
      <c r="E219" s="356"/>
    </row>
    <row r="220">
      <c r="E220" s="356"/>
    </row>
    <row r="221">
      <c r="E221" s="356"/>
    </row>
    <row r="222">
      <c r="E222" s="356"/>
    </row>
    <row r="223">
      <c r="E223" s="356"/>
    </row>
    <row r="224">
      <c r="E224" s="356"/>
    </row>
    <row r="225">
      <c r="E225" s="356"/>
    </row>
    <row r="226">
      <c r="E226" s="356"/>
    </row>
    <row r="227">
      <c r="E227" s="356"/>
    </row>
    <row r="228">
      <c r="E228" s="356"/>
    </row>
    <row r="229">
      <c r="E229" s="356"/>
    </row>
    <row r="230">
      <c r="E230" s="356"/>
    </row>
    <row r="231">
      <c r="E231" s="356"/>
    </row>
    <row r="232">
      <c r="E232" s="356"/>
    </row>
    <row r="233">
      <c r="E233" s="356"/>
    </row>
    <row r="234">
      <c r="E234" s="356"/>
    </row>
    <row r="235">
      <c r="E235" s="356"/>
    </row>
    <row r="236">
      <c r="E236" s="356"/>
    </row>
    <row r="237">
      <c r="E237" s="356"/>
    </row>
    <row r="238">
      <c r="E238" s="356"/>
    </row>
    <row r="239">
      <c r="E239" s="356"/>
    </row>
    <row r="240">
      <c r="E240" s="356"/>
    </row>
    <row r="241">
      <c r="E241" s="356"/>
    </row>
    <row r="242">
      <c r="E242" s="356"/>
    </row>
    <row r="243">
      <c r="E243" s="356"/>
    </row>
    <row r="244">
      <c r="E244" s="356"/>
    </row>
    <row r="245">
      <c r="E245" s="356"/>
    </row>
    <row r="246">
      <c r="E246" s="356"/>
    </row>
    <row r="247">
      <c r="E247" s="356"/>
    </row>
    <row r="248">
      <c r="E248" s="356"/>
    </row>
    <row r="249">
      <c r="E249" s="356"/>
    </row>
    <row r="250">
      <c r="E250" s="356"/>
    </row>
    <row r="251">
      <c r="E251" s="356"/>
    </row>
    <row r="252">
      <c r="E252" s="356"/>
    </row>
    <row r="253">
      <c r="E253" s="356"/>
    </row>
    <row r="254">
      <c r="E254" s="356"/>
    </row>
    <row r="255">
      <c r="E255" s="356"/>
    </row>
    <row r="256">
      <c r="E256" s="356"/>
    </row>
    <row r="257">
      <c r="E257" s="356"/>
    </row>
    <row r="258">
      <c r="E258" s="356"/>
    </row>
    <row r="259">
      <c r="E259" s="356"/>
    </row>
    <row r="260">
      <c r="E260" s="356"/>
    </row>
    <row r="261">
      <c r="E261" s="356"/>
    </row>
    <row r="262">
      <c r="E262" s="356"/>
    </row>
    <row r="263">
      <c r="E263" s="356"/>
    </row>
    <row r="264">
      <c r="E264" s="356"/>
    </row>
    <row r="265">
      <c r="E265" s="356"/>
    </row>
    <row r="266">
      <c r="E266" s="356"/>
    </row>
    <row r="267">
      <c r="E267" s="356"/>
    </row>
    <row r="268">
      <c r="E268" s="356"/>
    </row>
    <row r="269">
      <c r="E269" s="356"/>
    </row>
    <row r="270">
      <c r="E270" s="356"/>
    </row>
    <row r="271">
      <c r="E271" s="356"/>
    </row>
    <row r="272">
      <c r="E272" s="356"/>
    </row>
    <row r="273">
      <c r="E273" s="356"/>
    </row>
    <row r="274">
      <c r="E274" s="356"/>
    </row>
    <row r="275">
      <c r="E275" s="356"/>
    </row>
    <row r="276">
      <c r="E276" s="356"/>
    </row>
    <row r="277">
      <c r="E277" s="356"/>
    </row>
    <row r="278">
      <c r="E278" s="356"/>
    </row>
    <row r="279">
      <c r="E279" s="356"/>
    </row>
    <row r="280">
      <c r="E280" s="356"/>
    </row>
    <row r="281">
      <c r="E281" s="356"/>
    </row>
    <row r="282">
      <c r="E282" s="356"/>
    </row>
    <row r="283">
      <c r="E283" s="356"/>
    </row>
    <row r="284">
      <c r="E284" s="356"/>
    </row>
    <row r="285">
      <c r="E285" s="356"/>
    </row>
    <row r="286">
      <c r="E286" s="356"/>
    </row>
    <row r="287">
      <c r="E287" s="356"/>
    </row>
    <row r="288">
      <c r="E288" s="356"/>
    </row>
    <row r="289">
      <c r="E289" s="356"/>
    </row>
    <row r="290">
      <c r="E290" s="356"/>
    </row>
    <row r="291">
      <c r="E291" s="356"/>
    </row>
    <row r="292">
      <c r="E292" s="356"/>
    </row>
    <row r="293">
      <c r="E293" s="356"/>
    </row>
    <row r="294">
      <c r="E294" s="356"/>
    </row>
    <row r="295">
      <c r="E295" s="356"/>
    </row>
    <row r="296">
      <c r="E296" s="356"/>
    </row>
    <row r="297">
      <c r="E297" s="356"/>
    </row>
    <row r="298">
      <c r="E298" s="356"/>
    </row>
    <row r="299">
      <c r="E299" s="356"/>
    </row>
    <row r="300">
      <c r="E300" s="356"/>
    </row>
    <row r="301">
      <c r="E301" s="356"/>
    </row>
    <row r="302">
      <c r="E302" s="356"/>
    </row>
    <row r="303">
      <c r="E303" s="356"/>
    </row>
    <row r="304">
      <c r="E304" s="356"/>
    </row>
    <row r="305">
      <c r="E305" s="356"/>
    </row>
    <row r="306">
      <c r="E306" s="356"/>
    </row>
    <row r="307">
      <c r="E307" s="356"/>
    </row>
    <row r="308">
      <c r="E308" s="356"/>
    </row>
    <row r="309">
      <c r="E309" s="356"/>
    </row>
    <row r="310">
      <c r="E310" s="356"/>
    </row>
    <row r="311">
      <c r="E311" s="356"/>
    </row>
    <row r="312">
      <c r="E312" s="356"/>
    </row>
    <row r="313">
      <c r="E313" s="356"/>
    </row>
    <row r="314">
      <c r="E314" s="356"/>
    </row>
    <row r="315">
      <c r="E315" s="356"/>
    </row>
    <row r="316">
      <c r="E316" s="356"/>
    </row>
    <row r="317">
      <c r="E317" s="356"/>
    </row>
    <row r="318">
      <c r="E318" s="356"/>
    </row>
    <row r="319">
      <c r="E319" s="356"/>
    </row>
    <row r="320">
      <c r="E320" s="356"/>
    </row>
    <row r="321">
      <c r="E321" s="356"/>
    </row>
    <row r="322">
      <c r="E322" s="356"/>
    </row>
    <row r="323">
      <c r="E323" s="356"/>
    </row>
    <row r="324">
      <c r="E324" s="356"/>
    </row>
    <row r="325">
      <c r="E325" s="356"/>
    </row>
    <row r="326">
      <c r="E326" s="356"/>
    </row>
    <row r="327">
      <c r="E327" s="356"/>
    </row>
    <row r="328">
      <c r="E328" s="356"/>
    </row>
    <row r="329">
      <c r="E329" s="356"/>
    </row>
    <row r="330">
      <c r="E330" s="356"/>
    </row>
    <row r="331">
      <c r="E331" s="356"/>
    </row>
    <row r="332">
      <c r="E332" s="356"/>
    </row>
    <row r="333">
      <c r="E333" s="356"/>
    </row>
    <row r="334">
      <c r="E334" s="356"/>
    </row>
    <row r="335">
      <c r="E335" s="356"/>
    </row>
    <row r="336">
      <c r="E336" s="356"/>
    </row>
    <row r="337">
      <c r="E337" s="356"/>
    </row>
    <row r="338">
      <c r="E338" s="356"/>
    </row>
    <row r="339">
      <c r="E339" s="356"/>
    </row>
    <row r="340">
      <c r="E340" s="356"/>
    </row>
    <row r="341">
      <c r="E341" s="356"/>
    </row>
    <row r="342">
      <c r="E342" s="356"/>
    </row>
    <row r="343">
      <c r="E343" s="356"/>
    </row>
    <row r="344">
      <c r="E344" s="356"/>
    </row>
    <row r="345">
      <c r="E345" s="356"/>
    </row>
    <row r="346">
      <c r="E346" s="356"/>
    </row>
    <row r="347">
      <c r="E347" s="356"/>
    </row>
    <row r="348">
      <c r="E348" s="356"/>
    </row>
    <row r="349">
      <c r="E349" s="356"/>
    </row>
    <row r="350">
      <c r="E350" s="356"/>
    </row>
    <row r="351">
      <c r="E351" s="356"/>
    </row>
    <row r="352">
      <c r="E352" s="356"/>
    </row>
    <row r="353">
      <c r="E353" s="356"/>
    </row>
    <row r="354">
      <c r="E354" s="356"/>
    </row>
    <row r="355">
      <c r="E355" s="356"/>
    </row>
    <row r="356">
      <c r="E356" s="356"/>
    </row>
    <row r="357">
      <c r="E357" s="356"/>
    </row>
    <row r="358">
      <c r="E358" s="356"/>
    </row>
    <row r="359">
      <c r="E359" s="356"/>
    </row>
    <row r="360">
      <c r="E360" s="356"/>
    </row>
    <row r="361">
      <c r="E361" s="356"/>
    </row>
    <row r="362">
      <c r="E362" s="356"/>
    </row>
    <row r="363">
      <c r="E363" s="356"/>
    </row>
    <row r="364">
      <c r="E364" s="356"/>
    </row>
    <row r="365">
      <c r="E365" s="356"/>
    </row>
    <row r="366">
      <c r="E366" s="356"/>
    </row>
    <row r="367">
      <c r="E367" s="356"/>
    </row>
    <row r="368">
      <c r="E368" s="356"/>
    </row>
    <row r="369">
      <c r="E369" s="356"/>
    </row>
    <row r="370">
      <c r="E370" s="356"/>
    </row>
    <row r="371">
      <c r="E371" s="356"/>
    </row>
    <row r="372">
      <c r="E372" s="356"/>
    </row>
    <row r="373">
      <c r="E373" s="356"/>
    </row>
    <row r="374">
      <c r="E374" s="356"/>
    </row>
    <row r="375">
      <c r="E375" s="356"/>
    </row>
    <row r="376">
      <c r="E376" s="356"/>
    </row>
    <row r="377">
      <c r="E377" s="356"/>
    </row>
    <row r="378">
      <c r="E378" s="356"/>
    </row>
    <row r="379">
      <c r="E379" s="356"/>
    </row>
    <row r="380">
      <c r="E380" s="356"/>
    </row>
    <row r="381">
      <c r="E381" s="356"/>
    </row>
    <row r="382">
      <c r="E382" s="356"/>
    </row>
    <row r="383">
      <c r="E383" s="356"/>
    </row>
    <row r="384">
      <c r="E384" s="356"/>
    </row>
    <row r="385">
      <c r="E385" s="356"/>
    </row>
    <row r="386">
      <c r="E386" s="356"/>
    </row>
    <row r="387">
      <c r="E387" s="356"/>
    </row>
    <row r="388">
      <c r="E388" s="356"/>
    </row>
    <row r="389">
      <c r="E389" s="356"/>
    </row>
    <row r="390">
      <c r="E390" s="356"/>
    </row>
    <row r="391">
      <c r="E391" s="356"/>
    </row>
    <row r="392">
      <c r="E392" s="356"/>
    </row>
    <row r="393">
      <c r="E393" s="356"/>
    </row>
    <row r="394">
      <c r="E394" s="356"/>
    </row>
    <row r="395">
      <c r="E395" s="356"/>
    </row>
    <row r="396">
      <c r="E396" s="356"/>
    </row>
    <row r="397">
      <c r="E397" s="356"/>
    </row>
    <row r="398">
      <c r="E398" s="356"/>
    </row>
    <row r="399">
      <c r="E399" s="356"/>
    </row>
    <row r="400">
      <c r="E400" s="356"/>
    </row>
    <row r="401">
      <c r="E401" s="356"/>
    </row>
    <row r="402">
      <c r="E402" s="356"/>
    </row>
    <row r="403">
      <c r="E403" s="356"/>
    </row>
    <row r="404">
      <c r="E404" s="356"/>
    </row>
    <row r="405">
      <c r="E405" s="356"/>
    </row>
    <row r="406">
      <c r="E406" s="356"/>
    </row>
    <row r="407">
      <c r="E407" s="356"/>
    </row>
    <row r="408">
      <c r="E408" s="356"/>
    </row>
    <row r="409">
      <c r="E409" s="356"/>
    </row>
    <row r="410">
      <c r="E410" s="356"/>
    </row>
    <row r="411">
      <c r="E411" s="356"/>
    </row>
    <row r="412">
      <c r="E412" s="356"/>
    </row>
    <row r="413">
      <c r="E413" s="356"/>
    </row>
    <row r="414">
      <c r="E414" s="356"/>
    </row>
    <row r="415">
      <c r="E415" s="356"/>
    </row>
    <row r="416">
      <c r="E416" s="356"/>
    </row>
    <row r="417">
      <c r="E417" s="356"/>
    </row>
    <row r="418">
      <c r="E418" s="356"/>
    </row>
    <row r="419">
      <c r="E419" s="356"/>
    </row>
    <row r="420">
      <c r="E420" s="356"/>
    </row>
    <row r="421">
      <c r="E421" s="356"/>
    </row>
    <row r="422">
      <c r="E422" s="356"/>
    </row>
    <row r="423">
      <c r="E423" s="356"/>
    </row>
    <row r="424">
      <c r="E424" s="356"/>
    </row>
    <row r="425">
      <c r="E425" s="356"/>
    </row>
    <row r="426">
      <c r="E426" s="356"/>
    </row>
    <row r="427">
      <c r="E427" s="356"/>
    </row>
    <row r="428">
      <c r="E428" s="356"/>
    </row>
    <row r="429">
      <c r="E429" s="356"/>
    </row>
    <row r="430">
      <c r="E430" s="356"/>
    </row>
    <row r="431">
      <c r="E431" s="356"/>
    </row>
    <row r="432">
      <c r="E432" s="356"/>
    </row>
    <row r="433">
      <c r="E433" s="356"/>
    </row>
    <row r="434">
      <c r="E434" s="356"/>
    </row>
    <row r="435">
      <c r="E435" s="356"/>
    </row>
    <row r="436">
      <c r="E436" s="356"/>
    </row>
    <row r="437">
      <c r="E437" s="356"/>
    </row>
    <row r="438">
      <c r="E438" s="356"/>
    </row>
    <row r="439">
      <c r="E439" s="356"/>
    </row>
    <row r="440">
      <c r="E440" s="356"/>
    </row>
    <row r="441">
      <c r="E441" s="356"/>
    </row>
    <row r="442">
      <c r="E442" s="356"/>
    </row>
    <row r="443">
      <c r="E443" s="356"/>
    </row>
    <row r="444">
      <c r="E444" s="356"/>
    </row>
    <row r="445">
      <c r="E445" s="356"/>
    </row>
    <row r="446">
      <c r="E446" s="356"/>
    </row>
    <row r="447">
      <c r="E447" s="356"/>
    </row>
    <row r="448">
      <c r="E448" s="356"/>
    </row>
    <row r="449">
      <c r="E449" s="356"/>
    </row>
    <row r="450">
      <c r="E450" s="356"/>
    </row>
    <row r="451">
      <c r="E451" s="356"/>
    </row>
    <row r="452">
      <c r="E452" s="356"/>
    </row>
    <row r="453">
      <c r="E453" s="356"/>
    </row>
    <row r="454">
      <c r="E454" s="356"/>
    </row>
    <row r="455">
      <c r="E455" s="356"/>
    </row>
    <row r="456">
      <c r="E456" s="356"/>
    </row>
    <row r="457">
      <c r="E457" s="356"/>
    </row>
    <row r="458">
      <c r="E458" s="356"/>
    </row>
    <row r="459">
      <c r="E459" s="356"/>
    </row>
    <row r="460">
      <c r="E460" s="356"/>
    </row>
    <row r="461">
      <c r="E461" s="356"/>
    </row>
    <row r="462">
      <c r="E462" s="356"/>
    </row>
    <row r="463">
      <c r="E463" s="356"/>
    </row>
    <row r="464">
      <c r="E464" s="356"/>
    </row>
    <row r="465">
      <c r="E465" s="356"/>
    </row>
    <row r="466">
      <c r="E466" s="356"/>
    </row>
    <row r="467">
      <c r="E467" s="356"/>
    </row>
    <row r="468">
      <c r="E468" s="356"/>
    </row>
    <row r="469">
      <c r="E469" s="356"/>
    </row>
    <row r="470">
      <c r="E470" s="356"/>
    </row>
    <row r="471">
      <c r="E471" s="356"/>
    </row>
    <row r="472">
      <c r="E472" s="356"/>
    </row>
    <row r="473">
      <c r="E473" s="356"/>
    </row>
    <row r="474">
      <c r="E474" s="356"/>
    </row>
    <row r="475">
      <c r="E475" s="356"/>
    </row>
    <row r="476">
      <c r="E476" s="356"/>
    </row>
    <row r="477">
      <c r="E477" s="356"/>
    </row>
    <row r="478">
      <c r="E478" s="356"/>
    </row>
    <row r="479">
      <c r="E479" s="356"/>
    </row>
    <row r="480">
      <c r="E480" s="356"/>
    </row>
    <row r="481">
      <c r="E481" s="356"/>
    </row>
    <row r="482">
      <c r="E482" s="356"/>
    </row>
    <row r="483">
      <c r="E483" s="356"/>
    </row>
    <row r="484">
      <c r="E484" s="356"/>
    </row>
    <row r="485">
      <c r="E485" s="356"/>
    </row>
    <row r="486">
      <c r="E486" s="356"/>
    </row>
    <row r="487">
      <c r="E487" s="356"/>
    </row>
    <row r="488">
      <c r="E488" s="356"/>
    </row>
    <row r="489">
      <c r="E489" s="356"/>
    </row>
    <row r="490">
      <c r="E490" s="356"/>
    </row>
    <row r="491">
      <c r="E491" s="356"/>
    </row>
    <row r="492">
      <c r="E492" s="356"/>
    </row>
    <row r="493">
      <c r="E493" s="356"/>
    </row>
    <row r="494">
      <c r="E494" s="356"/>
    </row>
    <row r="495">
      <c r="E495" s="356"/>
    </row>
    <row r="496">
      <c r="E496" s="356"/>
    </row>
    <row r="497">
      <c r="E497" s="356"/>
    </row>
    <row r="498">
      <c r="E498" s="356"/>
    </row>
    <row r="499">
      <c r="E499" s="356"/>
    </row>
    <row r="500">
      <c r="E500" s="356"/>
    </row>
    <row r="501">
      <c r="E501" s="356"/>
    </row>
    <row r="502">
      <c r="E502" s="356"/>
    </row>
    <row r="503">
      <c r="E503" s="356"/>
    </row>
    <row r="504">
      <c r="E504" s="356"/>
    </row>
    <row r="505">
      <c r="E505" s="356"/>
    </row>
    <row r="506">
      <c r="E506" s="356"/>
    </row>
    <row r="507">
      <c r="E507" s="356"/>
    </row>
    <row r="508">
      <c r="E508" s="356"/>
    </row>
    <row r="509">
      <c r="E509" s="356"/>
    </row>
    <row r="510">
      <c r="E510" s="356"/>
    </row>
    <row r="511">
      <c r="E511" s="356"/>
    </row>
    <row r="512">
      <c r="E512" s="356"/>
    </row>
    <row r="513">
      <c r="E513" s="356"/>
    </row>
    <row r="514">
      <c r="E514" s="356"/>
    </row>
    <row r="515">
      <c r="E515" s="356"/>
    </row>
    <row r="516">
      <c r="E516" s="356"/>
    </row>
    <row r="517">
      <c r="E517" s="356"/>
    </row>
    <row r="518">
      <c r="E518" s="356"/>
    </row>
    <row r="519">
      <c r="E519" s="356"/>
    </row>
    <row r="520">
      <c r="E520" s="356"/>
    </row>
    <row r="521">
      <c r="E521" s="356"/>
    </row>
    <row r="522">
      <c r="E522" s="356"/>
    </row>
    <row r="523">
      <c r="E523" s="356"/>
    </row>
    <row r="524">
      <c r="E524" s="356"/>
    </row>
    <row r="525">
      <c r="E525" s="356"/>
    </row>
    <row r="526">
      <c r="E526" s="356"/>
    </row>
    <row r="527">
      <c r="E527" s="356"/>
    </row>
    <row r="528">
      <c r="E528" s="356"/>
    </row>
    <row r="529">
      <c r="E529" s="356"/>
    </row>
    <row r="530">
      <c r="E530" s="356"/>
    </row>
    <row r="531">
      <c r="E531" s="356"/>
    </row>
    <row r="532">
      <c r="E532" s="356"/>
    </row>
    <row r="533">
      <c r="E533" s="356"/>
    </row>
    <row r="534">
      <c r="E534" s="356"/>
    </row>
    <row r="535">
      <c r="E535" s="356"/>
    </row>
    <row r="536">
      <c r="E536" s="356"/>
    </row>
    <row r="537">
      <c r="E537" s="356"/>
    </row>
    <row r="538">
      <c r="E538" s="356"/>
    </row>
    <row r="539">
      <c r="E539" s="356"/>
    </row>
    <row r="540">
      <c r="E540" s="356"/>
    </row>
    <row r="541">
      <c r="E541" s="356"/>
    </row>
    <row r="542">
      <c r="E542" s="356"/>
    </row>
    <row r="543">
      <c r="E543" s="356"/>
    </row>
    <row r="544">
      <c r="E544" s="356"/>
    </row>
    <row r="545">
      <c r="E545" s="356"/>
    </row>
    <row r="546">
      <c r="E546" s="356"/>
    </row>
    <row r="547">
      <c r="E547" s="356"/>
    </row>
    <row r="548">
      <c r="E548" s="356"/>
    </row>
    <row r="549">
      <c r="E549" s="356"/>
    </row>
    <row r="550">
      <c r="E550" s="356"/>
    </row>
    <row r="551">
      <c r="E551" s="356"/>
    </row>
    <row r="552">
      <c r="E552" s="356"/>
    </row>
    <row r="553">
      <c r="E553" s="356"/>
    </row>
    <row r="554">
      <c r="E554" s="356"/>
    </row>
    <row r="555">
      <c r="E555" s="356"/>
    </row>
    <row r="556">
      <c r="E556" s="356"/>
    </row>
    <row r="557">
      <c r="E557" s="356"/>
    </row>
    <row r="558">
      <c r="E558" s="356"/>
    </row>
    <row r="559">
      <c r="E559" s="356"/>
    </row>
    <row r="560">
      <c r="E560" s="356"/>
    </row>
    <row r="561">
      <c r="E561" s="356"/>
    </row>
    <row r="562">
      <c r="E562" s="356"/>
    </row>
    <row r="563">
      <c r="E563" s="356"/>
    </row>
    <row r="564">
      <c r="E564" s="356"/>
    </row>
    <row r="565">
      <c r="E565" s="356"/>
    </row>
    <row r="566">
      <c r="E566" s="356"/>
    </row>
    <row r="567">
      <c r="E567" s="356"/>
    </row>
    <row r="568">
      <c r="E568" s="356"/>
    </row>
    <row r="569">
      <c r="E569" s="356"/>
    </row>
    <row r="570">
      <c r="E570" s="356"/>
    </row>
    <row r="571">
      <c r="E571" s="356"/>
    </row>
    <row r="572">
      <c r="E572" s="356"/>
    </row>
    <row r="573">
      <c r="E573" s="356"/>
    </row>
    <row r="574">
      <c r="E574" s="356"/>
    </row>
    <row r="575">
      <c r="E575" s="356"/>
    </row>
    <row r="576">
      <c r="E576" s="356"/>
    </row>
    <row r="577">
      <c r="E577" s="356"/>
    </row>
    <row r="578">
      <c r="E578" s="356"/>
    </row>
    <row r="579">
      <c r="E579" s="356"/>
    </row>
    <row r="580">
      <c r="E580" s="356"/>
    </row>
    <row r="581">
      <c r="E581" s="356"/>
    </row>
    <row r="582">
      <c r="E582" s="356"/>
    </row>
    <row r="583">
      <c r="E583" s="356"/>
    </row>
    <row r="584">
      <c r="E584" s="356"/>
    </row>
    <row r="585">
      <c r="E585" s="356"/>
    </row>
    <row r="586">
      <c r="E586" s="356"/>
    </row>
    <row r="587">
      <c r="E587" s="356"/>
    </row>
    <row r="588">
      <c r="E588" s="356"/>
    </row>
    <row r="589">
      <c r="E589" s="356"/>
    </row>
    <row r="590">
      <c r="E590" s="356"/>
    </row>
    <row r="591">
      <c r="E591" s="356"/>
    </row>
    <row r="592">
      <c r="E592" s="356"/>
    </row>
    <row r="593">
      <c r="E593" s="356"/>
    </row>
    <row r="594">
      <c r="E594" s="356"/>
    </row>
    <row r="595">
      <c r="E595" s="356"/>
    </row>
    <row r="596">
      <c r="E596" s="356"/>
    </row>
    <row r="597">
      <c r="E597" s="356"/>
    </row>
    <row r="598">
      <c r="E598" s="356"/>
    </row>
    <row r="599">
      <c r="E599" s="356"/>
    </row>
    <row r="600">
      <c r="E600" s="356"/>
    </row>
    <row r="601">
      <c r="E601" s="356"/>
    </row>
    <row r="602">
      <c r="E602" s="356"/>
    </row>
    <row r="603">
      <c r="E603" s="356"/>
    </row>
    <row r="604">
      <c r="E604" s="356"/>
    </row>
    <row r="605">
      <c r="E605" s="356"/>
    </row>
    <row r="606">
      <c r="E606" s="356"/>
    </row>
    <row r="607">
      <c r="E607" s="356"/>
    </row>
    <row r="608">
      <c r="E608" s="356"/>
    </row>
    <row r="609">
      <c r="E609" s="356"/>
    </row>
    <row r="610">
      <c r="E610" s="356"/>
    </row>
    <row r="611">
      <c r="E611" s="356"/>
    </row>
    <row r="612">
      <c r="E612" s="356"/>
    </row>
    <row r="613">
      <c r="E613" s="356"/>
    </row>
    <row r="614">
      <c r="E614" s="356"/>
    </row>
    <row r="615">
      <c r="E615" s="356"/>
    </row>
    <row r="616">
      <c r="E616" s="356"/>
    </row>
    <row r="617">
      <c r="E617" s="356"/>
    </row>
    <row r="618">
      <c r="E618" s="356"/>
    </row>
    <row r="619">
      <c r="E619" s="356"/>
    </row>
    <row r="620">
      <c r="E620" s="356"/>
    </row>
    <row r="621">
      <c r="E621" s="356"/>
    </row>
    <row r="622">
      <c r="E622" s="356"/>
    </row>
    <row r="623">
      <c r="E623" s="356"/>
    </row>
    <row r="624">
      <c r="E624" s="356"/>
    </row>
    <row r="625">
      <c r="E625" s="356"/>
    </row>
    <row r="626">
      <c r="E626" s="356"/>
    </row>
    <row r="627">
      <c r="E627" s="356"/>
    </row>
    <row r="628">
      <c r="E628" s="356"/>
    </row>
    <row r="629">
      <c r="E629" s="356"/>
    </row>
    <row r="630">
      <c r="E630" s="356"/>
    </row>
    <row r="631">
      <c r="E631" s="356"/>
    </row>
    <row r="632">
      <c r="E632" s="356"/>
    </row>
    <row r="633">
      <c r="E633" s="356"/>
    </row>
    <row r="634">
      <c r="E634" s="356"/>
    </row>
    <row r="635">
      <c r="E635" s="356"/>
    </row>
    <row r="636">
      <c r="E636" s="356"/>
    </row>
    <row r="637">
      <c r="E637" s="356"/>
    </row>
    <row r="638">
      <c r="E638" s="356"/>
    </row>
    <row r="639">
      <c r="E639" s="356"/>
    </row>
    <row r="640">
      <c r="E640" s="356"/>
    </row>
    <row r="641">
      <c r="E641" s="356"/>
    </row>
    <row r="642">
      <c r="E642" s="356"/>
    </row>
    <row r="643">
      <c r="E643" s="356"/>
    </row>
    <row r="644">
      <c r="E644" s="356"/>
    </row>
    <row r="645">
      <c r="E645" s="356"/>
    </row>
    <row r="646">
      <c r="E646" s="356"/>
    </row>
    <row r="647">
      <c r="E647" s="356"/>
    </row>
    <row r="648">
      <c r="E648" s="356"/>
    </row>
    <row r="649">
      <c r="E649" s="356"/>
    </row>
    <row r="650">
      <c r="E650" s="356"/>
    </row>
    <row r="651">
      <c r="E651" s="356"/>
    </row>
    <row r="652">
      <c r="E652" s="356"/>
    </row>
    <row r="653">
      <c r="E653" s="356"/>
    </row>
    <row r="654">
      <c r="E654" s="356"/>
    </row>
    <row r="655">
      <c r="E655" s="356"/>
    </row>
    <row r="656">
      <c r="E656" s="356"/>
    </row>
    <row r="657">
      <c r="E657" s="356"/>
    </row>
    <row r="658">
      <c r="E658" s="356"/>
    </row>
    <row r="659">
      <c r="E659" s="356"/>
    </row>
    <row r="660">
      <c r="E660" s="356"/>
    </row>
    <row r="661">
      <c r="E661" s="356"/>
    </row>
    <row r="662">
      <c r="E662" s="356"/>
    </row>
    <row r="663">
      <c r="E663" s="356"/>
    </row>
    <row r="664">
      <c r="E664" s="356"/>
    </row>
    <row r="665">
      <c r="E665" s="356"/>
    </row>
    <row r="666">
      <c r="E666" s="356"/>
    </row>
    <row r="667">
      <c r="E667" s="356"/>
    </row>
    <row r="668">
      <c r="E668" s="356"/>
    </row>
    <row r="669">
      <c r="E669" s="356"/>
    </row>
    <row r="670">
      <c r="E670" s="356"/>
    </row>
    <row r="671">
      <c r="E671" s="356"/>
    </row>
    <row r="672">
      <c r="E672" s="356"/>
    </row>
    <row r="673">
      <c r="E673" s="356"/>
    </row>
    <row r="674">
      <c r="E674" s="356"/>
    </row>
    <row r="675">
      <c r="E675" s="356"/>
    </row>
    <row r="676">
      <c r="E676" s="356"/>
    </row>
    <row r="677">
      <c r="E677" s="356"/>
    </row>
    <row r="678">
      <c r="E678" s="356"/>
    </row>
    <row r="679">
      <c r="E679" s="356"/>
    </row>
    <row r="680">
      <c r="E680" s="356"/>
    </row>
    <row r="681">
      <c r="E681" s="356"/>
    </row>
    <row r="682">
      <c r="E682" s="356"/>
    </row>
    <row r="683">
      <c r="E683" s="356"/>
    </row>
    <row r="684">
      <c r="E684" s="356"/>
    </row>
    <row r="685">
      <c r="E685" s="356"/>
    </row>
    <row r="686">
      <c r="E686" s="356"/>
    </row>
    <row r="687">
      <c r="E687" s="356"/>
    </row>
    <row r="688">
      <c r="E688" s="356"/>
    </row>
    <row r="689">
      <c r="E689" s="356"/>
    </row>
    <row r="690">
      <c r="E690" s="356"/>
    </row>
    <row r="691">
      <c r="E691" s="356"/>
    </row>
    <row r="692">
      <c r="E692" s="356"/>
    </row>
    <row r="693">
      <c r="E693" s="356"/>
    </row>
    <row r="694">
      <c r="E694" s="356"/>
    </row>
    <row r="695">
      <c r="E695" s="356"/>
    </row>
    <row r="696">
      <c r="E696" s="356"/>
    </row>
    <row r="697">
      <c r="E697" s="356"/>
    </row>
    <row r="698">
      <c r="E698" s="356"/>
    </row>
    <row r="699">
      <c r="E699" s="356"/>
    </row>
    <row r="700">
      <c r="E700" s="356"/>
    </row>
    <row r="701">
      <c r="E701" s="356"/>
    </row>
    <row r="702">
      <c r="E702" s="356"/>
    </row>
    <row r="703">
      <c r="E703" s="356"/>
    </row>
    <row r="704">
      <c r="E704" s="356"/>
    </row>
    <row r="705">
      <c r="E705" s="356"/>
    </row>
    <row r="706">
      <c r="E706" s="356"/>
    </row>
    <row r="707">
      <c r="E707" s="356"/>
    </row>
    <row r="708">
      <c r="E708" s="356"/>
    </row>
    <row r="709">
      <c r="E709" s="356"/>
    </row>
    <row r="710">
      <c r="E710" s="356"/>
    </row>
    <row r="711">
      <c r="E711" s="356"/>
    </row>
    <row r="712">
      <c r="E712" s="356"/>
    </row>
    <row r="713">
      <c r="E713" s="356"/>
    </row>
    <row r="714">
      <c r="E714" s="356"/>
    </row>
    <row r="715">
      <c r="E715" s="356"/>
    </row>
    <row r="716">
      <c r="E716" s="356"/>
    </row>
    <row r="717">
      <c r="E717" s="356"/>
    </row>
    <row r="718">
      <c r="E718" s="356"/>
    </row>
    <row r="719">
      <c r="E719" s="356"/>
    </row>
    <row r="720">
      <c r="E720" s="356"/>
    </row>
    <row r="721">
      <c r="E721" s="356"/>
    </row>
    <row r="722">
      <c r="E722" s="356"/>
    </row>
    <row r="723">
      <c r="E723" s="356"/>
    </row>
    <row r="724">
      <c r="E724" s="356"/>
    </row>
    <row r="725">
      <c r="E725" s="356"/>
    </row>
    <row r="726">
      <c r="E726" s="356"/>
    </row>
    <row r="727">
      <c r="E727" s="356"/>
    </row>
    <row r="728">
      <c r="E728" s="356"/>
    </row>
    <row r="729">
      <c r="E729" s="356"/>
    </row>
    <row r="730">
      <c r="E730" s="356"/>
    </row>
    <row r="731">
      <c r="E731" s="356"/>
    </row>
    <row r="732">
      <c r="E732" s="356"/>
    </row>
    <row r="733">
      <c r="E733" s="356"/>
    </row>
    <row r="734">
      <c r="E734" s="356"/>
    </row>
    <row r="735">
      <c r="E735" s="356"/>
    </row>
    <row r="736">
      <c r="E736" s="356"/>
    </row>
    <row r="737">
      <c r="E737" s="356"/>
    </row>
    <row r="738">
      <c r="E738" s="356"/>
    </row>
    <row r="739">
      <c r="E739" s="356"/>
    </row>
    <row r="740">
      <c r="E740" s="356"/>
    </row>
    <row r="741">
      <c r="E741" s="356"/>
    </row>
    <row r="742">
      <c r="E742" s="356"/>
    </row>
    <row r="743">
      <c r="E743" s="356"/>
    </row>
    <row r="744">
      <c r="E744" s="356"/>
    </row>
    <row r="745">
      <c r="E745" s="356"/>
    </row>
    <row r="746">
      <c r="E746" s="356"/>
    </row>
    <row r="747">
      <c r="E747" s="356"/>
    </row>
    <row r="748">
      <c r="E748" s="356"/>
    </row>
    <row r="749">
      <c r="E749" s="356"/>
    </row>
    <row r="750">
      <c r="E750" s="356"/>
    </row>
    <row r="751">
      <c r="E751" s="356"/>
    </row>
    <row r="752">
      <c r="E752" s="356"/>
    </row>
    <row r="753">
      <c r="E753" s="356"/>
    </row>
    <row r="754">
      <c r="E754" s="356"/>
    </row>
    <row r="755">
      <c r="E755" s="356"/>
    </row>
    <row r="756">
      <c r="E756" s="356"/>
    </row>
    <row r="757">
      <c r="E757" s="356"/>
    </row>
    <row r="758">
      <c r="E758" s="356"/>
    </row>
    <row r="759">
      <c r="E759" s="356"/>
    </row>
    <row r="760">
      <c r="E760" s="356"/>
    </row>
    <row r="761">
      <c r="E761" s="356"/>
    </row>
    <row r="762">
      <c r="E762" s="356"/>
    </row>
    <row r="763">
      <c r="E763" s="356"/>
    </row>
    <row r="764">
      <c r="E764" s="356"/>
    </row>
    <row r="765">
      <c r="E765" s="356"/>
    </row>
    <row r="766">
      <c r="E766" s="356"/>
    </row>
    <row r="767">
      <c r="E767" s="356"/>
    </row>
    <row r="768">
      <c r="E768" s="356"/>
    </row>
    <row r="769">
      <c r="E769" s="356"/>
    </row>
    <row r="770">
      <c r="E770" s="356"/>
    </row>
    <row r="771">
      <c r="E771" s="356"/>
    </row>
    <row r="772">
      <c r="E772" s="356"/>
    </row>
    <row r="773">
      <c r="E773" s="356"/>
    </row>
    <row r="774">
      <c r="E774" s="356"/>
    </row>
    <row r="775">
      <c r="E775" s="356"/>
    </row>
    <row r="776">
      <c r="E776" s="356"/>
    </row>
    <row r="777">
      <c r="E777" s="356"/>
    </row>
    <row r="778">
      <c r="E778" s="356"/>
    </row>
    <row r="779">
      <c r="E779" s="356"/>
    </row>
    <row r="780">
      <c r="E780" s="356"/>
    </row>
    <row r="781">
      <c r="E781" s="356"/>
    </row>
    <row r="782">
      <c r="E782" s="356"/>
    </row>
    <row r="783">
      <c r="E783" s="356"/>
    </row>
    <row r="784">
      <c r="E784" s="356"/>
    </row>
    <row r="785">
      <c r="E785" s="356"/>
    </row>
    <row r="786">
      <c r="E786" s="356"/>
    </row>
    <row r="787">
      <c r="E787" s="356"/>
    </row>
    <row r="788">
      <c r="E788" s="356"/>
    </row>
    <row r="789">
      <c r="E789" s="356"/>
    </row>
    <row r="790">
      <c r="E790" s="356"/>
    </row>
    <row r="791">
      <c r="E791" s="356"/>
    </row>
    <row r="792">
      <c r="E792" s="356"/>
    </row>
    <row r="793">
      <c r="E793" s="356"/>
    </row>
    <row r="794">
      <c r="E794" s="356"/>
    </row>
    <row r="795">
      <c r="E795" s="356"/>
    </row>
    <row r="796">
      <c r="E796" s="356"/>
    </row>
    <row r="797">
      <c r="E797" s="356"/>
    </row>
    <row r="798">
      <c r="E798" s="356"/>
    </row>
    <row r="799">
      <c r="E799" s="356"/>
    </row>
    <row r="800">
      <c r="E800" s="356"/>
    </row>
    <row r="801">
      <c r="E801" s="356"/>
    </row>
    <row r="802">
      <c r="E802" s="356"/>
    </row>
    <row r="803">
      <c r="E803" s="356"/>
    </row>
    <row r="804">
      <c r="E804" s="356"/>
    </row>
    <row r="805">
      <c r="E805" s="356"/>
    </row>
    <row r="806">
      <c r="E806" s="356"/>
    </row>
    <row r="807">
      <c r="E807" s="356"/>
    </row>
    <row r="808">
      <c r="E808" s="356"/>
    </row>
    <row r="809">
      <c r="E809" s="356"/>
    </row>
    <row r="810">
      <c r="E810" s="356"/>
    </row>
    <row r="811">
      <c r="E811" s="356"/>
    </row>
    <row r="812">
      <c r="E812" s="356"/>
    </row>
    <row r="813">
      <c r="E813" s="356"/>
    </row>
    <row r="814">
      <c r="E814" s="356"/>
    </row>
    <row r="815">
      <c r="E815" s="356"/>
    </row>
    <row r="816">
      <c r="E816" s="356"/>
    </row>
    <row r="817">
      <c r="E817" s="356"/>
    </row>
    <row r="818">
      <c r="E818" s="356"/>
    </row>
    <row r="819">
      <c r="E819" s="356"/>
    </row>
    <row r="820">
      <c r="E820" s="356"/>
    </row>
    <row r="821">
      <c r="E821" s="356"/>
    </row>
    <row r="822">
      <c r="E822" s="356"/>
    </row>
    <row r="823">
      <c r="E823" s="356"/>
    </row>
    <row r="824">
      <c r="E824" s="356"/>
    </row>
    <row r="825">
      <c r="E825" s="356"/>
    </row>
    <row r="826">
      <c r="E826" s="356"/>
    </row>
    <row r="827">
      <c r="E827" s="356"/>
    </row>
    <row r="828">
      <c r="E828" s="356"/>
    </row>
    <row r="829">
      <c r="E829" s="356"/>
    </row>
    <row r="830">
      <c r="E830" s="356"/>
    </row>
    <row r="831">
      <c r="E831" s="356"/>
    </row>
    <row r="832">
      <c r="E832" s="356"/>
    </row>
    <row r="833">
      <c r="E833" s="356"/>
    </row>
    <row r="834">
      <c r="E834" s="356"/>
    </row>
    <row r="835">
      <c r="E835" s="356"/>
    </row>
    <row r="836">
      <c r="E836" s="356"/>
    </row>
    <row r="837">
      <c r="E837" s="356"/>
    </row>
    <row r="838">
      <c r="E838" s="356"/>
    </row>
    <row r="839">
      <c r="E839" s="356"/>
    </row>
    <row r="840">
      <c r="E840" s="356"/>
    </row>
    <row r="841">
      <c r="E841" s="356"/>
    </row>
    <row r="842">
      <c r="E842" s="356"/>
    </row>
    <row r="843">
      <c r="E843" s="356"/>
    </row>
    <row r="844">
      <c r="E844" s="356"/>
    </row>
    <row r="845">
      <c r="E845" s="356"/>
    </row>
    <row r="846">
      <c r="E846" s="356"/>
    </row>
    <row r="847">
      <c r="E847" s="356"/>
    </row>
    <row r="848">
      <c r="E848" s="356"/>
    </row>
    <row r="849">
      <c r="E849" s="356"/>
    </row>
    <row r="850">
      <c r="E850" s="356"/>
    </row>
    <row r="851">
      <c r="E851" s="356"/>
    </row>
    <row r="852">
      <c r="E852" s="356"/>
    </row>
    <row r="853">
      <c r="E853" s="356"/>
    </row>
    <row r="854">
      <c r="E854" s="356"/>
    </row>
    <row r="855">
      <c r="E855" s="356"/>
    </row>
    <row r="856">
      <c r="E856" s="356"/>
    </row>
    <row r="857">
      <c r="E857" s="356"/>
    </row>
    <row r="858">
      <c r="E858" s="356"/>
    </row>
    <row r="859">
      <c r="E859" s="356"/>
    </row>
    <row r="860">
      <c r="E860" s="356"/>
    </row>
    <row r="861">
      <c r="E861" s="356"/>
    </row>
    <row r="862">
      <c r="E862" s="356"/>
    </row>
    <row r="863">
      <c r="E863" s="356"/>
    </row>
    <row r="864">
      <c r="E864" s="356"/>
    </row>
    <row r="865">
      <c r="E865" s="356"/>
    </row>
    <row r="866">
      <c r="E866" s="356"/>
    </row>
    <row r="867">
      <c r="E867" s="356"/>
    </row>
    <row r="868">
      <c r="E868" s="356"/>
    </row>
    <row r="869">
      <c r="E869" s="356"/>
    </row>
    <row r="870">
      <c r="E870" s="356"/>
    </row>
    <row r="871">
      <c r="E871" s="356"/>
    </row>
    <row r="872">
      <c r="E872" s="356"/>
    </row>
    <row r="873">
      <c r="E873" s="356"/>
    </row>
    <row r="874">
      <c r="E874" s="356"/>
    </row>
    <row r="875">
      <c r="E875" s="356"/>
    </row>
    <row r="876">
      <c r="E876" s="356"/>
    </row>
    <row r="877">
      <c r="E877" s="356"/>
    </row>
    <row r="878">
      <c r="E878" s="356"/>
    </row>
    <row r="879">
      <c r="E879" s="356"/>
    </row>
    <row r="880">
      <c r="E880" s="356"/>
    </row>
    <row r="881">
      <c r="E881" s="356"/>
    </row>
    <row r="882">
      <c r="E882" s="356"/>
    </row>
    <row r="883">
      <c r="E883" s="356"/>
    </row>
    <row r="884">
      <c r="E884" s="356"/>
    </row>
    <row r="885">
      <c r="E885" s="356"/>
    </row>
    <row r="886">
      <c r="E886" s="356"/>
    </row>
    <row r="887">
      <c r="E887" s="356"/>
    </row>
    <row r="888">
      <c r="E888" s="356"/>
    </row>
    <row r="889">
      <c r="E889" s="356"/>
    </row>
    <row r="890">
      <c r="E890" s="356"/>
    </row>
    <row r="891">
      <c r="E891" s="356"/>
    </row>
    <row r="892">
      <c r="E892" s="356"/>
    </row>
    <row r="893">
      <c r="E893" s="356"/>
    </row>
    <row r="894">
      <c r="E894" s="356"/>
    </row>
    <row r="895">
      <c r="E895" s="356"/>
    </row>
    <row r="896">
      <c r="E896" s="356"/>
    </row>
    <row r="897">
      <c r="E897" s="356"/>
    </row>
    <row r="898">
      <c r="E898" s="356"/>
    </row>
    <row r="899">
      <c r="E899" s="356"/>
    </row>
    <row r="900">
      <c r="E900" s="356"/>
    </row>
    <row r="901">
      <c r="E901" s="356"/>
    </row>
    <row r="902">
      <c r="E902" s="356"/>
    </row>
    <row r="903">
      <c r="E903" s="356"/>
    </row>
    <row r="904">
      <c r="E904" s="356"/>
    </row>
    <row r="905">
      <c r="E905" s="356"/>
    </row>
    <row r="906">
      <c r="E906" s="356"/>
    </row>
    <row r="907">
      <c r="E907" s="356"/>
    </row>
    <row r="908">
      <c r="E908" s="356"/>
    </row>
    <row r="909">
      <c r="E909" s="356"/>
    </row>
    <row r="910">
      <c r="E910" s="356"/>
    </row>
    <row r="911">
      <c r="E911" s="356"/>
    </row>
    <row r="912">
      <c r="E912" s="356"/>
    </row>
    <row r="913">
      <c r="E913" s="356"/>
    </row>
    <row r="914">
      <c r="E914" s="356"/>
    </row>
    <row r="915">
      <c r="E915" s="356"/>
    </row>
    <row r="916">
      <c r="E916" s="356"/>
    </row>
    <row r="917">
      <c r="E917" s="356"/>
    </row>
    <row r="918">
      <c r="E918" s="356"/>
    </row>
    <row r="919">
      <c r="E919" s="356"/>
    </row>
    <row r="920">
      <c r="E920" s="356"/>
    </row>
    <row r="921">
      <c r="E921" s="356"/>
    </row>
    <row r="922">
      <c r="E922" s="356"/>
    </row>
    <row r="923">
      <c r="E923" s="356"/>
    </row>
    <row r="924">
      <c r="E924" s="356"/>
    </row>
    <row r="925">
      <c r="E925" s="356"/>
    </row>
    <row r="926">
      <c r="E926" s="356"/>
    </row>
    <row r="927">
      <c r="E927" s="356"/>
    </row>
    <row r="928">
      <c r="E928" s="356"/>
    </row>
    <row r="929">
      <c r="E929" s="356"/>
    </row>
    <row r="930">
      <c r="E930" s="356"/>
    </row>
    <row r="931">
      <c r="E931" s="356"/>
    </row>
    <row r="932">
      <c r="E932" s="356"/>
    </row>
    <row r="933">
      <c r="E933" s="356"/>
    </row>
    <row r="934">
      <c r="E934" s="356"/>
    </row>
    <row r="935">
      <c r="E935" s="356"/>
    </row>
    <row r="936">
      <c r="E936" s="356"/>
    </row>
    <row r="937">
      <c r="E937" s="356"/>
    </row>
    <row r="938">
      <c r="E938" s="356"/>
    </row>
    <row r="939">
      <c r="E939" s="356"/>
    </row>
    <row r="940">
      <c r="E940" s="356"/>
    </row>
    <row r="941">
      <c r="E941" s="356"/>
    </row>
    <row r="942">
      <c r="E942" s="356"/>
    </row>
    <row r="943">
      <c r="E943" s="356"/>
    </row>
    <row r="944">
      <c r="E944" s="356"/>
    </row>
    <row r="945">
      <c r="E945" s="356"/>
    </row>
    <row r="946">
      <c r="E946" s="356"/>
    </row>
    <row r="947">
      <c r="E947" s="356"/>
    </row>
    <row r="948">
      <c r="E948" s="356"/>
    </row>
    <row r="949">
      <c r="E949" s="356"/>
    </row>
    <row r="950">
      <c r="E950" s="356"/>
    </row>
    <row r="951">
      <c r="E951" s="356"/>
    </row>
    <row r="952">
      <c r="E952" s="356"/>
    </row>
    <row r="953">
      <c r="E953" s="356"/>
    </row>
    <row r="954">
      <c r="E954" s="356"/>
    </row>
    <row r="955">
      <c r="E955" s="356"/>
    </row>
    <row r="956">
      <c r="E956" s="356"/>
    </row>
    <row r="957">
      <c r="E957" s="356"/>
    </row>
    <row r="958">
      <c r="E958" s="356"/>
    </row>
    <row r="959">
      <c r="E959" s="356"/>
    </row>
    <row r="960">
      <c r="E960" s="356"/>
    </row>
    <row r="961">
      <c r="E961" s="356"/>
    </row>
    <row r="962">
      <c r="E962" s="356"/>
    </row>
    <row r="963">
      <c r="E963" s="356"/>
    </row>
    <row r="964">
      <c r="E964" s="356"/>
    </row>
    <row r="965">
      <c r="E965" s="356"/>
    </row>
    <row r="966">
      <c r="E966" s="356"/>
    </row>
    <row r="967">
      <c r="E967" s="356"/>
    </row>
    <row r="968">
      <c r="E968" s="356"/>
    </row>
    <row r="969">
      <c r="E969" s="356"/>
    </row>
    <row r="970">
      <c r="E970" s="356"/>
    </row>
    <row r="971">
      <c r="E971" s="356"/>
    </row>
    <row r="972">
      <c r="E972" s="356"/>
    </row>
    <row r="973">
      <c r="E973" s="356"/>
    </row>
    <row r="974">
      <c r="E974" s="356"/>
    </row>
    <row r="975">
      <c r="E975" s="356"/>
    </row>
    <row r="976">
      <c r="E976" s="356"/>
    </row>
    <row r="977">
      <c r="E977" s="356"/>
    </row>
    <row r="978">
      <c r="E978" s="356"/>
    </row>
    <row r="979">
      <c r="E979" s="356"/>
    </row>
    <row r="980">
      <c r="E980" s="356"/>
    </row>
    <row r="981">
      <c r="E981" s="356"/>
    </row>
    <row r="982">
      <c r="E982" s="356"/>
    </row>
    <row r="983">
      <c r="E983" s="356"/>
    </row>
    <row r="984">
      <c r="E984" s="356"/>
    </row>
    <row r="985">
      <c r="E985" s="356"/>
    </row>
    <row r="986">
      <c r="E986" s="356"/>
    </row>
    <row r="987">
      <c r="E987" s="356"/>
    </row>
    <row r="988">
      <c r="E988" s="356"/>
    </row>
    <row r="989">
      <c r="E989" s="356"/>
    </row>
    <row r="990">
      <c r="E990" s="356"/>
    </row>
    <row r="991">
      <c r="E991" s="356"/>
    </row>
    <row r="992">
      <c r="E992" s="356"/>
    </row>
    <row r="993">
      <c r="E993" s="356"/>
    </row>
    <row r="994">
      <c r="E994" s="356"/>
    </row>
    <row r="995">
      <c r="E995" s="356"/>
    </row>
    <row r="996">
      <c r="E996" s="356"/>
    </row>
    <row r="997">
      <c r="E997" s="356"/>
    </row>
    <row r="998">
      <c r="E998" s="356"/>
    </row>
    <row r="999">
      <c r="E999" s="356"/>
    </row>
  </sheetData>
  <mergeCells count="2">
    <mergeCell ref="A1:G1"/>
    <mergeCell ref="H1:J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2"/>
  <sheetData>
    <row r="1">
      <c r="A1" s="16" t="s">
        <v>3754</v>
      </c>
      <c r="B1" s="16" t="s">
        <v>3869</v>
      </c>
      <c r="C1" s="16" t="s">
        <v>3870</v>
      </c>
      <c r="D1" s="16" t="s">
        <v>3871</v>
      </c>
      <c r="E1" s="16" t="s">
        <v>3872</v>
      </c>
      <c r="F1" s="16" t="s">
        <v>3873</v>
      </c>
    </row>
    <row r="2">
      <c r="A2" s="664" t="s">
        <v>518</v>
      </c>
      <c r="B2" s="609">
        <v>46044.0</v>
      </c>
      <c r="C2" s="9" t="b">
        <v>1</v>
      </c>
      <c r="D2" s="9" t="b">
        <v>1</v>
      </c>
      <c r="E2" s="9" t="b">
        <v>1</v>
      </c>
    </row>
    <row r="3">
      <c r="A3" s="16" t="s">
        <v>533</v>
      </c>
      <c r="B3" s="609">
        <v>46044.0</v>
      </c>
      <c r="C3" s="9" t="b">
        <v>1</v>
      </c>
      <c r="D3" s="9" t="b">
        <v>1</v>
      </c>
      <c r="E3" s="9" t="b">
        <v>1</v>
      </c>
    </row>
    <row r="4">
      <c r="A4" s="16" t="s">
        <v>186</v>
      </c>
      <c r="B4" s="609">
        <v>46044.0</v>
      </c>
      <c r="C4" s="9" t="b">
        <v>1</v>
      </c>
      <c r="D4" s="9" t="b">
        <v>1</v>
      </c>
      <c r="E4" s="9" t="b">
        <v>1</v>
      </c>
    </row>
    <row r="5">
      <c r="A5" s="16" t="s">
        <v>116</v>
      </c>
      <c r="B5" s="609">
        <v>46045.0</v>
      </c>
      <c r="C5" s="9" t="b">
        <v>1</v>
      </c>
      <c r="D5" s="9" t="b">
        <v>1</v>
      </c>
      <c r="E5" s="9" t="b">
        <v>1</v>
      </c>
    </row>
    <row r="6">
      <c r="A6" s="672" t="s">
        <v>229</v>
      </c>
      <c r="B6" s="673">
        <v>46048.0</v>
      </c>
      <c r="C6" s="9" t="b">
        <v>1</v>
      </c>
      <c r="D6" s="9" t="b">
        <v>1</v>
      </c>
      <c r="E6" s="9" t="b">
        <v>1</v>
      </c>
    </row>
    <row r="7">
      <c r="A7" s="14" t="s">
        <v>227</v>
      </c>
      <c r="B7" s="673">
        <v>46048.0</v>
      </c>
      <c r="C7" s="9" t="b">
        <v>1</v>
      </c>
      <c r="D7" s="9" t="b">
        <v>1</v>
      </c>
      <c r="E7" s="9" t="b">
        <v>1</v>
      </c>
    </row>
    <row r="8">
      <c r="A8" s="14" t="s">
        <v>537</v>
      </c>
      <c r="B8" s="673">
        <v>46049.0</v>
      </c>
      <c r="C8" s="9" t="b">
        <v>1</v>
      </c>
      <c r="D8" s="9" t="b">
        <v>1</v>
      </c>
      <c r="E8" s="9" t="b">
        <v>1</v>
      </c>
    </row>
    <row r="9">
      <c r="A9" s="14" t="s">
        <v>217</v>
      </c>
      <c r="B9" s="673">
        <v>46050.0</v>
      </c>
      <c r="C9" s="9" t="b">
        <v>1</v>
      </c>
      <c r="D9" s="9" t="b">
        <v>1</v>
      </c>
      <c r="E9" s="9" t="b">
        <v>1</v>
      </c>
    </row>
    <row r="10">
      <c r="A10" s="14" t="s">
        <v>168</v>
      </c>
      <c r="B10" s="673">
        <v>46050.0</v>
      </c>
      <c r="C10" s="9" t="b">
        <v>1</v>
      </c>
      <c r="D10" s="9" t="b">
        <v>1</v>
      </c>
      <c r="E10" s="9" t="b">
        <v>1</v>
      </c>
    </row>
    <row r="11">
      <c r="A11" s="14" t="s">
        <v>228</v>
      </c>
      <c r="B11" s="673">
        <v>46051.0</v>
      </c>
      <c r="C11" s="9" t="b">
        <v>1</v>
      </c>
      <c r="D11" s="9" t="b">
        <v>1</v>
      </c>
      <c r="E11" s="9" t="b">
        <v>1</v>
      </c>
    </row>
    <row r="12">
      <c r="A12" s="14" t="s">
        <v>183</v>
      </c>
      <c r="B12" s="673">
        <v>46052.0</v>
      </c>
      <c r="C12" s="9" t="b">
        <v>1</v>
      </c>
      <c r="D12" s="9" t="b">
        <v>1</v>
      </c>
      <c r="E12" s="9" t="b">
        <v>1</v>
      </c>
    </row>
    <row r="13">
      <c r="A13" s="14" t="s">
        <v>243</v>
      </c>
      <c r="B13" s="673">
        <v>46052.0</v>
      </c>
      <c r="C13" s="9" t="b">
        <v>1</v>
      </c>
      <c r="D13" s="9" t="b">
        <v>1</v>
      </c>
      <c r="E13" s="9" t="b">
        <v>1</v>
      </c>
    </row>
    <row r="14">
      <c r="A14" s="16" t="s">
        <v>164</v>
      </c>
      <c r="B14" s="609">
        <v>46055.0</v>
      </c>
      <c r="C14" s="9" t="b">
        <v>1</v>
      </c>
      <c r="D14" s="9" t="b">
        <v>1</v>
      </c>
      <c r="E14" s="9" t="b">
        <v>1</v>
      </c>
    </row>
    <row r="15">
      <c r="A15" s="16" t="s">
        <v>256</v>
      </c>
      <c r="B15" s="609">
        <v>46070.0</v>
      </c>
      <c r="C15" s="9" t="b">
        <v>1</v>
      </c>
      <c r="D15" s="9" t="b">
        <v>1</v>
      </c>
      <c r="E15" s="9" t="b">
        <v>1</v>
      </c>
    </row>
    <row r="16">
      <c r="A16" s="16" t="s">
        <v>255</v>
      </c>
      <c r="B16" s="609">
        <v>46072.0</v>
      </c>
      <c r="C16" s="9" t="b">
        <v>1</v>
      </c>
      <c r="D16" s="9" t="b">
        <v>1</v>
      </c>
      <c r="E16" s="9" t="b">
        <v>1</v>
      </c>
    </row>
    <row r="17">
      <c r="A17" s="16" t="s">
        <v>542</v>
      </c>
      <c r="B17" s="609">
        <v>46072.0</v>
      </c>
      <c r="C17" s="9" t="b">
        <v>1</v>
      </c>
      <c r="D17" s="9" t="b">
        <v>1</v>
      </c>
      <c r="E17" s="9" t="b">
        <v>1</v>
      </c>
    </row>
    <row r="18">
      <c r="A18" s="16" t="s">
        <v>551</v>
      </c>
      <c r="B18" s="609">
        <v>46072.0</v>
      </c>
      <c r="C18" s="9" t="b">
        <v>1</v>
      </c>
      <c r="D18" s="9" t="b">
        <v>1</v>
      </c>
      <c r="E18" s="9" t="b">
        <v>1</v>
      </c>
    </row>
    <row r="19">
      <c r="A19" s="16" t="s">
        <v>263</v>
      </c>
      <c r="B19" s="609">
        <v>46076.0</v>
      </c>
      <c r="C19" s="9" t="b">
        <v>1</v>
      </c>
      <c r="D19" s="9" t="b">
        <v>1</v>
      </c>
      <c r="E19" s="9" t="b">
        <v>1</v>
      </c>
    </row>
    <row r="20">
      <c r="A20" s="16" t="s">
        <v>260</v>
      </c>
      <c r="B20" s="609">
        <v>46076.0</v>
      </c>
      <c r="C20" s="9" t="b">
        <v>1</v>
      </c>
      <c r="D20" s="9" t="b">
        <v>1</v>
      </c>
      <c r="E20" s="9" t="b">
        <v>1</v>
      </c>
    </row>
    <row r="21">
      <c r="A21" s="16" t="s">
        <v>254</v>
      </c>
      <c r="B21" s="609">
        <v>46076.0</v>
      </c>
      <c r="C21" s="9" t="b">
        <v>1</v>
      </c>
      <c r="D21" s="9" t="b">
        <v>1</v>
      </c>
      <c r="E21" s="9" t="b">
        <v>1</v>
      </c>
    </row>
    <row r="22">
      <c r="A22" s="16" t="s">
        <v>216</v>
      </c>
      <c r="B22" s="678">
        <v>46077.0</v>
      </c>
      <c r="C22" s="9" t="b">
        <v>1</v>
      </c>
      <c r="D22" s="9" t="b">
        <v>1</v>
      </c>
      <c r="E22" s="9" t="b">
        <v>1</v>
      </c>
    </row>
    <row r="23">
      <c r="A23" s="16" t="s">
        <v>557</v>
      </c>
      <c r="B23" s="678">
        <v>46077.0</v>
      </c>
      <c r="C23" s="9" t="b">
        <v>1</v>
      </c>
      <c r="D23" s="9" t="b">
        <v>1</v>
      </c>
      <c r="E23" s="9" t="b">
        <v>1</v>
      </c>
    </row>
    <row r="24">
      <c r="A24" s="16" t="s">
        <v>244</v>
      </c>
      <c r="B24" s="678">
        <v>46077.0</v>
      </c>
      <c r="C24" s="9" t="b">
        <v>1</v>
      </c>
      <c r="D24" s="9" t="b">
        <v>1</v>
      </c>
      <c r="E24" s="9" t="b">
        <v>1</v>
      </c>
    </row>
    <row r="25">
      <c r="A25" s="16" t="s">
        <v>147</v>
      </c>
      <c r="B25" s="609">
        <v>46078.0</v>
      </c>
      <c r="C25" s="9" t="b">
        <v>1</v>
      </c>
      <c r="D25" s="9" t="b">
        <v>1</v>
      </c>
      <c r="E25" s="9" t="b">
        <v>1</v>
      </c>
    </row>
    <row r="26">
      <c r="A26" s="16" t="s">
        <v>227</v>
      </c>
      <c r="B26" s="609">
        <v>46078.0</v>
      </c>
      <c r="C26" s="9" t="b">
        <v>1</v>
      </c>
      <c r="D26" s="9" t="b">
        <v>1</v>
      </c>
      <c r="E26" s="9" t="b">
        <v>1</v>
      </c>
    </row>
    <row r="27">
      <c r="A27" s="16" t="s">
        <v>229</v>
      </c>
      <c r="B27" s="609">
        <v>46079.0</v>
      </c>
      <c r="C27" s="9" t="b">
        <v>1</v>
      </c>
      <c r="D27" s="9" t="b">
        <v>1</v>
      </c>
      <c r="E27" s="9" t="b">
        <v>1</v>
      </c>
    </row>
    <row r="28">
      <c r="A28" s="16" t="s">
        <v>555</v>
      </c>
      <c r="B28" s="609">
        <v>46079.0</v>
      </c>
      <c r="C28" s="9" t="b">
        <v>1</v>
      </c>
      <c r="D28" s="9" t="b">
        <v>1</v>
      </c>
      <c r="E28" s="9" t="b">
        <v>1</v>
      </c>
    </row>
    <row r="29">
      <c r="A29" s="16" t="s">
        <v>164</v>
      </c>
      <c r="B29" s="609">
        <v>46083.0</v>
      </c>
      <c r="C29" s="9" t="b">
        <v>1</v>
      </c>
      <c r="D29" s="9" t="b">
        <v>1</v>
      </c>
      <c r="E29" s="9" t="b">
        <v>1</v>
      </c>
    </row>
    <row r="30">
      <c r="A30" s="16" t="s">
        <v>287</v>
      </c>
      <c r="B30" s="609">
        <v>46085.0</v>
      </c>
      <c r="C30" s="9" t="b">
        <v>1</v>
      </c>
      <c r="D30" s="9" t="b">
        <v>1</v>
      </c>
      <c r="E30" s="9" t="b">
        <v>1</v>
      </c>
    </row>
    <row r="31">
      <c r="A31" s="16" t="s">
        <v>296</v>
      </c>
      <c r="B31" s="678">
        <v>46086.0</v>
      </c>
      <c r="C31" s="9" t="b">
        <v>1</v>
      </c>
      <c r="D31" s="9" t="b">
        <v>1</v>
      </c>
      <c r="E31" s="9" t="b">
        <v>1</v>
      </c>
    </row>
    <row r="32">
      <c r="A32" s="16" t="s">
        <v>278</v>
      </c>
      <c r="B32" s="609">
        <v>46091.0</v>
      </c>
      <c r="C32" s="9" t="b">
        <v>1</v>
      </c>
      <c r="D32" s="9" t="b">
        <v>1</v>
      </c>
      <c r="E32" s="9" t="b">
        <v>1</v>
      </c>
    </row>
    <row r="33">
      <c r="A33" s="16" t="s">
        <v>283</v>
      </c>
      <c r="C33" s="39" t="b">
        <v>0</v>
      </c>
      <c r="D33" s="39" t="b">
        <v>0</v>
      </c>
      <c r="E33" s="39" t="b">
        <v>0</v>
      </c>
    </row>
    <row r="34">
      <c r="A34" s="16" t="s">
        <v>3880</v>
      </c>
      <c r="C34" s="39" t="b">
        <v>0</v>
      </c>
      <c r="D34" s="39" t="b">
        <v>0</v>
      </c>
      <c r="E34" s="39" t="b">
        <v>0</v>
      </c>
    </row>
    <row r="35">
      <c r="A35" s="16" t="s">
        <v>279</v>
      </c>
      <c r="B35" s="412">
        <v>46107.0</v>
      </c>
      <c r="C35" s="9" t="b">
        <v>1</v>
      </c>
      <c r="D35" s="9" t="b">
        <v>1</v>
      </c>
      <c r="E35" s="9" t="b">
        <v>1</v>
      </c>
    </row>
    <row r="36">
      <c r="A36" s="16" t="s">
        <v>301</v>
      </c>
      <c r="B36" s="413">
        <v>46113.0</v>
      </c>
      <c r="C36" s="9" t="b">
        <v>1</v>
      </c>
      <c r="D36" s="9" t="b">
        <v>1</v>
      </c>
      <c r="E36" s="9" t="b">
        <v>1</v>
      </c>
    </row>
    <row r="37">
      <c r="A37" s="16" t="s">
        <v>304</v>
      </c>
      <c r="B37" s="413">
        <v>46113.0</v>
      </c>
      <c r="C37" s="9" t="b">
        <v>1</v>
      </c>
      <c r="D37" s="9" t="b">
        <v>1</v>
      </c>
      <c r="E37" s="9" t="b">
        <v>1</v>
      </c>
    </row>
    <row r="38">
      <c r="A38" s="16" t="s">
        <v>335</v>
      </c>
      <c r="B38" s="412">
        <v>46118.0</v>
      </c>
      <c r="C38" s="9" t="b">
        <v>1</v>
      </c>
      <c r="D38" s="9" t="b">
        <v>1</v>
      </c>
      <c r="E38" s="9" t="b">
        <v>1</v>
      </c>
    </row>
    <row r="39">
      <c r="A39" s="16" t="s">
        <v>307</v>
      </c>
      <c r="B39" s="412">
        <v>46119.0</v>
      </c>
      <c r="C39" s="9" t="b">
        <v>1</v>
      </c>
      <c r="D39" s="9" t="b">
        <v>1</v>
      </c>
      <c r="E39" s="9" t="b">
        <v>1</v>
      </c>
    </row>
    <row r="40">
      <c r="A40" s="16" t="s">
        <v>317</v>
      </c>
      <c r="B40" s="412">
        <v>46119.0</v>
      </c>
      <c r="C40" s="9" t="b">
        <v>1</v>
      </c>
      <c r="D40" s="9" t="b">
        <v>1</v>
      </c>
      <c r="E40" s="9" t="b">
        <v>1</v>
      </c>
    </row>
    <row r="41">
      <c r="A41" s="16" t="s">
        <v>311</v>
      </c>
      <c r="B41" s="412">
        <v>46119.0</v>
      </c>
      <c r="C41" s="9" t="b">
        <v>1</v>
      </c>
      <c r="D41" s="9" t="b">
        <v>1</v>
      </c>
      <c r="E41" s="9" t="b">
        <v>1</v>
      </c>
    </row>
    <row r="42">
      <c r="A42" s="16" t="s">
        <v>315</v>
      </c>
      <c r="B42" s="609">
        <v>46120.0</v>
      </c>
      <c r="C42" s="9" t="b">
        <v>1</v>
      </c>
      <c r="D42" s="9" t="b">
        <v>1</v>
      </c>
      <c r="E42" s="9" t="b">
        <v>1</v>
      </c>
    </row>
    <row r="43">
      <c r="A43" s="16" t="s">
        <v>176</v>
      </c>
      <c r="B43" s="412">
        <v>46121.0</v>
      </c>
      <c r="C43" s="9" t="b">
        <v>1</v>
      </c>
      <c r="D43" s="9" t="b">
        <v>1</v>
      </c>
      <c r="E43" s="9" t="b">
        <v>1</v>
      </c>
    </row>
    <row r="44">
      <c r="A44" s="16" t="s">
        <v>364</v>
      </c>
      <c r="B44" s="412">
        <v>46122.0</v>
      </c>
      <c r="C44" s="9" t="b">
        <v>1</v>
      </c>
      <c r="D44" s="9" t="b">
        <v>1</v>
      </c>
      <c r="E44" s="9" t="b">
        <v>1</v>
      </c>
    </row>
    <row r="45">
      <c r="A45" s="16" t="s">
        <v>327</v>
      </c>
      <c r="B45" s="609">
        <v>46133.0</v>
      </c>
      <c r="C45" s="9" t="b">
        <v>1</v>
      </c>
      <c r="D45" s="9" t="b">
        <v>1</v>
      </c>
      <c r="E45" s="9" t="b">
        <v>1</v>
      </c>
    </row>
    <row r="46">
      <c r="A46" s="16" t="s">
        <v>10</v>
      </c>
      <c r="B46" s="412">
        <v>46143.0</v>
      </c>
      <c r="C46" s="9" t="b">
        <v>1</v>
      </c>
      <c r="D46" s="9" t="b">
        <v>1</v>
      </c>
      <c r="E46" s="9" t="b">
        <v>1</v>
      </c>
    </row>
    <row r="47">
      <c r="A47" s="16" t="s">
        <v>341</v>
      </c>
      <c r="B47" s="412">
        <v>13274.0</v>
      </c>
      <c r="C47" s="9" t="b">
        <v>1</v>
      </c>
      <c r="D47" s="9" t="b">
        <v>1</v>
      </c>
      <c r="E47" s="9" t="b">
        <v>1</v>
      </c>
    </row>
    <row r="48">
      <c r="A48" s="16" t="s">
        <v>345</v>
      </c>
      <c r="B48" s="412">
        <v>46147.0</v>
      </c>
      <c r="C48" s="9" t="b">
        <v>1</v>
      </c>
      <c r="D48" s="9" t="b">
        <v>1</v>
      </c>
      <c r="E48" s="9" t="b">
        <v>1</v>
      </c>
    </row>
    <row r="49">
      <c r="A49" s="16" t="s">
        <v>358</v>
      </c>
      <c r="B49" s="412">
        <v>46148.0</v>
      </c>
      <c r="C49" s="9" t="b">
        <v>1</v>
      </c>
      <c r="D49" s="9" t="b">
        <v>1</v>
      </c>
      <c r="E49" s="9" t="b">
        <v>1</v>
      </c>
    </row>
    <row r="50">
      <c r="A50" s="16" t="s">
        <v>362</v>
      </c>
      <c r="B50" s="412">
        <v>46149.0</v>
      </c>
      <c r="C50" s="9" t="b">
        <v>1</v>
      </c>
      <c r="D50" s="9" t="b">
        <v>1</v>
      </c>
      <c r="E50" s="9" t="b">
        <v>1</v>
      </c>
    </row>
    <row r="51">
      <c r="A51" s="16" t="s">
        <v>43</v>
      </c>
      <c r="B51" s="412">
        <v>46160.0</v>
      </c>
      <c r="C51" s="9" t="b">
        <v>1</v>
      </c>
      <c r="D51" s="9" t="b">
        <v>1</v>
      </c>
      <c r="E51" s="9" t="b">
        <v>1</v>
      </c>
    </row>
    <row r="52">
      <c r="A52" s="16" t="s">
        <v>340</v>
      </c>
      <c r="B52" s="412">
        <v>46161.0</v>
      </c>
      <c r="C52" s="16" t="b">
        <v>1</v>
      </c>
      <c r="D52" s="16" t="b">
        <v>1</v>
      </c>
      <c r="E52" s="9" t="b">
        <v>1</v>
      </c>
    </row>
    <row r="53">
      <c r="A53" s="16" t="s">
        <v>375</v>
      </c>
      <c r="B53" s="412">
        <v>46162.0</v>
      </c>
      <c r="C53" s="16" t="b">
        <v>1</v>
      </c>
      <c r="D53" s="16" t="b">
        <v>1</v>
      </c>
      <c r="E53" s="9" t="b">
        <v>1</v>
      </c>
    </row>
    <row r="54">
      <c r="A54" s="16" t="s">
        <v>336</v>
      </c>
      <c r="B54" s="412">
        <v>46163.0</v>
      </c>
      <c r="C54" s="16" t="b">
        <v>1</v>
      </c>
      <c r="D54" s="16" t="b">
        <v>1</v>
      </c>
      <c r="E54" s="9" t="b">
        <v>1</v>
      </c>
    </row>
    <row r="55">
      <c r="A55" s="16" t="s">
        <v>57</v>
      </c>
      <c r="B55" s="412">
        <v>46169.0</v>
      </c>
      <c r="C55" s="16" t="b">
        <v>1</v>
      </c>
      <c r="D55" s="16" t="b">
        <v>1</v>
      </c>
      <c r="E55" s="9" t="b">
        <v>1</v>
      </c>
    </row>
    <row r="56">
      <c r="A56" s="16" t="s">
        <v>372</v>
      </c>
      <c r="B56" s="412">
        <v>46169.0</v>
      </c>
      <c r="C56" s="16" t="b">
        <v>1</v>
      </c>
      <c r="D56" s="16" t="b">
        <v>1</v>
      </c>
      <c r="E56" s="9" t="b">
        <v>1</v>
      </c>
    </row>
    <row r="57">
      <c r="A57" s="16" t="s">
        <v>364</v>
      </c>
      <c r="B57" s="412">
        <v>46171.0</v>
      </c>
      <c r="C57" s="16" t="b">
        <v>1</v>
      </c>
      <c r="D57" s="16" t="b">
        <v>1</v>
      </c>
      <c r="E57" s="9" t="b">
        <v>1</v>
      </c>
    </row>
    <row r="58">
      <c r="A58" s="16" t="s">
        <v>41</v>
      </c>
      <c r="B58" s="412">
        <v>46174.0</v>
      </c>
      <c r="C58" s="16" t="b">
        <v>1</v>
      </c>
      <c r="D58" s="16" t="b">
        <v>1</v>
      </c>
      <c r="E58" s="9" t="b">
        <v>1</v>
      </c>
    </row>
    <row r="59">
      <c r="A59" s="16" t="s">
        <v>75</v>
      </c>
      <c r="B59" s="412">
        <v>46175.0</v>
      </c>
      <c r="C59" s="16" t="b">
        <v>1</v>
      </c>
      <c r="D59" s="16" t="b">
        <v>1</v>
      </c>
      <c r="E59" s="9" t="b">
        <v>1</v>
      </c>
    </row>
    <row r="60" ht="15.0" customHeight="1">
      <c r="A60" s="16" t="s">
        <v>34</v>
      </c>
      <c r="B60" s="412">
        <v>46176.0</v>
      </c>
      <c r="C60" s="16" t="b">
        <v>1</v>
      </c>
      <c r="D60" s="16" t="b">
        <v>1</v>
      </c>
      <c r="E60" s="9" t="b">
        <v>1</v>
      </c>
    </row>
    <row r="61">
      <c r="A61" s="16" t="s">
        <v>415</v>
      </c>
      <c r="B61" s="412">
        <v>46176.0</v>
      </c>
      <c r="C61" s="16" t="b">
        <v>1</v>
      </c>
      <c r="D61" s="16" t="b">
        <v>1</v>
      </c>
      <c r="E61" s="9" t="b">
        <v>1</v>
      </c>
    </row>
    <row r="62">
      <c r="A62" s="16" t="s">
        <v>62</v>
      </c>
      <c r="B62" s="412">
        <v>46177.0</v>
      </c>
      <c r="C62" s="16" t="b">
        <v>1</v>
      </c>
      <c r="D62" s="16" t="b">
        <v>1</v>
      </c>
      <c r="E62" s="9" t="b">
        <v>1</v>
      </c>
    </row>
    <row r="63">
      <c r="A63" s="16" t="s">
        <v>380</v>
      </c>
      <c r="B63" s="412">
        <v>46178.0</v>
      </c>
      <c r="C63" s="16" t="b">
        <v>1</v>
      </c>
      <c r="D63" s="16" t="b">
        <v>1</v>
      </c>
      <c r="E63" s="9" t="b">
        <v>1</v>
      </c>
    </row>
    <row r="64">
      <c r="A64" s="16" t="s">
        <v>3882</v>
      </c>
      <c r="B64" s="412">
        <v>46182.0</v>
      </c>
      <c r="C64" s="16" t="b">
        <v>1</v>
      </c>
      <c r="D64" s="16" t="b">
        <v>1</v>
      </c>
      <c r="E64" s="9" t="b">
        <v>1</v>
      </c>
    </row>
    <row r="65">
      <c r="A65" s="16" t="s">
        <v>22</v>
      </c>
      <c r="B65" s="412">
        <v>46181.0</v>
      </c>
      <c r="C65" s="16" t="b">
        <v>1</v>
      </c>
      <c r="D65" s="16" t="b">
        <v>1</v>
      </c>
      <c r="E65" s="9" t="b">
        <v>1</v>
      </c>
    </row>
    <row r="66">
      <c r="A66" s="16" t="s">
        <v>53</v>
      </c>
      <c r="B66" s="412">
        <v>46169.0</v>
      </c>
      <c r="C66" s="16" t="b">
        <v>1</v>
      </c>
      <c r="D66" s="16" t="b">
        <v>1</v>
      </c>
      <c r="E66" s="9" t="b">
        <v>1</v>
      </c>
    </row>
    <row r="67">
      <c r="A67" s="16" t="s">
        <v>65</v>
      </c>
      <c r="B67" s="609">
        <v>46183.0</v>
      </c>
      <c r="C67" s="681" t="b">
        <v>1</v>
      </c>
      <c r="D67" s="681" t="b">
        <v>1</v>
      </c>
      <c r="E67" s="9" t="b">
        <v>1</v>
      </c>
    </row>
    <row r="68">
      <c r="A68" s="16" t="s">
        <v>75</v>
      </c>
      <c r="B68" s="609">
        <v>46184.0</v>
      </c>
      <c r="C68" s="16" t="b">
        <v>1</v>
      </c>
      <c r="D68" s="16" t="b">
        <v>1</v>
      </c>
      <c r="E68" s="9" t="b">
        <v>1</v>
      </c>
    </row>
    <row r="69">
      <c r="A69" s="16" t="s">
        <v>384</v>
      </c>
      <c r="B69" s="609">
        <v>46188.0</v>
      </c>
      <c r="C69" s="16" t="b">
        <v>1</v>
      </c>
      <c r="D69" s="16" t="b">
        <v>1</v>
      </c>
      <c r="E69" s="9" t="b">
        <v>1</v>
      </c>
    </row>
    <row r="70">
      <c r="A70" s="16" t="s">
        <v>378</v>
      </c>
      <c r="B70" s="609">
        <v>46191.0</v>
      </c>
      <c r="C70" s="16" t="b">
        <v>1</v>
      </c>
      <c r="D70" s="16" t="b">
        <v>1</v>
      </c>
      <c r="E70" s="9" t="b">
        <v>1</v>
      </c>
    </row>
    <row r="71">
      <c r="A71" s="16" t="s">
        <v>67</v>
      </c>
      <c r="B71" s="609">
        <v>46189.0</v>
      </c>
      <c r="C71" s="16" t="b">
        <v>1</v>
      </c>
      <c r="D71" s="16" t="b">
        <v>1</v>
      </c>
      <c r="E71" s="9" t="b">
        <v>1</v>
      </c>
    </row>
    <row r="72">
      <c r="A72" s="16" t="s">
        <v>382</v>
      </c>
      <c r="B72" s="609">
        <v>46191.0</v>
      </c>
      <c r="C72" s="16" t="b">
        <v>1</v>
      </c>
      <c r="D72" s="16" t="b">
        <v>1</v>
      </c>
      <c r="E72" s="9" t="b">
        <v>1</v>
      </c>
    </row>
    <row r="73">
      <c r="A73" s="16" t="s">
        <v>46</v>
      </c>
      <c r="B73" s="678">
        <v>46195.0</v>
      </c>
      <c r="C73" s="16" t="b">
        <v>1</v>
      </c>
      <c r="D73" s="16" t="b">
        <v>1</v>
      </c>
      <c r="E73" s="9" t="b">
        <v>1</v>
      </c>
    </row>
    <row r="74">
      <c r="A74" s="16" t="s">
        <v>364</v>
      </c>
      <c r="B74" s="678">
        <v>46196.0</v>
      </c>
      <c r="C74" s="16" t="b">
        <v>1</v>
      </c>
      <c r="D74" s="16" t="b">
        <v>1</v>
      </c>
      <c r="E74" s="9" t="b">
        <v>1</v>
      </c>
    </row>
    <row r="75">
      <c r="A75" s="16" t="s">
        <v>55</v>
      </c>
      <c r="B75" s="678">
        <v>46196.0</v>
      </c>
      <c r="C75" s="16" t="b">
        <v>1</v>
      </c>
      <c r="D75" s="16" t="b">
        <v>1</v>
      </c>
      <c r="E75" s="9" t="b">
        <v>1</v>
      </c>
    </row>
    <row r="76">
      <c r="A76" s="16" t="s">
        <v>348</v>
      </c>
      <c r="B76" s="678">
        <v>46197.0</v>
      </c>
      <c r="C76" s="16" t="b">
        <v>1</v>
      </c>
      <c r="D76" s="16" t="b">
        <v>1</v>
      </c>
      <c r="E76" s="9" t="b">
        <v>1</v>
      </c>
    </row>
    <row r="77">
      <c r="A77" s="16" t="s">
        <v>391</v>
      </c>
      <c r="B77" s="678">
        <v>46197.0</v>
      </c>
      <c r="C77" s="16" t="b">
        <v>1</v>
      </c>
      <c r="D77" s="16" t="b">
        <v>1</v>
      </c>
      <c r="E77" s="9" t="b">
        <v>1</v>
      </c>
    </row>
    <row r="78">
      <c r="A78" s="16" t="s">
        <v>424</v>
      </c>
      <c r="B78" s="412">
        <v>46212.0</v>
      </c>
      <c r="C78" s="16" t="b">
        <v>1</v>
      </c>
      <c r="D78" s="16" t="b">
        <v>1</v>
      </c>
      <c r="E78" s="9" t="b">
        <v>1</v>
      </c>
    </row>
    <row r="79">
      <c r="A79" s="16" t="s">
        <v>78</v>
      </c>
      <c r="B79" s="412">
        <v>46212.0</v>
      </c>
      <c r="C79" s="16" t="b">
        <v>1</v>
      </c>
      <c r="D79" s="16" t="b">
        <v>1</v>
      </c>
      <c r="E79" s="9" t="b">
        <v>1</v>
      </c>
    </row>
    <row r="80">
      <c r="A80" s="16" t="s">
        <v>378</v>
      </c>
      <c r="B80" s="412">
        <v>46213.0</v>
      </c>
      <c r="C80" s="16" t="b">
        <v>1</v>
      </c>
      <c r="D80" s="16" t="b">
        <v>1</v>
      </c>
      <c r="E80" s="9" t="b">
        <v>1</v>
      </c>
    </row>
    <row r="81">
      <c r="A81" s="16" t="s">
        <v>448</v>
      </c>
      <c r="B81" s="412">
        <v>46216.0</v>
      </c>
      <c r="C81" s="16" t="b">
        <v>1</v>
      </c>
      <c r="D81" s="16" t="b">
        <v>1</v>
      </c>
      <c r="E81" s="9" t="b">
        <v>1</v>
      </c>
    </row>
    <row r="82">
      <c r="A82" s="16" t="s">
        <v>50</v>
      </c>
      <c r="B82" s="412">
        <v>46217.0</v>
      </c>
      <c r="C82" s="16" t="b">
        <v>1</v>
      </c>
      <c r="D82" s="16" t="b">
        <v>1</v>
      </c>
      <c r="E82" s="9" t="b">
        <v>1</v>
      </c>
    </row>
    <row r="83">
      <c r="A83" s="16" t="s">
        <v>32</v>
      </c>
      <c r="B83" s="412">
        <v>46217.0</v>
      </c>
      <c r="C83" s="16" t="b">
        <v>1</v>
      </c>
      <c r="D83" s="16" t="b">
        <v>1</v>
      </c>
      <c r="E83" s="9" t="b">
        <v>1</v>
      </c>
    </row>
    <row r="84">
      <c r="A84" s="16" t="s">
        <v>391</v>
      </c>
      <c r="B84" s="412">
        <v>46219.0</v>
      </c>
      <c r="C84" s="16" t="b">
        <v>1</v>
      </c>
      <c r="D84" s="16" t="b">
        <v>1</v>
      </c>
      <c r="E84" s="9" t="b">
        <v>1</v>
      </c>
    </row>
    <row r="85">
      <c r="A85" s="16" t="s">
        <v>394</v>
      </c>
      <c r="B85" s="412">
        <v>46232.0</v>
      </c>
      <c r="C85" s="16" t="b">
        <v>1</v>
      </c>
      <c r="D85" s="16" t="b">
        <v>1</v>
      </c>
      <c r="E85" s="9" t="b">
        <v>1</v>
      </c>
    </row>
    <row r="86">
      <c r="A86" s="16" t="s">
        <v>81</v>
      </c>
      <c r="B86" s="412">
        <v>46234.0</v>
      </c>
      <c r="C86" s="16" t="b">
        <v>1</v>
      </c>
      <c r="D86" s="16" t="b">
        <v>1</v>
      </c>
      <c r="E86" s="9" t="b">
        <v>1</v>
      </c>
    </row>
    <row r="87">
      <c r="A87" s="16" t="s">
        <v>462</v>
      </c>
      <c r="B87" s="412">
        <v>46239.0</v>
      </c>
      <c r="C87" s="16" t="b">
        <v>1</v>
      </c>
      <c r="D87" s="16" t="b">
        <v>1</v>
      </c>
      <c r="E87" s="9" t="b">
        <v>1</v>
      </c>
    </row>
    <row r="88">
      <c r="A88" s="16" t="s">
        <v>437</v>
      </c>
      <c r="B88" s="412">
        <v>46239.0</v>
      </c>
      <c r="C88" s="16" t="b">
        <v>1</v>
      </c>
      <c r="D88" s="16" t="b">
        <v>1</v>
      </c>
      <c r="E88" s="9" t="b">
        <v>1</v>
      </c>
    </row>
    <row r="89">
      <c r="A89" s="16" t="s">
        <v>87</v>
      </c>
      <c r="B89" s="412">
        <v>46240.0</v>
      </c>
      <c r="C89" s="16" t="b">
        <v>1</v>
      </c>
      <c r="D89" s="16" t="b">
        <v>1</v>
      </c>
      <c r="E89" s="9" t="b">
        <v>1</v>
      </c>
    </row>
    <row r="90">
      <c r="A90" s="16" t="s">
        <v>402</v>
      </c>
      <c r="B90" s="412">
        <v>46244.0</v>
      </c>
      <c r="C90" s="16" t="b">
        <v>1</v>
      </c>
      <c r="D90" s="16" t="b">
        <v>1</v>
      </c>
      <c r="E90" s="9" t="b">
        <v>1</v>
      </c>
    </row>
    <row r="91">
      <c r="A91" s="16" t="s">
        <v>90</v>
      </c>
      <c r="B91" s="412">
        <v>46245.0</v>
      </c>
      <c r="C91" s="16" t="b">
        <v>1</v>
      </c>
      <c r="D91" s="16" t="b">
        <v>1</v>
      </c>
      <c r="E91" s="9" t="b">
        <v>1</v>
      </c>
    </row>
    <row r="92">
      <c r="A92" s="16" t="s">
        <v>74</v>
      </c>
      <c r="B92" s="412">
        <v>46245.0</v>
      </c>
      <c r="C92" s="16" t="b">
        <v>1</v>
      </c>
      <c r="D92" s="16" t="b">
        <v>1</v>
      </c>
      <c r="E92" s="9" t="b">
        <v>1</v>
      </c>
    </row>
    <row r="93">
      <c r="A93" s="16" t="s">
        <v>86</v>
      </c>
      <c r="B93" s="412">
        <v>46248.0</v>
      </c>
      <c r="C93" s="16" t="b">
        <v>1</v>
      </c>
      <c r="D93" s="16" t="b">
        <v>1</v>
      </c>
      <c r="E93" s="9" t="b">
        <v>1</v>
      </c>
    </row>
    <row r="94">
      <c r="A94" s="16" t="s">
        <v>400</v>
      </c>
      <c r="B94" s="412">
        <v>46239.0</v>
      </c>
      <c r="C94" s="16" t="b">
        <v>1</v>
      </c>
      <c r="D94" s="16" t="b">
        <v>1</v>
      </c>
      <c r="E94" s="16" t="b">
        <v>1</v>
      </c>
    </row>
    <row r="95">
      <c r="A95" s="16" t="s">
        <v>70</v>
      </c>
      <c r="B95" s="412">
        <v>46251.0</v>
      </c>
      <c r="C95" s="16" t="b">
        <v>1</v>
      </c>
      <c r="D95" s="16" t="b">
        <v>1</v>
      </c>
      <c r="E95" s="16" t="b">
        <v>1</v>
      </c>
    </row>
    <row r="96">
      <c r="A96" s="16" t="s">
        <v>415</v>
      </c>
      <c r="B96" s="412">
        <v>46251.0</v>
      </c>
      <c r="C96" s="16" t="b">
        <v>1</v>
      </c>
      <c r="D96" s="16" t="b">
        <v>1</v>
      </c>
      <c r="E96" s="16" t="b">
        <v>1</v>
      </c>
    </row>
    <row r="97">
      <c r="A97" s="16" t="s">
        <v>59</v>
      </c>
      <c r="B97" s="412">
        <v>46252.0</v>
      </c>
      <c r="C97" s="16" t="b">
        <v>1</v>
      </c>
      <c r="D97" s="16" t="b">
        <v>1</v>
      </c>
      <c r="E97" s="16" t="b">
        <v>1</v>
      </c>
    </row>
    <row r="98">
      <c r="A98" s="16" t="s">
        <v>58</v>
      </c>
      <c r="B98" s="412">
        <v>46252.0</v>
      </c>
      <c r="C98" s="16" t="b">
        <v>1</v>
      </c>
      <c r="D98" s="16" t="b">
        <v>1</v>
      </c>
      <c r="E98" s="16" t="b">
        <v>1</v>
      </c>
    </row>
    <row r="99">
      <c r="A99" s="16" t="s">
        <v>84</v>
      </c>
      <c r="B99" s="412">
        <v>46254.0</v>
      </c>
      <c r="C99" s="16" t="b">
        <v>1</v>
      </c>
      <c r="D99" s="16" t="b">
        <v>1</v>
      </c>
      <c r="E99" s="16" t="b">
        <v>1</v>
      </c>
    </row>
    <row r="100">
      <c r="A100" s="16" t="s">
        <v>89</v>
      </c>
      <c r="B100" s="412">
        <v>46255.0</v>
      </c>
      <c r="C100" s="16" t="b">
        <v>1</v>
      </c>
      <c r="D100" s="16" t="b">
        <v>1</v>
      </c>
      <c r="E100" s="16" t="b">
        <v>1</v>
      </c>
    </row>
    <row r="101">
      <c r="A101" s="16" t="s">
        <v>406</v>
      </c>
      <c r="B101" s="412">
        <v>46259.0</v>
      </c>
      <c r="C101" s="16" t="b">
        <v>1</v>
      </c>
      <c r="D101" s="16" t="b">
        <v>1</v>
      </c>
      <c r="E101" s="16" t="b">
        <v>1</v>
      </c>
    </row>
    <row r="102">
      <c r="A102" s="16" t="s">
        <v>416</v>
      </c>
      <c r="B102" s="412">
        <v>46260.0</v>
      </c>
      <c r="C102" s="16" t="b">
        <v>1</v>
      </c>
      <c r="D102" s="16" t="b">
        <v>1</v>
      </c>
      <c r="E102" s="16" t="b">
        <v>1</v>
      </c>
    </row>
    <row r="103">
      <c r="A103" s="16" t="s">
        <v>85</v>
      </c>
      <c r="B103" s="412">
        <v>46261.0</v>
      </c>
      <c r="C103" s="16" t="b">
        <v>1</v>
      </c>
      <c r="D103" s="16" t="b">
        <v>1</v>
      </c>
      <c r="E103" s="16" t="b">
        <v>1</v>
      </c>
    </row>
    <row r="104">
      <c r="A104" s="16" t="s">
        <v>410</v>
      </c>
      <c r="B104" s="412">
        <v>46259.0</v>
      </c>
      <c r="C104" s="16" t="b">
        <v>1</v>
      </c>
      <c r="D104" s="16" t="b">
        <v>1</v>
      </c>
      <c r="E104" s="16" t="b">
        <v>1</v>
      </c>
    </row>
    <row r="105">
      <c r="A105" s="16" t="s">
        <v>407</v>
      </c>
      <c r="B105" s="412">
        <v>46275.0</v>
      </c>
      <c r="C105" s="16" t="b">
        <v>1</v>
      </c>
      <c r="D105" s="16" t="b">
        <v>1</v>
      </c>
      <c r="E105" s="16" t="b">
        <v>1</v>
      </c>
    </row>
    <row r="106">
      <c r="A106" s="16" t="s">
        <v>482</v>
      </c>
      <c r="B106" s="412">
        <v>46281.0</v>
      </c>
      <c r="C106" s="16" t="b">
        <v>1</v>
      </c>
      <c r="D106" s="16" t="b">
        <v>1</v>
      </c>
      <c r="E106" s="16" t="b">
        <v>1</v>
      </c>
    </row>
    <row r="107">
      <c r="A107" s="16" t="s">
        <v>493</v>
      </c>
      <c r="B107" s="412">
        <v>46289.0</v>
      </c>
      <c r="C107" s="16" t="b">
        <v>1</v>
      </c>
      <c r="D107" s="16" t="b">
        <v>1</v>
      </c>
      <c r="E107" s="16" t="b">
        <v>1</v>
      </c>
    </row>
    <row r="108">
      <c r="A108" s="16" t="s">
        <v>117</v>
      </c>
      <c r="B108" s="412">
        <v>46282.0</v>
      </c>
      <c r="C108" s="16" t="b">
        <v>1</v>
      </c>
      <c r="D108" s="16" t="b">
        <v>1</v>
      </c>
      <c r="E108" s="16" t="b">
        <v>1</v>
      </c>
    </row>
    <row r="109">
      <c r="A109" s="16" t="s">
        <v>46</v>
      </c>
      <c r="B109" s="412">
        <v>46286.0</v>
      </c>
      <c r="C109" s="16" t="b">
        <v>1</v>
      </c>
      <c r="D109" s="16" t="b">
        <v>1</v>
      </c>
      <c r="E109" s="16" t="b">
        <v>1</v>
      </c>
    </row>
    <row r="110">
      <c r="A110" s="16" t="s">
        <v>428</v>
      </c>
      <c r="B110" s="412">
        <v>46286.0</v>
      </c>
      <c r="C110" s="16" t="b">
        <v>1</v>
      </c>
      <c r="D110" s="16" t="b">
        <v>1</v>
      </c>
      <c r="E110" s="16" t="b">
        <v>1</v>
      </c>
    </row>
    <row r="111">
      <c r="A111" s="16" t="s">
        <v>122</v>
      </c>
      <c r="B111" s="412">
        <v>46287.0</v>
      </c>
      <c r="C111" s="16" t="b">
        <v>1</v>
      </c>
      <c r="D111" s="16" t="b">
        <v>1</v>
      </c>
      <c r="E111" s="16" t="b">
        <v>1</v>
      </c>
    </row>
    <row r="112">
      <c r="A112" s="16" t="s">
        <v>431</v>
      </c>
      <c r="B112" s="412">
        <v>46288.0</v>
      </c>
      <c r="C112" s="16" t="b">
        <v>1</v>
      </c>
      <c r="D112" s="16" t="b">
        <v>1</v>
      </c>
      <c r="E112" s="16" t="b">
        <v>1</v>
      </c>
    </row>
    <row r="113">
      <c r="A113" s="16" t="s">
        <v>86</v>
      </c>
      <c r="B113" s="682" t="s">
        <v>3884</v>
      </c>
      <c r="C113" s="16" t="b">
        <v>1</v>
      </c>
      <c r="D113" s="16" t="b">
        <v>1</v>
      </c>
      <c r="E113" s="16" t="b">
        <v>1</v>
      </c>
    </row>
    <row r="114">
      <c r="A114" s="16" t="s">
        <v>454</v>
      </c>
      <c r="B114" s="683">
        <v>46293.0</v>
      </c>
      <c r="C114" s="16" t="b">
        <v>1</v>
      </c>
      <c r="D114" s="16" t="b">
        <v>1</v>
      </c>
      <c r="E114" s="16" t="b">
        <v>1</v>
      </c>
    </row>
    <row r="115">
      <c r="A115" s="16" t="s">
        <v>434</v>
      </c>
      <c r="B115" s="683">
        <v>46294.0</v>
      </c>
      <c r="C115" s="16" t="b">
        <v>1</v>
      </c>
      <c r="D115" s="16" t="b">
        <v>1</v>
      </c>
      <c r="E115" s="16" t="b">
        <v>1</v>
      </c>
    </row>
    <row r="116">
      <c r="A116" s="16" t="s">
        <v>122</v>
      </c>
      <c r="B116" s="683">
        <v>46294.0</v>
      </c>
      <c r="C116" s="16" t="b">
        <v>1</v>
      </c>
      <c r="D116" s="16" t="b">
        <v>1</v>
      </c>
      <c r="E116" s="16" t="b">
        <v>1</v>
      </c>
    </row>
    <row r="117">
      <c r="A117" s="16" t="s">
        <v>407</v>
      </c>
      <c r="B117" s="683">
        <v>46295.0</v>
      </c>
      <c r="C117" s="16" t="b">
        <v>1</v>
      </c>
      <c r="D117" s="16" t="b">
        <v>1</v>
      </c>
      <c r="E117" s="16" t="b">
        <v>1</v>
      </c>
    </row>
    <row r="118">
      <c r="A118" s="16" t="s">
        <v>438</v>
      </c>
      <c r="B118" s="412">
        <v>46296.0</v>
      </c>
      <c r="C118" s="16" t="b">
        <v>1</v>
      </c>
      <c r="D118" s="16" t="b">
        <v>1</v>
      </c>
      <c r="E118" s="16" t="b">
        <v>1</v>
      </c>
    </row>
    <row r="119">
      <c r="A119" s="16" t="s">
        <v>125</v>
      </c>
      <c r="B119" s="412">
        <v>46296.0</v>
      </c>
      <c r="C119" s="16" t="b">
        <v>1</v>
      </c>
      <c r="D119" s="16" t="b">
        <v>1</v>
      </c>
      <c r="E119" s="16" t="b">
        <v>1</v>
      </c>
    </row>
    <row r="120">
      <c r="A120" s="16" t="s">
        <v>128</v>
      </c>
      <c r="B120" s="412">
        <v>46300.0</v>
      </c>
      <c r="C120" s="16" t="b">
        <v>0</v>
      </c>
      <c r="D120" s="16" t="b">
        <v>0</v>
      </c>
      <c r="E120" s="16" t="b">
        <v>0</v>
      </c>
    </row>
    <row r="121">
      <c r="A121" s="16" t="s">
        <v>437</v>
      </c>
      <c r="B121" s="412">
        <v>46301.0</v>
      </c>
      <c r="C121" s="16" t="b">
        <v>0</v>
      </c>
      <c r="D121" s="16" t="b">
        <v>0</v>
      </c>
      <c r="E121" s="16" t="b">
        <v>0</v>
      </c>
    </row>
    <row r="122">
      <c r="A122" s="16" t="s">
        <v>96</v>
      </c>
      <c r="B122" s="412">
        <v>46301.0</v>
      </c>
      <c r="C122" s="16" t="b">
        <v>0</v>
      </c>
      <c r="D122" s="16" t="b">
        <v>0</v>
      </c>
      <c r="E122" s="16" t="b">
        <v>0</v>
      </c>
    </row>
    <row r="123">
      <c r="A123" s="16" t="s">
        <v>496</v>
      </c>
      <c r="B123" s="412">
        <v>46303.0</v>
      </c>
      <c r="C123" s="16" t="b">
        <v>0</v>
      </c>
      <c r="D123" s="16" t="b">
        <v>0</v>
      </c>
      <c r="E123" s="16" t="b">
        <v>0</v>
      </c>
    </row>
    <row r="124">
      <c r="A124" s="16" t="s">
        <v>93</v>
      </c>
      <c r="B124" s="412">
        <v>46303.0</v>
      </c>
      <c r="C124" s="16" t="b">
        <v>0</v>
      </c>
      <c r="D124" s="16" t="b">
        <v>0</v>
      </c>
      <c r="E124" s="16" t="b">
        <v>0</v>
      </c>
    </row>
    <row r="125">
      <c r="A125" s="16" t="s">
        <v>410</v>
      </c>
      <c r="B125" s="412">
        <v>46304.0</v>
      </c>
      <c r="C125" s="16" t="b">
        <v>0</v>
      </c>
      <c r="D125" s="16" t="b">
        <v>0</v>
      </c>
      <c r="E125" s="16" t="b">
        <v>0</v>
      </c>
    </row>
    <row r="126">
      <c r="A126" s="16" t="s">
        <v>148</v>
      </c>
      <c r="B126" s="412">
        <v>46314.0</v>
      </c>
      <c r="C126" s="16" t="b">
        <v>0</v>
      </c>
      <c r="D126" s="16" t="b">
        <v>0</v>
      </c>
      <c r="E126" s="16" t="b">
        <v>0</v>
      </c>
    </row>
    <row r="127">
      <c r="A127" s="16" t="s">
        <v>133</v>
      </c>
      <c r="B127" s="412">
        <v>46321.0</v>
      </c>
      <c r="C127" s="16" t="b">
        <v>0</v>
      </c>
      <c r="D127" s="16" t="b">
        <v>0</v>
      </c>
      <c r="E127" s="16" t="b">
        <v>0</v>
      </c>
    </row>
    <row r="128">
      <c r="A128" s="16" t="s">
        <v>135</v>
      </c>
      <c r="B128" s="412">
        <v>46322.0</v>
      </c>
      <c r="C128" s="16" t="b">
        <v>0</v>
      </c>
      <c r="D128" s="16" t="b">
        <v>0</v>
      </c>
      <c r="E128" s="16" t="b">
        <v>0</v>
      </c>
    </row>
    <row r="129">
      <c r="A129" s="16" t="s">
        <v>485</v>
      </c>
      <c r="B129" s="412">
        <v>46325.0</v>
      </c>
      <c r="C129" s="16" t="b">
        <v>0</v>
      </c>
      <c r="D129" s="16" t="b">
        <v>0</v>
      </c>
      <c r="E129" s="16" t="b">
        <v>0</v>
      </c>
    </row>
    <row r="130">
      <c r="C130" s="16" t="b">
        <v>0</v>
      </c>
      <c r="D130" s="16" t="b">
        <v>0</v>
      </c>
      <c r="E130" s="16" t="b">
        <v>0</v>
      </c>
    </row>
    <row r="131">
      <c r="C131" s="16" t="b">
        <v>0</v>
      </c>
      <c r="D131" s="16" t="b">
        <v>0</v>
      </c>
      <c r="E131" s="16" t="b">
        <v>0</v>
      </c>
    </row>
    <row r="132">
      <c r="C132" s="16" t="b">
        <v>0</v>
      </c>
      <c r="D132" s="16" t="b">
        <v>0</v>
      </c>
      <c r="E132" s="16" t="b">
        <v>0</v>
      </c>
    </row>
    <row r="133">
      <c r="C133" s="16" t="b">
        <v>0</v>
      </c>
      <c r="D133" s="16" t="b">
        <v>0</v>
      </c>
      <c r="E133" s="16" t="b">
        <v>0</v>
      </c>
    </row>
    <row r="134">
      <c r="C134" s="16" t="b">
        <v>0</v>
      </c>
      <c r="D134" s="16" t="b">
        <v>0</v>
      </c>
      <c r="E134" s="16" t="b">
        <v>0</v>
      </c>
    </row>
    <row r="135">
      <c r="C135" s="16" t="b">
        <v>0</v>
      </c>
      <c r="D135" s="16" t="b">
        <v>0</v>
      </c>
      <c r="E135" s="16" t="b">
        <v>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2"/>
  <sheetData>
    <row r="1">
      <c r="A1" s="665"/>
      <c r="B1" s="667" t="s">
        <v>3874</v>
      </c>
      <c r="C1" s="668"/>
      <c r="D1" s="662" t="s">
        <v>3875</v>
      </c>
      <c r="E1" s="668"/>
      <c r="F1" s="662" t="s">
        <v>3876</v>
      </c>
      <c r="G1" s="668"/>
      <c r="H1" s="668"/>
      <c r="I1" s="668"/>
      <c r="J1" s="668"/>
      <c r="K1" s="668"/>
      <c r="L1" s="668"/>
      <c r="M1" s="668"/>
      <c r="N1" s="668"/>
      <c r="O1" s="668"/>
      <c r="P1" s="668"/>
      <c r="Q1" s="668"/>
      <c r="R1" s="668"/>
      <c r="S1" s="668"/>
      <c r="T1" s="668"/>
      <c r="U1" s="668"/>
      <c r="V1" s="668"/>
      <c r="W1" s="668"/>
      <c r="X1" s="668"/>
      <c r="Y1" s="668"/>
      <c r="Z1" s="668"/>
    </row>
    <row r="2">
      <c r="A2" s="669">
        <v>7.0</v>
      </c>
      <c r="B2" s="669">
        <v>7.0</v>
      </c>
      <c r="C2" s="670"/>
      <c r="E2" s="670"/>
      <c r="F2" s="671">
        <v>85.0</v>
      </c>
    </row>
    <row r="3">
      <c r="A3" s="669">
        <v>8.0</v>
      </c>
      <c r="B3" s="669">
        <v>8.0</v>
      </c>
      <c r="C3" s="670"/>
      <c r="E3" s="670"/>
      <c r="F3" s="671">
        <v>131.0</v>
      </c>
    </row>
    <row r="4">
      <c r="A4" s="669">
        <v>13.0</v>
      </c>
      <c r="B4" s="669">
        <v>13.0</v>
      </c>
      <c r="C4" s="670"/>
      <c r="E4" s="670"/>
      <c r="F4" s="671">
        <v>212.0</v>
      </c>
    </row>
    <row r="5">
      <c r="A5" s="669">
        <v>28.0</v>
      </c>
      <c r="B5" s="669">
        <v>28.0</v>
      </c>
      <c r="C5" s="670"/>
      <c r="E5" s="670"/>
      <c r="F5" s="671">
        <v>254.0</v>
      </c>
    </row>
    <row r="6">
      <c r="A6" s="669">
        <v>44.0</v>
      </c>
      <c r="B6" s="669">
        <v>44.0</v>
      </c>
      <c r="C6" s="670"/>
      <c r="E6" s="670"/>
      <c r="F6" s="671">
        <v>539.0</v>
      </c>
      <c r="G6" s="16" t="s">
        <v>3878</v>
      </c>
    </row>
    <row r="7">
      <c r="A7" s="669">
        <v>53.0</v>
      </c>
      <c r="B7" s="669">
        <v>53.0</v>
      </c>
      <c r="C7" s="670"/>
      <c r="E7" s="670"/>
      <c r="F7" s="671">
        <v>672.0</v>
      </c>
    </row>
    <row r="8">
      <c r="A8" s="669">
        <v>54.0</v>
      </c>
      <c r="B8" s="669">
        <v>54.0</v>
      </c>
      <c r="C8" s="670"/>
      <c r="E8" s="670"/>
      <c r="F8" s="671">
        <v>738.0</v>
      </c>
    </row>
    <row r="9">
      <c r="A9" s="669">
        <v>55.0</v>
      </c>
      <c r="B9" s="669">
        <v>55.0</v>
      </c>
      <c r="C9" s="670"/>
      <c r="E9" s="670"/>
      <c r="F9" s="671">
        <v>742.0</v>
      </c>
      <c r="G9" s="16" t="s">
        <v>3878</v>
      </c>
    </row>
    <row r="10">
      <c r="A10" s="669">
        <v>63.0</v>
      </c>
      <c r="B10" s="669">
        <v>63.0</v>
      </c>
      <c r="C10" s="670"/>
      <c r="E10" s="670"/>
      <c r="F10" s="671">
        <v>778.0</v>
      </c>
      <c r="G10" s="16" t="s">
        <v>3878</v>
      </c>
    </row>
    <row r="11">
      <c r="A11" s="669">
        <v>73.0</v>
      </c>
      <c r="B11" s="669">
        <v>73.0</v>
      </c>
      <c r="C11" s="670"/>
      <c r="E11" s="670"/>
      <c r="F11" s="671">
        <v>803.0</v>
      </c>
      <c r="G11" s="16" t="s">
        <v>3878</v>
      </c>
    </row>
    <row r="12">
      <c r="A12" s="669">
        <v>85.0</v>
      </c>
      <c r="B12" s="674"/>
      <c r="C12" s="670"/>
      <c r="D12" s="16">
        <v>85.0</v>
      </c>
      <c r="E12" s="670"/>
      <c r="F12" s="671">
        <v>844.0</v>
      </c>
    </row>
    <row r="13">
      <c r="A13" s="669">
        <v>108.0</v>
      </c>
      <c r="B13" s="669">
        <v>108.0</v>
      </c>
      <c r="C13" s="670"/>
      <c r="E13" s="670"/>
      <c r="F13" s="671">
        <v>873.0</v>
      </c>
    </row>
    <row r="14">
      <c r="A14" s="669">
        <v>131.0</v>
      </c>
      <c r="B14" s="674"/>
      <c r="C14" s="670"/>
      <c r="D14" s="16">
        <v>131.0</v>
      </c>
      <c r="E14" s="670"/>
      <c r="F14" s="671">
        <v>907.0</v>
      </c>
    </row>
    <row r="15">
      <c r="A15" s="669">
        <v>139.0</v>
      </c>
      <c r="B15" s="669">
        <v>139.0</v>
      </c>
      <c r="C15" s="670"/>
      <c r="E15" s="670"/>
      <c r="F15" s="671">
        <v>1048.0</v>
      </c>
    </row>
    <row r="16">
      <c r="A16" s="669">
        <v>154.0</v>
      </c>
      <c r="B16" s="669">
        <v>154.0</v>
      </c>
      <c r="C16" s="670"/>
      <c r="E16" s="670"/>
      <c r="F16" s="671">
        <v>1174.0</v>
      </c>
    </row>
    <row r="17">
      <c r="A17" s="669">
        <v>169.0</v>
      </c>
      <c r="B17" s="669">
        <v>169.0</v>
      </c>
      <c r="C17" s="670"/>
      <c r="E17" s="670"/>
      <c r="F17" s="671">
        <v>1233.0</v>
      </c>
      <c r="G17" s="16" t="s">
        <v>3878</v>
      </c>
    </row>
    <row r="18">
      <c r="A18" s="669">
        <v>180.0</v>
      </c>
      <c r="B18" s="669">
        <v>180.0</v>
      </c>
      <c r="C18" s="670"/>
      <c r="E18" s="670"/>
      <c r="F18" s="675"/>
    </row>
    <row r="19">
      <c r="A19" s="669">
        <v>183.0</v>
      </c>
      <c r="B19" s="669">
        <v>183.0</v>
      </c>
      <c r="C19" s="670"/>
      <c r="E19" s="670"/>
      <c r="F19" s="675"/>
    </row>
    <row r="20">
      <c r="A20" s="669">
        <v>199.0</v>
      </c>
      <c r="B20" s="669">
        <v>199.0</v>
      </c>
      <c r="C20" s="670"/>
      <c r="E20" s="670"/>
      <c r="F20" s="675"/>
    </row>
    <row r="21">
      <c r="A21" s="669">
        <v>212.0</v>
      </c>
      <c r="B21" s="674"/>
      <c r="C21" s="670"/>
      <c r="D21" s="16">
        <v>212.0</v>
      </c>
      <c r="E21" s="670"/>
      <c r="F21" s="676"/>
    </row>
    <row r="22">
      <c r="A22" s="669">
        <v>216.0</v>
      </c>
      <c r="B22" s="669">
        <v>216.0</v>
      </c>
      <c r="C22" s="670"/>
      <c r="E22" s="670"/>
      <c r="F22" s="676"/>
    </row>
    <row r="23">
      <c r="A23" s="669">
        <v>219.0</v>
      </c>
      <c r="B23" s="669">
        <v>219.0</v>
      </c>
      <c r="C23" s="670"/>
      <c r="E23" s="670"/>
      <c r="F23" s="676"/>
    </row>
    <row r="24">
      <c r="A24" s="669">
        <v>221.0</v>
      </c>
      <c r="B24" s="669">
        <v>221.0</v>
      </c>
      <c r="C24" s="670"/>
      <c r="E24" s="670"/>
      <c r="F24" s="676"/>
    </row>
    <row r="25">
      <c r="A25" s="669">
        <v>235.0</v>
      </c>
      <c r="B25" s="669">
        <v>235.0</v>
      </c>
      <c r="C25" s="670"/>
      <c r="E25" s="670"/>
      <c r="F25" s="676"/>
    </row>
    <row r="26">
      <c r="A26" s="669">
        <v>254.0</v>
      </c>
      <c r="B26" s="674"/>
      <c r="C26" s="670"/>
      <c r="D26" s="16">
        <v>254.0</v>
      </c>
      <c r="E26" s="670"/>
      <c r="F26" s="676"/>
    </row>
    <row r="27">
      <c r="A27" s="669">
        <v>268.0</v>
      </c>
      <c r="B27" s="669">
        <v>268.0</v>
      </c>
      <c r="C27" s="670"/>
      <c r="E27" s="670"/>
      <c r="F27" s="676"/>
    </row>
    <row r="28">
      <c r="A28" s="669">
        <v>299.0</v>
      </c>
      <c r="B28" s="669">
        <v>299.0</v>
      </c>
      <c r="C28" s="670"/>
      <c r="E28" s="670"/>
      <c r="F28" s="676"/>
    </row>
    <row r="29">
      <c r="A29" s="669">
        <v>322.0</v>
      </c>
      <c r="B29" s="669">
        <v>322.0</v>
      </c>
      <c r="C29" s="670"/>
      <c r="E29" s="670"/>
      <c r="F29" s="676"/>
    </row>
    <row r="30">
      <c r="A30" s="669">
        <v>349.0</v>
      </c>
      <c r="B30" s="669">
        <v>349.0</v>
      </c>
      <c r="C30" s="670"/>
      <c r="E30" s="670"/>
      <c r="F30" s="676"/>
    </row>
    <row r="31">
      <c r="A31" s="669">
        <v>352.0</v>
      </c>
      <c r="B31" s="669">
        <v>352.0</v>
      </c>
      <c r="C31" s="670"/>
      <c r="E31" s="670"/>
      <c r="F31" s="676"/>
    </row>
    <row r="32">
      <c r="A32" s="669">
        <v>360.0</v>
      </c>
      <c r="B32" s="669">
        <v>360.0</v>
      </c>
      <c r="C32" s="670"/>
      <c r="E32" s="670"/>
      <c r="F32" s="676"/>
    </row>
    <row r="33">
      <c r="A33" s="669">
        <v>379.0</v>
      </c>
      <c r="B33" s="669">
        <v>379.0</v>
      </c>
      <c r="C33" s="670"/>
      <c r="E33" s="670"/>
      <c r="F33" s="676"/>
    </row>
    <row r="34">
      <c r="A34" s="669">
        <v>381.0</v>
      </c>
      <c r="B34" s="669">
        <v>381.0</v>
      </c>
      <c r="C34" s="670"/>
      <c r="E34" s="670"/>
      <c r="F34" s="676"/>
    </row>
    <row r="35">
      <c r="A35" s="669">
        <v>382.0</v>
      </c>
      <c r="B35" s="669">
        <v>382.0</v>
      </c>
      <c r="C35" s="670"/>
      <c r="E35" s="670"/>
      <c r="F35" s="676"/>
    </row>
    <row r="36">
      <c r="A36" s="669">
        <v>404.0</v>
      </c>
      <c r="B36" s="669">
        <v>404.0</v>
      </c>
      <c r="C36" s="670"/>
      <c r="E36" s="670"/>
      <c r="F36" s="676"/>
    </row>
    <row r="37">
      <c r="A37" s="669">
        <v>414.0</v>
      </c>
      <c r="B37" s="669">
        <v>414.0</v>
      </c>
      <c r="C37" s="670"/>
      <c r="E37" s="670"/>
      <c r="F37" s="676"/>
    </row>
    <row r="38">
      <c r="A38" s="669">
        <v>418.0</v>
      </c>
      <c r="B38" s="669">
        <v>418.0</v>
      </c>
      <c r="C38" s="670"/>
      <c r="E38" s="670"/>
      <c r="F38" s="676"/>
    </row>
    <row r="39">
      <c r="A39" s="669">
        <v>419.0</v>
      </c>
      <c r="B39" s="669">
        <v>419.0</v>
      </c>
      <c r="C39" s="670"/>
      <c r="E39" s="670"/>
      <c r="F39" s="676"/>
    </row>
    <row r="40">
      <c r="A40" s="669">
        <v>429.0</v>
      </c>
      <c r="B40" s="669">
        <v>429.0</v>
      </c>
      <c r="C40" s="670"/>
      <c r="E40" s="670"/>
      <c r="F40" s="676"/>
    </row>
    <row r="41">
      <c r="A41" s="669">
        <v>430.0</v>
      </c>
      <c r="B41" s="669">
        <v>430.0</v>
      </c>
      <c r="C41" s="670"/>
      <c r="E41" s="670"/>
      <c r="F41" s="676"/>
    </row>
    <row r="42">
      <c r="A42" s="669">
        <v>432.0</v>
      </c>
      <c r="B42" s="669">
        <v>432.0</v>
      </c>
      <c r="C42" s="670"/>
      <c r="E42" s="670"/>
      <c r="F42" s="676"/>
    </row>
    <row r="43">
      <c r="A43" s="669">
        <v>442.0</v>
      </c>
      <c r="B43" s="669">
        <v>442.0</v>
      </c>
      <c r="C43" s="670"/>
      <c r="E43" s="670"/>
      <c r="F43" s="676"/>
    </row>
    <row r="44">
      <c r="A44" s="669">
        <v>450.0</v>
      </c>
      <c r="B44" s="669">
        <v>450.0</v>
      </c>
      <c r="C44" s="670"/>
      <c r="E44" s="670"/>
      <c r="F44" s="676"/>
    </row>
    <row r="45">
      <c r="A45" s="669">
        <v>498.0</v>
      </c>
      <c r="B45" s="669">
        <v>498.0</v>
      </c>
      <c r="C45" s="670"/>
      <c r="E45" s="670"/>
      <c r="F45" s="676"/>
    </row>
    <row r="46">
      <c r="A46" s="669">
        <v>499.0</v>
      </c>
      <c r="B46" s="669">
        <v>499.0</v>
      </c>
      <c r="C46" s="670"/>
      <c r="E46" s="670"/>
      <c r="F46" s="676"/>
    </row>
    <row r="47">
      <c r="A47" s="669">
        <v>502.0</v>
      </c>
      <c r="B47" s="669">
        <v>502.0</v>
      </c>
      <c r="C47" s="670"/>
      <c r="E47" s="670"/>
      <c r="F47" s="676"/>
    </row>
    <row r="48">
      <c r="A48" s="669">
        <v>512.0</v>
      </c>
      <c r="B48" s="669">
        <v>512.0</v>
      </c>
      <c r="C48" s="670"/>
      <c r="E48" s="670"/>
      <c r="F48" s="676"/>
    </row>
    <row r="49">
      <c r="A49" s="669">
        <v>539.0</v>
      </c>
      <c r="B49" s="674"/>
      <c r="C49" s="670"/>
      <c r="D49" s="16">
        <v>539.0</v>
      </c>
      <c r="E49" s="670"/>
      <c r="F49" s="676"/>
    </row>
    <row r="50">
      <c r="A50" s="669">
        <v>542.0</v>
      </c>
      <c r="B50" s="669">
        <v>542.0</v>
      </c>
      <c r="C50" s="670"/>
      <c r="E50" s="670"/>
      <c r="F50" s="676"/>
    </row>
    <row r="51">
      <c r="A51" s="669">
        <v>569.0</v>
      </c>
      <c r="B51" s="669">
        <v>569.0</v>
      </c>
      <c r="C51" s="670"/>
      <c r="E51" s="670"/>
      <c r="F51" s="676"/>
    </row>
    <row r="52">
      <c r="A52" s="669">
        <v>586.0</v>
      </c>
      <c r="B52" s="669">
        <v>586.0</v>
      </c>
      <c r="C52" s="670"/>
      <c r="E52" s="670"/>
      <c r="F52" s="676"/>
    </row>
    <row r="53">
      <c r="A53" s="669">
        <v>587.0</v>
      </c>
      <c r="B53" s="669">
        <v>587.0</v>
      </c>
      <c r="C53" s="670"/>
      <c r="E53" s="670"/>
      <c r="F53" s="676"/>
    </row>
    <row r="54">
      <c r="A54" s="669">
        <v>597.0</v>
      </c>
      <c r="B54" s="669">
        <v>597.0</v>
      </c>
      <c r="C54" s="670"/>
      <c r="E54" s="670"/>
      <c r="F54" s="676"/>
    </row>
    <row r="55">
      <c r="A55" s="669">
        <v>599.0</v>
      </c>
      <c r="B55" s="669">
        <v>599.0</v>
      </c>
      <c r="C55" s="670"/>
      <c r="E55" s="670"/>
      <c r="F55" s="676"/>
    </row>
    <row r="56">
      <c r="A56" s="669">
        <v>613.0</v>
      </c>
      <c r="B56" s="669">
        <v>613.0</v>
      </c>
      <c r="C56" s="670"/>
      <c r="E56" s="670"/>
      <c r="F56" s="676"/>
    </row>
    <row r="57">
      <c r="A57" s="669">
        <v>614.0</v>
      </c>
      <c r="B57" s="669">
        <v>614.0</v>
      </c>
      <c r="C57" s="670"/>
      <c r="E57" s="670"/>
      <c r="F57" s="676"/>
    </row>
    <row r="58">
      <c r="A58" s="669">
        <v>617.0</v>
      </c>
      <c r="B58" s="669">
        <v>617.0</v>
      </c>
      <c r="C58" s="670"/>
      <c r="E58" s="670"/>
      <c r="F58" s="676"/>
    </row>
    <row r="59">
      <c r="A59" s="669">
        <v>620.0</v>
      </c>
      <c r="B59" s="669">
        <v>620.0</v>
      </c>
      <c r="C59" s="670"/>
      <c r="E59" s="670"/>
      <c r="F59" s="676"/>
    </row>
    <row r="60">
      <c r="A60" s="669">
        <v>652.0</v>
      </c>
      <c r="B60" s="669">
        <v>652.0</v>
      </c>
      <c r="C60" s="670"/>
      <c r="E60" s="670"/>
      <c r="F60" s="676"/>
    </row>
    <row r="61">
      <c r="A61" s="669">
        <v>653.0</v>
      </c>
      <c r="B61" s="669">
        <v>653.0</v>
      </c>
      <c r="C61" s="670"/>
      <c r="E61" s="670"/>
      <c r="F61" s="676"/>
    </row>
    <row r="62">
      <c r="A62" s="669">
        <v>657.0</v>
      </c>
      <c r="B62" s="669">
        <v>657.0</v>
      </c>
      <c r="C62" s="670"/>
      <c r="E62" s="670"/>
      <c r="F62" s="676"/>
    </row>
    <row r="63">
      <c r="A63" s="669">
        <v>658.0</v>
      </c>
      <c r="B63" s="669">
        <v>658.0</v>
      </c>
      <c r="C63" s="670"/>
      <c r="E63" s="670"/>
      <c r="F63" s="676"/>
    </row>
    <row r="64">
      <c r="A64" s="669">
        <v>672.0</v>
      </c>
      <c r="B64" s="674"/>
      <c r="C64" s="670"/>
      <c r="D64" s="16">
        <v>672.0</v>
      </c>
      <c r="E64" s="670"/>
      <c r="F64" s="676"/>
    </row>
    <row r="65">
      <c r="A65" s="669">
        <v>676.0</v>
      </c>
      <c r="B65" s="669">
        <v>676.0</v>
      </c>
      <c r="C65" s="670"/>
      <c r="E65" s="670"/>
      <c r="F65" s="676"/>
    </row>
    <row r="66">
      <c r="A66" s="669">
        <v>693.0</v>
      </c>
      <c r="B66" s="669">
        <v>693.0</v>
      </c>
      <c r="C66" s="670"/>
      <c r="E66" s="670"/>
      <c r="F66" s="676"/>
    </row>
    <row r="67">
      <c r="A67" s="669">
        <v>705.0</v>
      </c>
      <c r="B67" s="669">
        <v>705.0</v>
      </c>
      <c r="C67" s="670"/>
      <c r="E67" s="670"/>
      <c r="F67" s="676"/>
    </row>
    <row r="68">
      <c r="A68" s="669">
        <v>715.0</v>
      </c>
      <c r="B68" s="669">
        <v>715.0</v>
      </c>
      <c r="C68" s="670"/>
      <c r="E68" s="670"/>
      <c r="F68" s="676"/>
    </row>
    <row r="69">
      <c r="A69" s="669">
        <v>738.0</v>
      </c>
      <c r="B69" s="674"/>
      <c r="C69" s="670"/>
      <c r="D69" s="16">
        <v>738.0</v>
      </c>
      <c r="E69" s="670"/>
      <c r="F69" s="676"/>
    </row>
    <row r="70">
      <c r="A70" s="669">
        <v>741.0</v>
      </c>
      <c r="B70" s="669">
        <v>741.0</v>
      </c>
      <c r="C70" s="670"/>
      <c r="E70" s="670"/>
      <c r="F70" s="676"/>
    </row>
    <row r="71">
      <c r="A71" s="669">
        <v>742.0</v>
      </c>
      <c r="B71" s="674"/>
      <c r="C71" s="670"/>
      <c r="D71" s="16">
        <v>742.0</v>
      </c>
      <c r="E71" s="670"/>
      <c r="F71" s="676"/>
    </row>
    <row r="72">
      <c r="A72" s="669">
        <v>745.0</v>
      </c>
      <c r="B72" s="669">
        <v>745.0</v>
      </c>
      <c r="C72" s="670"/>
      <c r="E72" s="670"/>
      <c r="F72" s="676"/>
    </row>
    <row r="73">
      <c r="A73" s="669">
        <v>756.0</v>
      </c>
      <c r="B73" s="669">
        <v>756.0</v>
      </c>
      <c r="C73" s="670"/>
      <c r="E73" s="670"/>
      <c r="F73" s="676"/>
    </row>
    <row r="74">
      <c r="A74" s="669">
        <v>757.0</v>
      </c>
      <c r="B74" s="669">
        <v>757.0</v>
      </c>
      <c r="C74" s="670"/>
      <c r="E74" s="670"/>
      <c r="F74" s="676"/>
    </row>
    <row r="75">
      <c r="A75" s="669">
        <v>763.0</v>
      </c>
      <c r="B75" s="669">
        <v>763.0</v>
      </c>
      <c r="C75" s="670"/>
      <c r="E75" s="670"/>
      <c r="F75" s="676"/>
    </row>
    <row r="76">
      <c r="A76" s="669">
        <v>770.0</v>
      </c>
      <c r="B76" s="669">
        <v>770.0</v>
      </c>
      <c r="C76" s="670"/>
      <c r="E76" s="670"/>
      <c r="F76" s="676"/>
    </row>
    <row r="77">
      <c r="A77" s="669">
        <v>771.0</v>
      </c>
      <c r="B77" s="669">
        <v>771.0</v>
      </c>
      <c r="C77" s="670"/>
      <c r="E77" s="670"/>
      <c r="F77" s="676"/>
    </row>
    <row r="78">
      <c r="A78" s="669">
        <v>772.0</v>
      </c>
      <c r="B78" s="669">
        <v>772.0</v>
      </c>
      <c r="C78" s="670"/>
      <c r="E78" s="670"/>
      <c r="F78" s="676"/>
    </row>
    <row r="79">
      <c r="A79" s="669">
        <v>778.0</v>
      </c>
      <c r="B79" s="674"/>
      <c r="C79" s="670"/>
      <c r="D79" s="16">
        <v>778.0</v>
      </c>
      <c r="E79" s="670"/>
      <c r="F79" s="676"/>
    </row>
    <row r="80">
      <c r="A80" s="669">
        <v>781.0</v>
      </c>
      <c r="B80" s="669">
        <v>781.0</v>
      </c>
      <c r="C80" s="670"/>
      <c r="E80" s="670"/>
      <c r="F80" s="676"/>
    </row>
    <row r="81">
      <c r="A81" s="669">
        <v>789.0</v>
      </c>
      <c r="B81" s="669">
        <v>789.0</v>
      </c>
      <c r="C81" s="670"/>
      <c r="E81" s="670"/>
      <c r="F81" s="676"/>
    </row>
    <row r="82">
      <c r="A82" s="669">
        <v>790.0</v>
      </c>
      <c r="B82" s="669">
        <v>790.0</v>
      </c>
      <c r="C82" s="670"/>
      <c r="E82" s="670"/>
      <c r="F82" s="676"/>
    </row>
    <row r="83">
      <c r="A83" s="669">
        <v>798.0</v>
      </c>
      <c r="B83" s="669">
        <v>798.0</v>
      </c>
      <c r="C83" s="670"/>
      <c r="E83" s="670"/>
      <c r="F83" s="676"/>
    </row>
    <row r="84">
      <c r="A84" s="669">
        <v>800.0</v>
      </c>
      <c r="B84" s="669">
        <v>800.0</v>
      </c>
      <c r="C84" s="670"/>
      <c r="E84" s="670"/>
      <c r="F84" s="676"/>
    </row>
    <row r="85">
      <c r="A85" s="669">
        <v>803.0</v>
      </c>
      <c r="B85" s="674"/>
      <c r="C85" s="670"/>
      <c r="D85" s="16">
        <v>803.0</v>
      </c>
      <c r="E85" s="670"/>
      <c r="F85" s="676"/>
    </row>
    <row r="86">
      <c r="A86" s="669">
        <v>805.0</v>
      </c>
      <c r="B86" s="669">
        <v>805.0</v>
      </c>
      <c r="C86" s="670"/>
      <c r="E86" s="670"/>
      <c r="F86" s="676"/>
    </row>
    <row r="87">
      <c r="A87" s="669">
        <v>808.0</v>
      </c>
      <c r="B87" s="669">
        <v>808.0</v>
      </c>
      <c r="C87" s="670"/>
      <c r="E87" s="670"/>
      <c r="F87" s="676"/>
    </row>
    <row r="88">
      <c r="A88" s="669">
        <v>818.0</v>
      </c>
      <c r="B88" s="669">
        <v>818.0</v>
      </c>
      <c r="C88" s="670"/>
      <c r="E88" s="670"/>
      <c r="F88" s="676"/>
    </row>
    <row r="89">
      <c r="A89" s="669">
        <v>822.0</v>
      </c>
      <c r="B89" s="669">
        <v>822.0</v>
      </c>
      <c r="C89" s="670"/>
      <c r="E89" s="670"/>
      <c r="F89" s="676"/>
    </row>
    <row r="90">
      <c r="A90" s="669">
        <v>824.0</v>
      </c>
      <c r="B90" s="669">
        <v>824.0</v>
      </c>
      <c r="C90" s="670"/>
      <c r="E90" s="670"/>
      <c r="F90" s="676"/>
    </row>
    <row r="91">
      <c r="A91" s="669">
        <v>830.0</v>
      </c>
      <c r="B91" s="669">
        <v>830.0</v>
      </c>
      <c r="C91" s="670"/>
      <c r="E91" s="670"/>
      <c r="F91" s="676"/>
    </row>
    <row r="92">
      <c r="A92" s="669">
        <v>838.0</v>
      </c>
      <c r="B92" s="669">
        <v>838.0</v>
      </c>
      <c r="C92" s="670"/>
      <c r="E92" s="670"/>
      <c r="F92" s="676"/>
    </row>
    <row r="93">
      <c r="A93" s="669">
        <v>843.0</v>
      </c>
      <c r="B93" s="669">
        <v>843.0</v>
      </c>
      <c r="C93" s="670"/>
      <c r="E93" s="670"/>
      <c r="F93" s="676"/>
    </row>
    <row r="94">
      <c r="A94" s="669">
        <v>844.0</v>
      </c>
      <c r="B94" s="674"/>
      <c r="C94" s="670"/>
      <c r="D94" s="16">
        <v>844.0</v>
      </c>
      <c r="E94" s="670"/>
      <c r="F94" s="676"/>
    </row>
    <row r="95">
      <c r="A95" s="669">
        <v>855.0</v>
      </c>
      <c r="B95" s="669">
        <v>855.0</v>
      </c>
      <c r="C95" s="670"/>
      <c r="E95" s="670"/>
      <c r="F95" s="676"/>
    </row>
    <row r="96">
      <c r="A96" s="669">
        <v>873.0</v>
      </c>
      <c r="B96" s="674"/>
      <c r="C96" s="670"/>
      <c r="D96" s="16">
        <v>873.0</v>
      </c>
      <c r="E96" s="670"/>
      <c r="F96" s="676"/>
    </row>
    <row r="97">
      <c r="A97" s="669">
        <v>876.0</v>
      </c>
      <c r="B97" s="669">
        <v>876.0</v>
      </c>
      <c r="C97" s="670"/>
      <c r="E97" s="670"/>
      <c r="F97" s="676"/>
    </row>
    <row r="98">
      <c r="A98" s="669">
        <v>878.0</v>
      </c>
      <c r="B98" s="669">
        <v>878.0</v>
      </c>
      <c r="C98" s="670"/>
      <c r="E98" s="670"/>
      <c r="F98" s="676"/>
    </row>
    <row r="99">
      <c r="A99" s="669">
        <v>879.0</v>
      </c>
      <c r="B99" s="669">
        <v>879.0</v>
      </c>
      <c r="C99" s="670"/>
      <c r="E99" s="670"/>
      <c r="F99" s="676"/>
    </row>
    <row r="100">
      <c r="A100" s="669">
        <v>884.0</v>
      </c>
      <c r="B100" s="669">
        <v>884.0</v>
      </c>
      <c r="C100" s="670"/>
      <c r="E100" s="670"/>
      <c r="F100" s="676"/>
    </row>
    <row r="101">
      <c r="A101" s="669">
        <v>901.0</v>
      </c>
      <c r="B101" s="669">
        <v>901.0</v>
      </c>
      <c r="C101" s="670"/>
      <c r="E101" s="670"/>
      <c r="F101" s="676"/>
    </row>
    <row r="102">
      <c r="A102" s="669">
        <v>907.0</v>
      </c>
      <c r="B102" s="674"/>
      <c r="C102" s="670"/>
      <c r="D102" s="16">
        <v>907.0</v>
      </c>
      <c r="E102" s="670"/>
      <c r="F102" s="676"/>
    </row>
    <row r="103">
      <c r="A103" s="669">
        <v>908.0</v>
      </c>
      <c r="B103" s="669">
        <v>908.0</v>
      </c>
      <c r="C103" s="670"/>
      <c r="E103" s="670"/>
      <c r="F103" s="676"/>
    </row>
    <row r="104">
      <c r="A104" s="669">
        <v>916.0</v>
      </c>
      <c r="B104" s="669">
        <v>916.0</v>
      </c>
      <c r="C104" s="670"/>
      <c r="E104" s="670"/>
      <c r="F104" s="676"/>
    </row>
    <row r="105">
      <c r="A105" s="669">
        <v>918.0</v>
      </c>
      <c r="B105" s="669">
        <v>918.0</v>
      </c>
      <c r="C105" s="670"/>
      <c r="E105" s="670"/>
      <c r="F105" s="676"/>
    </row>
    <row r="106">
      <c r="A106" s="669">
        <v>924.0</v>
      </c>
      <c r="B106" s="669">
        <v>924.0</v>
      </c>
      <c r="C106" s="670"/>
      <c r="E106" s="670"/>
      <c r="F106" s="676"/>
    </row>
    <row r="107">
      <c r="A107" s="669">
        <v>928.0</v>
      </c>
      <c r="B107" s="669">
        <v>928.0</v>
      </c>
      <c r="C107" s="670"/>
      <c r="E107" s="670"/>
      <c r="F107" s="676"/>
    </row>
    <row r="108">
      <c r="A108" s="669">
        <v>935.0</v>
      </c>
      <c r="B108" s="669">
        <v>935.0</v>
      </c>
      <c r="C108" s="670"/>
      <c r="E108" s="670"/>
      <c r="F108" s="676"/>
    </row>
    <row r="109">
      <c r="A109" s="669">
        <v>940.0</v>
      </c>
      <c r="B109" s="669">
        <v>940.0</v>
      </c>
      <c r="C109" s="670"/>
      <c r="E109" s="670"/>
      <c r="F109" s="676"/>
    </row>
    <row r="110">
      <c r="A110" s="669">
        <v>956.0</v>
      </c>
      <c r="B110" s="669">
        <v>956.0</v>
      </c>
      <c r="C110" s="670"/>
      <c r="E110" s="670"/>
      <c r="F110" s="676"/>
    </row>
    <row r="111">
      <c r="A111" s="669">
        <v>969.0</v>
      </c>
      <c r="B111" s="669">
        <v>969.0</v>
      </c>
      <c r="C111" s="670"/>
      <c r="E111" s="670"/>
      <c r="F111" s="676"/>
    </row>
    <row r="112">
      <c r="A112" s="669">
        <v>971.0</v>
      </c>
      <c r="B112" s="669">
        <v>971.0</v>
      </c>
      <c r="C112" s="670"/>
      <c r="E112" s="670"/>
      <c r="F112" s="676"/>
    </row>
    <row r="113">
      <c r="A113" s="669">
        <v>978.0</v>
      </c>
      <c r="B113" s="669">
        <v>978.0</v>
      </c>
      <c r="C113" s="670"/>
      <c r="E113" s="670"/>
      <c r="F113" s="676"/>
    </row>
    <row r="114">
      <c r="A114" s="669">
        <v>981.0</v>
      </c>
      <c r="B114" s="669">
        <v>981.0</v>
      </c>
      <c r="C114" s="670"/>
      <c r="E114" s="670"/>
      <c r="F114" s="676"/>
    </row>
    <row r="115">
      <c r="A115" s="669">
        <v>982.0</v>
      </c>
      <c r="B115" s="669">
        <v>982.0</v>
      </c>
      <c r="C115" s="670"/>
      <c r="E115" s="670"/>
      <c r="F115" s="676"/>
    </row>
    <row r="116">
      <c r="A116" s="669">
        <v>985.0</v>
      </c>
      <c r="B116" s="669">
        <v>985.0</v>
      </c>
      <c r="C116" s="670"/>
      <c r="E116" s="670"/>
      <c r="F116" s="676"/>
    </row>
    <row r="117">
      <c r="A117" s="669">
        <v>987.0</v>
      </c>
      <c r="B117" s="669">
        <v>987.0</v>
      </c>
      <c r="C117" s="670"/>
      <c r="E117" s="670"/>
      <c r="F117" s="676"/>
    </row>
    <row r="118">
      <c r="A118" s="669">
        <v>1000.0</v>
      </c>
      <c r="B118" s="669">
        <v>1000.0</v>
      </c>
      <c r="C118" s="670"/>
      <c r="E118" s="670"/>
      <c r="F118" s="676"/>
    </row>
    <row r="119">
      <c r="A119" s="669">
        <v>1004.0</v>
      </c>
      <c r="B119" s="669">
        <v>1004.0</v>
      </c>
      <c r="C119" s="670"/>
      <c r="E119" s="670"/>
      <c r="F119" s="676"/>
    </row>
    <row r="120">
      <c r="A120" s="669">
        <v>1008.0</v>
      </c>
      <c r="B120" s="669">
        <v>1008.0</v>
      </c>
      <c r="C120" s="670"/>
      <c r="E120" s="670"/>
      <c r="F120" s="676"/>
    </row>
    <row r="121">
      <c r="A121" s="669">
        <v>1009.0</v>
      </c>
      <c r="B121" s="669">
        <v>1009.0</v>
      </c>
      <c r="C121" s="670"/>
      <c r="E121" s="670"/>
      <c r="F121" s="676"/>
    </row>
    <row r="122">
      <c r="A122" s="669">
        <v>1012.0</v>
      </c>
      <c r="B122" s="669">
        <v>1012.0</v>
      </c>
      <c r="C122" s="670"/>
      <c r="E122" s="670"/>
      <c r="F122" s="676"/>
    </row>
    <row r="123">
      <c r="A123" s="669">
        <v>1016.0</v>
      </c>
      <c r="B123" s="669">
        <v>1016.0</v>
      </c>
      <c r="C123" s="670"/>
      <c r="E123" s="670"/>
      <c r="F123" s="676"/>
    </row>
    <row r="124">
      <c r="A124" s="669">
        <v>1019.0</v>
      </c>
      <c r="B124" s="669">
        <v>1019.0</v>
      </c>
      <c r="C124" s="670"/>
      <c r="E124" s="670"/>
      <c r="F124" s="676"/>
    </row>
    <row r="125">
      <c r="A125" s="669">
        <v>1030.0</v>
      </c>
      <c r="B125" s="669">
        <v>1030.0</v>
      </c>
      <c r="C125" s="670"/>
      <c r="E125" s="670"/>
      <c r="F125" s="676"/>
    </row>
    <row r="126">
      <c r="A126" s="669">
        <v>1032.0</v>
      </c>
      <c r="B126" s="669">
        <v>1032.0</v>
      </c>
      <c r="C126" s="670"/>
      <c r="E126" s="670"/>
      <c r="F126" s="676"/>
    </row>
    <row r="127">
      <c r="A127" s="669">
        <v>1039.0</v>
      </c>
      <c r="B127" s="669">
        <v>1039.0</v>
      </c>
      <c r="C127" s="670"/>
      <c r="E127" s="670"/>
      <c r="F127" s="676"/>
    </row>
    <row r="128">
      <c r="A128" s="669">
        <v>1047.0</v>
      </c>
      <c r="B128" s="669">
        <v>1047.0</v>
      </c>
      <c r="C128" s="670"/>
      <c r="E128" s="670"/>
      <c r="F128" s="676"/>
    </row>
    <row r="129">
      <c r="A129" s="669">
        <v>1048.0</v>
      </c>
      <c r="B129" s="674"/>
      <c r="C129" s="670"/>
      <c r="D129" s="16">
        <v>1048.0</v>
      </c>
      <c r="E129" s="670"/>
      <c r="F129" s="676"/>
    </row>
    <row r="130">
      <c r="A130" s="669">
        <v>1053.0</v>
      </c>
      <c r="B130" s="669">
        <v>1053.0</v>
      </c>
      <c r="C130" s="670"/>
      <c r="E130" s="670"/>
      <c r="F130" s="676"/>
    </row>
    <row r="131">
      <c r="A131" s="669">
        <v>1059.0</v>
      </c>
      <c r="B131" s="669">
        <v>1059.0</v>
      </c>
      <c r="C131" s="670"/>
      <c r="E131" s="670"/>
      <c r="F131" s="676"/>
    </row>
    <row r="132">
      <c r="A132" s="669">
        <v>1063.0</v>
      </c>
      <c r="B132" s="669">
        <v>1063.0</v>
      </c>
      <c r="C132" s="670"/>
      <c r="E132" s="670"/>
      <c r="F132" s="676"/>
    </row>
    <row r="133">
      <c r="A133" s="669">
        <v>1071.0</v>
      </c>
      <c r="B133" s="669">
        <v>1071.0</v>
      </c>
      <c r="C133" s="670"/>
      <c r="E133" s="670"/>
      <c r="F133" s="676"/>
    </row>
    <row r="134">
      <c r="A134" s="669">
        <v>1076.0</v>
      </c>
      <c r="B134" s="669">
        <v>1076.0</v>
      </c>
      <c r="C134" s="670"/>
      <c r="E134" s="670"/>
      <c r="F134" s="676"/>
    </row>
    <row r="135">
      <c r="A135" s="669">
        <v>1079.0</v>
      </c>
      <c r="B135" s="669">
        <v>1079.0</v>
      </c>
      <c r="C135" s="670"/>
      <c r="E135" s="670"/>
      <c r="F135" s="676"/>
    </row>
    <row r="136">
      <c r="A136" s="669">
        <v>1085.0</v>
      </c>
      <c r="B136" s="669">
        <v>1085.0</v>
      </c>
      <c r="C136" s="670"/>
      <c r="E136" s="670"/>
      <c r="F136" s="676"/>
    </row>
    <row r="137">
      <c r="A137" s="669">
        <v>1092.0</v>
      </c>
      <c r="B137" s="669">
        <v>1092.0</v>
      </c>
      <c r="C137" s="670"/>
      <c r="E137" s="670"/>
      <c r="F137" s="676"/>
    </row>
    <row r="138">
      <c r="A138" s="669">
        <v>1095.0</v>
      </c>
      <c r="B138" s="669">
        <v>1095.0</v>
      </c>
      <c r="C138" s="670"/>
      <c r="E138" s="670"/>
      <c r="F138" s="676"/>
    </row>
    <row r="139">
      <c r="A139" s="669">
        <v>1096.0</v>
      </c>
      <c r="B139" s="669">
        <v>1096.0</v>
      </c>
      <c r="C139" s="670"/>
      <c r="E139" s="670"/>
      <c r="F139" s="676"/>
    </row>
    <row r="140">
      <c r="A140" s="669">
        <v>1106.0</v>
      </c>
      <c r="B140" s="669">
        <v>1106.0</v>
      </c>
      <c r="C140" s="670"/>
      <c r="E140" s="670"/>
      <c r="F140" s="676"/>
    </row>
    <row r="141">
      <c r="A141" s="669">
        <v>1119.0</v>
      </c>
      <c r="B141" s="669">
        <v>1119.0</v>
      </c>
      <c r="C141" s="670"/>
      <c r="E141" s="670"/>
      <c r="F141" s="676"/>
    </row>
    <row r="142">
      <c r="A142" s="669">
        <v>1133.0</v>
      </c>
      <c r="B142" s="669">
        <v>1133.0</v>
      </c>
      <c r="C142" s="670"/>
      <c r="E142" s="670"/>
      <c r="F142" s="676"/>
    </row>
    <row r="143">
      <c r="A143" s="669">
        <v>1134.0</v>
      </c>
      <c r="B143" s="669">
        <v>1134.0</v>
      </c>
      <c r="C143" s="670"/>
      <c r="E143" s="670"/>
      <c r="F143" s="676"/>
    </row>
    <row r="144">
      <c r="A144" s="669">
        <v>1139.0</v>
      </c>
      <c r="B144" s="669">
        <v>1139.0</v>
      </c>
      <c r="C144" s="670"/>
      <c r="E144" s="670"/>
      <c r="F144" s="676"/>
    </row>
    <row r="145">
      <c r="A145" s="669">
        <v>1142.0</v>
      </c>
      <c r="B145" s="669">
        <v>1142.0</v>
      </c>
      <c r="C145" s="670"/>
      <c r="E145" s="670"/>
      <c r="F145" s="676"/>
    </row>
    <row r="146">
      <c r="A146" s="669">
        <v>1143.0</v>
      </c>
      <c r="B146" s="669">
        <v>1143.0</v>
      </c>
      <c r="C146" s="670"/>
      <c r="E146" s="670"/>
      <c r="F146" s="676"/>
    </row>
    <row r="147">
      <c r="A147" s="669">
        <v>1152.0</v>
      </c>
      <c r="B147" s="669">
        <v>1152.0</v>
      </c>
      <c r="C147" s="670"/>
      <c r="E147" s="670"/>
      <c r="F147" s="676"/>
    </row>
    <row r="148">
      <c r="A148" s="669">
        <v>1156.0</v>
      </c>
      <c r="B148" s="669">
        <v>1156.0</v>
      </c>
      <c r="C148" s="670"/>
      <c r="E148" s="670"/>
      <c r="F148" s="676"/>
    </row>
    <row r="149">
      <c r="A149" s="669">
        <v>1160.0</v>
      </c>
      <c r="B149" s="669">
        <v>1160.0</v>
      </c>
      <c r="C149" s="670"/>
      <c r="E149" s="670"/>
      <c r="F149" s="676"/>
    </row>
    <row r="150">
      <c r="A150" s="669">
        <v>1167.0</v>
      </c>
      <c r="B150" s="669">
        <v>1167.0</v>
      </c>
      <c r="C150" s="670"/>
      <c r="E150" s="670"/>
      <c r="F150" s="676"/>
    </row>
    <row r="151">
      <c r="A151" s="669">
        <v>1174.0</v>
      </c>
      <c r="B151" s="674"/>
      <c r="C151" s="670"/>
      <c r="D151" s="16">
        <v>1174.0</v>
      </c>
      <c r="E151" s="670"/>
      <c r="F151" s="676"/>
    </row>
    <row r="152">
      <c r="A152" s="669">
        <v>1187.0</v>
      </c>
      <c r="B152" s="669">
        <v>1187.0</v>
      </c>
      <c r="C152" s="670"/>
      <c r="E152" s="670"/>
      <c r="F152" s="676"/>
    </row>
    <row r="153">
      <c r="A153" s="669">
        <v>1190.0</v>
      </c>
      <c r="B153" s="669">
        <v>1190.0</v>
      </c>
      <c r="C153" s="670"/>
      <c r="E153" s="670"/>
      <c r="F153" s="676"/>
    </row>
    <row r="154">
      <c r="A154" s="669">
        <v>1199.0</v>
      </c>
      <c r="B154" s="669">
        <v>1199.0</v>
      </c>
      <c r="C154" s="670"/>
      <c r="E154" s="670"/>
      <c r="F154" s="676"/>
    </row>
    <row r="155">
      <c r="A155" s="669">
        <v>1202.0</v>
      </c>
      <c r="B155" s="669">
        <v>1202.0</v>
      </c>
      <c r="C155" s="670"/>
      <c r="E155" s="670"/>
      <c r="F155" s="676"/>
    </row>
    <row r="156">
      <c r="A156" s="669">
        <v>1218.0</v>
      </c>
      <c r="B156" s="669">
        <v>1218.0</v>
      </c>
      <c r="C156" s="670"/>
      <c r="E156" s="670"/>
      <c r="F156" s="676"/>
    </row>
    <row r="157">
      <c r="A157" s="669">
        <v>1231.0</v>
      </c>
      <c r="B157" s="669">
        <v>1231.0</v>
      </c>
      <c r="C157" s="670"/>
      <c r="E157" s="670"/>
      <c r="F157" s="676"/>
    </row>
    <row r="158">
      <c r="A158" s="669">
        <v>1233.0</v>
      </c>
      <c r="B158" s="674"/>
      <c r="C158" s="670"/>
      <c r="D158" s="16">
        <v>1233.0</v>
      </c>
      <c r="E158" s="670"/>
      <c r="F158" s="676"/>
    </row>
    <row r="159">
      <c r="A159" s="669">
        <v>1241.0</v>
      </c>
      <c r="B159" s="669">
        <v>1241.0</v>
      </c>
      <c r="C159" s="670"/>
      <c r="E159" s="670"/>
      <c r="F159" s="676"/>
    </row>
    <row r="160">
      <c r="A160" s="669">
        <v>1246.0</v>
      </c>
      <c r="B160" s="669">
        <v>1246.0</v>
      </c>
      <c r="C160" s="670"/>
      <c r="E160" s="670"/>
      <c r="F160" s="676"/>
    </row>
    <row r="161">
      <c r="A161" s="669">
        <v>1263.0</v>
      </c>
      <c r="B161" s="669">
        <v>1263.0</v>
      </c>
      <c r="C161" s="670"/>
      <c r="E161" s="670"/>
      <c r="F161" s="676"/>
    </row>
    <row r="162">
      <c r="A162" s="669">
        <v>1276.0</v>
      </c>
      <c r="B162" s="669">
        <v>1276.0</v>
      </c>
      <c r="C162" s="670"/>
      <c r="E162" s="670"/>
      <c r="F162" s="676"/>
    </row>
    <row r="163">
      <c r="A163" s="669">
        <v>1284.0</v>
      </c>
      <c r="B163" s="669">
        <v>1284.0</v>
      </c>
      <c r="C163" s="670"/>
      <c r="E163" s="670"/>
      <c r="F163" s="676"/>
    </row>
    <row r="164">
      <c r="A164" s="669">
        <v>1303.0</v>
      </c>
      <c r="B164" s="669">
        <v>1303.0</v>
      </c>
      <c r="C164" s="670"/>
      <c r="E164" s="670"/>
      <c r="F164" s="676"/>
    </row>
    <row r="165">
      <c r="A165" s="669">
        <v>1315.0</v>
      </c>
      <c r="B165" s="669">
        <v>1315.0</v>
      </c>
      <c r="C165" s="670"/>
      <c r="E165" s="670"/>
      <c r="F165" s="676"/>
    </row>
    <row r="166">
      <c r="A166" s="669">
        <v>1318.0</v>
      </c>
      <c r="B166" s="669">
        <v>1318.0</v>
      </c>
      <c r="C166" s="670"/>
      <c r="E166" s="670"/>
      <c r="F166" s="676"/>
    </row>
    <row r="167">
      <c r="A167" s="669">
        <v>1335.0</v>
      </c>
      <c r="B167" s="669">
        <v>1335.0</v>
      </c>
      <c r="C167" s="670"/>
      <c r="E167" s="670"/>
      <c r="F167" s="676"/>
    </row>
    <row r="168">
      <c r="A168" s="669">
        <v>1341.0</v>
      </c>
      <c r="B168" s="669">
        <v>1341.0</v>
      </c>
      <c r="C168" s="670"/>
      <c r="E168" s="670"/>
      <c r="F168" s="676"/>
    </row>
    <row r="169">
      <c r="A169" s="669">
        <v>1347.0</v>
      </c>
      <c r="B169" s="669">
        <v>1347.0</v>
      </c>
      <c r="C169" s="670"/>
      <c r="E169" s="670"/>
      <c r="F169" s="676"/>
    </row>
    <row r="170">
      <c r="A170" s="669">
        <v>1368.0</v>
      </c>
      <c r="B170" s="669">
        <v>1368.0</v>
      </c>
      <c r="C170" s="670"/>
      <c r="E170" s="670"/>
      <c r="F170" s="676"/>
    </row>
    <row r="171">
      <c r="A171" s="669">
        <v>1373.0</v>
      </c>
      <c r="B171" s="669">
        <v>1373.0</v>
      </c>
      <c r="C171" s="670"/>
      <c r="E171" s="670"/>
      <c r="F171" s="676"/>
    </row>
    <row r="172">
      <c r="A172" s="669">
        <v>1385.0</v>
      </c>
      <c r="B172" s="669">
        <v>1385.0</v>
      </c>
      <c r="C172" s="670"/>
      <c r="E172" s="670"/>
      <c r="F172" s="676"/>
    </row>
    <row r="173">
      <c r="A173" s="669">
        <v>1387.0</v>
      </c>
      <c r="B173" s="669">
        <v>1387.0</v>
      </c>
      <c r="C173" s="670"/>
      <c r="E173" s="670"/>
      <c r="F173" s="676"/>
    </row>
    <row r="174">
      <c r="A174" s="669">
        <v>1388.0</v>
      </c>
      <c r="B174" s="669">
        <v>1388.0</v>
      </c>
      <c r="C174" s="670"/>
      <c r="E174" s="670"/>
      <c r="F174" s="676"/>
    </row>
    <row r="175">
      <c r="A175" s="669">
        <v>1392.0</v>
      </c>
      <c r="B175" s="669">
        <v>1392.0</v>
      </c>
      <c r="C175" s="670"/>
      <c r="E175" s="670"/>
      <c r="F175" s="676"/>
    </row>
    <row r="176">
      <c r="A176" s="669">
        <v>1396.0</v>
      </c>
      <c r="B176" s="669">
        <v>1396.0</v>
      </c>
      <c r="C176" s="670"/>
      <c r="E176" s="670"/>
      <c r="F176" s="676"/>
    </row>
    <row r="177">
      <c r="A177" s="669">
        <v>1415.0</v>
      </c>
      <c r="B177" s="669">
        <v>1415.0</v>
      </c>
      <c r="C177" s="670"/>
      <c r="E177" s="670"/>
      <c r="F177" s="676"/>
    </row>
    <row r="178">
      <c r="A178" s="669">
        <v>1418.0</v>
      </c>
      <c r="B178" s="669">
        <v>1418.0</v>
      </c>
      <c r="C178" s="670"/>
      <c r="E178" s="670"/>
      <c r="F178" s="676"/>
    </row>
    <row r="179">
      <c r="A179" s="669">
        <v>1455.0</v>
      </c>
      <c r="B179" s="669">
        <v>1455.0</v>
      </c>
      <c r="C179" s="670"/>
      <c r="E179" s="670"/>
      <c r="F179" s="676"/>
    </row>
    <row r="180">
      <c r="A180" s="669">
        <v>1462.0</v>
      </c>
      <c r="B180" s="669">
        <v>1462.0</v>
      </c>
      <c r="C180" s="670"/>
      <c r="E180" s="670"/>
      <c r="F180" s="676"/>
    </row>
    <row r="181">
      <c r="A181" s="669">
        <v>1480.0</v>
      </c>
      <c r="B181" s="669">
        <v>1480.0</v>
      </c>
      <c r="C181" s="670"/>
      <c r="E181" s="670"/>
      <c r="F181" s="676"/>
    </row>
    <row r="182">
      <c r="A182" s="669">
        <v>1491.0</v>
      </c>
      <c r="B182" s="669">
        <v>1491.0</v>
      </c>
      <c r="C182" s="670"/>
      <c r="E182" s="670"/>
      <c r="F182" s="676"/>
    </row>
    <row r="183">
      <c r="A183" s="669">
        <v>1492.0</v>
      </c>
      <c r="B183" s="669">
        <v>1492.0</v>
      </c>
      <c r="C183" s="670"/>
      <c r="E183" s="670"/>
      <c r="F183" s="676"/>
    </row>
    <row r="184">
      <c r="A184" s="669">
        <v>1497.0</v>
      </c>
      <c r="B184" s="669">
        <v>1497.0</v>
      </c>
      <c r="C184" s="670"/>
      <c r="E184" s="670"/>
      <c r="F184" s="676"/>
    </row>
    <row r="185">
      <c r="A185" s="669">
        <v>1505.0</v>
      </c>
      <c r="B185" s="669">
        <v>1505.0</v>
      </c>
      <c r="C185" s="670"/>
      <c r="E185" s="670"/>
      <c r="F185" s="676"/>
    </row>
    <row r="186">
      <c r="A186" s="669">
        <v>1508.0</v>
      </c>
      <c r="B186" s="669">
        <v>1508.0</v>
      </c>
      <c r="C186" s="670"/>
      <c r="E186" s="670"/>
      <c r="F186" s="676"/>
    </row>
    <row r="187">
      <c r="A187" s="669">
        <v>1515.0</v>
      </c>
      <c r="B187" s="669">
        <v>1515.0</v>
      </c>
      <c r="C187" s="670"/>
      <c r="E187" s="670"/>
      <c r="F187" s="676"/>
    </row>
    <row r="188">
      <c r="A188" s="669">
        <v>1521.0</v>
      </c>
      <c r="B188" s="669">
        <v>1521.0</v>
      </c>
      <c r="C188" s="670"/>
      <c r="E188" s="670"/>
      <c r="F188" s="676"/>
    </row>
    <row r="189">
      <c r="A189" s="669">
        <v>1523.0</v>
      </c>
      <c r="B189" s="669">
        <v>1523.0</v>
      </c>
      <c r="C189" s="670"/>
      <c r="E189" s="670"/>
      <c r="F189" s="676"/>
    </row>
    <row r="190">
      <c r="A190" s="669">
        <v>1530.0</v>
      </c>
      <c r="B190" s="669">
        <v>1530.0</v>
      </c>
      <c r="C190" s="670"/>
      <c r="E190" s="670"/>
      <c r="F190" s="676"/>
    </row>
    <row r="191">
      <c r="A191" s="669">
        <v>1554.0</v>
      </c>
      <c r="B191" s="669">
        <v>1554.0</v>
      </c>
      <c r="C191" s="670"/>
      <c r="E191" s="670"/>
      <c r="F191" s="676"/>
    </row>
    <row r="192">
      <c r="A192" s="669">
        <v>1556.0</v>
      </c>
      <c r="B192" s="669">
        <v>1556.0</v>
      </c>
      <c r="C192" s="670"/>
      <c r="E192" s="670"/>
      <c r="F192" s="676"/>
    </row>
    <row r="193">
      <c r="A193" s="669">
        <v>1575.0</v>
      </c>
      <c r="B193" s="669">
        <v>1575.0</v>
      </c>
      <c r="C193" s="670"/>
      <c r="E193" s="670"/>
      <c r="F193" s="676"/>
    </row>
    <row r="194">
      <c r="A194" s="669">
        <v>1576.0</v>
      </c>
      <c r="B194" s="669">
        <v>1576.0</v>
      </c>
      <c r="C194" s="670"/>
      <c r="E194" s="670"/>
      <c r="F194" s="676"/>
    </row>
    <row r="195">
      <c r="A195" s="669">
        <v>1579.0</v>
      </c>
      <c r="B195" s="669">
        <v>1579.0</v>
      </c>
      <c r="C195" s="670"/>
      <c r="E195" s="670"/>
      <c r="F195" s="676"/>
    </row>
    <row r="196">
      <c r="A196" s="669">
        <v>1593.0</v>
      </c>
      <c r="B196" s="669">
        <v>1593.0</v>
      </c>
      <c r="C196" s="670"/>
      <c r="E196" s="670"/>
      <c r="F196" s="676"/>
    </row>
    <row r="197">
      <c r="A197" s="669">
        <v>1601.0</v>
      </c>
      <c r="B197" s="669">
        <v>1601.0</v>
      </c>
      <c r="C197" s="670"/>
      <c r="E197" s="670"/>
      <c r="F197" s="676"/>
    </row>
    <row r="198">
      <c r="A198" s="669">
        <v>1605.0</v>
      </c>
      <c r="B198" s="669">
        <v>1605.0</v>
      </c>
      <c r="C198" s="670"/>
      <c r="E198" s="670"/>
      <c r="F198" s="676"/>
    </row>
    <row r="199">
      <c r="A199" s="669">
        <v>1608.0</v>
      </c>
      <c r="B199" s="669">
        <v>1608.0</v>
      </c>
      <c r="C199" s="670"/>
      <c r="E199" s="670"/>
      <c r="F199" s="676"/>
    </row>
    <row r="200">
      <c r="A200" s="669">
        <v>1619.0</v>
      </c>
      <c r="B200" s="669">
        <v>1619.0</v>
      </c>
      <c r="C200" s="670"/>
      <c r="E200" s="670"/>
      <c r="F200" s="676"/>
    </row>
    <row r="201">
      <c r="A201" s="669">
        <v>1622.0</v>
      </c>
      <c r="B201" s="669">
        <v>1622.0</v>
      </c>
      <c r="C201" s="670"/>
      <c r="E201" s="670"/>
      <c r="F201" s="676"/>
    </row>
    <row r="202">
      <c r="A202" s="669">
        <v>1625.0</v>
      </c>
      <c r="B202" s="669">
        <v>1625.0</v>
      </c>
      <c r="C202" s="670"/>
      <c r="E202" s="670"/>
      <c r="F202" s="676"/>
    </row>
    <row r="203">
      <c r="A203" s="669">
        <v>1629.0</v>
      </c>
      <c r="B203" s="669">
        <v>1629.0</v>
      </c>
      <c r="C203" s="670"/>
      <c r="E203" s="670"/>
      <c r="F203" s="676"/>
    </row>
    <row r="204">
      <c r="A204" s="669">
        <v>1630.0</v>
      </c>
      <c r="B204" s="669">
        <v>1630.0</v>
      </c>
      <c r="C204" s="670"/>
      <c r="E204" s="670"/>
      <c r="F204" s="676"/>
    </row>
    <row r="205">
      <c r="A205" s="669">
        <v>1645.0</v>
      </c>
      <c r="B205" s="669">
        <v>1645.0</v>
      </c>
      <c r="C205" s="670"/>
      <c r="E205" s="670"/>
      <c r="F205" s="676"/>
    </row>
    <row r="206">
      <c r="A206" s="669">
        <v>1662.0</v>
      </c>
      <c r="B206" s="669">
        <v>1662.0</v>
      </c>
      <c r="C206" s="670"/>
      <c r="E206" s="670"/>
      <c r="F206" s="676"/>
    </row>
    <row r="207">
      <c r="A207" s="669">
        <v>1664.0</v>
      </c>
      <c r="B207" s="669">
        <v>1664.0</v>
      </c>
      <c r="C207" s="670"/>
      <c r="E207" s="670"/>
      <c r="F207" s="676"/>
    </row>
    <row r="208">
      <c r="A208" s="669">
        <v>1674.0</v>
      </c>
      <c r="B208" s="669">
        <v>1674.0</v>
      </c>
      <c r="C208" s="670"/>
      <c r="E208" s="670"/>
      <c r="F208" s="676"/>
    </row>
    <row r="209">
      <c r="A209" s="669">
        <v>1677.0</v>
      </c>
      <c r="B209" s="669">
        <v>1677.0</v>
      </c>
      <c r="C209" s="670"/>
      <c r="E209" s="670"/>
      <c r="F209" s="676"/>
    </row>
    <row r="210">
      <c r="A210" s="669">
        <v>1684.0</v>
      </c>
      <c r="B210" s="669">
        <v>1684.0</v>
      </c>
      <c r="C210" s="670"/>
      <c r="E210" s="670"/>
      <c r="F210" s="676"/>
    </row>
    <row r="211">
      <c r="A211" s="669">
        <v>1695.0</v>
      </c>
      <c r="B211" s="669">
        <v>1695.0</v>
      </c>
      <c r="C211" s="670"/>
      <c r="E211" s="670"/>
      <c r="F211" s="676"/>
    </row>
    <row r="212">
      <c r="A212" s="669">
        <v>1703.0</v>
      </c>
      <c r="B212" s="669">
        <v>1703.0</v>
      </c>
      <c r="C212" s="670"/>
      <c r="E212" s="670"/>
      <c r="F212" s="676"/>
    </row>
    <row r="213">
      <c r="A213" s="669">
        <v>1705.0</v>
      </c>
      <c r="B213" s="669">
        <v>1705.0</v>
      </c>
      <c r="C213" s="670"/>
      <c r="E213" s="670"/>
      <c r="F213" s="676"/>
    </row>
    <row r="214">
      <c r="A214" s="669">
        <v>1725.0</v>
      </c>
      <c r="B214" s="669">
        <v>1725.0</v>
      </c>
      <c r="C214" s="670"/>
      <c r="E214" s="670"/>
      <c r="F214" s="676"/>
    </row>
    <row r="215">
      <c r="A215" s="669">
        <v>1727.0</v>
      </c>
      <c r="B215" s="669">
        <v>1727.0</v>
      </c>
      <c r="C215" s="670"/>
      <c r="E215" s="670"/>
      <c r="F215" s="676"/>
    </row>
    <row r="216">
      <c r="A216" s="669">
        <v>1734.0</v>
      </c>
      <c r="B216" s="669">
        <v>1734.0</v>
      </c>
      <c r="C216" s="670"/>
      <c r="E216" s="670"/>
      <c r="F216" s="676"/>
    </row>
    <row r="217">
      <c r="A217" s="669">
        <v>1735.0</v>
      </c>
      <c r="B217" s="669">
        <v>1735.0</v>
      </c>
      <c r="C217" s="670"/>
      <c r="E217" s="670"/>
      <c r="F217" s="676"/>
    </row>
    <row r="218">
      <c r="C218" s="670"/>
      <c r="E218" s="670"/>
      <c r="F218" s="676"/>
    </row>
    <row r="219">
      <c r="C219" s="670"/>
      <c r="E219" s="670"/>
      <c r="F219" s="676"/>
    </row>
    <row r="220">
      <c r="C220" s="670"/>
      <c r="E220" s="670"/>
      <c r="F220" s="676"/>
    </row>
    <row r="221">
      <c r="C221" s="670"/>
      <c r="E221" s="670"/>
      <c r="F221" s="676"/>
    </row>
    <row r="222">
      <c r="C222" s="670"/>
      <c r="E222" s="670"/>
      <c r="F222" s="676"/>
    </row>
    <row r="223">
      <c r="C223" s="670"/>
      <c r="E223" s="670"/>
      <c r="F223" s="676"/>
    </row>
    <row r="224">
      <c r="C224" s="670"/>
      <c r="E224" s="670"/>
      <c r="F224" s="676"/>
    </row>
    <row r="225">
      <c r="C225" s="670"/>
      <c r="E225" s="670"/>
      <c r="F225" s="676"/>
    </row>
    <row r="226">
      <c r="C226" s="670"/>
      <c r="E226" s="670"/>
      <c r="F226" s="676"/>
    </row>
    <row r="227">
      <c r="C227" s="670"/>
      <c r="E227" s="670"/>
      <c r="F227" s="676"/>
    </row>
    <row r="228">
      <c r="C228" s="670"/>
      <c r="E228" s="670"/>
      <c r="F228" s="676"/>
    </row>
    <row r="229">
      <c r="C229" s="670"/>
      <c r="E229" s="670"/>
      <c r="F229" s="676"/>
    </row>
    <row r="230">
      <c r="C230" s="670"/>
      <c r="E230" s="670"/>
      <c r="F230" s="676"/>
    </row>
    <row r="231">
      <c r="C231" s="670"/>
      <c r="E231" s="670"/>
      <c r="F231" s="676"/>
    </row>
    <row r="232">
      <c r="C232" s="670"/>
      <c r="E232" s="670"/>
      <c r="F232" s="676"/>
    </row>
    <row r="233">
      <c r="C233" s="670"/>
      <c r="E233" s="670"/>
      <c r="F233" s="676"/>
    </row>
    <row r="234">
      <c r="C234" s="670"/>
      <c r="E234" s="670"/>
      <c r="F234" s="676"/>
    </row>
    <row r="235">
      <c r="C235" s="670"/>
      <c r="E235" s="670"/>
      <c r="F235" s="676"/>
    </row>
    <row r="236">
      <c r="C236" s="670"/>
      <c r="E236" s="670"/>
      <c r="F236" s="676"/>
    </row>
    <row r="237">
      <c r="C237" s="670"/>
      <c r="E237" s="670"/>
      <c r="F237" s="676"/>
    </row>
    <row r="238">
      <c r="C238" s="670"/>
      <c r="E238" s="670"/>
      <c r="F238" s="676"/>
    </row>
    <row r="239">
      <c r="C239" s="670"/>
      <c r="E239" s="670"/>
      <c r="F239" s="676"/>
    </row>
    <row r="240">
      <c r="C240" s="670"/>
      <c r="E240" s="670"/>
      <c r="F240" s="676"/>
    </row>
    <row r="241">
      <c r="C241" s="670"/>
      <c r="E241" s="670"/>
      <c r="F241" s="676"/>
    </row>
    <row r="242">
      <c r="C242" s="670"/>
      <c r="E242" s="670"/>
      <c r="F242" s="676"/>
    </row>
    <row r="243">
      <c r="C243" s="670"/>
      <c r="E243" s="670"/>
      <c r="F243" s="676"/>
    </row>
    <row r="244">
      <c r="C244" s="670"/>
      <c r="E244" s="670"/>
      <c r="F244" s="676"/>
    </row>
    <row r="245">
      <c r="C245" s="670"/>
      <c r="E245" s="670"/>
      <c r="F245" s="676"/>
    </row>
    <row r="246">
      <c r="C246" s="670"/>
      <c r="E246" s="670"/>
      <c r="F246" s="676"/>
    </row>
    <row r="247">
      <c r="C247" s="670"/>
      <c r="E247" s="670"/>
      <c r="F247" s="676"/>
    </row>
    <row r="248">
      <c r="C248" s="670"/>
      <c r="E248" s="670"/>
      <c r="F248" s="676"/>
    </row>
    <row r="249">
      <c r="C249" s="670"/>
      <c r="E249" s="670"/>
      <c r="F249" s="676"/>
    </row>
    <row r="250">
      <c r="C250" s="670"/>
      <c r="E250" s="670"/>
      <c r="F250" s="676"/>
    </row>
    <row r="251">
      <c r="C251" s="670"/>
      <c r="E251" s="670"/>
      <c r="F251" s="676"/>
    </row>
    <row r="252">
      <c r="C252" s="670"/>
      <c r="E252" s="670"/>
      <c r="F252" s="676"/>
    </row>
    <row r="253">
      <c r="C253" s="670"/>
      <c r="E253" s="670"/>
      <c r="F253" s="676"/>
    </row>
    <row r="254">
      <c r="C254" s="670"/>
      <c r="E254" s="670"/>
      <c r="F254" s="676"/>
    </row>
    <row r="255">
      <c r="C255" s="670"/>
      <c r="E255" s="670"/>
      <c r="F255" s="676"/>
    </row>
    <row r="256">
      <c r="C256" s="670"/>
      <c r="E256" s="670"/>
      <c r="F256" s="676"/>
    </row>
    <row r="257">
      <c r="C257" s="670"/>
      <c r="E257" s="670"/>
      <c r="F257" s="676"/>
    </row>
    <row r="258">
      <c r="C258" s="670"/>
      <c r="E258" s="670"/>
      <c r="F258" s="676"/>
    </row>
    <row r="259">
      <c r="C259" s="670"/>
      <c r="E259" s="670"/>
      <c r="F259" s="676"/>
    </row>
    <row r="260">
      <c r="C260" s="670"/>
      <c r="E260" s="670"/>
      <c r="F260" s="676"/>
    </row>
    <row r="261">
      <c r="C261" s="670"/>
      <c r="E261" s="670"/>
      <c r="F261" s="676"/>
    </row>
    <row r="262">
      <c r="C262" s="670"/>
      <c r="E262" s="670"/>
      <c r="F262" s="676"/>
    </row>
    <row r="263">
      <c r="C263" s="670"/>
      <c r="E263" s="670"/>
      <c r="F263" s="676"/>
    </row>
    <row r="264">
      <c r="C264" s="670"/>
      <c r="E264" s="670"/>
      <c r="F264" s="676"/>
    </row>
    <row r="265">
      <c r="C265" s="670"/>
      <c r="E265" s="670"/>
      <c r="F265" s="676"/>
    </row>
    <row r="266">
      <c r="C266" s="670"/>
      <c r="E266" s="670"/>
      <c r="F266" s="676"/>
    </row>
    <row r="267">
      <c r="C267" s="670"/>
      <c r="E267" s="670"/>
      <c r="F267" s="676"/>
    </row>
    <row r="268">
      <c r="C268" s="670"/>
      <c r="E268" s="670"/>
      <c r="F268" s="676"/>
    </row>
    <row r="269">
      <c r="C269" s="670"/>
      <c r="E269" s="670"/>
      <c r="F269" s="676"/>
    </row>
    <row r="270">
      <c r="C270" s="670"/>
      <c r="E270" s="670"/>
      <c r="F270" s="676"/>
    </row>
    <row r="271">
      <c r="C271" s="670"/>
      <c r="E271" s="670"/>
      <c r="F271" s="676"/>
    </row>
    <row r="272">
      <c r="C272" s="670"/>
      <c r="E272" s="670"/>
      <c r="F272" s="676"/>
    </row>
    <row r="273">
      <c r="C273" s="670"/>
      <c r="E273" s="670"/>
      <c r="F273" s="676"/>
    </row>
    <row r="274">
      <c r="C274" s="670"/>
      <c r="E274" s="670"/>
      <c r="F274" s="676"/>
    </row>
    <row r="275">
      <c r="C275" s="670"/>
      <c r="E275" s="670"/>
      <c r="F275" s="676"/>
    </row>
    <row r="276">
      <c r="C276" s="670"/>
      <c r="E276" s="670"/>
      <c r="F276" s="676"/>
    </row>
    <row r="277">
      <c r="C277" s="670"/>
      <c r="E277" s="670"/>
      <c r="F277" s="676"/>
    </row>
    <row r="278">
      <c r="C278" s="670"/>
      <c r="E278" s="670"/>
      <c r="F278" s="676"/>
    </row>
    <row r="279">
      <c r="C279" s="670"/>
      <c r="E279" s="670"/>
      <c r="F279" s="676"/>
    </row>
    <row r="280">
      <c r="C280" s="670"/>
      <c r="E280" s="670"/>
      <c r="F280" s="676"/>
    </row>
    <row r="281">
      <c r="C281" s="670"/>
      <c r="E281" s="670"/>
      <c r="F281" s="676"/>
    </row>
    <row r="282">
      <c r="C282" s="670"/>
      <c r="E282" s="670"/>
      <c r="F282" s="676"/>
    </row>
    <row r="283">
      <c r="C283" s="670"/>
      <c r="E283" s="670"/>
      <c r="F283" s="676"/>
    </row>
    <row r="284">
      <c r="C284" s="670"/>
      <c r="E284" s="670"/>
      <c r="F284" s="676"/>
    </row>
    <row r="285">
      <c r="C285" s="670"/>
      <c r="E285" s="670"/>
      <c r="F285" s="676"/>
    </row>
    <row r="286">
      <c r="C286" s="670"/>
      <c r="E286" s="670"/>
      <c r="F286" s="676"/>
    </row>
    <row r="287">
      <c r="C287" s="670"/>
      <c r="E287" s="670"/>
      <c r="F287" s="676"/>
    </row>
    <row r="288">
      <c r="C288" s="670"/>
      <c r="E288" s="670"/>
      <c r="F288" s="676"/>
    </row>
    <row r="289">
      <c r="C289" s="670"/>
      <c r="E289" s="670"/>
      <c r="F289" s="676"/>
    </row>
    <row r="290">
      <c r="C290" s="670"/>
      <c r="E290" s="670"/>
      <c r="F290" s="676"/>
    </row>
    <row r="291">
      <c r="C291" s="670"/>
      <c r="E291" s="670"/>
      <c r="F291" s="676"/>
    </row>
    <row r="292">
      <c r="C292" s="670"/>
      <c r="E292" s="670"/>
      <c r="F292" s="676"/>
    </row>
    <row r="293">
      <c r="C293" s="670"/>
      <c r="E293" s="670"/>
      <c r="F293" s="676"/>
    </row>
    <row r="294">
      <c r="C294" s="670"/>
      <c r="E294" s="670"/>
      <c r="F294" s="676"/>
    </row>
    <row r="295">
      <c r="C295" s="670"/>
      <c r="E295" s="670"/>
      <c r="F295" s="676"/>
    </row>
    <row r="296">
      <c r="C296" s="670"/>
      <c r="E296" s="670"/>
      <c r="F296" s="676"/>
    </row>
    <row r="297">
      <c r="C297" s="670"/>
      <c r="E297" s="670"/>
      <c r="F297" s="676"/>
    </row>
    <row r="298">
      <c r="C298" s="670"/>
      <c r="E298" s="670"/>
      <c r="F298" s="676"/>
    </row>
    <row r="299">
      <c r="C299" s="670"/>
      <c r="E299" s="670"/>
      <c r="F299" s="676"/>
    </row>
    <row r="300">
      <c r="C300" s="670"/>
      <c r="E300" s="670"/>
      <c r="F300" s="676"/>
    </row>
    <row r="301">
      <c r="C301" s="670"/>
      <c r="E301" s="670"/>
      <c r="F301" s="676"/>
    </row>
    <row r="302">
      <c r="C302" s="670"/>
      <c r="E302" s="670"/>
      <c r="F302" s="676"/>
    </row>
    <row r="303">
      <c r="C303" s="670"/>
      <c r="E303" s="670"/>
      <c r="F303" s="676"/>
    </row>
    <row r="304">
      <c r="C304" s="670"/>
      <c r="E304" s="670"/>
      <c r="F304" s="676"/>
    </row>
    <row r="305">
      <c r="C305" s="670"/>
      <c r="E305" s="670"/>
      <c r="F305" s="676"/>
    </row>
    <row r="306">
      <c r="C306" s="670"/>
      <c r="E306" s="670"/>
      <c r="F306" s="676"/>
    </row>
    <row r="307">
      <c r="C307" s="670"/>
      <c r="E307" s="670"/>
      <c r="F307" s="676"/>
    </row>
    <row r="308">
      <c r="C308" s="670"/>
      <c r="E308" s="670"/>
      <c r="F308" s="676"/>
    </row>
    <row r="309">
      <c r="C309" s="670"/>
      <c r="E309" s="670"/>
      <c r="F309" s="676"/>
    </row>
    <row r="310">
      <c r="C310" s="670"/>
      <c r="E310" s="670"/>
      <c r="F310" s="676"/>
    </row>
    <row r="311">
      <c r="C311" s="670"/>
      <c r="E311" s="670"/>
      <c r="F311" s="676"/>
    </row>
    <row r="312">
      <c r="C312" s="670"/>
      <c r="E312" s="670"/>
      <c r="F312" s="676"/>
    </row>
    <row r="313">
      <c r="C313" s="670"/>
      <c r="E313" s="670"/>
      <c r="F313" s="676"/>
    </row>
    <row r="314">
      <c r="C314" s="670"/>
      <c r="E314" s="670"/>
      <c r="F314" s="676"/>
    </row>
    <row r="315">
      <c r="C315" s="670"/>
      <c r="E315" s="670"/>
      <c r="F315" s="676"/>
    </row>
    <row r="316">
      <c r="C316" s="670"/>
      <c r="E316" s="670"/>
      <c r="F316" s="676"/>
    </row>
    <row r="317">
      <c r="C317" s="670"/>
      <c r="E317" s="670"/>
      <c r="F317" s="676"/>
    </row>
    <row r="318">
      <c r="C318" s="670"/>
      <c r="E318" s="670"/>
      <c r="F318" s="676"/>
    </row>
    <row r="319">
      <c r="C319" s="670"/>
      <c r="E319" s="670"/>
      <c r="F319" s="676"/>
    </row>
    <row r="320">
      <c r="C320" s="670"/>
      <c r="E320" s="670"/>
      <c r="F320" s="676"/>
    </row>
    <row r="321">
      <c r="C321" s="670"/>
      <c r="E321" s="670"/>
      <c r="F321" s="676"/>
    </row>
    <row r="322">
      <c r="C322" s="670"/>
      <c r="E322" s="670"/>
      <c r="F322" s="676"/>
    </row>
    <row r="323">
      <c r="C323" s="670"/>
      <c r="E323" s="670"/>
      <c r="F323" s="676"/>
    </row>
    <row r="324">
      <c r="C324" s="670"/>
      <c r="E324" s="670"/>
      <c r="F324" s="676"/>
    </row>
    <row r="325">
      <c r="C325" s="670"/>
      <c r="E325" s="670"/>
      <c r="F325" s="676"/>
    </row>
    <row r="326">
      <c r="C326" s="670"/>
      <c r="E326" s="670"/>
      <c r="F326" s="676"/>
    </row>
    <row r="327">
      <c r="C327" s="670"/>
      <c r="E327" s="670"/>
      <c r="F327" s="676"/>
    </row>
    <row r="328">
      <c r="C328" s="670"/>
      <c r="E328" s="670"/>
      <c r="F328" s="676"/>
    </row>
    <row r="329">
      <c r="C329" s="670"/>
      <c r="E329" s="670"/>
      <c r="F329" s="676"/>
    </row>
    <row r="330">
      <c r="C330" s="670"/>
      <c r="E330" s="670"/>
      <c r="F330" s="676"/>
    </row>
    <row r="331">
      <c r="C331" s="670"/>
      <c r="E331" s="670"/>
      <c r="F331" s="676"/>
    </row>
    <row r="332">
      <c r="C332" s="670"/>
      <c r="E332" s="670"/>
      <c r="F332" s="676"/>
    </row>
    <row r="333">
      <c r="C333" s="670"/>
      <c r="E333" s="670"/>
      <c r="F333" s="676"/>
    </row>
    <row r="334">
      <c r="C334" s="670"/>
      <c r="E334" s="670"/>
      <c r="F334" s="676"/>
    </row>
    <row r="335">
      <c r="C335" s="670"/>
      <c r="E335" s="670"/>
      <c r="F335" s="676"/>
    </row>
    <row r="336">
      <c r="C336" s="670"/>
      <c r="E336" s="670"/>
      <c r="F336" s="676"/>
    </row>
    <row r="337">
      <c r="C337" s="670"/>
      <c r="E337" s="670"/>
      <c r="F337" s="676"/>
    </row>
    <row r="338">
      <c r="C338" s="670"/>
      <c r="E338" s="670"/>
      <c r="F338" s="676"/>
    </row>
    <row r="339">
      <c r="C339" s="670"/>
      <c r="E339" s="670"/>
      <c r="F339" s="676"/>
    </row>
    <row r="340">
      <c r="C340" s="670"/>
      <c r="E340" s="670"/>
      <c r="F340" s="676"/>
    </row>
    <row r="341">
      <c r="C341" s="670"/>
      <c r="E341" s="670"/>
      <c r="F341" s="676"/>
    </row>
    <row r="342">
      <c r="C342" s="670"/>
      <c r="E342" s="670"/>
      <c r="F342" s="676"/>
    </row>
    <row r="343">
      <c r="C343" s="670"/>
      <c r="E343" s="670"/>
      <c r="F343" s="676"/>
    </row>
    <row r="344">
      <c r="C344" s="670"/>
      <c r="E344" s="670"/>
      <c r="F344" s="676"/>
    </row>
    <row r="345">
      <c r="C345" s="670"/>
      <c r="E345" s="670"/>
      <c r="F345" s="676"/>
    </row>
    <row r="346">
      <c r="C346" s="670"/>
      <c r="E346" s="670"/>
      <c r="F346" s="676"/>
    </row>
    <row r="347">
      <c r="C347" s="670"/>
      <c r="E347" s="670"/>
      <c r="F347" s="676"/>
    </row>
    <row r="348">
      <c r="C348" s="670"/>
      <c r="E348" s="670"/>
      <c r="F348" s="676"/>
    </row>
    <row r="349">
      <c r="C349" s="670"/>
      <c r="E349" s="670"/>
      <c r="F349" s="676"/>
    </row>
    <row r="350">
      <c r="C350" s="670"/>
      <c r="E350" s="670"/>
      <c r="F350" s="676"/>
    </row>
    <row r="351">
      <c r="C351" s="670"/>
      <c r="E351" s="670"/>
      <c r="F351" s="676"/>
    </row>
    <row r="352">
      <c r="C352" s="670"/>
      <c r="E352" s="670"/>
      <c r="F352" s="676"/>
    </row>
    <row r="353">
      <c r="C353" s="670"/>
      <c r="E353" s="670"/>
      <c r="F353" s="676"/>
    </row>
    <row r="354">
      <c r="C354" s="670"/>
      <c r="E354" s="670"/>
      <c r="F354" s="676"/>
    </row>
    <row r="355">
      <c r="C355" s="670"/>
      <c r="E355" s="670"/>
      <c r="F355" s="676"/>
    </row>
    <row r="356">
      <c r="C356" s="670"/>
      <c r="E356" s="670"/>
      <c r="F356" s="676"/>
    </row>
    <row r="357">
      <c r="C357" s="670"/>
      <c r="E357" s="670"/>
      <c r="F357" s="676"/>
    </row>
    <row r="358">
      <c r="C358" s="670"/>
      <c r="E358" s="670"/>
      <c r="F358" s="676"/>
    </row>
    <row r="359">
      <c r="C359" s="670"/>
      <c r="E359" s="670"/>
      <c r="F359" s="676"/>
    </row>
    <row r="360">
      <c r="C360" s="670"/>
      <c r="E360" s="670"/>
      <c r="F360" s="676"/>
    </row>
    <row r="361">
      <c r="C361" s="670"/>
      <c r="E361" s="670"/>
      <c r="F361" s="676"/>
    </row>
    <row r="362">
      <c r="C362" s="670"/>
      <c r="E362" s="670"/>
      <c r="F362" s="676"/>
    </row>
    <row r="363">
      <c r="C363" s="670"/>
      <c r="E363" s="670"/>
      <c r="F363" s="676"/>
    </row>
    <row r="364">
      <c r="C364" s="670"/>
      <c r="E364" s="670"/>
      <c r="F364" s="676"/>
    </row>
    <row r="365">
      <c r="C365" s="670"/>
      <c r="E365" s="670"/>
      <c r="F365" s="676"/>
    </row>
    <row r="366">
      <c r="C366" s="670"/>
      <c r="E366" s="670"/>
      <c r="F366" s="676"/>
    </row>
    <row r="367">
      <c r="C367" s="670"/>
      <c r="E367" s="670"/>
      <c r="F367" s="676"/>
    </row>
    <row r="368">
      <c r="C368" s="670"/>
      <c r="E368" s="670"/>
      <c r="F368" s="676"/>
    </row>
    <row r="369">
      <c r="C369" s="670"/>
      <c r="E369" s="670"/>
      <c r="F369" s="676"/>
    </row>
    <row r="370">
      <c r="C370" s="670"/>
      <c r="E370" s="670"/>
      <c r="F370" s="676"/>
    </row>
    <row r="371">
      <c r="C371" s="670"/>
      <c r="E371" s="670"/>
      <c r="F371" s="676"/>
    </row>
    <row r="372">
      <c r="C372" s="670"/>
      <c r="E372" s="670"/>
      <c r="F372" s="676"/>
    </row>
    <row r="373">
      <c r="C373" s="670"/>
      <c r="E373" s="670"/>
      <c r="F373" s="676"/>
    </row>
    <row r="374">
      <c r="C374" s="670"/>
      <c r="E374" s="670"/>
      <c r="F374" s="676"/>
    </row>
    <row r="375">
      <c r="C375" s="670"/>
      <c r="E375" s="670"/>
      <c r="F375" s="676"/>
    </row>
    <row r="376">
      <c r="C376" s="670"/>
      <c r="E376" s="670"/>
      <c r="F376" s="676"/>
    </row>
    <row r="377">
      <c r="C377" s="670"/>
      <c r="E377" s="670"/>
      <c r="F377" s="676"/>
    </row>
    <row r="378">
      <c r="C378" s="670"/>
      <c r="E378" s="670"/>
      <c r="F378" s="676"/>
    </row>
    <row r="379">
      <c r="C379" s="670"/>
      <c r="E379" s="670"/>
      <c r="F379" s="676"/>
    </row>
    <row r="380">
      <c r="C380" s="670"/>
      <c r="E380" s="670"/>
      <c r="F380" s="676"/>
    </row>
    <row r="381">
      <c r="C381" s="670"/>
      <c r="E381" s="670"/>
      <c r="F381" s="676"/>
    </row>
    <row r="382">
      <c r="C382" s="670"/>
      <c r="E382" s="670"/>
      <c r="F382" s="676"/>
    </row>
    <row r="383">
      <c r="C383" s="670"/>
      <c r="E383" s="670"/>
      <c r="F383" s="676"/>
    </row>
    <row r="384">
      <c r="C384" s="670"/>
      <c r="E384" s="670"/>
      <c r="F384" s="676"/>
    </row>
    <row r="385">
      <c r="C385" s="670"/>
      <c r="E385" s="670"/>
      <c r="F385" s="676"/>
    </row>
    <row r="386">
      <c r="C386" s="670"/>
      <c r="E386" s="670"/>
      <c r="F386" s="676"/>
    </row>
    <row r="387">
      <c r="C387" s="670"/>
      <c r="E387" s="670"/>
      <c r="F387" s="676"/>
    </row>
    <row r="388">
      <c r="C388" s="670"/>
      <c r="E388" s="670"/>
      <c r="F388" s="676"/>
    </row>
    <row r="389">
      <c r="C389" s="670"/>
      <c r="E389" s="670"/>
      <c r="F389" s="676"/>
    </row>
    <row r="390">
      <c r="C390" s="670"/>
      <c r="E390" s="670"/>
      <c r="F390" s="676"/>
    </row>
    <row r="391">
      <c r="C391" s="670"/>
      <c r="E391" s="670"/>
      <c r="F391" s="676"/>
    </row>
    <row r="392">
      <c r="C392" s="670"/>
      <c r="E392" s="670"/>
      <c r="F392" s="676"/>
    </row>
    <row r="393">
      <c r="C393" s="670"/>
      <c r="E393" s="670"/>
      <c r="F393" s="676"/>
    </row>
    <row r="394">
      <c r="C394" s="670"/>
      <c r="E394" s="670"/>
      <c r="F394" s="676"/>
    </row>
    <row r="395">
      <c r="C395" s="670"/>
      <c r="E395" s="670"/>
      <c r="F395" s="676"/>
    </row>
    <row r="396">
      <c r="C396" s="670"/>
      <c r="E396" s="670"/>
      <c r="F396" s="676"/>
    </row>
    <row r="397">
      <c r="C397" s="670"/>
      <c r="E397" s="670"/>
      <c r="F397" s="676"/>
    </row>
    <row r="398">
      <c r="C398" s="670"/>
      <c r="E398" s="670"/>
      <c r="F398" s="676"/>
    </row>
    <row r="399">
      <c r="C399" s="670"/>
      <c r="E399" s="670"/>
      <c r="F399" s="676"/>
    </row>
    <row r="400">
      <c r="C400" s="670"/>
      <c r="E400" s="670"/>
      <c r="F400" s="676"/>
    </row>
    <row r="401">
      <c r="C401" s="670"/>
      <c r="E401" s="670"/>
      <c r="F401" s="676"/>
    </row>
    <row r="402">
      <c r="C402" s="670"/>
      <c r="E402" s="670"/>
      <c r="F402" s="676"/>
    </row>
    <row r="403">
      <c r="C403" s="670"/>
      <c r="E403" s="670"/>
      <c r="F403" s="676"/>
    </row>
    <row r="404">
      <c r="C404" s="670"/>
      <c r="E404" s="670"/>
      <c r="F404" s="676"/>
    </row>
    <row r="405">
      <c r="C405" s="670"/>
      <c r="E405" s="670"/>
      <c r="F405" s="676"/>
    </row>
    <row r="406">
      <c r="C406" s="670"/>
      <c r="E406" s="670"/>
      <c r="F406" s="676"/>
    </row>
    <row r="407">
      <c r="C407" s="670"/>
      <c r="E407" s="670"/>
      <c r="F407" s="676"/>
    </row>
    <row r="408">
      <c r="C408" s="670"/>
      <c r="E408" s="670"/>
      <c r="F408" s="676"/>
    </row>
    <row r="409">
      <c r="C409" s="670"/>
      <c r="E409" s="670"/>
      <c r="F409" s="676"/>
    </row>
    <row r="410">
      <c r="C410" s="670"/>
      <c r="E410" s="670"/>
      <c r="F410" s="676"/>
    </row>
    <row r="411">
      <c r="C411" s="670"/>
      <c r="E411" s="670"/>
      <c r="F411" s="676"/>
    </row>
    <row r="412">
      <c r="C412" s="670"/>
      <c r="E412" s="670"/>
      <c r="F412" s="676"/>
    </row>
    <row r="413">
      <c r="C413" s="670"/>
      <c r="E413" s="670"/>
      <c r="F413" s="676"/>
    </row>
    <row r="414">
      <c r="C414" s="670"/>
      <c r="E414" s="670"/>
      <c r="F414" s="676"/>
    </row>
    <row r="415">
      <c r="C415" s="670"/>
      <c r="E415" s="670"/>
      <c r="F415" s="676"/>
    </row>
    <row r="416">
      <c r="C416" s="670"/>
      <c r="E416" s="670"/>
      <c r="F416" s="676"/>
    </row>
    <row r="417">
      <c r="C417" s="670"/>
      <c r="E417" s="670"/>
      <c r="F417" s="676"/>
    </row>
    <row r="418">
      <c r="C418" s="670"/>
      <c r="E418" s="670"/>
      <c r="F418" s="676"/>
    </row>
    <row r="419">
      <c r="C419" s="670"/>
      <c r="E419" s="670"/>
      <c r="F419" s="676"/>
    </row>
    <row r="420">
      <c r="C420" s="670"/>
      <c r="E420" s="670"/>
      <c r="F420" s="676"/>
    </row>
    <row r="421">
      <c r="C421" s="670"/>
      <c r="E421" s="670"/>
      <c r="F421" s="676"/>
    </row>
    <row r="422">
      <c r="C422" s="670"/>
      <c r="E422" s="670"/>
      <c r="F422" s="676"/>
    </row>
    <row r="423">
      <c r="C423" s="670"/>
      <c r="E423" s="670"/>
      <c r="F423" s="676"/>
    </row>
    <row r="424">
      <c r="C424" s="670"/>
      <c r="E424" s="670"/>
      <c r="F424" s="676"/>
    </row>
    <row r="425">
      <c r="C425" s="670"/>
      <c r="E425" s="670"/>
      <c r="F425" s="676"/>
    </row>
    <row r="426">
      <c r="C426" s="670"/>
      <c r="E426" s="670"/>
      <c r="F426" s="676"/>
    </row>
    <row r="427">
      <c r="C427" s="670"/>
      <c r="E427" s="670"/>
      <c r="F427" s="676"/>
    </row>
    <row r="428">
      <c r="C428" s="670"/>
      <c r="E428" s="670"/>
      <c r="F428" s="676"/>
    </row>
    <row r="429">
      <c r="C429" s="670"/>
      <c r="E429" s="670"/>
      <c r="F429" s="676"/>
    </row>
    <row r="430">
      <c r="C430" s="670"/>
      <c r="E430" s="670"/>
      <c r="F430" s="676"/>
    </row>
    <row r="431">
      <c r="C431" s="670"/>
      <c r="E431" s="670"/>
      <c r="F431" s="676"/>
    </row>
    <row r="432">
      <c r="C432" s="670"/>
      <c r="E432" s="670"/>
      <c r="F432" s="676"/>
    </row>
    <row r="433">
      <c r="C433" s="670"/>
      <c r="E433" s="670"/>
      <c r="F433" s="676"/>
    </row>
    <row r="434">
      <c r="C434" s="670"/>
      <c r="E434" s="670"/>
      <c r="F434" s="676"/>
    </row>
    <row r="435">
      <c r="C435" s="670"/>
      <c r="E435" s="670"/>
      <c r="F435" s="676"/>
    </row>
    <row r="436">
      <c r="C436" s="670"/>
      <c r="E436" s="670"/>
      <c r="F436" s="676"/>
    </row>
    <row r="437">
      <c r="C437" s="670"/>
      <c r="E437" s="670"/>
      <c r="F437" s="676"/>
    </row>
    <row r="438">
      <c r="C438" s="670"/>
      <c r="E438" s="670"/>
      <c r="F438" s="676"/>
    </row>
    <row r="439">
      <c r="C439" s="670"/>
      <c r="E439" s="670"/>
      <c r="F439" s="676"/>
    </row>
    <row r="440">
      <c r="C440" s="670"/>
      <c r="E440" s="670"/>
      <c r="F440" s="676"/>
    </row>
    <row r="441">
      <c r="C441" s="670"/>
      <c r="E441" s="670"/>
      <c r="F441" s="676"/>
    </row>
    <row r="442">
      <c r="C442" s="670"/>
      <c r="E442" s="670"/>
      <c r="F442" s="676"/>
    </row>
    <row r="443">
      <c r="C443" s="670"/>
      <c r="E443" s="670"/>
      <c r="F443" s="676"/>
    </row>
    <row r="444">
      <c r="C444" s="670"/>
      <c r="E444" s="670"/>
      <c r="F444" s="676"/>
    </row>
    <row r="445">
      <c r="C445" s="670"/>
      <c r="E445" s="670"/>
      <c r="F445" s="676"/>
    </row>
    <row r="446">
      <c r="C446" s="670"/>
      <c r="E446" s="670"/>
      <c r="F446" s="676"/>
    </row>
    <row r="447">
      <c r="C447" s="670"/>
      <c r="E447" s="670"/>
      <c r="F447" s="676"/>
    </row>
    <row r="448">
      <c r="C448" s="670"/>
      <c r="E448" s="670"/>
      <c r="F448" s="676"/>
    </row>
    <row r="449">
      <c r="C449" s="670"/>
      <c r="E449" s="670"/>
      <c r="F449" s="676"/>
    </row>
    <row r="450">
      <c r="C450" s="670"/>
      <c r="E450" s="670"/>
      <c r="F450" s="676"/>
    </row>
    <row r="451">
      <c r="C451" s="670"/>
      <c r="E451" s="670"/>
      <c r="F451" s="676"/>
    </row>
    <row r="452">
      <c r="C452" s="670"/>
      <c r="E452" s="670"/>
      <c r="F452" s="676"/>
    </row>
    <row r="453">
      <c r="C453" s="670"/>
      <c r="E453" s="670"/>
      <c r="F453" s="676"/>
    </row>
    <row r="454">
      <c r="C454" s="670"/>
      <c r="E454" s="670"/>
      <c r="F454" s="676"/>
    </row>
    <row r="455">
      <c r="C455" s="670"/>
      <c r="E455" s="670"/>
      <c r="F455" s="676"/>
    </row>
    <row r="456">
      <c r="C456" s="670"/>
      <c r="E456" s="670"/>
      <c r="F456" s="676"/>
    </row>
    <row r="457">
      <c r="C457" s="670"/>
      <c r="E457" s="670"/>
      <c r="F457" s="676"/>
    </row>
    <row r="458">
      <c r="C458" s="670"/>
      <c r="E458" s="670"/>
      <c r="F458" s="676"/>
    </row>
    <row r="459">
      <c r="C459" s="670"/>
      <c r="E459" s="670"/>
      <c r="F459" s="676"/>
    </row>
    <row r="460">
      <c r="C460" s="670"/>
      <c r="E460" s="670"/>
      <c r="F460" s="676"/>
    </row>
    <row r="461">
      <c r="C461" s="670"/>
      <c r="E461" s="670"/>
      <c r="F461" s="676"/>
    </row>
    <row r="462">
      <c r="C462" s="670"/>
      <c r="E462" s="670"/>
      <c r="F462" s="676"/>
    </row>
    <row r="463">
      <c r="C463" s="670"/>
      <c r="E463" s="670"/>
      <c r="F463" s="676"/>
    </row>
    <row r="464">
      <c r="C464" s="670"/>
      <c r="E464" s="670"/>
      <c r="F464" s="676"/>
    </row>
    <row r="465">
      <c r="C465" s="670"/>
      <c r="E465" s="670"/>
      <c r="F465" s="676"/>
    </row>
    <row r="466">
      <c r="C466" s="670"/>
      <c r="E466" s="670"/>
      <c r="F466" s="676"/>
    </row>
    <row r="467">
      <c r="C467" s="670"/>
      <c r="E467" s="670"/>
      <c r="F467" s="676"/>
    </row>
    <row r="468">
      <c r="C468" s="670"/>
      <c r="E468" s="670"/>
      <c r="F468" s="676"/>
    </row>
    <row r="469">
      <c r="C469" s="670"/>
      <c r="E469" s="670"/>
      <c r="F469" s="676"/>
    </row>
    <row r="470">
      <c r="C470" s="670"/>
      <c r="E470" s="670"/>
      <c r="F470" s="676"/>
    </row>
    <row r="471">
      <c r="C471" s="670"/>
      <c r="E471" s="670"/>
      <c r="F471" s="676"/>
    </row>
    <row r="472">
      <c r="C472" s="670"/>
      <c r="E472" s="670"/>
      <c r="F472" s="676"/>
    </row>
    <row r="473">
      <c r="C473" s="670"/>
      <c r="E473" s="670"/>
      <c r="F473" s="676"/>
    </row>
    <row r="474">
      <c r="C474" s="670"/>
      <c r="E474" s="670"/>
      <c r="F474" s="676"/>
    </row>
    <row r="475">
      <c r="C475" s="670"/>
      <c r="E475" s="670"/>
      <c r="F475" s="676"/>
    </row>
    <row r="476">
      <c r="C476" s="670"/>
      <c r="E476" s="670"/>
      <c r="F476" s="676"/>
    </row>
    <row r="477">
      <c r="C477" s="670"/>
      <c r="E477" s="670"/>
      <c r="F477" s="676"/>
    </row>
    <row r="478">
      <c r="C478" s="670"/>
      <c r="E478" s="670"/>
      <c r="F478" s="676"/>
    </row>
    <row r="479">
      <c r="C479" s="670"/>
      <c r="E479" s="670"/>
      <c r="F479" s="676"/>
    </row>
    <row r="480">
      <c r="C480" s="670"/>
      <c r="E480" s="670"/>
      <c r="F480" s="676"/>
    </row>
    <row r="481">
      <c r="C481" s="670"/>
      <c r="E481" s="670"/>
      <c r="F481" s="676"/>
    </row>
    <row r="482">
      <c r="C482" s="670"/>
      <c r="E482" s="670"/>
      <c r="F482" s="676"/>
    </row>
    <row r="483">
      <c r="C483" s="670"/>
      <c r="E483" s="670"/>
      <c r="F483" s="676"/>
    </row>
    <row r="484">
      <c r="C484" s="670"/>
      <c r="E484" s="670"/>
      <c r="F484" s="676"/>
    </row>
    <row r="485">
      <c r="C485" s="670"/>
      <c r="E485" s="670"/>
      <c r="F485" s="676"/>
    </row>
    <row r="486">
      <c r="C486" s="670"/>
      <c r="E486" s="670"/>
      <c r="F486" s="676"/>
    </row>
    <row r="487">
      <c r="C487" s="670"/>
      <c r="E487" s="670"/>
      <c r="F487" s="676"/>
    </row>
    <row r="488">
      <c r="C488" s="670"/>
      <c r="E488" s="670"/>
      <c r="F488" s="676"/>
    </row>
    <row r="489">
      <c r="C489" s="670"/>
      <c r="E489" s="670"/>
      <c r="F489" s="676"/>
    </row>
    <row r="490">
      <c r="C490" s="670"/>
      <c r="E490" s="670"/>
      <c r="F490" s="676"/>
    </row>
    <row r="491">
      <c r="C491" s="670"/>
      <c r="E491" s="670"/>
      <c r="F491" s="676"/>
    </row>
    <row r="492">
      <c r="C492" s="670"/>
      <c r="E492" s="670"/>
      <c r="F492" s="676"/>
    </row>
    <row r="493">
      <c r="C493" s="670"/>
      <c r="E493" s="670"/>
      <c r="F493" s="676"/>
    </row>
    <row r="494">
      <c r="C494" s="670"/>
      <c r="E494" s="670"/>
      <c r="F494" s="676"/>
    </row>
    <row r="495">
      <c r="C495" s="670"/>
      <c r="E495" s="670"/>
      <c r="F495" s="676"/>
    </row>
    <row r="496">
      <c r="C496" s="670"/>
      <c r="E496" s="670"/>
      <c r="F496" s="676"/>
    </row>
    <row r="497">
      <c r="C497" s="670"/>
      <c r="E497" s="670"/>
      <c r="F497" s="676"/>
    </row>
    <row r="498">
      <c r="C498" s="670"/>
      <c r="E498" s="670"/>
      <c r="F498" s="676"/>
    </row>
    <row r="499">
      <c r="C499" s="670"/>
      <c r="E499" s="670"/>
      <c r="F499" s="676"/>
    </row>
    <row r="500">
      <c r="C500" s="670"/>
      <c r="E500" s="670"/>
      <c r="F500" s="676"/>
    </row>
    <row r="501">
      <c r="C501" s="670"/>
      <c r="E501" s="670"/>
      <c r="F501" s="676"/>
    </row>
    <row r="502">
      <c r="C502" s="670"/>
      <c r="E502" s="670"/>
      <c r="F502" s="676"/>
    </row>
    <row r="503">
      <c r="C503" s="670"/>
      <c r="E503" s="670"/>
      <c r="F503" s="676"/>
    </row>
    <row r="504">
      <c r="C504" s="670"/>
      <c r="E504" s="670"/>
      <c r="F504" s="676"/>
    </row>
    <row r="505">
      <c r="C505" s="670"/>
      <c r="E505" s="670"/>
      <c r="F505" s="676"/>
    </row>
    <row r="506">
      <c r="C506" s="670"/>
      <c r="E506" s="670"/>
      <c r="F506" s="676"/>
    </row>
    <row r="507">
      <c r="C507" s="670"/>
      <c r="E507" s="670"/>
      <c r="F507" s="676"/>
    </row>
    <row r="508">
      <c r="C508" s="670"/>
      <c r="E508" s="670"/>
      <c r="F508" s="676"/>
    </row>
    <row r="509">
      <c r="C509" s="670"/>
      <c r="E509" s="670"/>
      <c r="F509" s="676"/>
    </row>
    <row r="510">
      <c r="C510" s="670"/>
      <c r="E510" s="670"/>
      <c r="F510" s="676"/>
    </row>
    <row r="511">
      <c r="C511" s="670"/>
      <c r="E511" s="670"/>
      <c r="F511" s="676"/>
    </row>
    <row r="512">
      <c r="C512" s="670"/>
      <c r="E512" s="670"/>
      <c r="F512" s="676"/>
    </row>
    <row r="513">
      <c r="C513" s="670"/>
      <c r="E513" s="670"/>
      <c r="F513" s="676"/>
    </row>
    <row r="514">
      <c r="C514" s="670"/>
      <c r="E514" s="670"/>
      <c r="F514" s="676"/>
    </row>
    <row r="515">
      <c r="C515" s="670"/>
      <c r="E515" s="670"/>
      <c r="F515" s="676"/>
    </row>
    <row r="516">
      <c r="C516" s="670"/>
      <c r="E516" s="670"/>
      <c r="F516" s="676"/>
    </row>
    <row r="517">
      <c r="C517" s="670"/>
      <c r="E517" s="670"/>
      <c r="F517" s="676"/>
    </row>
    <row r="518">
      <c r="C518" s="670"/>
      <c r="E518" s="670"/>
      <c r="F518" s="676"/>
    </row>
    <row r="519">
      <c r="C519" s="670"/>
      <c r="E519" s="670"/>
      <c r="F519" s="676"/>
    </row>
    <row r="520">
      <c r="C520" s="670"/>
      <c r="E520" s="670"/>
      <c r="F520" s="676"/>
    </row>
    <row r="521">
      <c r="C521" s="670"/>
      <c r="E521" s="670"/>
      <c r="F521" s="676"/>
    </row>
    <row r="522">
      <c r="C522" s="670"/>
      <c r="E522" s="670"/>
      <c r="F522" s="676"/>
    </row>
    <row r="523">
      <c r="C523" s="670"/>
      <c r="E523" s="670"/>
      <c r="F523" s="676"/>
    </row>
    <row r="524">
      <c r="C524" s="670"/>
      <c r="E524" s="670"/>
      <c r="F524" s="676"/>
    </row>
    <row r="525">
      <c r="C525" s="670"/>
      <c r="E525" s="670"/>
      <c r="F525" s="676"/>
    </row>
    <row r="526">
      <c r="C526" s="670"/>
      <c r="E526" s="670"/>
      <c r="F526" s="676"/>
    </row>
    <row r="527">
      <c r="C527" s="670"/>
      <c r="E527" s="670"/>
      <c r="F527" s="676"/>
    </row>
    <row r="528">
      <c r="C528" s="670"/>
      <c r="E528" s="670"/>
      <c r="F528" s="676"/>
    </row>
    <row r="529">
      <c r="C529" s="670"/>
      <c r="E529" s="670"/>
      <c r="F529" s="676"/>
    </row>
    <row r="530">
      <c r="C530" s="670"/>
      <c r="E530" s="670"/>
      <c r="F530" s="676"/>
    </row>
    <row r="531">
      <c r="C531" s="670"/>
      <c r="E531" s="670"/>
      <c r="F531" s="676"/>
    </row>
    <row r="532">
      <c r="C532" s="670"/>
      <c r="E532" s="670"/>
      <c r="F532" s="676"/>
    </row>
    <row r="533">
      <c r="C533" s="670"/>
      <c r="E533" s="670"/>
      <c r="F533" s="676"/>
    </row>
    <row r="534">
      <c r="C534" s="670"/>
      <c r="E534" s="670"/>
      <c r="F534" s="676"/>
    </row>
    <row r="535">
      <c r="C535" s="670"/>
      <c r="E535" s="670"/>
      <c r="F535" s="676"/>
    </row>
    <row r="536">
      <c r="C536" s="670"/>
      <c r="E536" s="670"/>
      <c r="F536" s="676"/>
    </row>
    <row r="537">
      <c r="C537" s="670"/>
      <c r="E537" s="670"/>
      <c r="F537" s="676"/>
    </row>
    <row r="538">
      <c r="C538" s="670"/>
      <c r="E538" s="670"/>
      <c r="F538" s="676"/>
    </row>
    <row r="539">
      <c r="C539" s="670"/>
      <c r="E539" s="670"/>
      <c r="F539" s="676"/>
    </row>
    <row r="540">
      <c r="C540" s="670"/>
      <c r="E540" s="670"/>
      <c r="F540" s="676"/>
    </row>
    <row r="541">
      <c r="C541" s="670"/>
      <c r="E541" s="670"/>
      <c r="F541" s="676"/>
    </row>
    <row r="542">
      <c r="C542" s="670"/>
      <c r="E542" s="670"/>
      <c r="F542" s="676"/>
    </row>
    <row r="543">
      <c r="C543" s="670"/>
      <c r="E543" s="670"/>
      <c r="F543" s="676"/>
    </row>
    <row r="544">
      <c r="C544" s="670"/>
      <c r="E544" s="670"/>
      <c r="F544" s="676"/>
    </row>
    <row r="545">
      <c r="C545" s="670"/>
      <c r="E545" s="670"/>
      <c r="F545" s="676"/>
    </row>
    <row r="546">
      <c r="C546" s="670"/>
      <c r="E546" s="670"/>
      <c r="F546" s="676"/>
    </row>
    <row r="547">
      <c r="C547" s="670"/>
      <c r="E547" s="670"/>
      <c r="F547" s="676"/>
    </row>
    <row r="548">
      <c r="C548" s="670"/>
      <c r="E548" s="670"/>
      <c r="F548" s="676"/>
    </row>
    <row r="549">
      <c r="C549" s="670"/>
      <c r="E549" s="670"/>
      <c r="F549" s="676"/>
    </row>
    <row r="550">
      <c r="C550" s="670"/>
      <c r="E550" s="670"/>
      <c r="F550" s="676"/>
    </row>
    <row r="551">
      <c r="C551" s="670"/>
      <c r="E551" s="670"/>
      <c r="F551" s="676"/>
    </row>
    <row r="552">
      <c r="C552" s="670"/>
      <c r="E552" s="670"/>
      <c r="F552" s="676"/>
    </row>
    <row r="553">
      <c r="C553" s="670"/>
      <c r="E553" s="670"/>
      <c r="F553" s="676"/>
    </row>
    <row r="554">
      <c r="C554" s="670"/>
      <c r="E554" s="670"/>
      <c r="F554" s="676"/>
    </row>
    <row r="555">
      <c r="C555" s="670"/>
      <c r="E555" s="670"/>
      <c r="F555" s="676"/>
    </row>
    <row r="556">
      <c r="C556" s="670"/>
      <c r="E556" s="670"/>
      <c r="F556" s="676"/>
    </row>
    <row r="557">
      <c r="C557" s="670"/>
      <c r="E557" s="670"/>
      <c r="F557" s="676"/>
    </row>
    <row r="558">
      <c r="C558" s="670"/>
      <c r="E558" s="670"/>
      <c r="F558" s="676"/>
    </row>
    <row r="559">
      <c r="C559" s="670"/>
      <c r="E559" s="670"/>
      <c r="F559" s="676"/>
    </row>
    <row r="560">
      <c r="C560" s="670"/>
      <c r="E560" s="670"/>
      <c r="F560" s="676"/>
    </row>
    <row r="561">
      <c r="C561" s="670"/>
      <c r="E561" s="670"/>
      <c r="F561" s="676"/>
    </row>
    <row r="562">
      <c r="C562" s="670"/>
      <c r="E562" s="670"/>
      <c r="F562" s="676"/>
    </row>
    <row r="563">
      <c r="C563" s="670"/>
      <c r="E563" s="670"/>
      <c r="F563" s="676"/>
    </row>
    <row r="564">
      <c r="C564" s="670"/>
      <c r="E564" s="670"/>
      <c r="F564" s="676"/>
    </row>
    <row r="565">
      <c r="C565" s="670"/>
      <c r="E565" s="670"/>
      <c r="F565" s="676"/>
    </row>
    <row r="566">
      <c r="C566" s="670"/>
      <c r="E566" s="670"/>
      <c r="F566" s="676"/>
    </row>
    <row r="567">
      <c r="C567" s="670"/>
      <c r="E567" s="670"/>
      <c r="F567" s="676"/>
    </row>
    <row r="568">
      <c r="C568" s="670"/>
      <c r="E568" s="670"/>
      <c r="F568" s="676"/>
    </row>
    <row r="569">
      <c r="C569" s="670"/>
      <c r="E569" s="670"/>
      <c r="F569" s="676"/>
    </row>
    <row r="570">
      <c r="C570" s="670"/>
      <c r="E570" s="670"/>
      <c r="F570" s="676"/>
    </row>
    <row r="571">
      <c r="C571" s="670"/>
      <c r="E571" s="670"/>
      <c r="F571" s="676"/>
    </row>
    <row r="572">
      <c r="C572" s="670"/>
      <c r="E572" s="670"/>
      <c r="F572" s="676"/>
    </row>
    <row r="573">
      <c r="C573" s="670"/>
      <c r="E573" s="670"/>
      <c r="F573" s="676"/>
    </row>
    <row r="574">
      <c r="C574" s="670"/>
      <c r="E574" s="670"/>
      <c r="F574" s="676"/>
    </row>
    <row r="575">
      <c r="C575" s="670"/>
      <c r="E575" s="670"/>
      <c r="F575" s="676"/>
    </row>
    <row r="576">
      <c r="C576" s="670"/>
      <c r="E576" s="670"/>
      <c r="F576" s="676"/>
    </row>
    <row r="577">
      <c r="C577" s="670"/>
      <c r="E577" s="670"/>
      <c r="F577" s="676"/>
    </row>
    <row r="578">
      <c r="C578" s="670"/>
      <c r="E578" s="670"/>
      <c r="F578" s="676"/>
    </row>
    <row r="579">
      <c r="C579" s="670"/>
      <c r="E579" s="670"/>
      <c r="F579" s="676"/>
    </row>
    <row r="580">
      <c r="C580" s="670"/>
      <c r="E580" s="670"/>
      <c r="F580" s="676"/>
    </row>
    <row r="581">
      <c r="C581" s="670"/>
      <c r="E581" s="670"/>
      <c r="F581" s="676"/>
    </row>
    <row r="582">
      <c r="C582" s="670"/>
      <c r="E582" s="670"/>
      <c r="F582" s="676"/>
    </row>
    <row r="583">
      <c r="C583" s="670"/>
      <c r="E583" s="670"/>
      <c r="F583" s="676"/>
    </row>
    <row r="584">
      <c r="C584" s="670"/>
      <c r="E584" s="670"/>
      <c r="F584" s="676"/>
    </row>
    <row r="585">
      <c r="C585" s="670"/>
      <c r="E585" s="670"/>
      <c r="F585" s="676"/>
    </row>
    <row r="586">
      <c r="C586" s="670"/>
      <c r="E586" s="670"/>
      <c r="F586" s="676"/>
    </row>
    <row r="587">
      <c r="C587" s="670"/>
      <c r="E587" s="670"/>
      <c r="F587" s="676"/>
    </row>
    <row r="588">
      <c r="C588" s="670"/>
      <c r="E588" s="670"/>
      <c r="F588" s="676"/>
    </row>
    <row r="589">
      <c r="C589" s="670"/>
      <c r="E589" s="670"/>
      <c r="F589" s="676"/>
    </row>
    <row r="590">
      <c r="C590" s="670"/>
      <c r="E590" s="670"/>
      <c r="F590" s="676"/>
    </row>
    <row r="591">
      <c r="C591" s="670"/>
      <c r="E591" s="670"/>
      <c r="F591" s="676"/>
    </row>
    <row r="592">
      <c r="C592" s="670"/>
      <c r="E592" s="670"/>
      <c r="F592" s="676"/>
    </row>
    <row r="593">
      <c r="C593" s="670"/>
      <c r="E593" s="670"/>
      <c r="F593" s="676"/>
    </row>
    <row r="594">
      <c r="C594" s="670"/>
      <c r="E594" s="670"/>
      <c r="F594" s="676"/>
    </row>
    <row r="595">
      <c r="C595" s="670"/>
      <c r="E595" s="670"/>
      <c r="F595" s="676"/>
    </row>
    <row r="596">
      <c r="C596" s="670"/>
      <c r="E596" s="670"/>
      <c r="F596" s="676"/>
    </row>
    <row r="597">
      <c r="C597" s="670"/>
      <c r="E597" s="670"/>
      <c r="F597" s="676"/>
    </row>
    <row r="598">
      <c r="C598" s="670"/>
      <c r="E598" s="670"/>
      <c r="F598" s="676"/>
    </row>
    <row r="599">
      <c r="C599" s="670"/>
      <c r="E599" s="670"/>
      <c r="F599" s="676"/>
    </row>
    <row r="600">
      <c r="C600" s="670"/>
      <c r="E600" s="670"/>
      <c r="F600" s="676"/>
    </row>
    <row r="601">
      <c r="C601" s="670"/>
      <c r="E601" s="670"/>
      <c r="F601" s="676"/>
    </row>
    <row r="602">
      <c r="C602" s="670"/>
      <c r="E602" s="670"/>
      <c r="F602" s="676"/>
    </row>
    <row r="603">
      <c r="C603" s="670"/>
      <c r="E603" s="670"/>
      <c r="F603" s="676"/>
    </row>
    <row r="604">
      <c r="C604" s="670"/>
      <c r="E604" s="670"/>
      <c r="F604" s="676"/>
    </row>
    <row r="605">
      <c r="C605" s="670"/>
      <c r="E605" s="670"/>
      <c r="F605" s="676"/>
    </row>
    <row r="606">
      <c r="C606" s="670"/>
      <c r="E606" s="670"/>
      <c r="F606" s="676"/>
    </row>
    <row r="607">
      <c r="C607" s="670"/>
      <c r="E607" s="670"/>
      <c r="F607" s="676"/>
    </row>
    <row r="608">
      <c r="C608" s="670"/>
      <c r="E608" s="670"/>
      <c r="F608" s="676"/>
    </row>
    <row r="609">
      <c r="C609" s="670"/>
      <c r="E609" s="670"/>
      <c r="F609" s="676"/>
    </row>
    <row r="610">
      <c r="C610" s="670"/>
      <c r="E610" s="670"/>
      <c r="F610" s="676"/>
    </row>
    <row r="611">
      <c r="C611" s="670"/>
      <c r="E611" s="670"/>
      <c r="F611" s="676"/>
    </row>
    <row r="612">
      <c r="C612" s="670"/>
      <c r="E612" s="670"/>
      <c r="F612" s="676"/>
    </row>
    <row r="613">
      <c r="C613" s="670"/>
      <c r="E613" s="670"/>
      <c r="F613" s="676"/>
    </row>
    <row r="614">
      <c r="C614" s="670"/>
      <c r="E614" s="670"/>
      <c r="F614" s="676"/>
    </row>
    <row r="615">
      <c r="C615" s="670"/>
      <c r="E615" s="670"/>
      <c r="F615" s="676"/>
    </row>
    <row r="616">
      <c r="C616" s="670"/>
      <c r="E616" s="670"/>
      <c r="F616" s="676"/>
    </row>
    <row r="617">
      <c r="C617" s="670"/>
      <c r="E617" s="670"/>
      <c r="F617" s="676"/>
    </row>
    <row r="618">
      <c r="C618" s="670"/>
      <c r="E618" s="670"/>
      <c r="F618" s="676"/>
    </row>
    <row r="619">
      <c r="C619" s="670"/>
      <c r="E619" s="670"/>
      <c r="F619" s="676"/>
    </row>
    <row r="620">
      <c r="C620" s="670"/>
      <c r="E620" s="670"/>
      <c r="F620" s="676"/>
    </row>
    <row r="621">
      <c r="C621" s="670"/>
      <c r="E621" s="670"/>
      <c r="F621" s="676"/>
    </row>
    <row r="622">
      <c r="C622" s="670"/>
      <c r="E622" s="670"/>
      <c r="F622" s="676"/>
    </row>
    <row r="623">
      <c r="C623" s="670"/>
      <c r="E623" s="670"/>
      <c r="F623" s="676"/>
    </row>
    <row r="624">
      <c r="C624" s="670"/>
      <c r="E624" s="670"/>
      <c r="F624" s="676"/>
    </row>
    <row r="625">
      <c r="C625" s="670"/>
      <c r="E625" s="670"/>
      <c r="F625" s="676"/>
    </row>
    <row r="626">
      <c r="C626" s="670"/>
      <c r="E626" s="670"/>
      <c r="F626" s="676"/>
    </row>
    <row r="627">
      <c r="C627" s="670"/>
      <c r="E627" s="670"/>
      <c r="F627" s="676"/>
    </row>
    <row r="628">
      <c r="C628" s="670"/>
      <c r="E628" s="670"/>
      <c r="F628" s="676"/>
    </row>
    <row r="629">
      <c r="C629" s="670"/>
      <c r="E629" s="670"/>
      <c r="F629" s="676"/>
    </row>
    <row r="630">
      <c r="C630" s="670"/>
      <c r="E630" s="670"/>
      <c r="F630" s="676"/>
    </row>
    <row r="631">
      <c r="C631" s="670"/>
      <c r="E631" s="670"/>
      <c r="F631" s="676"/>
    </row>
    <row r="632">
      <c r="C632" s="670"/>
      <c r="E632" s="670"/>
      <c r="F632" s="676"/>
    </row>
    <row r="633">
      <c r="C633" s="670"/>
      <c r="E633" s="670"/>
      <c r="F633" s="676"/>
    </row>
    <row r="634">
      <c r="C634" s="670"/>
      <c r="E634" s="670"/>
      <c r="F634" s="676"/>
    </row>
    <row r="635">
      <c r="C635" s="670"/>
      <c r="E635" s="670"/>
      <c r="F635" s="676"/>
    </row>
    <row r="636">
      <c r="C636" s="670"/>
      <c r="E636" s="670"/>
      <c r="F636" s="676"/>
    </row>
    <row r="637">
      <c r="C637" s="670"/>
      <c r="E637" s="670"/>
      <c r="F637" s="676"/>
    </row>
    <row r="638">
      <c r="C638" s="670"/>
      <c r="E638" s="670"/>
      <c r="F638" s="676"/>
    </row>
    <row r="639">
      <c r="C639" s="670"/>
      <c r="E639" s="670"/>
      <c r="F639" s="676"/>
    </row>
    <row r="640">
      <c r="C640" s="670"/>
      <c r="E640" s="670"/>
      <c r="F640" s="676"/>
    </row>
    <row r="641">
      <c r="C641" s="670"/>
      <c r="E641" s="670"/>
      <c r="F641" s="676"/>
    </row>
    <row r="642">
      <c r="C642" s="670"/>
      <c r="E642" s="670"/>
      <c r="F642" s="676"/>
    </row>
    <row r="643">
      <c r="C643" s="670"/>
      <c r="E643" s="670"/>
      <c r="F643" s="676"/>
    </row>
    <row r="644">
      <c r="C644" s="670"/>
      <c r="E644" s="670"/>
      <c r="F644" s="676"/>
    </row>
    <row r="645">
      <c r="C645" s="670"/>
      <c r="E645" s="670"/>
      <c r="F645" s="676"/>
    </row>
    <row r="646">
      <c r="C646" s="670"/>
      <c r="E646" s="670"/>
      <c r="F646" s="676"/>
    </row>
    <row r="647">
      <c r="C647" s="670"/>
      <c r="E647" s="670"/>
      <c r="F647" s="676"/>
    </row>
    <row r="648">
      <c r="C648" s="670"/>
      <c r="E648" s="670"/>
      <c r="F648" s="676"/>
    </row>
    <row r="649">
      <c r="C649" s="670"/>
      <c r="E649" s="670"/>
      <c r="F649" s="676"/>
    </row>
    <row r="650">
      <c r="C650" s="670"/>
      <c r="E650" s="670"/>
      <c r="F650" s="676"/>
    </row>
    <row r="651">
      <c r="C651" s="670"/>
      <c r="E651" s="670"/>
      <c r="F651" s="676"/>
    </row>
    <row r="652">
      <c r="C652" s="670"/>
      <c r="E652" s="670"/>
      <c r="F652" s="676"/>
    </row>
    <row r="653">
      <c r="C653" s="670"/>
      <c r="E653" s="670"/>
      <c r="F653" s="676"/>
    </row>
    <row r="654">
      <c r="C654" s="670"/>
      <c r="E654" s="670"/>
      <c r="F654" s="676"/>
    </row>
    <row r="655">
      <c r="C655" s="670"/>
      <c r="E655" s="670"/>
      <c r="F655" s="676"/>
    </row>
    <row r="656">
      <c r="C656" s="670"/>
      <c r="E656" s="670"/>
      <c r="F656" s="676"/>
    </row>
    <row r="657">
      <c r="C657" s="670"/>
      <c r="E657" s="670"/>
      <c r="F657" s="676"/>
    </row>
    <row r="658">
      <c r="C658" s="670"/>
      <c r="E658" s="670"/>
      <c r="F658" s="676"/>
    </row>
    <row r="659">
      <c r="C659" s="670"/>
      <c r="E659" s="670"/>
      <c r="F659" s="676"/>
    </row>
    <row r="660">
      <c r="C660" s="670"/>
      <c r="E660" s="670"/>
      <c r="F660" s="676"/>
    </row>
    <row r="661">
      <c r="C661" s="670"/>
      <c r="E661" s="670"/>
      <c r="F661" s="676"/>
    </row>
    <row r="662">
      <c r="C662" s="670"/>
      <c r="E662" s="670"/>
      <c r="F662" s="676"/>
    </row>
    <row r="663">
      <c r="C663" s="670"/>
      <c r="E663" s="670"/>
      <c r="F663" s="676"/>
    </row>
    <row r="664">
      <c r="C664" s="670"/>
      <c r="E664" s="670"/>
      <c r="F664" s="676"/>
    </row>
    <row r="665">
      <c r="C665" s="670"/>
      <c r="E665" s="670"/>
      <c r="F665" s="676"/>
    </row>
    <row r="666">
      <c r="C666" s="670"/>
      <c r="E666" s="670"/>
      <c r="F666" s="676"/>
    </row>
    <row r="667">
      <c r="C667" s="670"/>
      <c r="E667" s="670"/>
      <c r="F667" s="676"/>
    </row>
    <row r="668">
      <c r="C668" s="670"/>
      <c r="E668" s="670"/>
      <c r="F668" s="676"/>
    </row>
    <row r="669">
      <c r="C669" s="670"/>
      <c r="E669" s="670"/>
      <c r="F669" s="676"/>
    </row>
    <row r="670">
      <c r="C670" s="670"/>
      <c r="E670" s="670"/>
      <c r="F670" s="676"/>
    </row>
    <row r="671">
      <c r="C671" s="670"/>
      <c r="E671" s="670"/>
      <c r="F671" s="676"/>
    </row>
    <row r="672">
      <c r="C672" s="670"/>
      <c r="E672" s="670"/>
      <c r="F672" s="676"/>
    </row>
    <row r="673">
      <c r="C673" s="670"/>
      <c r="E673" s="670"/>
      <c r="F673" s="676"/>
    </row>
    <row r="674">
      <c r="C674" s="670"/>
      <c r="E674" s="670"/>
      <c r="F674" s="676"/>
    </row>
    <row r="675">
      <c r="C675" s="670"/>
      <c r="E675" s="670"/>
      <c r="F675" s="676"/>
    </row>
    <row r="676">
      <c r="C676" s="670"/>
      <c r="E676" s="670"/>
      <c r="F676" s="676"/>
    </row>
    <row r="677">
      <c r="C677" s="670"/>
      <c r="E677" s="670"/>
      <c r="F677" s="676"/>
    </row>
    <row r="678">
      <c r="C678" s="670"/>
      <c r="E678" s="670"/>
      <c r="F678" s="676"/>
    </row>
    <row r="679">
      <c r="C679" s="670"/>
      <c r="E679" s="670"/>
      <c r="F679" s="676"/>
    </row>
    <row r="680">
      <c r="C680" s="670"/>
      <c r="E680" s="670"/>
      <c r="F680" s="676"/>
    </row>
    <row r="681">
      <c r="C681" s="670"/>
      <c r="E681" s="670"/>
      <c r="F681" s="676"/>
    </row>
    <row r="682">
      <c r="C682" s="670"/>
      <c r="E682" s="670"/>
      <c r="F682" s="676"/>
    </row>
    <row r="683">
      <c r="C683" s="670"/>
      <c r="E683" s="670"/>
      <c r="F683" s="676"/>
    </row>
    <row r="684">
      <c r="C684" s="670"/>
      <c r="E684" s="670"/>
      <c r="F684" s="676"/>
    </row>
    <row r="685">
      <c r="C685" s="670"/>
      <c r="E685" s="670"/>
      <c r="F685" s="676"/>
    </row>
    <row r="686">
      <c r="C686" s="670"/>
      <c r="E686" s="670"/>
      <c r="F686" s="676"/>
    </row>
    <row r="687">
      <c r="C687" s="670"/>
      <c r="E687" s="670"/>
      <c r="F687" s="676"/>
    </row>
    <row r="688">
      <c r="C688" s="670"/>
      <c r="E688" s="670"/>
      <c r="F688" s="676"/>
    </row>
    <row r="689">
      <c r="C689" s="670"/>
      <c r="E689" s="670"/>
      <c r="F689" s="676"/>
    </row>
    <row r="690">
      <c r="C690" s="670"/>
      <c r="E690" s="670"/>
      <c r="F690" s="676"/>
    </row>
    <row r="691">
      <c r="C691" s="670"/>
      <c r="E691" s="670"/>
      <c r="F691" s="676"/>
    </row>
    <row r="692">
      <c r="C692" s="670"/>
      <c r="E692" s="670"/>
      <c r="F692" s="676"/>
    </row>
    <row r="693">
      <c r="C693" s="670"/>
      <c r="E693" s="670"/>
      <c r="F693" s="676"/>
    </row>
    <row r="694">
      <c r="C694" s="670"/>
      <c r="E694" s="670"/>
      <c r="F694" s="676"/>
    </row>
    <row r="695">
      <c r="C695" s="670"/>
      <c r="E695" s="670"/>
      <c r="F695" s="676"/>
    </row>
    <row r="696">
      <c r="C696" s="670"/>
      <c r="E696" s="670"/>
      <c r="F696" s="676"/>
    </row>
    <row r="697">
      <c r="C697" s="670"/>
      <c r="E697" s="670"/>
      <c r="F697" s="676"/>
    </row>
    <row r="698">
      <c r="C698" s="670"/>
      <c r="E698" s="670"/>
      <c r="F698" s="676"/>
    </row>
    <row r="699">
      <c r="C699" s="670"/>
      <c r="E699" s="670"/>
      <c r="F699" s="676"/>
    </row>
    <row r="700">
      <c r="C700" s="670"/>
      <c r="E700" s="670"/>
      <c r="F700" s="676"/>
    </row>
    <row r="701">
      <c r="C701" s="670"/>
      <c r="E701" s="670"/>
      <c r="F701" s="676"/>
    </row>
    <row r="702">
      <c r="C702" s="670"/>
      <c r="E702" s="670"/>
      <c r="F702" s="676"/>
    </row>
    <row r="703">
      <c r="C703" s="670"/>
      <c r="E703" s="670"/>
      <c r="F703" s="676"/>
    </row>
    <row r="704">
      <c r="C704" s="670"/>
      <c r="E704" s="670"/>
      <c r="F704" s="676"/>
    </row>
    <row r="705">
      <c r="C705" s="670"/>
      <c r="E705" s="670"/>
      <c r="F705" s="676"/>
    </row>
    <row r="706">
      <c r="C706" s="670"/>
      <c r="E706" s="670"/>
      <c r="F706" s="676"/>
    </row>
    <row r="707">
      <c r="C707" s="670"/>
      <c r="E707" s="670"/>
      <c r="F707" s="676"/>
    </row>
    <row r="708">
      <c r="C708" s="670"/>
      <c r="E708" s="670"/>
      <c r="F708" s="676"/>
    </row>
    <row r="709">
      <c r="C709" s="670"/>
      <c r="E709" s="670"/>
      <c r="F709" s="676"/>
    </row>
    <row r="710">
      <c r="C710" s="670"/>
      <c r="E710" s="670"/>
      <c r="F710" s="676"/>
    </row>
    <row r="711">
      <c r="C711" s="670"/>
      <c r="E711" s="670"/>
      <c r="F711" s="676"/>
    </row>
    <row r="712">
      <c r="C712" s="670"/>
      <c r="E712" s="670"/>
      <c r="F712" s="676"/>
    </row>
    <row r="713">
      <c r="C713" s="670"/>
      <c r="E713" s="670"/>
      <c r="F713" s="676"/>
    </row>
    <row r="714">
      <c r="C714" s="670"/>
      <c r="E714" s="670"/>
      <c r="F714" s="676"/>
    </row>
    <row r="715">
      <c r="C715" s="670"/>
      <c r="E715" s="670"/>
      <c r="F715" s="676"/>
    </row>
    <row r="716">
      <c r="C716" s="670"/>
      <c r="E716" s="670"/>
      <c r="F716" s="676"/>
    </row>
    <row r="717">
      <c r="C717" s="670"/>
      <c r="E717" s="670"/>
      <c r="F717" s="676"/>
    </row>
    <row r="718">
      <c r="C718" s="670"/>
      <c r="E718" s="670"/>
      <c r="F718" s="676"/>
    </row>
    <row r="719">
      <c r="C719" s="670"/>
      <c r="E719" s="670"/>
      <c r="F719" s="676"/>
    </row>
    <row r="720">
      <c r="C720" s="670"/>
      <c r="E720" s="670"/>
      <c r="F720" s="676"/>
    </row>
    <row r="721">
      <c r="C721" s="670"/>
      <c r="E721" s="670"/>
      <c r="F721" s="676"/>
    </row>
    <row r="722">
      <c r="C722" s="670"/>
      <c r="E722" s="670"/>
      <c r="F722" s="676"/>
    </row>
    <row r="723">
      <c r="C723" s="670"/>
      <c r="E723" s="670"/>
      <c r="F723" s="676"/>
    </row>
    <row r="724">
      <c r="C724" s="670"/>
      <c r="E724" s="670"/>
      <c r="F724" s="676"/>
    </row>
    <row r="725">
      <c r="C725" s="670"/>
      <c r="E725" s="670"/>
      <c r="F725" s="676"/>
    </row>
    <row r="726">
      <c r="C726" s="670"/>
      <c r="E726" s="670"/>
      <c r="F726" s="676"/>
    </row>
    <row r="727">
      <c r="C727" s="670"/>
      <c r="E727" s="670"/>
      <c r="F727" s="676"/>
    </row>
    <row r="728">
      <c r="C728" s="670"/>
      <c r="E728" s="670"/>
      <c r="F728" s="676"/>
    </row>
    <row r="729">
      <c r="C729" s="670"/>
      <c r="E729" s="670"/>
      <c r="F729" s="676"/>
    </row>
    <row r="730">
      <c r="C730" s="670"/>
      <c r="E730" s="670"/>
      <c r="F730" s="676"/>
    </row>
    <row r="731">
      <c r="C731" s="670"/>
      <c r="E731" s="670"/>
      <c r="F731" s="676"/>
    </row>
    <row r="732">
      <c r="C732" s="670"/>
      <c r="E732" s="670"/>
      <c r="F732" s="676"/>
    </row>
    <row r="733">
      <c r="C733" s="670"/>
      <c r="E733" s="670"/>
      <c r="F733" s="676"/>
    </row>
    <row r="734">
      <c r="C734" s="670"/>
      <c r="E734" s="670"/>
      <c r="F734" s="676"/>
    </row>
    <row r="735">
      <c r="C735" s="670"/>
      <c r="E735" s="670"/>
      <c r="F735" s="676"/>
    </row>
    <row r="736">
      <c r="C736" s="670"/>
      <c r="E736" s="670"/>
      <c r="F736" s="676"/>
    </row>
    <row r="737">
      <c r="C737" s="670"/>
      <c r="E737" s="670"/>
      <c r="F737" s="676"/>
    </row>
    <row r="738">
      <c r="C738" s="670"/>
      <c r="E738" s="670"/>
      <c r="F738" s="676"/>
    </row>
    <row r="739">
      <c r="C739" s="670"/>
      <c r="E739" s="670"/>
      <c r="F739" s="676"/>
    </row>
    <row r="740">
      <c r="C740" s="670"/>
      <c r="E740" s="670"/>
      <c r="F740" s="676"/>
    </row>
    <row r="741">
      <c r="C741" s="670"/>
      <c r="E741" s="670"/>
      <c r="F741" s="676"/>
    </row>
    <row r="742">
      <c r="C742" s="670"/>
      <c r="E742" s="670"/>
      <c r="F742" s="676"/>
    </row>
    <row r="743">
      <c r="C743" s="670"/>
      <c r="E743" s="670"/>
      <c r="F743" s="676"/>
    </row>
    <row r="744">
      <c r="C744" s="670"/>
      <c r="E744" s="670"/>
      <c r="F744" s="676"/>
    </row>
    <row r="745">
      <c r="C745" s="670"/>
      <c r="E745" s="670"/>
      <c r="F745" s="676"/>
    </row>
    <row r="746">
      <c r="C746" s="670"/>
      <c r="E746" s="670"/>
      <c r="F746" s="676"/>
    </row>
    <row r="747">
      <c r="C747" s="670"/>
      <c r="E747" s="670"/>
      <c r="F747" s="676"/>
    </row>
    <row r="748">
      <c r="C748" s="670"/>
      <c r="E748" s="670"/>
      <c r="F748" s="676"/>
    </row>
    <row r="749">
      <c r="C749" s="670"/>
      <c r="E749" s="670"/>
      <c r="F749" s="676"/>
    </row>
    <row r="750">
      <c r="C750" s="670"/>
      <c r="E750" s="670"/>
      <c r="F750" s="676"/>
    </row>
    <row r="751">
      <c r="C751" s="670"/>
      <c r="E751" s="670"/>
      <c r="F751" s="676"/>
    </row>
    <row r="752">
      <c r="C752" s="670"/>
      <c r="E752" s="670"/>
      <c r="F752" s="676"/>
    </row>
    <row r="753">
      <c r="C753" s="670"/>
      <c r="E753" s="670"/>
      <c r="F753" s="676"/>
    </row>
    <row r="754">
      <c r="C754" s="670"/>
      <c r="E754" s="670"/>
      <c r="F754" s="676"/>
    </row>
    <row r="755">
      <c r="C755" s="670"/>
      <c r="E755" s="670"/>
      <c r="F755" s="676"/>
    </row>
    <row r="756">
      <c r="C756" s="670"/>
      <c r="E756" s="670"/>
      <c r="F756" s="676"/>
    </row>
    <row r="757">
      <c r="C757" s="670"/>
      <c r="E757" s="670"/>
      <c r="F757" s="676"/>
    </row>
    <row r="758">
      <c r="C758" s="670"/>
      <c r="E758" s="670"/>
      <c r="F758" s="676"/>
    </row>
    <row r="759">
      <c r="C759" s="670"/>
      <c r="E759" s="670"/>
      <c r="F759" s="676"/>
    </row>
    <row r="760">
      <c r="C760" s="670"/>
      <c r="E760" s="670"/>
      <c r="F760" s="676"/>
    </row>
    <row r="761">
      <c r="C761" s="670"/>
      <c r="E761" s="670"/>
      <c r="F761" s="676"/>
    </row>
    <row r="762">
      <c r="C762" s="670"/>
      <c r="E762" s="670"/>
      <c r="F762" s="676"/>
    </row>
    <row r="763">
      <c r="C763" s="670"/>
      <c r="E763" s="670"/>
      <c r="F763" s="676"/>
    </row>
    <row r="764">
      <c r="C764" s="670"/>
      <c r="E764" s="670"/>
      <c r="F764" s="676"/>
    </row>
    <row r="765">
      <c r="C765" s="670"/>
      <c r="E765" s="670"/>
      <c r="F765" s="676"/>
    </row>
    <row r="766">
      <c r="C766" s="670"/>
      <c r="E766" s="670"/>
      <c r="F766" s="676"/>
    </row>
    <row r="767">
      <c r="C767" s="670"/>
      <c r="E767" s="670"/>
      <c r="F767" s="676"/>
    </row>
    <row r="768">
      <c r="C768" s="670"/>
      <c r="E768" s="670"/>
      <c r="F768" s="676"/>
    </row>
    <row r="769">
      <c r="C769" s="670"/>
      <c r="E769" s="670"/>
      <c r="F769" s="676"/>
    </row>
    <row r="770">
      <c r="C770" s="670"/>
      <c r="E770" s="670"/>
      <c r="F770" s="676"/>
    </row>
    <row r="771">
      <c r="C771" s="670"/>
      <c r="E771" s="670"/>
      <c r="F771" s="676"/>
    </row>
    <row r="772">
      <c r="C772" s="670"/>
      <c r="E772" s="670"/>
      <c r="F772" s="676"/>
    </row>
    <row r="773">
      <c r="C773" s="670"/>
      <c r="E773" s="670"/>
      <c r="F773" s="676"/>
    </row>
    <row r="774">
      <c r="C774" s="670"/>
      <c r="E774" s="670"/>
      <c r="F774" s="676"/>
    </row>
    <row r="775">
      <c r="C775" s="670"/>
      <c r="E775" s="670"/>
      <c r="F775" s="676"/>
    </row>
    <row r="776">
      <c r="C776" s="670"/>
      <c r="E776" s="670"/>
      <c r="F776" s="676"/>
    </row>
    <row r="777">
      <c r="C777" s="670"/>
      <c r="E777" s="670"/>
      <c r="F777" s="676"/>
    </row>
    <row r="778">
      <c r="C778" s="670"/>
      <c r="E778" s="670"/>
      <c r="F778" s="676"/>
    </row>
    <row r="779">
      <c r="C779" s="670"/>
      <c r="E779" s="670"/>
      <c r="F779" s="676"/>
    </row>
    <row r="780">
      <c r="C780" s="670"/>
      <c r="E780" s="670"/>
      <c r="F780" s="676"/>
    </row>
    <row r="781">
      <c r="C781" s="670"/>
      <c r="E781" s="670"/>
      <c r="F781" s="676"/>
    </row>
    <row r="782">
      <c r="C782" s="670"/>
      <c r="E782" s="670"/>
      <c r="F782" s="676"/>
    </row>
    <row r="783">
      <c r="C783" s="670"/>
      <c r="E783" s="670"/>
      <c r="F783" s="676"/>
    </row>
    <row r="784">
      <c r="C784" s="670"/>
      <c r="E784" s="670"/>
      <c r="F784" s="676"/>
    </row>
    <row r="785">
      <c r="C785" s="670"/>
      <c r="E785" s="670"/>
      <c r="F785" s="676"/>
    </row>
    <row r="786">
      <c r="C786" s="670"/>
      <c r="E786" s="670"/>
      <c r="F786" s="676"/>
    </row>
    <row r="787">
      <c r="C787" s="670"/>
      <c r="E787" s="670"/>
      <c r="F787" s="676"/>
    </row>
    <row r="788">
      <c r="C788" s="670"/>
      <c r="E788" s="670"/>
      <c r="F788" s="676"/>
    </row>
    <row r="789">
      <c r="C789" s="670"/>
      <c r="E789" s="670"/>
      <c r="F789" s="676"/>
    </row>
    <row r="790">
      <c r="C790" s="670"/>
      <c r="E790" s="670"/>
      <c r="F790" s="676"/>
    </row>
    <row r="791">
      <c r="C791" s="670"/>
      <c r="E791" s="670"/>
      <c r="F791" s="676"/>
    </row>
    <row r="792">
      <c r="C792" s="670"/>
      <c r="E792" s="670"/>
      <c r="F792" s="676"/>
    </row>
    <row r="793">
      <c r="C793" s="670"/>
      <c r="E793" s="670"/>
      <c r="F793" s="676"/>
    </row>
    <row r="794">
      <c r="C794" s="670"/>
      <c r="E794" s="670"/>
      <c r="F794" s="676"/>
    </row>
    <row r="795">
      <c r="C795" s="670"/>
      <c r="E795" s="670"/>
      <c r="F795" s="676"/>
    </row>
    <row r="796">
      <c r="C796" s="670"/>
      <c r="E796" s="670"/>
      <c r="F796" s="676"/>
    </row>
    <row r="797">
      <c r="C797" s="670"/>
      <c r="E797" s="670"/>
      <c r="F797" s="676"/>
    </row>
    <row r="798">
      <c r="C798" s="670"/>
      <c r="E798" s="670"/>
      <c r="F798" s="676"/>
    </row>
    <row r="799">
      <c r="C799" s="670"/>
      <c r="E799" s="670"/>
      <c r="F799" s="676"/>
    </row>
    <row r="800">
      <c r="C800" s="670"/>
      <c r="E800" s="670"/>
      <c r="F800" s="676"/>
    </row>
    <row r="801">
      <c r="C801" s="670"/>
      <c r="E801" s="670"/>
      <c r="F801" s="676"/>
    </row>
    <row r="802">
      <c r="C802" s="670"/>
      <c r="E802" s="670"/>
      <c r="F802" s="676"/>
    </row>
    <row r="803">
      <c r="C803" s="670"/>
      <c r="E803" s="670"/>
      <c r="F803" s="676"/>
    </row>
    <row r="804">
      <c r="C804" s="670"/>
      <c r="E804" s="670"/>
      <c r="F804" s="676"/>
    </row>
    <row r="805">
      <c r="C805" s="670"/>
      <c r="E805" s="670"/>
      <c r="F805" s="676"/>
    </row>
    <row r="806">
      <c r="C806" s="670"/>
      <c r="E806" s="670"/>
      <c r="F806" s="676"/>
    </row>
    <row r="807">
      <c r="C807" s="670"/>
      <c r="E807" s="670"/>
      <c r="F807" s="676"/>
    </row>
    <row r="808">
      <c r="C808" s="670"/>
      <c r="E808" s="670"/>
      <c r="F808" s="676"/>
    </row>
    <row r="809">
      <c r="C809" s="670"/>
      <c r="E809" s="670"/>
      <c r="F809" s="676"/>
    </row>
    <row r="810">
      <c r="C810" s="670"/>
      <c r="E810" s="670"/>
      <c r="F810" s="676"/>
    </row>
    <row r="811">
      <c r="C811" s="670"/>
      <c r="E811" s="670"/>
      <c r="F811" s="676"/>
    </row>
    <row r="812">
      <c r="C812" s="670"/>
      <c r="E812" s="670"/>
      <c r="F812" s="676"/>
    </row>
    <row r="813">
      <c r="C813" s="670"/>
      <c r="E813" s="670"/>
      <c r="F813" s="676"/>
    </row>
    <row r="814">
      <c r="C814" s="670"/>
      <c r="E814" s="670"/>
      <c r="F814" s="676"/>
    </row>
    <row r="815">
      <c r="C815" s="670"/>
      <c r="E815" s="670"/>
      <c r="F815" s="676"/>
    </row>
    <row r="816">
      <c r="C816" s="670"/>
      <c r="E816" s="670"/>
      <c r="F816" s="676"/>
    </row>
    <row r="817">
      <c r="C817" s="670"/>
      <c r="E817" s="670"/>
      <c r="F817" s="676"/>
    </row>
    <row r="818">
      <c r="C818" s="670"/>
      <c r="E818" s="670"/>
      <c r="F818" s="676"/>
    </row>
    <row r="819">
      <c r="C819" s="670"/>
      <c r="E819" s="670"/>
      <c r="F819" s="676"/>
    </row>
    <row r="820">
      <c r="C820" s="670"/>
      <c r="E820" s="670"/>
      <c r="F820" s="676"/>
    </row>
    <row r="821">
      <c r="C821" s="670"/>
      <c r="E821" s="670"/>
      <c r="F821" s="676"/>
    </row>
    <row r="822">
      <c r="C822" s="670"/>
      <c r="E822" s="670"/>
      <c r="F822" s="676"/>
    </row>
    <row r="823">
      <c r="C823" s="670"/>
      <c r="E823" s="670"/>
      <c r="F823" s="676"/>
    </row>
    <row r="824">
      <c r="C824" s="670"/>
      <c r="E824" s="670"/>
      <c r="F824" s="676"/>
    </row>
    <row r="825">
      <c r="C825" s="670"/>
      <c r="E825" s="670"/>
      <c r="F825" s="676"/>
    </row>
    <row r="826">
      <c r="C826" s="670"/>
      <c r="E826" s="670"/>
      <c r="F826" s="676"/>
    </row>
    <row r="827">
      <c r="C827" s="670"/>
      <c r="E827" s="670"/>
      <c r="F827" s="676"/>
    </row>
    <row r="828">
      <c r="C828" s="670"/>
      <c r="E828" s="670"/>
      <c r="F828" s="676"/>
    </row>
    <row r="829">
      <c r="C829" s="670"/>
      <c r="E829" s="670"/>
      <c r="F829" s="676"/>
    </row>
    <row r="830">
      <c r="C830" s="670"/>
      <c r="E830" s="670"/>
      <c r="F830" s="676"/>
    </row>
    <row r="831">
      <c r="C831" s="670"/>
      <c r="E831" s="670"/>
      <c r="F831" s="676"/>
    </row>
    <row r="832">
      <c r="C832" s="670"/>
      <c r="E832" s="670"/>
      <c r="F832" s="676"/>
    </row>
    <row r="833">
      <c r="C833" s="670"/>
      <c r="E833" s="670"/>
      <c r="F833" s="676"/>
    </row>
    <row r="834">
      <c r="C834" s="670"/>
      <c r="E834" s="670"/>
      <c r="F834" s="676"/>
    </row>
    <row r="835">
      <c r="C835" s="670"/>
      <c r="E835" s="670"/>
      <c r="F835" s="676"/>
    </row>
    <row r="836">
      <c r="C836" s="670"/>
      <c r="E836" s="670"/>
      <c r="F836" s="676"/>
    </row>
    <row r="837">
      <c r="C837" s="670"/>
      <c r="E837" s="670"/>
      <c r="F837" s="676"/>
    </row>
    <row r="838">
      <c r="C838" s="670"/>
      <c r="E838" s="670"/>
      <c r="F838" s="676"/>
    </row>
    <row r="839">
      <c r="C839" s="670"/>
      <c r="E839" s="670"/>
      <c r="F839" s="676"/>
    </row>
    <row r="840">
      <c r="C840" s="670"/>
      <c r="E840" s="670"/>
      <c r="F840" s="676"/>
    </row>
    <row r="841">
      <c r="C841" s="670"/>
      <c r="E841" s="670"/>
      <c r="F841" s="676"/>
    </row>
    <row r="842">
      <c r="C842" s="670"/>
      <c r="E842" s="670"/>
      <c r="F842" s="676"/>
    </row>
    <row r="843">
      <c r="C843" s="670"/>
      <c r="E843" s="670"/>
      <c r="F843" s="676"/>
    </row>
    <row r="844">
      <c r="C844" s="670"/>
      <c r="E844" s="670"/>
      <c r="F844" s="676"/>
    </row>
    <row r="845">
      <c r="C845" s="670"/>
      <c r="E845" s="670"/>
      <c r="F845" s="676"/>
    </row>
    <row r="846">
      <c r="C846" s="670"/>
      <c r="E846" s="670"/>
      <c r="F846" s="676"/>
    </row>
    <row r="847">
      <c r="C847" s="670"/>
      <c r="E847" s="670"/>
      <c r="F847" s="676"/>
    </row>
    <row r="848">
      <c r="C848" s="670"/>
      <c r="E848" s="670"/>
      <c r="F848" s="676"/>
    </row>
    <row r="849">
      <c r="C849" s="670"/>
      <c r="E849" s="670"/>
      <c r="F849" s="676"/>
    </row>
    <row r="850">
      <c r="C850" s="670"/>
      <c r="E850" s="670"/>
      <c r="F850" s="676"/>
    </row>
    <row r="851">
      <c r="C851" s="670"/>
      <c r="E851" s="670"/>
      <c r="F851" s="676"/>
    </row>
    <row r="852">
      <c r="C852" s="670"/>
      <c r="E852" s="670"/>
      <c r="F852" s="676"/>
    </row>
    <row r="853">
      <c r="C853" s="670"/>
      <c r="E853" s="670"/>
      <c r="F853" s="676"/>
    </row>
    <row r="854">
      <c r="C854" s="670"/>
      <c r="E854" s="670"/>
      <c r="F854" s="676"/>
    </row>
    <row r="855">
      <c r="C855" s="670"/>
      <c r="E855" s="670"/>
      <c r="F855" s="676"/>
    </row>
    <row r="856">
      <c r="C856" s="670"/>
      <c r="E856" s="670"/>
      <c r="F856" s="676"/>
    </row>
    <row r="857">
      <c r="C857" s="670"/>
      <c r="E857" s="670"/>
      <c r="F857" s="676"/>
    </row>
    <row r="858">
      <c r="C858" s="670"/>
      <c r="E858" s="670"/>
      <c r="F858" s="676"/>
    </row>
    <row r="859">
      <c r="C859" s="670"/>
      <c r="E859" s="670"/>
      <c r="F859" s="676"/>
    </row>
    <row r="860">
      <c r="C860" s="670"/>
      <c r="E860" s="670"/>
      <c r="F860" s="676"/>
    </row>
    <row r="861">
      <c r="C861" s="670"/>
      <c r="E861" s="670"/>
      <c r="F861" s="676"/>
    </row>
    <row r="862">
      <c r="C862" s="670"/>
      <c r="E862" s="670"/>
      <c r="F862" s="676"/>
    </row>
    <row r="863">
      <c r="C863" s="670"/>
      <c r="E863" s="670"/>
      <c r="F863" s="676"/>
    </row>
    <row r="864">
      <c r="C864" s="670"/>
      <c r="E864" s="670"/>
      <c r="F864" s="676"/>
    </row>
    <row r="865">
      <c r="C865" s="670"/>
      <c r="E865" s="670"/>
      <c r="F865" s="676"/>
    </row>
    <row r="866">
      <c r="C866" s="670"/>
      <c r="E866" s="670"/>
      <c r="F866" s="676"/>
    </row>
    <row r="867">
      <c r="C867" s="670"/>
      <c r="E867" s="670"/>
      <c r="F867" s="676"/>
    </row>
    <row r="868">
      <c r="C868" s="670"/>
      <c r="E868" s="670"/>
      <c r="F868" s="676"/>
    </row>
    <row r="869">
      <c r="C869" s="670"/>
      <c r="E869" s="670"/>
      <c r="F869" s="676"/>
    </row>
    <row r="870">
      <c r="C870" s="670"/>
      <c r="E870" s="670"/>
      <c r="F870" s="676"/>
    </row>
    <row r="871">
      <c r="C871" s="670"/>
      <c r="E871" s="670"/>
      <c r="F871" s="676"/>
    </row>
    <row r="872">
      <c r="C872" s="670"/>
      <c r="E872" s="670"/>
      <c r="F872" s="676"/>
    </row>
    <row r="873">
      <c r="C873" s="670"/>
      <c r="E873" s="670"/>
      <c r="F873" s="676"/>
    </row>
    <row r="874">
      <c r="C874" s="670"/>
      <c r="E874" s="670"/>
      <c r="F874" s="676"/>
    </row>
    <row r="875">
      <c r="C875" s="670"/>
      <c r="E875" s="670"/>
      <c r="F875" s="676"/>
    </row>
    <row r="876">
      <c r="C876" s="670"/>
      <c r="E876" s="670"/>
      <c r="F876" s="676"/>
    </row>
    <row r="877">
      <c r="C877" s="670"/>
      <c r="E877" s="670"/>
      <c r="F877" s="676"/>
    </row>
    <row r="878">
      <c r="C878" s="670"/>
      <c r="E878" s="670"/>
      <c r="F878" s="676"/>
    </row>
    <row r="879">
      <c r="C879" s="670"/>
      <c r="E879" s="670"/>
      <c r="F879" s="676"/>
    </row>
    <row r="880">
      <c r="C880" s="670"/>
      <c r="E880" s="670"/>
      <c r="F880" s="676"/>
    </row>
    <row r="881">
      <c r="C881" s="670"/>
      <c r="E881" s="670"/>
      <c r="F881" s="676"/>
    </row>
    <row r="882">
      <c r="C882" s="670"/>
      <c r="E882" s="670"/>
      <c r="F882" s="676"/>
    </row>
    <row r="883">
      <c r="C883" s="670"/>
      <c r="E883" s="670"/>
      <c r="F883" s="676"/>
    </row>
    <row r="884">
      <c r="C884" s="670"/>
      <c r="E884" s="670"/>
      <c r="F884" s="676"/>
    </row>
    <row r="885">
      <c r="C885" s="670"/>
      <c r="E885" s="670"/>
      <c r="F885" s="676"/>
    </row>
    <row r="886">
      <c r="C886" s="670"/>
      <c r="E886" s="670"/>
      <c r="F886" s="676"/>
    </row>
    <row r="887">
      <c r="C887" s="670"/>
      <c r="E887" s="670"/>
      <c r="F887" s="676"/>
    </row>
    <row r="888">
      <c r="C888" s="670"/>
      <c r="E888" s="670"/>
      <c r="F888" s="676"/>
    </row>
    <row r="889">
      <c r="C889" s="670"/>
      <c r="E889" s="670"/>
      <c r="F889" s="676"/>
    </row>
    <row r="890">
      <c r="C890" s="670"/>
      <c r="E890" s="670"/>
      <c r="F890" s="676"/>
    </row>
    <row r="891">
      <c r="C891" s="670"/>
      <c r="E891" s="670"/>
      <c r="F891" s="676"/>
    </row>
    <row r="892">
      <c r="C892" s="670"/>
      <c r="E892" s="670"/>
      <c r="F892" s="676"/>
    </row>
    <row r="893">
      <c r="C893" s="670"/>
      <c r="E893" s="670"/>
      <c r="F893" s="676"/>
    </row>
    <row r="894">
      <c r="C894" s="670"/>
      <c r="E894" s="670"/>
      <c r="F894" s="676"/>
    </row>
    <row r="895">
      <c r="C895" s="670"/>
      <c r="E895" s="670"/>
      <c r="F895" s="676"/>
    </row>
    <row r="896">
      <c r="C896" s="670"/>
      <c r="E896" s="670"/>
      <c r="F896" s="676"/>
    </row>
    <row r="897">
      <c r="C897" s="670"/>
      <c r="E897" s="670"/>
      <c r="F897" s="676"/>
    </row>
    <row r="898">
      <c r="C898" s="670"/>
      <c r="E898" s="670"/>
      <c r="F898" s="676"/>
    </row>
    <row r="899">
      <c r="C899" s="670"/>
      <c r="E899" s="670"/>
      <c r="F899" s="676"/>
    </row>
    <row r="900">
      <c r="C900" s="670"/>
      <c r="E900" s="670"/>
      <c r="F900" s="676"/>
    </row>
    <row r="901">
      <c r="C901" s="670"/>
      <c r="E901" s="670"/>
      <c r="F901" s="676"/>
    </row>
    <row r="902">
      <c r="C902" s="670"/>
      <c r="E902" s="670"/>
      <c r="F902" s="676"/>
    </row>
    <row r="903">
      <c r="C903" s="670"/>
      <c r="E903" s="670"/>
      <c r="F903" s="676"/>
    </row>
    <row r="904">
      <c r="C904" s="670"/>
      <c r="E904" s="670"/>
      <c r="F904" s="676"/>
    </row>
    <row r="905">
      <c r="C905" s="670"/>
      <c r="E905" s="670"/>
      <c r="F905" s="676"/>
    </row>
    <row r="906">
      <c r="C906" s="670"/>
      <c r="E906" s="670"/>
      <c r="F906" s="676"/>
    </row>
    <row r="907">
      <c r="C907" s="670"/>
      <c r="E907" s="670"/>
      <c r="F907" s="676"/>
    </row>
    <row r="908">
      <c r="C908" s="670"/>
      <c r="E908" s="670"/>
      <c r="F908" s="676"/>
    </row>
    <row r="909">
      <c r="C909" s="670"/>
      <c r="E909" s="670"/>
      <c r="F909" s="676"/>
    </row>
    <row r="910">
      <c r="C910" s="670"/>
      <c r="E910" s="670"/>
      <c r="F910" s="676"/>
    </row>
    <row r="911">
      <c r="C911" s="670"/>
      <c r="E911" s="670"/>
      <c r="F911" s="676"/>
    </row>
    <row r="912">
      <c r="C912" s="670"/>
      <c r="E912" s="670"/>
      <c r="F912" s="676"/>
    </row>
    <row r="913">
      <c r="C913" s="670"/>
      <c r="E913" s="670"/>
      <c r="F913" s="676"/>
    </row>
    <row r="914">
      <c r="C914" s="670"/>
      <c r="E914" s="670"/>
      <c r="F914" s="676"/>
    </row>
    <row r="915">
      <c r="C915" s="670"/>
      <c r="E915" s="670"/>
      <c r="F915" s="676"/>
    </row>
    <row r="916">
      <c r="C916" s="670"/>
      <c r="E916" s="670"/>
      <c r="F916" s="676"/>
    </row>
    <row r="917">
      <c r="C917" s="670"/>
      <c r="E917" s="670"/>
      <c r="F917" s="676"/>
    </row>
    <row r="918">
      <c r="C918" s="670"/>
      <c r="E918" s="670"/>
      <c r="F918" s="676"/>
    </row>
    <row r="919">
      <c r="C919" s="670"/>
      <c r="E919" s="670"/>
      <c r="F919" s="676"/>
    </row>
    <row r="920">
      <c r="C920" s="670"/>
      <c r="E920" s="670"/>
      <c r="F920" s="676"/>
    </row>
    <row r="921">
      <c r="C921" s="670"/>
      <c r="E921" s="670"/>
      <c r="F921" s="676"/>
    </row>
    <row r="922">
      <c r="C922" s="670"/>
      <c r="E922" s="670"/>
      <c r="F922" s="676"/>
    </row>
    <row r="923">
      <c r="C923" s="670"/>
      <c r="E923" s="670"/>
      <c r="F923" s="676"/>
    </row>
    <row r="924">
      <c r="C924" s="670"/>
      <c r="E924" s="670"/>
      <c r="F924" s="676"/>
    </row>
    <row r="925">
      <c r="C925" s="670"/>
      <c r="E925" s="670"/>
      <c r="F925" s="676"/>
    </row>
    <row r="926">
      <c r="C926" s="670"/>
      <c r="E926" s="670"/>
      <c r="F926" s="676"/>
    </row>
    <row r="927">
      <c r="C927" s="670"/>
      <c r="E927" s="670"/>
      <c r="F927" s="676"/>
    </row>
    <row r="928">
      <c r="C928" s="670"/>
      <c r="E928" s="670"/>
      <c r="F928" s="676"/>
    </row>
    <row r="929">
      <c r="C929" s="670"/>
      <c r="E929" s="670"/>
      <c r="F929" s="676"/>
    </row>
    <row r="930">
      <c r="C930" s="670"/>
      <c r="E930" s="670"/>
      <c r="F930" s="676"/>
    </row>
    <row r="931">
      <c r="C931" s="670"/>
      <c r="E931" s="670"/>
      <c r="F931" s="676"/>
    </row>
    <row r="932">
      <c r="C932" s="670"/>
      <c r="E932" s="670"/>
      <c r="F932" s="676"/>
    </row>
    <row r="933">
      <c r="C933" s="670"/>
      <c r="E933" s="670"/>
      <c r="F933" s="676"/>
    </row>
    <row r="934">
      <c r="C934" s="670"/>
      <c r="E934" s="670"/>
      <c r="F934" s="676"/>
    </row>
    <row r="935">
      <c r="C935" s="670"/>
      <c r="E935" s="670"/>
      <c r="F935" s="676"/>
    </row>
    <row r="936">
      <c r="C936" s="670"/>
      <c r="E936" s="670"/>
      <c r="F936" s="676"/>
    </row>
    <row r="937">
      <c r="C937" s="670"/>
      <c r="E937" s="670"/>
      <c r="F937" s="676"/>
    </row>
    <row r="938">
      <c r="C938" s="670"/>
      <c r="E938" s="670"/>
      <c r="F938" s="676"/>
    </row>
    <row r="939">
      <c r="C939" s="670"/>
      <c r="E939" s="670"/>
      <c r="F939" s="676"/>
    </row>
    <row r="940">
      <c r="C940" s="670"/>
      <c r="E940" s="670"/>
      <c r="F940" s="676"/>
    </row>
    <row r="941">
      <c r="C941" s="670"/>
      <c r="E941" s="670"/>
      <c r="F941" s="676"/>
    </row>
    <row r="942">
      <c r="C942" s="670"/>
      <c r="E942" s="670"/>
      <c r="F942" s="676"/>
    </row>
    <row r="943">
      <c r="C943" s="670"/>
      <c r="E943" s="670"/>
      <c r="F943" s="676"/>
    </row>
    <row r="944">
      <c r="C944" s="670"/>
      <c r="E944" s="670"/>
      <c r="F944" s="676"/>
    </row>
    <row r="945">
      <c r="C945" s="670"/>
      <c r="E945" s="670"/>
      <c r="F945" s="676"/>
    </row>
    <row r="946">
      <c r="C946" s="670"/>
      <c r="E946" s="670"/>
      <c r="F946" s="676"/>
    </row>
    <row r="947">
      <c r="C947" s="670"/>
      <c r="E947" s="670"/>
      <c r="F947" s="676"/>
    </row>
    <row r="948">
      <c r="C948" s="670"/>
      <c r="E948" s="670"/>
      <c r="F948" s="676"/>
    </row>
    <row r="949">
      <c r="C949" s="670"/>
      <c r="E949" s="670"/>
      <c r="F949" s="676"/>
    </row>
    <row r="950">
      <c r="C950" s="670"/>
      <c r="E950" s="670"/>
      <c r="F950" s="676"/>
    </row>
    <row r="951">
      <c r="C951" s="670"/>
      <c r="E951" s="670"/>
      <c r="F951" s="676"/>
    </row>
    <row r="952">
      <c r="C952" s="670"/>
      <c r="E952" s="670"/>
      <c r="F952" s="676"/>
    </row>
    <row r="953">
      <c r="C953" s="670"/>
      <c r="E953" s="670"/>
      <c r="F953" s="676"/>
    </row>
    <row r="954">
      <c r="C954" s="670"/>
      <c r="E954" s="670"/>
      <c r="F954" s="676"/>
    </row>
    <row r="955">
      <c r="C955" s="670"/>
      <c r="E955" s="670"/>
      <c r="F955" s="676"/>
    </row>
    <row r="956">
      <c r="C956" s="670"/>
      <c r="E956" s="670"/>
      <c r="F956" s="676"/>
    </row>
    <row r="957">
      <c r="C957" s="670"/>
      <c r="E957" s="670"/>
      <c r="F957" s="676"/>
    </row>
    <row r="958">
      <c r="C958" s="670"/>
      <c r="E958" s="670"/>
      <c r="F958" s="676"/>
    </row>
    <row r="959">
      <c r="C959" s="670"/>
      <c r="E959" s="670"/>
      <c r="F959" s="676"/>
    </row>
    <row r="960">
      <c r="C960" s="670"/>
      <c r="E960" s="670"/>
      <c r="F960" s="676"/>
    </row>
    <row r="961">
      <c r="C961" s="670"/>
      <c r="E961" s="670"/>
      <c r="F961" s="676"/>
    </row>
    <row r="962">
      <c r="C962" s="670"/>
      <c r="E962" s="670"/>
      <c r="F962" s="676"/>
    </row>
    <row r="963">
      <c r="C963" s="670"/>
      <c r="E963" s="670"/>
      <c r="F963" s="676"/>
    </row>
    <row r="964">
      <c r="C964" s="670"/>
      <c r="E964" s="670"/>
      <c r="F964" s="676"/>
    </row>
    <row r="965">
      <c r="C965" s="670"/>
      <c r="E965" s="670"/>
      <c r="F965" s="676"/>
    </row>
    <row r="966">
      <c r="C966" s="670"/>
      <c r="E966" s="670"/>
      <c r="F966" s="676"/>
    </row>
    <row r="967">
      <c r="C967" s="670"/>
      <c r="E967" s="670"/>
      <c r="F967" s="676"/>
    </row>
    <row r="968">
      <c r="C968" s="670"/>
      <c r="E968" s="670"/>
      <c r="F968" s="676"/>
    </row>
    <row r="969">
      <c r="C969" s="670"/>
      <c r="E969" s="670"/>
      <c r="F969" s="676"/>
    </row>
    <row r="970">
      <c r="C970" s="670"/>
      <c r="E970" s="670"/>
      <c r="F970" s="676"/>
    </row>
    <row r="971">
      <c r="C971" s="670"/>
      <c r="E971" s="670"/>
      <c r="F971" s="676"/>
    </row>
    <row r="972">
      <c r="C972" s="670"/>
      <c r="E972" s="670"/>
      <c r="F972" s="676"/>
    </row>
    <row r="973">
      <c r="C973" s="670"/>
      <c r="E973" s="670"/>
      <c r="F973" s="676"/>
    </row>
    <row r="974">
      <c r="C974" s="670"/>
      <c r="E974" s="670"/>
      <c r="F974" s="676"/>
    </row>
    <row r="975">
      <c r="C975" s="670"/>
      <c r="E975" s="670"/>
      <c r="F975" s="676"/>
    </row>
    <row r="976">
      <c r="C976" s="670"/>
      <c r="E976" s="670"/>
      <c r="F976" s="676"/>
    </row>
    <row r="977">
      <c r="C977" s="670"/>
      <c r="E977" s="670"/>
      <c r="F977" s="676"/>
    </row>
    <row r="978">
      <c r="C978" s="670"/>
      <c r="E978" s="670"/>
      <c r="F978" s="676"/>
    </row>
    <row r="979">
      <c r="C979" s="670"/>
      <c r="E979" s="670"/>
      <c r="F979" s="676"/>
    </row>
    <row r="980">
      <c r="C980" s="670"/>
      <c r="E980" s="670"/>
      <c r="F980" s="676"/>
    </row>
    <row r="981">
      <c r="C981" s="670"/>
      <c r="E981" s="670"/>
      <c r="F981" s="676"/>
    </row>
    <row r="982">
      <c r="C982" s="670"/>
      <c r="E982" s="670"/>
      <c r="F982" s="676"/>
    </row>
    <row r="983">
      <c r="C983" s="670"/>
      <c r="E983" s="670"/>
      <c r="F983" s="676"/>
    </row>
    <row r="984">
      <c r="C984" s="670"/>
      <c r="E984" s="670"/>
      <c r="F984" s="676"/>
    </row>
    <row r="985">
      <c r="C985" s="670"/>
      <c r="E985" s="670"/>
      <c r="F985" s="676"/>
    </row>
    <row r="986">
      <c r="C986" s="670"/>
      <c r="E986" s="670"/>
      <c r="F986" s="676"/>
    </row>
    <row r="987">
      <c r="C987" s="670"/>
      <c r="E987" s="670"/>
      <c r="F987" s="676"/>
    </row>
    <row r="988">
      <c r="C988" s="670"/>
      <c r="E988" s="670"/>
      <c r="F988" s="676"/>
    </row>
    <row r="989">
      <c r="C989" s="670"/>
      <c r="E989" s="670"/>
      <c r="F989" s="676"/>
    </row>
    <row r="990">
      <c r="C990" s="670"/>
      <c r="E990" s="670"/>
      <c r="F990" s="676"/>
    </row>
    <row r="991">
      <c r="C991" s="670"/>
      <c r="E991" s="670"/>
      <c r="F991" s="676"/>
    </row>
    <row r="992">
      <c r="C992" s="670"/>
      <c r="E992" s="670"/>
      <c r="F992" s="676"/>
    </row>
    <row r="993">
      <c r="C993" s="670"/>
      <c r="E993" s="670"/>
      <c r="F993" s="676"/>
    </row>
    <row r="994">
      <c r="C994" s="670"/>
      <c r="E994" s="670"/>
      <c r="F994" s="676"/>
    </row>
    <row r="995">
      <c r="C995" s="670"/>
      <c r="E995" s="670"/>
      <c r="F995" s="676"/>
    </row>
    <row r="996">
      <c r="C996" s="670"/>
      <c r="E996" s="670"/>
      <c r="F996" s="676"/>
    </row>
    <row r="997">
      <c r="C997" s="670"/>
      <c r="E997" s="670"/>
      <c r="F997" s="676"/>
    </row>
    <row r="998">
      <c r="C998" s="670"/>
      <c r="E998" s="670"/>
      <c r="F998" s="676"/>
    </row>
    <row r="999">
      <c r="C999" s="670"/>
      <c r="E999" s="670"/>
      <c r="F999" s="676"/>
    </row>
    <row r="1000">
      <c r="C1000" s="670"/>
      <c r="E1000" s="670"/>
      <c r="F1000" s="676"/>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2"/>
  <sheetData>
    <row r="1">
      <c r="A1" s="16" t="s">
        <v>27</v>
      </c>
    </row>
    <row r="2">
      <c r="A2" s="16" t="s">
        <v>34</v>
      </c>
    </row>
    <row r="3">
      <c r="A3" s="16" t="s">
        <v>46</v>
      </c>
    </row>
    <row r="4">
      <c r="A4" s="16" t="s">
        <v>10</v>
      </c>
    </row>
    <row r="5">
      <c r="A5" s="16" t="s">
        <v>22</v>
      </c>
    </row>
    <row r="6">
      <c r="A6" s="16" t="s">
        <v>62</v>
      </c>
    </row>
    <row r="7">
      <c r="A7" s="16" t="s">
        <v>93</v>
      </c>
    </row>
    <row r="8">
      <c r="A8" s="16" t="s">
        <v>65</v>
      </c>
    </row>
    <row r="9">
      <c r="A9" s="16" t="s">
        <v>53</v>
      </c>
    </row>
    <row r="10">
      <c r="A10" s="16" t="s">
        <v>59</v>
      </c>
    </row>
    <row r="11">
      <c r="A11" s="16" t="s">
        <v>67</v>
      </c>
    </row>
    <row r="12">
      <c r="A12" s="16" t="s">
        <v>57</v>
      </c>
    </row>
    <row r="13">
      <c r="A13" s="16" t="s">
        <v>50</v>
      </c>
    </row>
    <row r="14">
      <c r="A14" s="16" t="s">
        <v>89</v>
      </c>
    </row>
    <row r="15">
      <c r="A15" s="16" t="s">
        <v>1278</v>
      </c>
    </row>
    <row r="16">
      <c r="A16" s="16" t="s">
        <v>120</v>
      </c>
    </row>
    <row r="17">
      <c r="A17" s="16" t="s">
        <v>55</v>
      </c>
    </row>
    <row r="18">
      <c r="A18" s="16" t="s">
        <v>75</v>
      </c>
    </row>
    <row r="19">
      <c r="A19" s="16" t="s">
        <v>38</v>
      </c>
    </row>
    <row r="20">
      <c r="A20" s="16" t="s">
        <v>43</v>
      </c>
    </row>
    <row r="21">
      <c r="A21" s="16" t="s">
        <v>32</v>
      </c>
    </row>
    <row r="22">
      <c r="A22" s="16" t="s">
        <v>41</v>
      </c>
    </row>
    <row r="23">
      <c r="A23" s="16" t="s">
        <v>70</v>
      </c>
    </row>
    <row r="24">
      <c r="A24" s="16" t="s">
        <v>58</v>
      </c>
    </row>
    <row r="25">
      <c r="A25" s="16" t="s">
        <v>126</v>
      </c>
    </row>
    <row r="26">
      <c r="A26" s="16" t="s">
        <v>90</v>
      </c>
    </row>
    <row r="27">
      <c r="A27" s="16" t="s">
        <v>78</v>
      </c>
    </row>
    <row r="28">
      <c r="A28" s="16" t="s">
        <v>51</v>
      </c>
    </row>
    <row r="29">
      <c r="A29" s="16" t="s">
        <v>86</v>
      </c>
    </row>
    <row r="30">
      <c r="A30" s="16" t="s">
        <v>85</v>
      </c>
    </row>
    <row r="31">
      <c r="A31" s="16" t="s">
        <v>116</v>
      </c>
    </row>
    <row r="32">
      <c r="A32" s="16" t="s">
        <v>87</v>
      </c>
    </row>
    <row r="33">
      <c r="A33" s="16" t="s">
        <v>84</v>
      </c>
    </row>
    <row r="34">
      <c r="A34" s="16" t="s">
        <v>74</v>
      </c>
    </row>
    <row r="35">
      <c r="A35" s="16" t="s">
        <v>96</v>
      </c>
    </row>
    <row r="36">
      <c r="A36" s="16" t="s">
        <v>81</v>
      </c>
    </row>
    <row r="37">
      <c r="A37" s="16" t="s">
        <v>148</v>
      </c>
    </row>
    <row r="38">
      <c r="A38" s="16" t="s">
        <v>147</v>
      </c>
    </row>
    <row r="39">
      <c r="A39" s="16" t="s">
        <v>152</v>
      </c>
    </row>
    <row r="40">
      <c r="A40" s="16" t="s">
        <v>125</v>
      </c>
    </row>
    <row r="41">
      <c r="A41" s="16" t="s">
        <v>193</v>
      </c>
    </row>
    <row r="42">
      <c r="A42" s="16" t="s">
        <v>215</v>
      </c>
    </row>
    <row r="43">
      <c r="A43" s="16" t="s">
        <v>127</v>
      </c>
    </row>
    <row r="44">
      <c r="A44" s="16" t="s">
        <v>178</v>
      </c>
    </row>
    <row r="45">
      <c r="A45" s="16" t="s">
        <v>196</v>
      </c>
    </row>
    <row r="46">
      <c r="A46" s="16" t="s">
        <v>135</v>
      </c>
    </row>
    <row r="47">
      <c r="A47" s="16" t="s">
        <v>114</v>
      </c>
    </row>
    <row r="48">
      <c r="A48" s="16" t="s">
        <v>122</v>
      </c>
    </row>
    <row r="49">
      <c r="A49" s="16" t="s">
        <v>162</v>
      </c>
    </row>
    <row r="50">
      <c r="A50" s="16" t="s">
        <v>164</v>
      </c>
    </row>
    <row r="51">
      <c r="A51" s="16" t="s">
        <v>153</v>
      </c>
    </row>
    <row r="52">
      <c r="A52" s="16" t="s">
        <v>133</v>
      </c>
    </row>
    <row r="53">
      <c r="A53" s="16" t="s">
        <v>216</v>
      </c>
    </row>
    <row r="54">
      <c r="A54" s="16" t="s">
        <v>183</v>
      </c>
    </row>
    <row r="55">
      <c r="A55" s="16" t="s">
        <v>229</v>
      </c>
    </row>
    <row r="56">
      <c r="A56" s="16" t="s">
        <v>192</v>
      </c>
    </row>
    <row r="57">
      <c r="A57" s="16" t="s">
        <v>117</v>
      </c>
    </row>
    <row r="58">
      <c r="A58" s="16" t="s">
        <v>1666</v>
      </c>
    </row>
    <row r="59">
      <c r="A59" s="16" t="s">
        <v>227</v>
      </c>
    </row>
    <row r="60">
      <c r="A60" s="16" t="s">
        <v>157</v>
      </c>
    </row>
    <row r="61">
      <c r="A61" s="16" t="s">
        <v>151</v>
      </c>
    </row>
    <row r="62">
      <c r="A62" s="16" t="s">
        <v>184</v>
      </c>
    </row>
    <row r="63">
      <c r="A63" s="16" t="s">
        <v>190</v>
      </c>
    </row>
    <row r="64">
      <c r="A64" s="16" t="s">
        <v>176</v>
      </c>
    </row>
    <row r="65">
      <c r="A65" s="16" t="s">
        <v>188</v>
      </c>
    </row>
    <row r="66">
      <c r="A66" s="16" t="s">
        <v>128</v>
      </c>
    </row>
    <row r="67">
      <c r="A67" s="16" t="s">
        <v>228</v>
      </c>
    </row>
    <row r="68">
      <c r="A68" s="16" t="s">
        <v>180</v>
      </c>
    </row>
    <row r="69">
      <c r="A69" s="16" t="s">
        <v>243</v>
      </c>
    </row>
    <row r="70">
      <c r="A70" s="16" t="s">
        <v>195</v>
      </c>
    </row>
    <row r="71">
      <c r="A71" s="16" t="s">
        <v>138</v>
      </c>
    </row>
    <row r="72">
      <c r="A72" s="16" t="s">
        <v>278</v>
      </c>
    </row>
    <row r="73">
      <c r="A73" s="16" t="s">
        <v>254</v>
      </c>
    </row>
    <row r="74">
      <c r="A74" s="16" t="s">
        <v>279</v>
      </c>
    </row>
    <row r="75">
      <c r="A75" s="16" t="s">
        <v>168</v>
      </c>
    </row>
    <row r="76">
      <c r="A76" s="16" t="s">
        <v>186</v>
      </c>
    </row>
    <row r="77">
      <c r="A77" s="16" t="s">
        <v>287</v>
      </c>
    </row>
    <row r="78">
      <c r="A78" s="16" t="s">
        <v>231</v>
      </c>
    </row>
    <row r="79">
      <c r="A79" s="16" t="s">
        <v>311</v>
      </c>
    </row>
    <row r="80">
      <c r="A80" s="16" t="s">
        <v>260</v>
      </c>
    </row>
    <row r="81">
      <c r="A81" s="16" t="s">
        <v>236</v>
      </c>
    </row>
    <row r="82">
      <c r="A82" s="16" t="s">
        <v>207</v>
      </c>
    </row>
    <row r="83">
      <c r="A83" s="16" t="s">
        <v>263</v>
      </c>
    </row>
    <row r="84">
      <c r="A84" s="16" t="s">
        <v>209</v>
      </c>
    </row>
    <row r="85">
      <c r="A85" s="16" t="s">
        <v>307</v>
      </c>
    </row>
    <row r="86">
      <c r="A86" s="16" t="s">
        <v>378</v>
      </c>
    </row>
    <row r="87">
      <c r="A87" s="16" t="s">
        <v>283</v>
      </c>
    </row>
    <row r="88">
      <c r="A88" s="16" t="s">
        <v>394</v>
      </c>
    </row>
    <row r="89">
      <c r="A89" s="16" t="s">
        <v>336</v>
      </c>
    </row>
    <row r="90">
      <c r="A90" s="16" t="s">
        <v>217</v>
      </c>
    </row>
    <row r="91">
      <c r="A91" s="16" t="s">
        <v>255</v>
      </c>
    </row>
    <row r="92">
      <c r="A92" s="16" t="s">
        <v>256</v>
      </c>
    </row>
    <row r="93">
      <c r="A93" s="16" t="s">
        <v>244</v>
      </c>
    </row>
    <row r="94">
      <c r="A94" s="16" t="s">
        <v>277</v>
      </c>
    </row>
    <row r="95">
      <c r="A95" s="16" t="s">
        <v>364</v>
      </c>
    </row>
    <row r="96">
      <c r="A96" s="16" t="s">
        <v>437</v>
      </c>
    </row>
    <row r="97">
      <c r="A97" s="16" t="s">
        <v>296</v>
      </c>
    </row>
    <row r="98">
      <c r="A98" s="16" t="s">
        <v>304</v>
      </c>
    </row>
    <row r="99">
      <c r="A99" s="16" t="s">
        <v>358</v>
      </c>
    </row>
    <row r="100">
      <c r="A100" s="16" t="s">
        <v>340</v>
      </c>
    </row>
    <row r="101">
      <c r="A101" s="16" t="s">
        <v>315</v>
      </c>
    </row>
    <row r="102">
      <c r="A102" s="16" t="s">
        <v>317</v>
      </c>
    </row>
    <row r="103">
      <c r="A103" s="16" t="s">
        <v>380</v>
      </c>
    </row>
    <row r="104">
      <c r="A104" s="16" t="s">
        <v>322</v>
      </c>
    </row>
    <row r="105">
      <c r="A105" s="16" t="s">
        <v>368</v>
      </c>
    </row>
    <row r="106">
      <c r="A106" s="16" t="s">
        <v>335</v>
      </c>
    </row>
    <row r="107">
      <c r="A107" s="16" t="s">
        <v>301</v>
      </c>
    </row>
    <row r="108">
      <c r="A108" s="16" t="s">
        <v>448</v>
      </c>
    </row>
    <row r="109">
      <c r="A109" s="16" t="s">
        <v>375</v>
      </c>
    </row>
    <row r="110">
      <c r="A110" s="16" t="s">
        <v>341</v>
      </c>
    </row>
    <row r="111">
      <c r="A111" s="16" t="s">
        <v>462</v>
      </c>
    </row>
    <row r="112">
      <c r="A112" s="16" t="s">
        <v>415</v>
      </c>
    </row>
    <row r="113">
      <c r="A113" s="16" t="s">
        <v>365</v>
      </c>
    </row>
    <row r="114">
      <c r="A114" s="16" t="s">
        <v>372</v>
      </c>
    </row>
    <row r="115">
      <c r="A115" s="16" t="s">
        <v>391</v>
      </c>
    </row>
    <row r="116">
      <c r="A116" s="16" t="s">
        <v>337</v>
      </c>
    </row>
    <row r="117">
      <c r="A117" s="16" t="s">
        <v>327</v>
      </c>
    </row>
    <row r="118">
      <c r="A118" s="16" t="s">
        <v>345</v>
      </c>
    </row>
    <row r="119">
      <c r="A119" s="16" t="s">
        <v>520</v>
      </c>
    </row>
    <row r="120">
      <c r="A120" s="16" t="s">
        <v>475</v>
      </c>
    </row>
    <row r="121">
      <c r="A121" s="16" t="s">
        <v>416</v>
      </c>
    </row>
    <row r="122">
      <c r="A122" s="16" t="s">
        <v>424</v>
      </c>
    </row>
    <row r="123">
      <c r="A123" s="16" t="s">
        <v>410</v>
      </c>
    </row>
    <row r="124">
      <c r="A124" s="16" t="s">
        <v>400</v>
      </c>
    </row>
    <row r="125">
      <c r="A125" s="16" t="s">
        <v>384</v>
      </c>
    </row>
    <row r="126">
      <c r="A126" s="16" t="s">
        <v>402</v>
      </c>
    </row>
    <row r="127">
      <c r="A127" s="16" t="s">
        <v>348</v>
      </c>
    </row>
    <row r="128">
      <c r="A128" s="16" t="s">
        <v>482</v>
      </c>
    </row>
    <row r="129">
      <c r="A129" s="16" t="s">
        <v>454</v>
      </c>
    </row>
    <row r="130">
      <c r="A130" s="16" t="s">
        <v>428</v>
      </c>
    </row>
    <row r="131">
      <c r="A131" s="16" t="s">
        <v>434</v>
      </c>
    </row>
    <row r="132">
      <c r="A132" s="16" t="s">
        <v>431</v>
      </c>
    </row>
    <row r="133">
      <c r="A133" s="16" t="s">
        <v>496</v>
      </c>
    </row>
    <row r="134">
      <c r="A134" s="16" t="s">
        <v>438</v>
      </c>
    </row>
    <row r="135">
      <c r="A135" s="16" t="s">
        <v>407</v>
      </c>
    </row>
    <row r="136">
      <c r="A136" s="16" t="s">
        <v>493</v>
      </c>
    </row>
    <row r="137">
      <c r="A137" s="16" t="s">
        <v>538</v>
      </c>
    </row>
    <row r="138">
      <c r="A138" s="16" t="s">
        <v>507</v>
      </c>
    </row>
    <row r="139">
      <c r="A139" s="16" t="s">
        <v>517</v>
      </c>
    </row>
    <row r="140">
      <c r="A140" s="16" t="s">
        <v>505</v>
      </c>
    </row>
    <row r="141">
      <c r="A141" s="16" t="s">
        <v>502</v>
      </c>
    </row>
    <row r="142">
      <c r="A142" s="16" t="s">
        <v>485</v>
      </c>
    </row>
    <row r="143">
      <c r="A143" s="16" t="s">
        <v>533</v>
      </c>
    </row>
    <row r="144">
      <c r="A144" s="16" t="s">
        <v>530</v>
      </c>
    </row>
    <row r="145">
      <c r="A145" s="16" t="s">
        <v>474</v>
      </c>
    </row>
    <row r="146">
      <c r="A146" s="16" t="s">
        <v>509</v>
      </c>
    </row>
    <row r="147">
      <c r="A147" s="16" t="s">
        <v>604</v>
      </c>
    </row>
    <row r="148">
      <c r="A148" s="16" t="s">
        <v>540</v>
      </c>
    </row>
    <row r="149">
      <c r="A149" s="16" t="s">
        <v>528</v>
      </c>
    </row>
    <row r="150">
      <c r="A150" s="16" t="s">
        <v>518</v>
      </c>
    </row>
    <row r="151">
      <c r="A151" s="16" t="s">
        <v>553</v>
      </c>
    </row>
    <row r="152">
      <c r="A152" s="16" t="s">
        <v>555</v>
      </c>
    </row>
    <row r="153">
      <c r="A153" s="16" t="s">
        <v>537</v>
      </c>
    </row>
    <row r="154">
      <c r="A154" s="16" t="s">
        <v>557</v>
      </c>
    </row>
    <row r="155">
      <c r="A155" s="16" t="s">
        <v>542</v>
      </c>
    </row>
    <row r="156">
      <c r="A156" s="16" t="s">
        <v>536</v>
      </c>
    </row>
    <row r="157">
      <c r="A157" s="16" t="s">
        <v>551</v>
      </c>
    </row>
  </sheetData>
  <drawing r:id="rId1"/>
</worksheet>
</file>